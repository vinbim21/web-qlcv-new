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defaultThemeVersion="166925"/>
  <mc:AlternateContent xmlns:mc="http://schemas.openxmlformats.org/markup-compatibility/2006">
    <mc:Choice Requires="x15">
      <x15ac:absPath xmlns:x15ac="http://schemas.microsoft.com/office/spreadsheetml/2010/11/ac" url="H:\"/>
    </mc:Choice>
  </mc:AlternateContent>
  <xr:revisionPtr revIDLastSave="6530" documentId="13_ncr:1_{FE9C735D-E7DF-41E5-8AEE-7B77F4853E58}" xr6:coauthVersionLast="47" xr6:coauthVersionMax="47" xr10:uidLastSave="{82123E48-2A93-42CF-9693-C87809950A8D}"/>
  <bookViews>
    <workbookView xWindow="-108" yWindow="-108" windowWidth="23256" windowHeight="12456" tabRatio="476" firstSheet="13" activeTab="13" xr2:uid="{4F6001D1-C27D-4959-8D8B-464DC2BE3DD7}"/>
  </bookViews>
  <sheets>
    <sheet name="Report 1" sheetId="12" state="hidden" r:id="rId1"/>
    <sheet name="Report 2" sheetId="13" state="hidden" r:id="rId2"/>
    <sheet name="Report 3" sheetId="14" state="hidden" r:id="rId3"/>
    <sheet name="Report 4" sheetId="15" state="hidden" r:id="rId4"/>
    <sheet name="Data" sheetId="11" r:id="rId5"/>
    <sheet name="Bảng 1" sheetId="1" r:id="rId6"/>
    <sheet name="Bảng 2" sheetId="2" r:id="rId7"/>
    <sheet name="Bảng 3" sheetId="8" r:id="rId8"/>
    <sheet name="Bảng 4" sheetId="7" r:id="rId9"/>
    <sheet name="Bảng 5" sheetId="9" r:id="rId10"/>
    <sheet name="Bảng 6" sheetId="10" r:id="rId11"/>
    <sheet name="Draft" sheetId="4" state="hidden" r:id="rId12"/>
    <sheet name="Bảng 7" sheetId="20" r:id="rId13"/>
    <sheet name="XD" sheetId="16" r:id="rId14"/>
    <sheet name="MEPF" sheetId="17" r:id="rId15"/>
    <sheet name="IT" sheetId="19" r:id="rId16"/>
  </sheets>
  <definedNames>
    <definedName name="_xlnm._FilterDatabase" localSheetId="15" hidden="1">IT!$A$3:$H$34</definedName>
    <definedName name="_xlnm._FilterDatabase" localSheetId="14" hidden="1">MEPF!$A$3:$H$84</definedName>
    <definedName name="_xlnm._FilterDatabase" localSheetId="13" hidden="1">XD!$A$3:$H$152</definedName>
    <definedName name="_xlnm._FilterDatabase" localSheetId="7" hidden="1">'Bảng 3'!$A$2:$O$2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2" i="8" l="1"/>
  <c r="A142" i="8"/>
  <c r="B141" i="8"/>
  <c r="A141" i="8"/>
  <c r="B140" i="8"/>
  <c r="A140" i="8"/>
  <c r="B139" i="8"/>
  <c r="A139" i="8"/>
  <c r="B138" i="8"/>
  <c r="A138" i="8"/>
  <c r="O44" i="17"/>
  <c r="AR32" i="17"/>
  <c r="AO32" i="17"/>
  <c r="AL32" i="17"/>
  <c r="AI32" i="17"/>
  <c r="AF32" i="17"/>
  <c r="AC32" i="17"/>
  <c r="Y32" i="17"/>
  <c r="V32" i="17"/>
  <c r="S32" i="17"/>
  <c r="P32" i="17"/>
  <c r="M32" i="17"/>
  <c r="J32" i="17"/>
  <c r="A32" i="17"/>
  <c r="O266" i="8"/>
  <c r="B266" i="8"/>
  <c r="A266" i="8"/>
  <c r="O265" i="8"/>
  <c r="B265" i="8"/>
  <c r="A265" i="8"/>
  <c r="AR25" i="17"/>
  <c r="AO25" i="17"/>
  <c r="AL25" i="17"/>
  <c r="AI25" i="17"/>
  <c r="AF25" i="17"/>
  <c r="AC25" i="17"/>
  <c r="Y25" i="17"/>
  <c r="V25" i="17"/>
  <c r="S25" i="17"/>
  <c r="P25" i="17"/>
  <c r="M25" i="17"/>
  <c r="J25" i="17"/>
  <c r="A25" i="17"/>
  <c r="O344" i="8"/>
  <c r="B344" i="8"/>
  <c r="A344" i="8"/>
  <c r="O15" i="16"/>
  <c r="O16" i="16"/>
  <c r="B8" i="2"/>
  <c r="A8" i="2" s="1"/>
  <c r="D21" i="19"/>
  <c r="E21" i="19"/>
  <c r="F21" i="19"/>
  <c r="G21" i="19"/>
  <c r="C21" i="19"/>
  <c r="B216" i="8"/>
  <c r="A216" i="8" s="1"/>
  <c r="O216" i="8"/>
  <c r="B217" i="8"/>
  <c r="A217" i="8" s="1"/>
  <c r="O217" i="8"/>
  <c r="A109" i="16"/>
  <c r="C109" i="16"/>
  <c r="D109" i="16"/>
  <c r="E109" i="16"/>
  <c r="F109" i="16"/>
  <c r="G109" i="16"/>
  <c r="J109" i="16"/>
  <c r="AC109" i="16"/>
  <c r="AV109" i="16"/>
  <c r="BO109" i="16"/>
  <c r="CH109" i="16"/>
  <c r="DA109" i="16"/>
  <c r="A110" i="16"/>
  <c r="C110" i="16"/>
  <c r="D110" i="16"/>
  <c r="E110" i="16"/>
  <c r="F110" i="16"/>
  <c r="G110" i="16"/>
  <c r="J110" i="16"/>
  <c r="AC110" i="16"/>
  <c r="AV110" i="16"/>
  <c r="BO110" i="16"/>
  <c r="CH110" i="16"/>
  <c r="DA110" i="16"/>
  <c r="A111" i="16"/>
  <c r="C111" i="16"/>
  <c r="D111" i="16"/>
  <c r="E111" i="16"/>
  <c r="F111" i="16"/>
  <c r="G111" i="16"/>
  <c r="J111" i="16"/>
  <c r="AC111" i="16"/>
  <c r="AV111" i="16"/>
  <c r="BO111" i="16"/>
  <c r="CH111" i="16"/>
  <c r="DA111" i="16"/>
  <c r="A172" i="16"/>
  <c r="C172" i="16"/>
  <c r="D172" i="16"/>
  <c r="E172" i="16"/>
  <c r="F172" i="16"/>
  <c r="G172" i="16"/>
  <c r="J172" i="16"/>
  <c r="AC172" i="16"/>
  <c r="AV172" i="16"/>
  <c r="BO172" i="16"/>
  <c r="CH172" i="16"/>
  <c r="DA172" i="16"/>
  <c r="A173" i="16"/>
  <c r="C173" i="16"/>
  <c r="D173" i="16"/>
  <c r="E173" i="16"/>
  <c r="F173" i="16"/>
  <c r="G173" i="16"/>
  <c r="J173" i="16"/>
  <c r="AC173" i="16"/>
  <c r="AV173" i="16"/>
  <c r="BO173" i="16"/>
  <c r="CH173" i="16"/>
  <c r="DA173" i="16"/>
  <c r="A108" i="16"/>
  <c r="J108" i="16"/>
  <c r="AC108" i="16"/>
  <c r="AV108" i="16"/>
  <c r="BO108" i="16"/>
  <c r="CH108" i="16"/>
  <c r="DA108" i="16"/>
  <c r="A106" i="16"/>
  <c r="J106" i="16"/>
  <c r="AC106" i="16"/>
  <c r="AV106" i="16"/>
  <c r="BO106" i="16"/>
  <c r="CH106" i="16"/>
  <c r="DA106" i="16"/>
  <c r="A107" i="16"/>
  <c r="J107" i="16"/>
  <c r="AC107" i="16"/>
  <c r="AV107" i="16"/>
  <c r="BO107" i="16"/>
  <c r="CH107" i="16"/>
  <c r="DA107" i="16"/>
  <c r="A112" i="16"/>
  <c r="J112" i="16"/>
  <c r="AC112" i="16"/>
  <c r="AV112" i="16"/>
  <c r="BO112" i="16"/>
  <c r="CH112" i="16"/>
  <c r="DA112" i="16"/>
  <c r="C113" i="16"/>
  <c r="D113" i="16"/>
  <c r="E113" i="16"/>
  <c r="F113" i="16"/>
  <c r="G113" i="16"/>
  <c r="J113" i="16"/>
  <c r="L113" i="16"/>
  <c r="O113" i="16"/>
  <c r="R113" i="16"/>
  <c r="U113" i="16"/>
  <c r="X113" i="16"/>
  <c r="AA113" i="16"/>
  <c r="AC113" i="16"/>
  <c r="AE113" i="16"/>
  <c r="AH113" i="16"/>
  <c r="AK113" i="16"/>
  <c r="AN113" i="16"/>
  <c r="AQ113" i="16"/>
  <c r="AT113" i="16"/>
  <c r="AV113" i="16"/>
  <c r="AX113" i="16"/>
  <c r="BA113" i="16"/>
  <c r="BD113" i="16"/>
  <c r="BG113" i="16"/>
  <c r="BJ113" i="16"/>
  <c r="BM113" i="16"/>
  <c r="BO113" i="16"/>
  <c r="BQ113" i="16"/>
  <c r="BT113" i="16"/>
  <c r="BW113" i="16"/>
  <c r="BZ113" i="16"/>
  <c r="CC113" i="16"/>
  <c r="CF113" i="16"/>
  <c r="CH113" i="16"/>
  <c r="CJ113" i="16"/>
  <c r="CM113" i="16"/>
  <c r="CP113" i="16"/>
  <c r="CS113" i="16"/>
  <c r="CV113" i="16"/>
  <c r="CY113" i="16"/>
  <c r="DA113" i="16"/>
  <c r="DC113" i="16"/>
  <c r="DF113" i="16"/>
  <c r="DI113" i="16"/>
  <c r="DL113" i="16"/>
  <c r="DO113" i="16"/>
  <c r="DR113" i="16"/>
  <c r="DA105" i="16"/>
  <c r="CH105" i="16"/>
  <c r="BO105" i="16"/>
  <c r="AV105" i="16"/>
  <c r="AC105" i="16"/>
  <c r="J105" i="16"/>
  <c r="A105" i="16"/>
  <c r="A101" i="16"/>
  <c r="J101" i="16"/>
  <c r="AC101" i="16"/>
  <c r="AV101" i="16"/>
  <c r="BO101" i="16"/>
  <c r="CH101" i="16"/>
  <c r="DA101" i="16"/>
  <c r="A102" i="16"/>
  <c r="J102" i="16"/>
  <c r="AC102" i="16"/>
  <c r="AV102" i="16"/>
  <c r="BO102" i="16"/>
  <c r="CH102" i="16"/>
  <c r="DA102" i="16"/>
  <c r="A103" i="16"/>
  <c r="J103" i="16"/>
  <c r="AC103" i="16"/>
  <c r="AV103" i="16"/>
  <c r="BO103" i="16"/>
  <c r="CH103" i="16"/>
  <c r="DA103" i="16"/>
  <c r="A104" i="16"/>
  <c r="J104" i="16"/>
  <c r="AC104" i="16"/>
  <c r="AV104" i="16"/>
  <c r="BO104" i="16"/>
  <c r="CH104" i="16"/>
  <c r="DA104" i="16"/>
  <c r="A140" i="16"/>
  <c r="J140" i="16"/>
  <c r="AC140" i="16"/>
  <c r="AV140" i="16"/>
  <c r="BO140" i="16"/>
  <c r="CH140" i="16"/>
  <c r="DA140" i="16"/>
  <c r="A141" i="16"/>
  <c r="J141" i="16"/>
  <c r="AC141" i="16"/>
  <c r="AV141" i="16"/>
  <c r="BO141" i="16"/>
  <c r="CH141" i="16"/>
  <c r="DA141" i="16"/>
  <c r="A138" i="16"/>
  <c r="J138" i="16"/>
  <c r="AC138" i="16"/>
  <c r="AV138" i="16"/>
  <c r="BO138" i="16"/>
  <c r="CH138" i="16"/>
  <c r="DA138" i="16"/>
  <c r="A139" i="16"/>
  <c r="J139" i="16"/>
  <c r="AC139" i="16"/>
  <c r="AV139" i="16"/>
  <c r="BO139" i="16"/>
  <c r="CH139" i="16"/>
  <c r="DA139" i="16"/>
  <c r="A97" i="16"/>
  <c r="J97" i="16"/>
  <c r="AC97" i="16"/>
  <c r="AV97" i="16"/>
  <c r="BO97" i="16"/>
  <c r="CH97" i="16"/>
  <c r="DA97" i="16"/>
  <c r="A98" i="16"/>
  <c r="J98" i="16"/>
  <c r="AC98" i="16"/>
  <c r="AV98" i="16"/>
  <c r="BO98" i="16"/>
  <c r="CH98" i="16"/>
  <c r="DA98" i="16"/>
  <c r="A99" i="16"/>
  <c r="J99" i="16"/>
  <c r="AC99" i="16"/>
  <c r="AV99" i="16"/>
  <c r="BO99" i="16"/>
  <c r="CH99" i="16"/>
  <c r="DA99" i="16"/>
  <c r="A100" i="16"/>
  <c r="J100" i="16"/>
  <c r="AC100" i="16"/>
  <c r="AV100" i="16"/>
  <c r="BO100" i="16"/>
  <c r="CH100" i="16"/>
  <c r="DA100" i="16"/>
  <c r="A95" i="16"/>
  <c r="J95" i="16"/>
  <c r="AC95" i="16"/>
  <c r="AV95" i="16"/>
  <c r="BO95" i="16"/>
  <c r="CH95" i="16"/>
  <c r="DA95" i="16"/>
  <c r="A96" i="16"/>
  <c r="J96" i="16"/>
  <c r="AC96" i="16"/>
  <c r="AV96" i="16"/>
  <c r="BO96" i="16"/>
  <c r="CH96" i="16"/>
  <c r="DA96" i="16"/>
  <c r="A114" i="16"/>
  <c r="J114" i="16"/>
  <c r="AC114" i="16"/>
  <c r="AV114" i="16"/>
  <c r="BO114" i="16"/>
  <c r="CH114" i="16"/>
  <c r="DA114" i="16"/>
  <c r="A115" i="16"/>
  <c r="J115" i="16"/>
  <c r="AC115" i="16"/>
  <c r="AV115" i="16"/>
  <c r="BO115" i="16"/>
  <c r="CH115" i="16"/>
  <c r="DA115" i="16"/>
  <c r="A116" i="16"/>
  <c r="J116" i="16"/>
  <c r="AC116" i="16"/>
  <c r="AV116" i="16"/>
  <c r="BO116" i="16"/>
  <c r="CH116" i="16"/>
  <c r="DA116" i="16"/>
  <c r="A117" i="16"/>
  <c r="J117" i="16"/>
  <c r="AC117" i="16"/>
  <c r="AV117" i="16"/>
  <c r="BO117" i="16"/>
  <c r="CH117" i="16"/>
  <c r="DA117" i="16"/>
  <c r="A170" i="16"/>
  <c r="J170" i="16"/>
  <c r="AC170" i="16"/>
  <c r="AV170" i="16"/>
  <c r="BO170" i="16"/>
  <c r="CH170" i="16"/>
  <c r="DA170" i="16"/>
  <c r="A171" i="16"/>
  <c r="J171" i="16"/>
  <c r="AC171" i="16"/>
  <c r="AV171" i="16"/>
  <c r="BO171" i="16"/>
  <c r="CH171" i="16"/>
  <c r="DA171" i="16"/>
  <c r="DA169" i="16"/>
  <c r="CH169" i="16"/>
  <c r="BO169" i="16"/>
  <c r="AV169" i="16"/>
  <c r="AC169" i="16"/>
  <c r="J169" i="16"/>
  <c r="A169" i="16"/>
  <c r="L44" i="17"/>
  <c r="A167" i="16"/>
  <c r="J167" i="16"/>
  <c r="AC167" i="16"/>
  <c r="AV167" i="16"/>
  <c r="BO167" i="16"/>
  <c r="CH167" i="16"/>
  <c r="DA167" i="16"/>
  <c r="A168" i="16"/>
  <c r="J168" i="16"/>
  <c r="AC168" i="16"/>
  <c r="AV168" i="16"/>
  <c r="BO168" i="16"/>
  <c r="CH168" i="16"/>
  <c r="DA168" i="16"/>
  <c r="A51" i="17"/>
  <c r="J51" i="17"/>
  <c r="AC51" i="17"/>
  <c r="A52" i="17"/>
  <c r="J52" i="17"/>
  <c r="AC52" i="17"/>
  <c r="A53" i="17"/>
  <c r="J53" i="17"/>
  <c r="AC53" i="17"/>
  <c r="A54" i="17"/>
  <c r="J54" i="17"/>
  <c r="AC54" i="17"/>
  <c r="AC50" i="17"/>
  <c r="J50" i="17"/>
  <c r="A50" i="17"/>
  <c r="A164" i="16"/>
  <c r="J164" i="16"/>
  <c r="AC164" i="16"/>
  <c r="AV164" i="16"/>
  <c r="BO164" i="16"/>
  <c r="CH164" i="16"/>
  <c r="DA164" i="16"/>
  <c r="A165" i="16"/>
  <c r="J165" i="16"/>
  <c r="AC165" i="16"/>
  <c r="AV165" i="16"/>
  <c r="BO165" i="16"/>
  <c r="CH165" i="16"/>
  <c r="DA165" i="16"/>
  <c r="A166" i="16"/>
  <c r="J166" i="16"/>
  <c r="AC166" i="16"/>
  <c r="AV166" i="16"/>
  <c r="BO166" i="16"/>
  <c r="CH166" i="16"/>
  <c r="DA166" i="16"/>
  <c r="A163" i="16"/>
  <c r="J163" i="16"/>
  <c r="AC163" i="16"/>
  <c r="AV163" i="16"/>
  <c r="BO163" i="16"/>
  <c r="CH163" i="16"/>
  <c r="DA163" i="16"/>
  <c r="B10" i="2"/>
  <c r="A10" i="2" s="1"/>
  <c r="B11" i="2"/>
  <c r="A11" i="2" s="1"/>
  <c r="B12" i="2"/>
  <c r="A12" i="2" s="1"/>
  <c r="B13" i="2"/>
  <c r="A13" i="2" s="1"/>
  <c r="B14" i="2"/>
  <c r="A14" i="2" s="1"/>
  <c r="B15" i="2"/>
  <c r="A15" i="2" s="1"/>
  <c r="O213" i="8"/>
  <c r="B213" i="8"/>
  <c r="A213" i="8" s="1"/>
  <c r="B84" i="16" s="1"/>
  <c r="A4" i="20"/>
  <c r="A3" i="20"/>
  <c r="R12" i="19"/>
  <c r="U12" i="19"/>
  <c r="A6" i="9"/>
  <c r="A5" i="9"/>
  <c r="A4" i="9"/>
  <c r="O345" i="8"/>
  <c r="B345" i="8"/>
  <c r="A345" i="8" s="1"/>
  <c r="AC23" i="17"/>
  <c r="J23" i="17"/>
  <c r="A23" i="17"/>
  <c r="A20" i="17"/>
  <c r="J20" i="17"/>
  <c r="AC20" i="17"/>
  <c r="A21" i="17"/>
  <c r="J21" i="17"/>
  <c r="AC21" i="17"/>
  <c r="A22" i="17"/>
  <c r="J22" i="17"/>
  <c r="AC22" i="17"/>
  <c r="AC14" i="17"/>
  <c r="J14" i="17"/>
  <c r="A14" i="17"/>
  <c r="AC31" i="17"/>
  <c r="J31" i="17"/>
  <c r="A31" i="17"/>
  <c r="AC30" i="17"/>
  <c r="J30" i="17"/>
  <c r="A30" i="17"/>
  <c r="AC29" i="17"/>
  <c r="J29" i="17"/>
  <c r="A29" i="17"/>
  <c r="AC28" i="17"/>
  <c r="J28" i="17"/>
  <c r="A28" i="17"/>
  <c r="AC27" i="17"/>
  <c r="J27" i="17"/>
  <c r="A27" i="17"/>
  <c r="AC10" i="17"/>
  <c r="J10" i="17"/>
  <c r="A10" i="17"/>
  <c r="AC9" i="17"/>
  <c r="J9" i="17"/>
  <c r="A9" i="17"/>
  <c r="AC8" i="17"/>
  <c r="J8" i="17"/>
  <c r="A8" i="17"/>
  <c r="AC7" i="17"/>
  <c r="J7" i="17"/>
  <c r="A7" i="17"/>
  <c r="O410" i="8"/>
  <c r="B410" i="8"/>
  <c r="A410" i="8"/>
  <c r="O409" i="8"/>
  <c r="B409" i="8"/>
  <c r="A409" i="8"/>
  <c r="O408" i="8"/>
  <c r="B408" i="8"/>
  <c r="A408" i="8" s="1"/>
  <c r="O411" i="8"/>
  <c r="B411" i="8"/>
  <c r="A411" i="8" s="1"/>
  <c r="O402" i="8"/>
  <c r="B402" i="8"/>
  <c r="A402" i="8" s="1"/>
  <c r="B400" i="8"/>
  <c r="A400" i="8" s="1"/>
  <c r="O400" i="8"/>
  <c r="B401" i="8"/>
  <c r="A401" i="8" s="1"/>
  <c r="O401" i="8"/>
  <c r="O403" i="8"/>
  <c r="B403" i="8"/>
  <c r="A403" i="8" s="1"/>
  <c r="B392" i="8"/>
  <c r="A392" i="8" s="1"/>
  <c r="O392" i="8"/>
  <c r="B393" i="8"/>
  <c r="A393" i="8" s="1"/>
  <c r="O393" i="8"/>
  <c r="O394" i="8"/>
  <c r="B394" i="8"/>
  <c r="A394" i="8" s="1"/>
  <c r="O395" i="8"/>
  <c r="B395" i="8"/>
  <c r="A395" i="8" s="1"/>
  <c r="B384" i="8"/>
  <c r="A384" i="8" s="1"/>
  <c r="O384" i="8"/>
  <c r="B385" i="8"/>
  <c r="A385" i="8" s="1"/>
  <c r="O385" i="8"/>
  <c r="O386" i="8"/>
  <c r="B386" i="8"/>
  <c r="A386" i="8" s="1"/>
  <c r="O387" i="8"/>
  <c r="B387" i="8"/>
  <c r="A387" i="8" s="1"/>
  <c r="O377" i="8"/>
  <c r="B377" i="8"/>
  <c r="A377" i="8" s="1"/>
  <c r="B376" i="8"/>
  <c r="A376" i="8" s="1"/>
  <c r="O376" i="8"/>
  <c r="B378" i="8"/>
  <c r="A378" i="8" s="1"/>
  <c r="O378" i="8"/>
  <c r="O379" i="8"/>
  <c r="B379" i="8"/>
  <c r="A379" i="8" s="1"/>
  <c r="O369" i="8"/>
  <c r="B369" i="8"/>
  <c r="A369" i="8" s="1"/>
  <c r="B7" i="2"/>
  <c r="A7" i="2" s="1"/>
  <c r="B9" i="2"/>
  <c r="A9" i="2" s="1"/>
  <c r="B4" i="2"/>
  <c r="A4" i="2" s="1"/>
  <c r="B5" i="2"/>
  <c r="A5" i="2" s="1"/>
  <c r="B6" i="2"/>
  <c r="A6" i="2" s="1"/>
  <c r="B368" i="8"/>
  <c r="A368" i="8" s="1"/>
  <c r="O368" i="8"/>
  <c r="B370" i="8"/>
  <c r="A370" i="8" s="1"/>
  <c r="O370" i="8"/>
  <c r="O371" i="8"/>
  <c r="B371" i="8"/>
  <c r="A371" i="8" s="1"/>
  <c r="G202" i="16"/>
  <c r="F202" i="16"/>
  <c r="E202" i="16"/>
  <c r="D202" i="16"/>
  <c r="C202" i="16"/>
  <c r="G201" i="16"/>
  <c r="F201" i="16"/>
  <c r="E201" i="16"/>
  <c r="D201" i="16"/>
  <c r="C201" i="16"/>
  <c r="G175" i="16"/>
  <c r="F175" i="16"/>
  <c r="E175" i="16"/>
  <c r="D175" i="16"/>
  <c r="C175" i="16"/>
  <c r="G150" i="16"/>
  <c r="F150" i="16"/>
  <c r="E150" i="16"/>
  <c r="D150" i="16"/>
  <c r="C150" i="16"/>
  <c r="G148" i="16"/>
  <c r="F148" i="16"/>
  <c r="E148" i="16"/>
  <c r="D148" i="16"/>
  <c r="C148" i="16"/>
  <c r="G147" i="16"/>
  <c r="F147" i="16"/>
  <c r="E147" i="16"/>
  <c r="D147" i="16"/>
  <c r="C147" i="16"/>
  <c r="G146" i="16"/>
  <c r="F146" i="16"/>
  <c r="E146" i="16"/>
  <c r="D146" i="16"/>
  <c r="C146" i="16"/>
  <c r="G80" i="16"/>
  <c r="F80" i="16"/>
  <c r="E80" i="16"/>
  <c r="D80" i="16"/>
  <c r="C80" i="16"/>
  <c r="G78" i="16"/>
  <c r="F78" i="16"/>
  <c r="E78" i="16"/>
  <c r="D78" i="16"/>
  <c r="C78" i="16"/>
  <c r="G77" i="16"/>
  <c r="F77" i="16"/>
  <c r="E77" i="16"/>
  <c r="D77" i="16"/>
  <c r="C77" i="16"/>
  <c r="G76" i="16"/>
  <c r="F76" i="16"/>
  <c r="E76" i="16"/>
  <c r="D76" i="16"/>
  <c r="C76" i="16"/>
  <c r="G75" i="16"/>
  <c r="F75" i="16"/>
  <c r="E75" i="16"/>
  <c r="D75" i="16"/>
  <c r="C75" i="16"/>
  <c r="G42" i="16"/>
  <c r="F42" i="16"/>
  <c r="E42" i="16"/>
  <c r="D42" i="16"/>
  <c r="C42" i="16"/>
  <c r="G40" i="16"/>
  <c r="F40" i="16"/>
  <c r="E40" i="16"/>
  <c r="D40" i="16"/>
  <c r="C40" i="16"/>
  <c r="G39" i="16"/>
  <c r="F39" i="16"/>
  <c r="E39" i="16"/>
  <c r="D39" i="16"/>
  <c r="C39" i="16"/>
  <c r="G38" i="16"/>
  <c r="F38" i="16"/>
  <c r="E38" i="16"/>
  <c r="D38" i="16"/>
  <c r="C38" i="16"/>
  <c r="G16" i="16"/>
  <c r="F16" i="16"/>
  <c r="E16" i="16"/>
  <c r="D16" i="16"/>
  <c r="C16" i="16"/>
  <c r="G13" i="16"/>
  <c r="F13" i="16"/>
  <c r="E13" i="16"/>
  <c r="D13" i="16"/>
  <c r="C13" i="16"/>
  <c r="G12" i="16"/>
  <c r="F12" i="16"/>
  <c r="E12" i="16"/>
  <c r="D12" i="16"/>
  <c r="C12" i="16"/>
  <c r="G11" i="16"/>
  <c r="F11" i="16"/>
  <c r="E11" i="16"/>
  <c r="D11" i="16"/>
  <c r="C11" i="16"/>
  <c r="G10" i="16"/>
  <c r="F10" i="16"/>
  <c r="E10" i="16"/>
  <c r="D10" i="16"/>
  <c r="C10" i="16"/>
  <c r="G9" i="16"/>
  <c r="F9" i="16"/>
  <c r="E9" i="16"/>
  <c r="D9" i="16"/>
  <c r="C9" i="16"/>
  <c r="G8" i="16"/>
  <c r="F8" i="16"/>
  <c r="E8" i="16"/>
  <c r="D8" i="16"/>
  <c r="C8" i="16"/>
  <c r="G4" i="16"/>
  <c r="F4" i="16"/>
  <c r="E4" i="16"/>
  <c r="D4" i="16"/>
  <c r="C4" i="16"/>
  <c r="G4" i="17"/>
  <c r="F4" i="17"/>
  <c r="E4" i="17"/>
  <c r="D4" i="17"/>
  <c r="C4" i="17"/>
  <c r="G44" i="17"/>
  <c r="F44" i="17"/>
  <c r="E44" i="17"/>
  <c r="D44" i="17"/>
  <c r="C44" i="17"/>
  <c r="G43" i="17"/>
  <c r="F43" i="17"/>
  <c r="E43" i="17"/>
  <c r="D43" i="17"/>
  <c r="C43" i="17"/>
  <c r="G42" i="17"/>
  <c r="F42" i="17"/>
  <c r="E42" i="17"/>
  <c r="D42" i="17"/>
  <c r="C42" i="17"/>
  <c r="G41" i="17"/>
  <c r="F41" i="17"/>
  <c r="E41" i="17"/>
  <c r="D41" i="17"/>
  <c r="C41" i="17"/>
  <c r="G37" i="17"/>
  <c r="F37" i="17"/>
  <c r="E37" i="17"/>
  <c r="D37" i="17"/>
  <c r="C37" i="17"/>
  <c r="G36" i="17"/>
  <c r="F36" i="17"/>
  <c r="E36" i="17"/>
  <c r="D36" i="17"/>
  <c r="C36" i="17"/>
  <c r="G35" i="17"/>
  <c r="F35" i="17"/>
  <c r="E35" i="17"/>
  <c r="D35" i="17"/>
  <c r="C35" i="17"/>
  <c r="G34" i="17"/>
  <c r="F34" i="17"/>
  <c r="E34" i="17"/>
  <c r="D34" i="17"/>
  <c r="C34" i="17"/>
  <c r="G33" i="17"/>
  <c r="F33" i="17"/>
  <c r="E33" i="17"/>
  <c r="D33" i="17"/>
  <c r="C33" i="17"/>
  <c r="G16" i="17"/>
  <c r="F16" i="17"/>
  <c r="E16" i="17"/>
  <c r="D16" i="17"/>
  <c r="C16" i="17"/>
  <c r="O364" i="8"/>
  <c r="B364" i="8"/>
  <c r="A364" i="8"/>
  <c r="O362" i="8"/>
  <c r="B362" i="8"/>
  <c r="A362" i="8"/>
  <c r="O349" i="8"/>
  <c r="B349" i="8"/>
  <c r="A349" i="8"/>
  <c r="O350" i="8"/>
  <c r="B350" i="8"/>
  <c r="A350" i="8"/>
  <c r="O348" i="8"/>
  <c r="B348" i="8"/>
  <c r="A348" i="8"/>
  <c r="O351" i="8"/>
  <c r="B351" i="8"/>
  <c r="A351" i="8"/>
  <c r="O340" i="8"/>
  <c r="B340" i="8"/>
  <c r="A340" i="8"/>
  <c r="O341" i="8"/>
  <c r="B341" i="8"/>
  <c r="A341" i="8"/>
  <c r="O339" i="8"/>
  <c r="B339" i="8"/>
  <c r="A339" i="8"/>
  <c r="O342" i="8"/>
  <c r="B342" i="8"/>
  <c r="A342" i="8"/>
  <c r="O331" i="8"/>
  <c r="B331" i="8"/>
  <c r="A331" i="8"/>
  <c r="O332" i="8"/>
  <c r="B332" i="8"/>
  <c r="A332" i="8"/>
  <c r="O330" i="8"/>
  <c r="B330" i="8"/>
  <c r="A330" i="8"/>
  <c r="O333" i="8"/>
  <c r="B333" i="8"/>
  <c r="A333" i="8"/>
  <c r="O324" i="8"/>
  <c r="B324" i="8"/>
  <c r="A324" i="8"/>
  <c r="O325" i="8"/>
  <c r="B325" i="8"/>
  <c r="A325" i="8"/>
  <c r="O323" i="8"/>
  <c r="B323" i="8"/>
  <c r="A323" i="8"/>
  <c r="O326" i="8"/>
  <c r="B326" i="8"/>
  <c r="A326" i="8"/>
  <c r="O317" i="8"/>
  <c r="B317" i="8"/>
  <c r="A317" i="8"/>
  <c r="O318" i="8"/>
  <c r="B318" i="8"/>
  <c r="A318" i="8"/>
  <c r="O316" i="8"/>
  <c r="B316" i="8"/>
  <c r="A316" i="8"/>
  <c r="O319" i="8"/>
  <c r="B319" i="8"/>
  <c r="A319" i="8"/>
  <c r="O310" i="8"/>
  <c r="B310" i="8"/>
  <c r="A310" i="8"/>
  <c r="O311" i="8"/>
  <c r="B311" i="8"/>
  <c r="A311" i="8"/>
  <c r="O309" i="8"/>
  <c r="B309" i="8"/>
  <c r="A309" i="8"/>
  <c r="O312" i="8"/>
  <c r="B312" i="8"/>
  <c r="A312" i="8"/>
  <c r="O303" i="8"/>
  <c r="B303" i="8"/>
  <c r="A303" i="8"/>
  <c r="O304" i="8"/>
  <c r="B304" i="8"/>
  <c r="A304" i="8"/>
  <c r="O302" i="8"/>
  <c r="B302" i="8"/>
  <c r="A302" i="8"/>
  <c r="O305" i="8"/>
  <c r="B305" i="8"/>
  <c r="A305" i="8"/>
  <c r="O296" i="8"/>
  <c r="B296" i="8"/>
  <c r="A296" i="8"/>
  <c r="O297" i="8"/>
  <c r="B297" i="8"/>
  <c r="A297" i="8"/>
  <c r="O295" i="8"/>
  <c r="B295" i="8"/>
  <c r="A295" i="8"/>
  <c r="O298" i="8"/>
  <c r="B298" i="8"/>
  <c r="A298" i="8"/>
  <c r="O287" i="8"/>
  <c r="B287" i="8"/>
  <c r="A287" i="8"/>
  <c r="O288" i="8"/>
  <c r="B288" i="8"/>
  <c r="A288" i="8"/>
  <c r="O286" i="8"/>
  <c r="B286" i="8"/>
  <c r="A286" i="8"/>
  <c r="O289" i="8"/>
  <c r="B289" i="8"/>
  <c r="A289" i="8"/>
  <c r="O279" i="8"/>
  <c r="B279" i="8"/>
  <c r="A279" i="8"/>
  <c r="O278" i="8"/>
  <c r="B278" i="8"/>
  <c r="A278" i="8"/>
  <c r="O280" i="8"/>
  <c r="B280" i="8"/>
  <c r="A280" i="8"/>
  <c r="O281" i="8"/>
  <c r="B281" i="8"/>
  <c r="A281" i="8"/>
  <c r="O271" i="8"/>
  <c r="B271" i="8"/>
  <c r="A271" i="8"/>
  <c r="O270" i="8"/>
  <c r="B270" i="8"/>
  <c r="A270" i="8"/>
  <c r="O272" i="8"/>
  <c r="B272" i="8"/>
  <c r="A272" i="8"/>
  <c r="O273" i="8"/>
  <c r="B273" i="8"/>
  <c r="A273" i="8"/>
  <c r="O261" i="8"/>
  <c r="B261" i="8"/>
  <c r="A261" i="8"/>
  <c r="O260" i="8"/>
  <c r="B260" i="8"/>
  <c r="A260" i="8"/>
  <c r="O262" i="8"/>
  <c r="B262" i="8"/>
  <c r="A262" i="8"/>
  <c r="O263" i="8"/>
  <c r="B263" i="8"/>
  <c r="A263" i="8"/>
  <c r="O254" i="8"/>
  <c r="B254" i="8"/>
  <c r="A254" i="8"/>
  <c r="O255" i="8"/>
  <c r="B255" i="8"/>
  <c r="A255" i="8"/>
  <c r="O253" i="8"/>
  <c r="B253" i="8"/>
  <c r="A253" i="8"/>
  <c r="O256" i="8"/>
  <c r="B256" i="8"/>
  <c r="A256" i="8"/>
  <c r="O250" i="8"/>
  <c r="B250" i="8"/>
  <c r="A250" i="8"/>
  <c r="O249" i="8"/>
  <c r="B249" i="8"/>
  <c r="A249" i="8"/>
  <c r="O248" i="8"/>
  <c r="B248" i="8"/>
  <c r="A248" i="8"/>
  <c r="O247" i="8"/>
  <c r="B247" i="8"/>
  <c r="A247" i="8"/>
  <c r="O243" i="8"/>
  <c r="B243" i="8"/>
  <c r="A243" i="8"/>
  <c r="O242" i="8"/>
  <c r="B242" i="8"/>
  <c r="A242" i="8"/>
  <c r="O241" i="8"/>
  <c r="B241" i="8"/>
  <c r="A241" i="8"/>
  <c r="O240" i="8"/>
  <c r="B240" i="8"/>
  <c r="A240" i="8"/>
  <c r="O236" i="8"/>
  <c r="B236" i="8"/>
  <c r="A236" i="8"/>
  <c r="O235" i="8"/>
  <c r="B235" i="8"/>
  <c r="A235" i="8"/>
  <c r="O234" i="8"/>
  <c r="B234" i="8"/>
  <c r="A234" i="8"/>
  <c r="O232" i="8"/>
  <c r="B232" i="8"/>
  <c r="A232" i="8"/>
  <c r="O229" i="8"/>
  <c r="B229" i="8"/>
  <c r="A229" i="8"/>
  <c r="O227" i="8"/>
  <c r="B227" i="8"/>
  <c r="A227" i="8"/>
  <c r="O226" i="8"/>
  <c r="B226" i="8"/>
  <c r="A226" i="8"/>
  <c r="O225" i="8"/>
  <c r="B225" i="8"/>
  <c r="A225" i="8"/>
  <c r="O222" i="8"/>
  <c r="B222" i="8"/>
  <c r="A222" i="8"/>
  <c r="O221" i="8"/>
  <c r="B221" i="8"/>
  <c r="A221" i="8"/>
  <c r="O219" i="8"/>
  <c r="B219" i="8"/>
  <c r="A219" i="8"/>
  <c r="O218" i="8"/>
  <c r="B218" i="8"/>
  <c r="A218" i="8"/>
  <c r="O210" i="8"/>
  <c r="B210" i="8"/>
  <c r="A210" i="8"/>
  <c r="O208" i="8"/>
  <c r="B208" i="8"/>
  <c r="A208" i="8"/>
  <c r="O207" i="8"/>
  <c r="B207" i="8"/>
  <c r="A207" i="8"/>
  <c r="O206" i="8"/>
  <c r="B206" i="8"/>
  <c r="A206" i="8"/>
  <c r="O203" i="8"/>
  <c r="B203" i="8"/>
  <c r="A203" i="8"/>
  <c r="O201" i="8"/>
  <c r="B201" i="8"/>
  <c r="A201" i="8"/>
  <c r="O200" i="8"/>
  <c r="B200" i="8"/>
  <c r="A200" i="8"/>
  <c r="O199" i="8"/>
  <c r="B199" i="8"/>
  <c r="A199" i="8"/>
  <c r="O195" i="8"/>
  <c r="B195" i="8"/>
  <c r="A195" i="8"/>
  <c r="O194" i="8"/>
  <c r="B194" i="8"/>
  <c r="A194" i="8"/>
  <c r="O193" i="8"/>
  <c r="B193" i="8"/>
  <c r="A193" i="8"/>
  <c r="O192" i="8"/>
  <c r="B192" i="8"/>
  <c r="A192" i="8"/>
  <c r="O188" i="8"/>
  <c r="B188" i="8"/>
  <c r="A188" i="8"/>
  <c r="O187" i="8"/>
  <c r="B187" i="8"/>
  <c r="A187" i="8"/>
  <c r="O186" i="8"/>
  <c r="B186" i="8"/>
  <c r="A186" i="8"/>
  <c r="O185" i="8"/>
  <c r="B185" i="8"/>
  <c r="A185" i="8"/>
  <c r="O182" i="8"/>
  <c r="B182" i="8"/>
  <c r="A182" i="8"/>
  <c r="O181" i="8"/>
  <c r="B181" i="8"/>
  <c r="A181" i="8"/>
  <c r="O180" i="8"/>
  <c r="B180" i="8"/>
  <c r="A180" i="8"/>
  <c r="O179" i="8"/>
  <c r="B179" i="8"/>
  <c r="A179" i="8"/>
  <c r="O159" i="8"/>
  <c r="B159" i="8"/>
  <c r="A159" i="8"/>
  <c r="O158" i="8"/>
  <c r="B158" i="8"/>
  <c r="A158" i="8"/>
  <c r="O157" i="8"/>
  <c r="B157" i="8"/>
  <c r="A157" i="8"/>
  <c r="O156" i="8"/>
  <c r="B156" i="8"/>
  <c r="A156" i="8"/>
  <c r="O155" i="8"/>
  <c r="B155" i="8"/>
  <c r="A155" i="8"/>
  <c r="O3"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160" i="8"/>
  <c r="O161" i="8"/>
  <c r="O162" i="8"/>
  <c r="O163" i="8"/>
  <c r="O164" i="8"/>
  <c r="O165" i="8"/>
  <c r="O166" i="8"/>
  <c r="O167" i="8"/>
  <c r="O168" i="8"/>
  <c r="O169" i="8"/>
  <c r="O170" i="8"/>
  <c r="O171" i="8"/>
  <c r="O172" i="8"/>
  <c r="O173" i="8"/>
  <c r="O174" i="8"/>
  <c r="O175" i="8"/>
  <c r="O176" i="8"/>
  <c r="O177" i="8"/>
  <c r="O178" i="8"/>
  <c r="O183" i="8"/>
  <c r="O184" i="8"/>
  <c r="O189" i="8"/>
  <c r="O190" i="8"/>
  <c r="O191" i="8"/>
  <c r="O196" i="8"/>
  <c r="O197" i="8"/>
  <c r="O198" i="8"/>
  <c r="O202" i="8"/>
  <c r="O204" i="8"/>
  <c r="O205" i="8"/>
  <c r="O209" i="8"/>
  <c r="O211" i="8"/>
  <c r="O212" i="8"/>
  <c r="O214" i="8"/>
  <c r="O215" i="8"/>
  <c r="O220" i="8"/>
  <c r="O223" i="8"/>
  <c r="O224" i="8"/>
  <c r="O228" i="8"/>
  <c r="O230" i="8"/>
  <c r="O231" i="8"/>
  <c r="O233" i="8"/>
  <c r="O237" i="8"/>
  <c r="O238" i="8"/>
  <c r="O239" i="8"/>
  <c r="O244" i="8"/>
  <c r="O245" i="8"/>
  <c r="O246" i="8"/>
  <c r="O251" i="8"/>
  <c r="O252" i="8"/>
  <c r="O257" i="8"/>
  <c r="O258" i="8"/>
  <c r="O259" i="8"/>
  <c r="O264" i="8"/>
  <c r="O267" i="8"/>
  <c r="O268" i="8"/>
  <c r="O269" i="8"/>
  <c r="O274" i="8"/>
  <c r="O275" i="8"/>
  <c r="O276" i="8"/>
  <c r="O277" i="8"/>
  <c r="O282" i="8"/>
  <c r="O283" i="8"/>
  <c r="O284" i="8"/>
  <c r="O285" i="8"/>
  <c r="O290" i="8"/>
  <c r="O291" i="8"/>
  <c r="O292" i="8"/>
  <c r="O293" i="8"/>
  <c r="O294" i="8"/>
  <c r="O299" i="8"/>
  <c r="O300" i="8"/>
  <c r="O301" i="8"/>
  <c r="O306" i="8"/>
  <c r="O307" i="8"/>
  <c r="O308" i="8"/>
  <c r="O313" i="8"/>
  <c r="O314" i="8"/>
  <c r="O315" i="8"/>
  <c r="O320" i="8"/>
  <c r="O321" i="8"/>
  <c r="O322" i="8"/>
  <c r="O327" i="8"/>
  <c r="O328" i="8"/>
  <c r="O329" i="8"/>
  <c r="O334" i="8"/>
  <c r="O335" i="8"/>
  <c r="O336" i="8"/>
  <c r="O337" i="8"/>
  <c r="O338" i="8"/>
  <c r="O343" i="8"/>
  <c r="O346" i="8"/>
  <c r="O347" i="8"/>
  <c r="O352" i="8"/>
  <c r="O353" i="8"/>
  <c r="O354" i="8"/>
  <c r="O355" i="8"/>
  <c r="O356" i="8"/>
  <c r="O357" i="8"/>
  <c r="O358" i="8"/>
  <c r="O359" i="8"/>
  <c r="O360" i="8"/>
  <c r="O361" i="8"/>
  <c r="O363" i="8"/>
  <c r="O365" i="8"/>
  <c r="O366" i="8"/>
  <c r="O367" i="8"/>
  <c r="O372" i="8"/>
  <c r="O373" i="8"/>
  <c r="O374" i="8"/>
  <c r="O375" i="8"/>
  <c r="O380" i="8"/>
  <c r="O381" i="8"/>
  <c r="O382" i="8"/>
  <c r="O383" i="8"/>
  <c r="O388" i="8"/>
  <c r="O389" i="8"/>
  <c r="O390" i="8"/>
  <c r="O391" i="8"/>
  <c r="O396" i="8"/>
  <c r="O397" i="8"/>
  <c r="O398" i="8"/>
  <c r="O399" i="8"/>
  <c r="O404" i="8"/>
  <c r="O405" i="8"/>
  <c r="O406" i="8"/>
  <c r="O407"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43" i="8"/>
  <c r="O144" i="8"/>
  <c r="O145" i="8"/>
  <c r="O146" i="8"/>
  <c r="O147" i="8"/>
  <c r="O148" i="8"/>
  <c r="O149" i="8"/>
  <c r="O150" i="8"/>
  <c r="O151" i="8"/>
  <c r="O152" i="8"/>
  <c r="O153" i="8"/>
  <c r="O154"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B361" i="8"/>
  <c r="A361" i="8"/>
  <c r="B360" i="8"/>
  <c r="A360" i="8"/>
  <c r="B359" i="8"/>
  <c r="A359" i="8"/>
  <c r="B151" i="8"/>
  <c r="A151" i="8"/>
  <c r="B150" i="8"/>
  <c r="A150" i="8"/>
  <c r="B149" i="8"/>
  <c r="A149" i="8"/>
  <c r="B148" i="8"/>
  <c r="A148" i="8"/>
  <c r="B132" i="8"/>
  <c r="A132" i="8"/>
  <c r="B89" i="16" s="1"/>
  <c r="B131" i="8"/>
  <c r="A131" i="8"/>
  <c r="B130" i="8"/>
  <c r="A130" i="8"/>
  <c r="B129" i="8"/>
  <c r="A129" i="8"/>
  <c r="B125" i="8"/>
  <c r="A125" i="8"/>
  <c r="B124" i="8"/>
  <c r="A124" i="8"/>
  <c r="B123" i="8"/>
  <c r="A123" i="8"/>
  <c r="B122" i="8"/>
  <c r="A122" i="8"/>
  <c r="B117" i="8"/>
  <c r="A117" i="8"/>
  <c r="B116" i="8"/>
  <c r="A116" i="8"/>
  <c r="B115" i="8"/>
  <c r="A115" i="8"/>
  <c r="B114" i="8"/>
  <c r="A114" i="8"/>
  <c r="B110" i="8"/>
  <c r="A110" i="8"/>
  <c r="B109" i="8"/>
  <c r="A109" i="8"/>
  <c r="B108" i="8"/>
  <c r="A108" i="8"/>
  <c r="B107" i="8"/>
  <c r="A107" i="8"/>
  <c r="B101" i="8"/>
  <c r="A101" i="8"/>
  <c r="B100" i="8"/>
  <c r="A100" i="8"/>
  <c r="B99" i="8"/>
  <c r="A99" i="8"/>
  <c r="B98" i="8"/>
  <c r="A98" i="8"/>
  <c r="B95" i="8"/>
  <c r="A95" i="8"/>
  <c r="B94" i="8"/>
  <c r="A94" i="8"/>
  <c r="B93" i="8"/>
  <c r="A93" i="8"/>
  <c r="B92" i="8"/>
  <c r="A92" i="8"/>
  <c r="B91" i="8"/>
  <c r="A91" i="8"/>
  <c r="B88" i="8"/>
  <c r="A88" i="8"/>
  <c r="B87" i="8"/>
  <c r="A87" i="8"/>
  <c r="B86" i="8"/>
  <c r="A86" i="8"/>
  <c r="B85" i="8"/>
  <c r="A85" i="8"/>
  <c r="B76" i="8"/>
  <c r="A76" i="8"/>
  <c r="B75" i="8"/>
  <c r="A75" i="8"/>
  <c r="B74" i="8"/>
  <c r="A74" i="8"/>
  <c r="B73" i="8"/>
  <c r="A73" i="8"/>
  <c r="B70" i="8"/>
  <c r="A70" i="8"/>
  <c r="B69" i="8"/>
  <c r="A69" i="8"/>
  <c r="B68" i="8"/>
  <c r="A68" i="8"/>
  <c r="B67" i="8"/>
  <c r="A67" i="8"/>
  <c r="C8" i="19"/>
  <c r="D8" i="19"/>
  <c r="E8" i="19"/>
  <c r="F8" i="19"/>
  <c r="G8" i="19"/>
  <c r="C9" i="19"/>
  <c r="D9" i="19"/>
  <c r="E9" i="19"/>
  <c r="F9" i="19"/>
  <c r="G9" i="19"/>
  <c r="C10" i="19"/>
  <c r="D10" i="19"/>
  <c r="E10" i="19"/>
  <c r="F10" i="19"/>
  <c r="G10" i="19"/>
  <c r="C11" i="19"/>
  <c r="D11" i="19"/>
  <c r="E11" i="19"/>
  <c r="F11" i="19"/>
  <c r="G11" i="19"/>
  <c r="C12" i="19"/>
  <c r="D12" i="19"/>
  <c r="E12" i="19"/>
  <c r="F12" i="19"/>
  <c r="G12" i="19"/>
  <c r="C26" i="19"/>
  <c r="D26" i="19"/>
  <c r="E26" i="19"/>
  <c r="F26" i="19"/>
  <c r="G26" i="19"/>
  <c r="C27" i="19"/>
  <c r="D27" i="19"/>
  <c r="E27" i="19"/>
  <c r="F27" i="19"/>
  <c r="G27" i="19"/>
  <c r="C28" i="19"/>
  <c r="D28" i="19"/>
  <c r="E28" i="19"/>
  <c r="F28" i="19"/>
  <c r="G28" i="19"/>
  <c r="C29" i="19"/>
  <c r="D29" i="19"/>
  <c r="E29" i="19"/>
  <c r="F29" i="19"/>
  <c r="G29" i="19"/>
  <c r="C30" i="19"/>
  <c r="D30" i="19"/>
  <c r="E30" i="19"/>
  <c r="F30" i="19"/>
  <c r="G30" i="19"/>
  <c r="C31" i="19"/>
  <c r="D31" i="19"/>
  <c r="E31" i="19"/>
  <c r="F31" i="19"/>
  <c r="G31" i="19"/>
  <c r="C32" i="19"/>
  <c r="D32" i="19"/>
  <c r="E32" i="19"/>
  <c r="F32" i="19"/>
  <c r="G32" i="19"/>
  <c r="C33" i="19"/>
  <c r="D33" i="19"/>
  <c r="E33" i="19"/>
  <c r="F33" i="19"/>
  <c r="G33" i="19"/>
  <c r="C34" i="19"/>
  <c r="D34" i="19"/>
  <c r="E34" i="19"/>
  <c r="F34" i="19"/>
  <c r="G34" i="19"/>
  <c r="B63" i="8"/>
  <c r="A63" i="8"/>
  <c r="B62" i="8"/>
  <c r="A62" i="8"/>
  <c r="B61" i="8"/>
  <c r="A61" i="8"/>
  <c r="B60" i="8"/>
  <c r="A60" i="8"/>
  <c r="B59" i="8"/>
  <c r="A59" i="8"/>
  <c r="B55" i="8"/>
  <c r="A55" i="8"/>
  <c r="B54" i="8"/>
  <c r="A54" i="8"/>
  <c r="B53" i="8"/>
  <c r="A53" i="8"/>
  <c r="B52" i="8"/>
  <c r="A52" i="8"/>
  <c r="B49" i="8"/>
  <c r="A49" i="8"/>
  <c r="B48" i="8"/>
  <c r="A48" i="8"/>
  <c r="B47" i="8"/>
  <c r="A47" i="8"/>
  <c r="B46" i="8"/>
  <c r="A46" i="8"/>
  <c r="B42" i="8"/>
  <c r="A42" i="8"/>
  <c r="B41" i="8"/>
  <c r="A41" i="8"/>
  <c r="B40" i="8"/>
  <c r="A40" i="8"/>
  <c r="B39" i="8"/>
  <c r="A39" i="8"/>
  <c r="B35" i="8"/>
  <c r="A35" i="8"/>
  <c r="B34" i="8"/>
  <c r="A34" i="8"/>
  <c r="B33" i="8"/>
  <c r="A33" i="8"/>
  <c r="B32" i="8"/>
  <c r="A32" i="8"/>
  <c r="B27" i="8"/>
  <c r="A27" i="8"/>
  <c r="B26" i="8"/>
  <c r="A26" i="8"/>
  <c r="B25" i="8"/>
  <c r="A25" i="8"/>
  <c r="B24" i="8"/>
  <c r="A24" i="8"/>
  <c r="B17" i="8"/>
  <c r="B18" i="8"/>
  <c r="B19" i="8"/>
  <c r="B20" i="8"/>
  <c r="B21" i="8"/>
  <c r="B22" i="8"/>
  <c r="B23" i="8"/>
  <c r="B28" i="8"/>
  <c r="B29" i="8"/>
  <c r="B30" i="8"/>
  <c r="B31" i="8"/>
  <c r="B36" i="8"/>
  <c r="B37" i="8"/>
  <c r="B38" i="8"/>
  <c r="B43" i="8"/>
  <c r="B44" i="8"/>
  <c r="B45" i="8"/>
  <c r="B50" i="8"/>
  <c r="B51" i="8"/>
  <c r="B56" i="8"/>
  <c r="B57" i="8"/>
  <c r="B58" i="8"/>
  <c r="B64" i="8"/>
  <c r="B65" i="8"/>
  <c r="B66" i="8"/>
  <c r="B71" i="8"/>
  <c r="B72" i="8"/>
  <c r="B77" i="8"/>
  <c r="B78" i="8"/>
  <c r="B79" i="8"/>
  <c r="B80" i="8"/>
  <c r="B81" i="8"/>
  <c r="B82" i="8"/>
  <c r="B83" i="8"/>
  <c r="B84" i="8"/>
  <c r="B89" i="8"/>
  <c r="B90" i="8"/>
  <c r="B96" i="8"/>
  <c r="B97" i="8"/>
  <c r="B102" i="8"/>
  <c r="B103" i="8"/>
  <c r="B104" i="8"/>
  <c r="B105" i="8"/>
  <c r="B106" i="8"/>
  <c r="B111" i="8"/>
  <c r="B112" i="8"/>
  <c r="B113" i="8"/>
  <c r="B118" i="8"/>
  <c r="B119" i="8"/>
  <c r="B120" i="8"/>
  <c r="B121" i="8"/>
  <c r="B126" i="8"/>
  <c r="B127" i="8"/>
  <c r="B128" i="8"/>
  <c r="B133" i="8"/>
  <c r="B134" i="8"/>
  <c r="B135" i="8"/>
  <c r="B136" i="8"/>
  <c r="B137" i="8"/>
  <c r="B143" i="8"/>
  <c r="B144" i="8"/>
  <c r="B145" i="8"/>
  <c r="B146" i="8"/>
  <c r="B147" i="8"/>
  <c r="B152" i="8"/>
  <c r="B153" i="8"/>
  <c r="B154" i="8"/>
  <c r="B160" i="8"/>
  <c r="B161" i="8"/>
  <c r="B162" i="8"/>
  <c r="B163" i="8"/>
  <c r="B164" i="8"/>
  <c r="B165" i="8"/>
  <c r="B166" i="8"/>
  <c r="B167" i="8"/>
  <c r="B168" i="8"/>
  <c r="B169" i="8"/>
  <c r="B170" i="8"/>
  <c r="B171" i="8"/>
  <c r="B172" i="8"/>
  <c r="B173" i="8"/>
  <c r="B174" i="8"/>
  <c r="B175" i="8"/>
  <c r="B176" i="8"/>
  <c r="B177" i="8"/>
  <c r="B178" i="8"/>
  <c r="B183" i="8"/>
  <c r="B184" i="8"/>
  <c r="B189" i="8"/>
  <c r="B190" i="8"/>
  <c r="B191" i="8"/>
  <c r="B196" i="8"/>
  <c r="B197" i="8"/>
  <c r="B198" i="8"/>
  <c r="B202" i="8"/>
  <c r="B204" i="8"/>
  <c r="B205" i="8"/>
  <c r="B209" i="8"/>
  <c r="B211" i="8"/>
  <c r="B212" i="8"/>
  <c r="B214" i="8"/>
  <c r="B215" i="8"/>
  <c r="B220" i="8"/>
  <c r="B223" i="8"/>
  <c r="B224" i="8"/>
  <c r="B228" i="8"/>
  <c r="B230" i="8"/>
  <c r="B231" i="8"/>
  <c r="B233" i="8"/>
  <c r="B237" i="8"/>
  <c r="B238" i="8"/>
  <c r="B239" i="8"/>
  <c r="B244" i="8"/>
  <c r="B245" i="8"/>
  <c r="B246" i="8"/>
  <c r="B251" i="8"/>
  <c r="B252" i="8"/>
  <c r="B257" i="8"/>
  <c r="B258" i="8"/>
  <c r="B259" i="8"/>
  <c r="B264" i="8"/>
  <c r="B267" i="8"/>
  <c r="B268" i="8"/>
  <c r="B269" i="8"/>
  <c r="B274" i="8"/>
  <c r="B275" i="8"/>
  <c r="B276" i="8"/>
  <c r="B277" i="8"/>
  <c r="B282" i="8"/>
  <c r="B283" i="8"/>
  <c r="B284" i="8"/>
  <c r="B285" i="8"/>
  <c r="B290" i="8"/>
  <c r="B291" i="8"/>
  <c r="B292" i="8"/>
  <c r="B293" i="8"/>
  <c r="B294" i="8"/>
  <c r="B299" i="8"/>
  <c r="B300" i="8"/>
  <c r="B301" i="8"/>
  <c r="B306" i="8"/>
  <c r="B307" i="8"/>
  <c r="B308" i="8"/>
  <c r="B313" i="8"/>
  <c r="B314" i="8"/>
  <c r="B315" i="8"/>
  <c r="B320" i="8"/>
  <c r="B321" i="8"/>
  <c r="B322" i="8"/>
  <c r="B327" i="8"/>
  <c r="B328" i="8"/>
  <c r="B329" i="8"/>
  <c r="B334" i="8"/>
  <c r="B335" i="8"/>
  <c r="B336" i="8"/>
  <c r="B337" i="8"/>
  <c r="B338" i="8"/>
  <c r="B343" i="8"/>
  <c r="B346" i="8"/>
  <c r="B347" i="8"/>
  <c r="B352" i="8"/>
  <c r="B353" i="8"/>
  <c r="B354" i="8"/>
  <c r="B355" i="8"/>
  <c r="B356" i="8"/>
  <c r="B357" i="8"/>
  <c r="B358" i="8"/>
  <c r="B363" i="8"/>
  <c r="B365" i="8"/>
  <c r="B366" i="8"/>
  <c r="B367" i="8"/>
  <c r="B372" i="8"/>
  <c r="B373" i="8"/>
  <c r="B374" i="8"/>
  <c r="B375" i="8"/>
  <c r="B380" i="8"/>
  <c r="B381" i="8"/>
  <c r="B382" i="8"/>
  <c r="B383" i="8"/>
  <c r="B388" i="8"/>
  <c r="B389" i="8"/>
  <c r="B390" i="8"/>
  <c r="B391" i="8"/>
  <c r="B396" i="8"/>
  <c r="B397" i="8"/>
  <c r="B398" i="8"/>
  <c r="B399" i="8"/>
  <c r="B404" i="8"/>
  <c r="B405" i="8"/>
  <c r="B406" i="8"/>
  <c r="B407" i="8"/>
  <c r="B412" i="8"/>
  <c r="A22" i="8"/>
  <c r="A21" i="8"/>
  <c r="A20" i="8"/>
  <c r="A19" i="8"/>
  <c r="B5" i="8"/>
  <c r="B6" i="8"/>
  <c r="B7" i="8"/>
  <c r="B8" i="8"/>
  <c r="B9" i="8"/>
  <c r="B10" i="8"/>
  <c r="B11" i="8"/>
  <c r="B12" i="8"/>
  <c r="B13" i="8"/>
  <c r="B14" i="8"/>
  <c r="B15" i="8"/>
  <c r="B16" i="8"/>
  <c r="B4" i="8"/>
  <c r="A14" i="8"/>
  <c r="A15" i="8"/>
  <c r="A16" i="8"/>
  <c r="A13" i="8"/>
  <c r="A9" i="8"/>
  <c r="A8" i="8"/>
  <c r="A7" i="8"/>
  <c r="A6" i="8"/>
  <c r="B3" i="8"/>
  <c r="DA94" i="16"/>
  <c r="CH94" i="16"/>
  <c r="BO94" i="16"/>
  <c r="AV94" i="16"/>
  <c r="AC94" i="16"/>
  <c r="J94" i="16"/>
  <c r="A94" i="16"/>
  <c r="DA93" i="16"/>
  <c r="CH93" i="16"/>
  <c r="BO93" i="16"/>
  <c r="AV93" i="16"/>
  <c r="AC93" i="16"/>
  <c r="J93" i="16"/>
  <c r="A93" i="16"/>
  <c r="DA92" i="16"/>
  <c r="CH92" i="16"/>
  <c r="BO92" i="16"/>
  <c r="AV92" i="16"/>
  <c r="AC92" i="16"/>
  <c r="J92" i="16"/>
  <c r="A92" i="16"/>
  <c r="DA91" i="16"/>
  <c r="CH91" i="16"/>
  <c r="BO91" i="16"/>
  <c r="AV91" i="16"/>
  <c r="AC91" i="16"/>
  <c r="J91" i="16"/>
  <c r="A91" i="16"/>
  <c r="DA90" i="16"/>
  <c r="CH90" i="16"/>
  <c r="BO90" i="16"/>
  <c r="AV90" i="16"/>
  <c r="AC90" i="16"/>
  <c r="J90" i="16"/>
  <c r="A90" i="16"/>
  <c r="DA89" i="16"/>
  <c r="CH89" i="16"/>
  <c r="BO89" i="16"/>
  <c r="AV89" i="16"/>
  <c r="AC89" i="16"/>
  <c r="J89" i="16"/>
  <c r="A89" i="16"/>
  <c r="DA88" i="16"/>
  <c r="CH88" i="16"/>
  <c r="BO88" i="16"/>
  <c r="AV88" i="16"/>
  <c r="AC88" i="16"/>
  <c r="J88" i="16"/>
  <c r="A88" i="16"/>
  <c r="DA87" i="16"/>
  <c r="CH87" i="16"/>
  <c r="BO87" i="16"/>
  <c r="AV87" i="16"/>
  <c r="AC87" i="16"/>
  <c r="J87" i="16"/>
  <c r="A87" i="16"/>
  <c r="A338" i="8"/>
  <c r="B82" i="16" s="1"/>
  <c r="A336" i="8"/>
  <c r="B6" i="16" s="1"/>
  <c r="L16" i="16"/>
  <c r="DA40" i="16"/>
  <c r="CH40" i="16"/>
  <c r="BO40" i="16"/>
  <c r="AV40" i="16"/>
  <c r="AC40" i="16"/>
  <c r="J40" i="16"/>
  <c r="A40" i="16"/>
  <c r="DA39" i="16"/>
  <c r="CH39" i="16"/>
  <c r="BO39" i="16"/>
  <c r="AV39" i="16"/>
  <c r="AC39" i="16"/>
  <c r="J39" i="16"/>
  <c r="A39" i="16"/>
  <c r="DA38" i="16"/>
  <c r="CH38" i="16"/>
  <c r="BO38" i="16"/>
  <c r="AV38" i="16"/>
  <c r="AC38" i="16"/>
  <c r="J38" i="16"/>
  <c r="A38" i="16"/>
  <c r="DA203" i="16"/>
  <c r="CH203" i="16"/>
  <c r="BO203" i="16"/>
  <c r="AV203" i="16"/>
  <c r="AC203" i="16"/>
  <c r="J203" i="16"/>
  <c r="DA201" i="16"/>
  <c r="CH201" i="16"/>
  <c r="BO201" i="16"/>
  <c r="AV201" i="16"/>
  <c r="AC201" i="16"/>
  <c r="J201" i="16"/>
  <c r="A201" i="16"/>
  <c r="DA200" i="16"/>
  <c r="CH200" i="16"/>
  <c r="BO200" i="16"/>
  <c r="AV200" i="16"/>
  <c r="AC200" i="16"/>
  <c r="J200" i="16"/>
  <c r="A200" i="16"/>
  <c r="DA202" i="16"/>
  <c r="CH202" i="16"/>
  <c r="BO202" i="16"/>
  <c r="AV202" i="16"/>
  <c r="AC202" i="16"/>
  <c r="J202" i="16"/>
  <c r="A202" i="16"/>
  <c r="CH41" i="16"/>
  <c r="BO41" i="16"/>
  <c r="AV41" i="16"/>
  <c r="AC41" i="16"/>
  <c r="J41" i="16"/>
  <c r="B3" i="2"/>
  <c r="L150" i="16"/>
  <c r="A148" i="16"/>
  <c r="J148" i="16"/>
  <c r="AC148" i="16"/>
  <c r="AV148" i="16"/>
  <c r="BO148" i="16"/>
  <c r="CH148" i="16"/>
  <c r="DA148" i="16"/>
  <c r="A146" i="16"/>
  <c r="J146" i="16"/>
  <c r="AC146" i="16"/>
  <c r="AV146" i="16"/>
  <c r="BO146" i="16"/>
  <c r="CH146" i="16"/>
  <c r="DA146" i="16"/>
  <c r="A147" i="16"/>
  <c r="J147" i="16"/>
  <c r="AC147" i="16"/>
  <c r="AV147" i="16"/>
  <c r="BO147" i="16"/>
  <c r="CH147" i="16"/>
  <c r="DA147" i="16"/>
  <c r="DA85" i="16"/>
  <c r="CH85" i="16"/>
  <c r="BO85" i="16"/>
  <c r="AV85" i="16"/>
  <c r="AC85" i="16"/>
  <c r="J85" i="16"/>
  <c r="A85" i="16"/>
  <c r="DA84" i="16"/>
  <c r="CH84" i="16"/>
  <c r="BO84" i="16"/>
  <c r="AV84" i="16"/>
  <c r="AC84" i="16"/>
  <c r="J84" i="16"/>
  <c r="A84" i="16"/>
  <c r="A343" i="8"/>
  <c r="A75" i="16"/>
  <c r="J75" i="16"/>
  <c r="AC75" i="16"/>
  <c r="AV75" i="16"/>
  <c r="BO75" i="16"/>
  <c r="CH75" i="16"/>
  <c r="DA75" i="16"/>
  <c r="A76" i="16"/>
  <c r="J76" i="16"/>
  <c r="AC76" i="16"/>
  <c r="AV76" i="16"/>
  <c r="BO76" i="16"/>
  <c r="CH76" i="16"/>
  <c r="DA76" i="16"/>
  <c r="DA77" i="16"/>
  <c r="CH77" i="16"/>
  <c r="BO77" i="16"/>
  <c r="AV77" i="16"/>
  <c r="AC77" i="16"/>
  <c r="J77" i="16"/>
  <c r="A77" i="16"/>
  <c r="DA174" i="16"/>
  <c r="CH174" i="16"/>
  <c r="BO174" i="16"/>
  <c r="AV174" i="16"/>
  <c r="AC174" i="16"/>
  <c r="J174" i="16"/>
  <c r="A174" i="16"/>
  <c r="DA78" i="16"/>
  <c r="CH78" i="16"/>
  <c r="BO78" i="16"/>
  <c r="AV78" i="16"/>
  <c r="AC78" i="16"/>
  <c r="J78" i="16"/>
  <c r="A78" i="16"/>
  <c r="DA74" i="16"/>
  <c r="CH74" i="16"/>
  <c r="BO74" i="16"/>
  <c r="AV74" i="16"/>
  <c r="AC74" i="16"/>
  <c r="J74" i="16"/>
  <c r="A74" i="16"/>
  <c r="A41" i="16"/>
  <c r="A34" i="16"/>
  <c r="J34" i="16"/>
  <c r="AC34" i="16"/>
  <c r="AV34" i="16"/>
  <c r="BO34" i="16"/>
  <c r="CH34" i="16"/>
  <c r="DA34" i="16"/>
  <c r="A35" i="16"/>
  <c r="J35" i="16"/>
  <c r="AC35" i="16"/>
  <c r="AV35" i="16"/>
  <c r="BO35" i="16"/>
  <c r="CH35" i="16"/>
  <c r="DA35" i="16"/>
  <c r="A36" i="16"/>
  <c r="J36" i="16"/>
  <c r="AC36" i="16"/>
  <c r="AV36" i="16"/>
  <c r="BO36" i="16"/>
  <c r="CH36" i="16"/>
  <c r="DA36" i="16"/>
  <c r="A37" i="16"/>
  <c r="J37" i="16"/>
  <c r="AC37" i="16"/>
  <c r="AV37" i="16"/>
  <c r="BO37" i="16"/>
  <c r="CH37" i="16"/>
  <c r="DA37" i="16"/>
  <c r="A29" i="16"/>
  <c r="J29" i="16"/>
  <c r="AC29" i="16"/>
  <c r="AV29" i="16"/>
  <c r="BO29" i="16"/>
  <c r="CH29" i="16"/>
  <c r="DA29" i="16"/>
  <c r="A30" i="16"/>
  <c r="J30" i="16"/>
  <c r="AC30" i="16"/>
  <c r="AV30" i="16"/>
  <c r="BO30" i="16"/>
  <c r="CH30" i="16"/>
  <c r="DA30" i="16"/>
  <c r="A31" i="16"/>
  <c r="J31" i="16"/>
  <c r="AC31" i="16"/>
  <c r="AV31" i="16"/>
  <c r="BO31" i="16"/>
  <c r="CH31" i="16"/>
  <c r="DA31" i="16"/>
  <c r="A32" i="16"/>
  <c r="J32" i="16"/>
  <c r="AC32" i="16"/>
  <c r="AV32" i="16"/>
  <c r="BO32" i="16"/>
  <c r="CH32" i="16"/>
  <c r="DA32" i="16"/>
  <c r="A33" i="16"/>
  <c r="J33" i="16"/>
  <c r="AC33" i="16"/>
  <c r="AV33" i="16"/>
  <c r="BO33" i="16"/>
  <c r="CH33" i="16"/>
  <c r="DA33" i="16"/>
  <c r="A23" i="16"/>
  <c r="A26" i="16"/>
  <c r="J26" i="16"/>
  <c r="AC26" i="16"/>
  <c r="AV26" i="16"/>
  <c r="BO26" i="16"/>
  <c r="CH26" i="16"/>
  <c r="DA26" i="16"/>
  <c r="A27" i="16"/>
  <c r="J27" i="16"/>
  <c r="AC27" i="16"/>
  <c r="AV27" i="16"/>
  <c r="BO27" i="16"/>
  <c r="CH27" i="16"/>
  <c r="DA27" i="16"/>
  <c r="A28" i="16"/>
  <c r="J28" i="16"/>
  <c r="AC28" i="16"/>
  <c r="AV28" i="16"/>
  <c r="BO28" i="16"/>
  <c r="CH28" i="16"/>
  <c r="DA28" i="16"/>
  <c r="DA25" i="16"/>
  <c r="CH25" i="16"/>
  <c r="BO25" i="16"/>
  <c r="AV25" i="16"/>
  <c r="AC25" i="16"/>
  <c r="J25" i="16"/>
  <c r="A25" i="16"/>
  <c r="DA24" i="16"/>
  <c r="CH24" i="16"/>
  <c r="BO24" i="16"/>
  <c r="AV24" i="16"/>
  <c r="AC24" i="16"/>
  <c r="J24" i="16"/>
  <c r="A24" i="16"/>
  <c r="DA23" i="16"/>
  <c r="CH23" i="16"/>
  <c r="BO23" i="16"/>
  <c r="AV23" i="16"/>
  <c r="AC23" i="16"/>
  <c r="J23" i="16"/>
  <c r="DA7" i="16"/>
  <c r="CH7" i="16"/>
  <c r="BO7" i="16"/>
  <c r="AV7" i="16"/>
  <c r="AC7" i="16"/>
  <c r="J7" i="16"/>
  <c r="A7" i="16"/>
  <c r="DA6" i="16"/>
  <c r="CH6" i="16"/>
  <c r="BO6" i="16"/>
  <c r="AV6" i="16"/>
  <c r="AC6" i="16"/>
  <c r="J6" i="16"/>
  <c r="A6" i="16"/>
  <c r="DA9" i="16"/>
  <c r="CH9" i="16"/>
  <c r="BO9" i="16"/>
  <c r="AV9" i="16"/>
  <c r="AC9" i="16"/>
  <c r="J9" i="16"/>
  <c r="A9" i="16"/>
  <c r="DA8" i="16"/>
  <c r="CH8" i="16"/>
  <c r="BO8" i="16"/>
  <c r="AV8" i="16"/>
  <c r="AC8" i="16"/>
  <c r="J8" i="16"/>
  <c r="A8" i="16"/>
  <c r="L4" i="16"/>
  <c r="A136" i="16"/>
  <c r="J136" i="16"/>
  <c r="AC136" i="16"/>
  <c r="AV136" i="16"/>
  <c r="BO136" i="16"/>
  <c r="CH136" i="16"/>
  <c r="DA136" i="16"/>
  <c r="A137" i="16"/>
  <c r="J137" i="16"/>
  <c r="AC137" i="16"/>
  <c r="AV137" i="16"/>
  <c r="BO137" i="16"/>
  <c r="CH137" i="16"/>
  <c r="DA137" i="16"/>
  <c r="A142" i="16"/>
  <c r="J142" i="16"/>
  <c r="AC142" i="16"/>
  <c r="AV142" i="16"/>
  <c r="BO142" i="16"/>
  <c r="CH142" i="16"/>
  <c r="DA142" i="16"/>
  <c r="A143" i="16"/>
  <c r="J143" i="16"/>
  <c r="AC143" i="16"/>
  <c r="AV143" i="16"/>
  <c r="BO143" i="16"/>
  <c r="CH143" i="16"/>
  <c r="DA143" i="16"/>
  <c r="A144" i="16"/>
  <c r="J144" i="16"/>
  <c r="AC144" i="16"/>
  <c r="AV144" i="16"/>
  <c r="BO144" i="16"/>
  <c r="CH144" i="16"/>
  <c r="DA144" i="16"/>
  <c r="A145" i="16"/>
  <c r="J145" i="16"/>
  <c r="AC145" i="16"/>
  <c r="AV145" i="16"/>
  <c r="BO145" i="16"/>
  <c r="CH145" i="16"/>
  <c r="DA145" i="16"/>
  <c r="DA63" i="16"/>
  <c r="CH63" i="16"/>
  <c r="BO63" i="16"/>
  <c r="AV63" i="16"/>
  <c r="AC63" i="16"/>
  <c r="J63" i="16"/>
  <c r="A63" i="16"/>
  <c r="DA55" i="16"/>
  <c r="CH55" i="16"/>
  <c r="BO55" i="16"/>
  <c r="AV55" i="16"/>
  <c r="AC55" i="16"/>
  <c r="J55" i="16"/>
  <c r="A55" i="16"/>
  <c r="DA58" i="16"/>
  <c r="CH58" i="16"/>
  <c r="BO58" i="16"/>
  <c r="AV58" i="16"/>
  <c r="AC58" i="16"/>
  <c r="J58" i="16"/>
  <c r="A58" i="16"/>
  <c r="DA162" i="16"/>
  <c r="CH162" i="16"/>
  <c r="BO162" i="16"/>
  <c r="AV162" i="16"/>
  <c r="AC162" i="16"/>
  <c r="J162" i="16"/>
  <c r="A162" i="16"/>
  <c r="A157" i="16"/>
  <c r="J157" i="16"/>
  <c r="AC157" i="16"/>
  <c r="AV157" i="16"/>
  <c r="BO157" i="16"/>
  <c r="CH157" i="16"/>
  <c r="DA157" i="16"/>
  <c r="A158" i="16"/>
  <c r="J158" i="16"/>
  <c r="AC158" i="16"/>
  <c r="AV158" i="16"/>
  <c r="BO158" i="16"/>
  <c r="CH158" i="16"/>
  <c r="DA158" i="16"/>
  <c r="A159" i="16"/>
  <c r="J159" i="16"/>
  <c r="AC159" i="16"/>
  <c r="AV159" i="16"/>
  <c r="BO159" i="16"/>
  <c r="CH159" i="16"/>
  <c r="DA159" i="16"/>
  <c r="A160" i="16"/>
  <c r="J160" i="16"/>
  <c r="AC160" i="16"/>
  <c r="AV160" i="16"/>
  <c r="BO160" i="16"/>
  <c r="CH160" i="16"/>
  <c r="DA160" i="16"/>
  <c r="DA51" i="16"/>
  <c r="CH51" i="16"/>
  <c r="BO51" i="16"/>
  <c r="AV51" i="16"/>
  <c r="AC51" i="16"/>
  <c r="J51" i="16"/>
  <c r="A51" i="16"/>
  <c r="DA50" i="16"/>
  <c r="CH50" i="16"/>
  <c r="BO50" i="16"/>
  <c r="AV50" i="16"/>
  <c r="AC50" i="16"/>
  <c r="J50" i="16"/>
  <c r="A50" i="16"/>
  <c r="DA49" i="16"/>
  <c r="CH49" i="16"/>
  <c r="BO49" i="16"/>
  <c r="AV49" i="16"/>
  <c r="AC49" i="16"/>
  <c r="J49" i="16"/>
  <c r="A49" i="16"/>
  <c r="A128" i="16"/>
  <c r="J128" i="16"/>
  <c r="AC128" i="16"/>
  <c r="AV128" i="16"/>
  <c r="BO128" i="16"/>
  <c r="CH128" i="16"/>
  <c r="DA128" i="16"/>
  <c r="A129" i="16"/>
  <c r="J129" i="16"/>
  <c r="AC129" i="16"/>
  <c r="AV129" i="16"/>
  <c r="BO129" i="16"/>
  <c r="CH129" i="16"/>
  <c r="DA129" i="16"/>
  <c r="A130" i="16"/>
  <c r="J130" i="16"/>
  <c r="AC130" i="16"/>
  <c r="AV130" i="16"/>
  <c r="BO130" i="16"/>
  <c r="CH130" i="16"/>
  <c r="DA130" i="16"/>
  <c r="A131" i="16"/>
  <c r="J131" i="16"/>
  <c r="AC131" i="16"/>
  <c r="AV131" i="16"/>
  <c r="BO131" i="16"/>
  <c r="CH131" i="16"/>
  <c r="DA131" i="16"/>
  <c r="A132" i="16"/>
  <c r="J132" i="16"/>
  <c r="AC132" i="16"/>
  <c r="AV132" i="16"/>
  <c r="BO132" i="16"/>
  <c r="CH132" i="16"/>
  <c r="DA132" i="16"/>
  <c r="A133" i="16"/>
  <c r="J133" i="16"/>
  <c r="AC133" i="16"/>
  <c r="AV133" i="16"/>
  <c r="BO133" i="16"/>
  <c r="CH133" i="16"/>
  <c r="DA133" i="16"/>
  <c r="A134" i="16"/>
  <c r="J134" i="16"/>
  <c r="AC134" i="16"/>
  <c r="AV134" i="16"/>
  <c r="BO134" i="16"/>
  <c r="CH134" i="16"/>
  <c r="DA134" i="16"/>
  <c r="A135" i="16"/>
  <c r="J135" i="16"/>
  <c r="AC135" i="16"/>
  <c r="AV135" i="16"/>
  <c r="BO135" i="16"/>
  <c r="CH135" i="16"/>
  <c r="DA135" i="16"/>
  <c r="DA127" i="16"/>
  <c r="CH127" i="16"/>
  <c r="BO127" i="16"/>
  <c r="AV127" i="16"/>
  <c r="AC127" i="16"/>
  <c r="J127" i="16"/>
  <c r="A127" i="16"/>
  <c r="DA126" i="16"/>
  <c r="CH126" i="16"/>
  <c r="BO126" i="16"/>
  <c r="AV126" i="16"/>
  <c r="AC126" i="16"/>
  <c r="J126" i="16"/>
  <c r="A126" i="16"/>
  <c r="DA125" i="16"/>
  <c r="CH125" i="16"/>
  <c r="BO125" i="16"/>
  <c r="AV125" i="16"/>
  <c r="AC125" i="16"/>
  <c r="J125" i="16"/>
  <c r="A125" i="16"/>
  <c r="DA124" i="16"/>
  <c r="CH124" i="16"/>
  <c r="BO124" i="16"/>
  <c r="AV124" i="16"/>
  <c r="AC124" i="16"/>
  <c r="J124" i="16"/>
  <c r="A124" i="16"/>
  <c r="DA156" i="16"/>
  <c r="CH156" i="16"/>
  <c r="BO156" i="16"/>
  <c r="AV156" i="16"/>
  <c r="AC156" i="16"/>
  <c r="J156" i="16"/>
  <c r="A156" i="16"/>
  <c r="DA155" i="16"/>
  <c r="CH155" i="16"/>
  <c r="BO155" i="16"/>
  <c r="AV155" i="16"/>
  <c r="AC155" i="16"/>
  <c r="J155" i="16"/>
  <c r="A155" i="16"/>
  <c r="DA195" i="16"/>
  <c r="CH195" i="16"/>
  <c r="BO195" i="16"/>
  <c r="AV195" i="16"/>
  <c r="AC195" i="16"/>
  <c r="J195" i="16"/>
  <c r="A195" i="16"/>
  <c r="DA194" i="16"/>
  <c r="CH194" i="16"/>
  <c r="BO194" i="16"/>
  <c r="AV194" i="16"/>
  <c r="AC194" i="16"/>
  <c r="J194" i="16"/>
  <c r="A194" i="16"/>
  <c r="DA193" i="16"/>
  <c r="CH193" i="16"/>
  <c r="BO193" i="16"/>
  <c r="AV193" i="16"/>
  <c r="AC193" i="16"/>
  <c r="J193" i="16"/>
  <c r="A193" i="16"/>
  <c r="DA192" i="16"/>
  <c r="CH192" i="16"/>
  <c r="BO192" i="16"/>
  <c r="AV192" i="16"/>
  <c r="AC192" i="16"/>
  <c r="J192" i="16"/>
  <c r="A192" i="16"/>
  <c r="DA191" i="16"/>
  <c r="CH191" i="16"/>
  <c r="BO191" i="16"/>
  <c r="AV191" i="16"/>
  <c r="AC191" i="16"/>
  <c r="J191" i="16"/>
  <c r="A191" i="16"/>
  <c r="DA190" i="16"/>
  <c r="CH190" i="16"/>
  <c r="BO190" i="16"/>
  <c r="AV190" i="16"/>
  <c r="AC190" i="16"/>
  <c r="J190" i="16"/>
  <c r="A190" i="16"/>
  <c r="DA189" i="16"/>
  <c r="CH189" i="16"/>
  <c r="BO189" i="16"/>
  <c r="AV189" i="16"/>
  <c r="AC189" i="16"/>
  <c r="J189" i="16"/>
  <c r="A189" i="16"/>
  <c r="DA188" i="16"/>
  <c r="CH188" i="16"/>
  <c r="BO188" i="16"/>
  <c r="AV188" i="16"/>
  <c r="AC188" i="16"/>
  <c r="J188" i="16"/>
  <c r="A188" i="16"/>
  <c r="DA187" i="16"/>
  <c r="CH187" i="16"/>
  <c r="BO187" i="16"/>
  <c r="AV187" i="16"/>
  <c r="AC187" i="16"/>
  <c r="J187" i="16"/>
  <c r="A187" i="16"/>
  <c r="DA186" i="16"/>
  <c r="CH186" i="16"/>
  <c r="BO186" i="16"/>
  <c r="AV186" i="16"/>
  <c r="AC186" i="16"/>
  <c r="J186" i="16"/>
  <c r="A186" i="16"/>
  <c r="A179" i="16"/>
  <c r="J179" i="16"/>
  <c r="AC179" i="16"/>
  <c r="AV179" i="16"/>
  <c r="BO179" i="16"/>
  <c r="CH179" i="16"/>
  <c r="DA179" i="16"/>
  <c r="A180" i="16"/>
  <c r="J180" i="16"/>
  <c r="AC180" i="16"/>
  <c r="AV180" i="16"/>
  <c r="BO180" i="16"/>
  <c r="CH180" i="16"/>
  <c r="DA180" i="16"/>
  <c r="A181" i="16"/>
  <c r="J181" i="16"/>
  <c r="AC181" i="16"/>
  <c r="AV181" i="16"/>
  <c r="BO181" i="16"/>
  <c r="CH181" i="16"/>
  <c r="DA181" i="16"/>
  <c r="A182" i="16"/>
  <c r="J182" i="16"/>
  <c r="AC182" i="16"/>
  <c r="AV182" i="16"/>
  <c r="BO182" i="16"/>
  <c r="CH182" i="16"/>
  <c r="DA182" i="16"/>
  <c r="A183" i="16"/>
  <c r="J183" i="16"/>
  <c r="AC183" i="16"/>
  <c r="AV183" i="16"/>
  <c r="BO183" i="16"/>
  <c r="CH183" i="16"/>
  <c r="DA183" i="16"/>
  <c r="A184" i="16"/>
  <c r="J184" i="16"/>
  <c r="AC184" i="16"/>
  <c r="AV184" i="16"/>
  <c r="BO184" i="16"/>
  <c r="CH184" i="16"/>
  <c r="DA184" i="16"/>
  <c r="DA197" i="16"/>
  <c r="CH197" i="16"/>
  <c r="BO197" i="16"/>
  <c r="AV197" i="16"/>
  <c r="AC197" i="16"/>
  <c r="J197" i="16"/>
  <c r="A197" i="16"/>
  <c r="DA196" i="16"/>
  <c r="CH196" i="16"/>
  <c r="BO196" i="16"/>
  <c r="AV196" i="16"/>
  <c r="AC196" i="16"/>
  <c r="J196" i="16"/>
  <c r="A196" i="16"/>
  <c r="DA185" i="16"/>
  <c r="CH185" i="16"/>
  <c r="BO185" i="16"/>
  <c r="AV185" i="16"/>
  <c r="AC185" i="16"/>
  <c r="J185" i="16"/>
  <c r="A185" i="16"/>
  <c r="DA199" i="16"/>
  <c r="CH199" i="16"/>
  <c r="BO199" i="16"/>
  <c r="AV199" i="16"/>
  <c r="AC199" i="16"/>
  <c r="J199" i="16"/>
  <c r="A199" i="16"/>
  <c r="A33" i="17"/>
  <c r="J33" i="17"/>
  <c r="AC33" i="17"/>
  <c r="A34" i="17"/>
  <c r="J34" i="17"/>
  <c r="AC34" i="17"/>
  <c r="A35" i="17"/>
  <c r="J35" i="17"/>
  <c r="AC35" i="17"/>
  <c r="A36" i="17"/>
  <c r="J36" i="17"/>
  <c r="AC36" i="17"/>
  <c r="A67" i="16"/>
  <c r="J67" i="16"/>
  <c r="AC67" i="16"/>
  <c r="AV67" i="16"/>
  <c r="BO67" i="16"/>
  <c r="CH67" i="16"/>
  <c r="DA67" i="16"/>
  <c r="A68" i="16"/>
  <c r="J68" i="16"/>
  <c r="AC68" i="16"/>
  <c r="AV68" i="16"/>
  <c r="BO68" i="16"/>
  <c r="CH68" i="16"/>
  <c r="DA68" i="16"/>
  <c r="A69" i="16"/>
  <c r="J69" i="16"/>
  <c r="AC69" i="16"/>
  <c r="AV69" i="16"/>
  <c r="BO69" i="16"/>
  <c r="CH69" i="16"/>
  <c r="DA69" i="16"/>
  <c r="A70" i="16"/>
  <c r="J70" i="16"/>
  <c r="AC70" i="16"/>
  <c r="AV70" i="16"/>
  <c r="BO70" i="16"/>
  <c r="CH70" i="16"/>
  <c r="DA70" i="16"/>
  <c r="A62" i="16"/>
  <c r="J62" i="16"/>
  <c r="AC62" i="16"/>
  <c r="AV62" i="16"/>
  <c r="BO62" i="16"/>
  <c r="CH62" i="16"/>
  <c r="DA62" i="16"/>
  <c r="A64" i="16"/>
  <c r="J64" i="16"/>
  <c r="AC64" i="16"/>
  <c r="AV64" i="16"/>
  <c r="BO64" i="16"/>
  <c r="CH64" i="16"/>
  <c r="DA64" i="16"/>
  <c r="A65" i="16"/>
  <c r="J65" i="16"/>
  <c r="AC65" i="16"/>
  <c r="AV65" i="16"/>
  <c r="BO65" i="16"/>
  <c r="CH65" i="16"/>
  <c r="DA65" i="16"/>
  <c r="A66" i="16"/>
  <c r="J66" i="16"/>
  <c r="AC66" i="16"/>
  <c r="AV66" i="16"/>
  <c r="BO66" i="16"/>
  <c r="CH66" i="16"/>
  <c r="DA66" i="16"/>
  <c r="DA61" i="16"/>
  <c r="CH61" i="16"/>
  <c r="BO61" i="16"/>
  <c r="AV61" i="16"/>
  <c r="AC61" i="16"/>
  <c r="J61" i="16"/>
  <c r="A61" i="16"/>
  <c r="DA60" i="16"/>
  <c r="CH60" i="16"/>
  <c r="BO60" i="16"/>
  <c r="AV60" i="16"/>
  <c r="AC60" i="16"/>
  <c r="J60" i="16"/>
  <c r="A60" i="16"/>
  <c r="DA59" i="16"/>
  <c r="CH59" i="16"/>
  <c r="BO59" i="16"/>
  <c r="AV59" i="16"/>
  <c r="AC59" i="16"/>
  <c r="J59" i="16"/>
  <c r="A59" i="16"/>
  <c r="DA57" i="16"/>
  <c r="CH57" i="16"/>
  <c r="BO57" i="16"/>
  <c r="AV57" i="16"/>
  <c r="AC57" i="16"/>
  <c r="J57" i="16"/>
  <c r="A57" i="16"/>
  <c r="DA72" i="16"/>
  <c r="CH72" i="16"/>
  <c r="BO72" i="16"/>
  <c r="AV72" i="16"/>
  <c r="AC72" i="16"/>
  <c r="J72" i="16"/>
  <c r="A72" i="16"/>
  <c r="DA71" i="16"/>
  <c r="CH71" i="16"/>
  <c r="BO71" i="16"/>
  <c r="AV71" i="16"/>
  <c r="AC71" i="16"/>
  <c r="J71" i="16"/>
  <c r="A71" i="16"/>
  <c r="DA73" i="16"/>
  <c r="CH73" i="16"/>
  <c r="BO73" i="16"/>
  <c r="AV73" i="16"/>
  <c r="AC73" i="16"/>
  <c r="J73" i="16"/>
  <c r="A73" i="16"/>
  <c r="DA53" i="16"/>
  <c r="CH53" i="16"/>
  <c r="BO53" i="16"/>
  <c r="AV53" i="16"/>
  <c r="AC53" i="16"/>
  <c r="J53" i="16"/>
  <c r="A53" i="16"/>
  <c r="DA52" i="16"/>
  <c r="CH52" i="16"/>
  <c r="BO52" i="16"/>
  <c r="AV52" i="16"/>
  <c r="AC52" i="16"/>
  <c r="J52" i="16"/>
  <c r="A52" i="16"/>
  <c r="DA48" i="16"/>
  <c r="CH48" i="16"/>
  <c r="BO48" i="16"/>
  <c r="AV48" i="16"/>
  <c r="AC48" i="16"/>
  <c r="J48" i="16"/>
  <c r="A48" i="16"/>
  <c r="CK3" i="16"/>
  <c r="CN3" i="16"/>
  <c r="CQ3" i="16"/>
  <c r="CT3" i="16"/>
  <c r="CW3" i="16"/>
  <c r="DD3" i="16"/>
  <c r="DG3" i="16"/>
  <c r="DJ3" i="16"/>
  <c r="DM3" i="16"/>
  <c r="DP3" i="16"/>
  <c r="CH4" i="16"/>
  <c r="CJ4" i="16"/>
  <c r="CK4" i="16"/>
  <c r="CM4" i="16"/>
  <c r="CN4" i="16"/>
  <c r="CP4" i="16"/>
  <c r="CQ4" i="16"/>
  <c r="CS4" i="16"/>
  <c r="CT4" i="16"/>
  <c r="CV4" i="16"/>
  <c r="CW4" i="16"/>
  <c r="CY4" i="16"/>
  <c r="DA4" i="16"/>
  <c r="DC4" i="16"/>
  <c r="DD4" i="16"/>
  <c r="DF4" i="16"/>
  <c r="DG4" i="16"/>
  <c r="DI4" i="16"/>
  <c r="DJ4" i="16"/>
  <c r="DL4" i="16"/>
  <c r="DM4" i="16"/>
  <c r="DO4" i="16"/>
  <c r="DP4" i="16"/>
  <c r="DR4" i="16"/>
  <c r="CH5" i="16"/>
  <c r="CK5" i="16"/>
  <c r="CN5" i="16"/>
  <c r="CQ5" i="16"/>
  <c r="CT5" i="16"/>
  <c r="CW5" i="16"/>
  <c r="DA5" i="16"/>
  <c r="DD5" i="16"/>
  <c r="DG5" i="16"/>
  <c r="DJ5" i="16"/>
  <c r="DM5" i="16"/>
  <c r="DP5" i="16"/>
  <c r="CH10" i="16"/>
  <c r="CK10" i="16"/>
  <c r="CN10" i="16"/>
  <c r="CQ10" i="16"/>
  <c r="CT10" i="16"/>
  <c r="CW10" i="16"/>
  <c r="DA10" i="16"/>
  <c r="DD10" i="16"/>
  <c r="DG10" i="16"/>
  <c r="DJ10" i="16"/>
  <c r="DM10" i="16"/>
  <c r="DP10" i="16"/>
  <c r="CH11" i="16"/>
  <c r="CK11" i="16"/>
  <c r="CN11" i="16"/>
  <c r="CQ11" i="16"/>
  <c r="CT11" i="16"/>
  <c r="CW11" i="16"/>
  <c r="DA11" i="16"/>
  <c r="DD11" i="16"/>
  <c r="DG11" i="16"/>
  <c r="DJ11" i="16"/>
  <c r="DM11" i="16"/>
  <c r="DP11" i="16"/>
  <c r="CH12" i="16"/>
  <c r="CK12" i="16"/>
  <c r="CN12" i="16"/>
  <c r="CQ12" i="16"/>
  <c r="CT12" i="16"/>
  <c r="CW12" i="16"/>
  <c r="DA12" i="16"/>
  <c r="DD12" i="16"/>
  <c r="DG12" i="16"/>
  <c r="DJ12" i="16"/>
  <c r="DM12" i="16"/>
  <c r="DP12" i="16"/>
  <c r="CH13" i="16"/>
  <c r="CK13" i="16"/>
  <c r="CN13" i="16"/>
  <c r="CQ13" i="16"/>
  <c r="CT13" i="16"/>
  <c r="CW13" i="16"/>
  <c r="DA13" i="16"/>
  <c r="DD13" i="16"/>
  <c r="DG13" i="16"/>
  <c r="DJ13" i="16"/>
  <c r="DM13" i="16"/>
  <c r="DP13" i="16"/>
  <c r="CH14" i="16"/>
  <c r="CK14" i="16"/>
  <c r="CN14" i="16"/>
  <c r="CQ14" i="16"/>
  <c r="CT14" i="16"/>
  <c r="CW14" i="16"/>
  <c r="DA14" i="16"/>
  <c r="DD14" i="16"/>
  <c r="DG14" i="16"/>
  <c r="DJ14" i="16"/>
  <c r="DM14" i="16"/>
  <c r="DP14" i="16"/>
  <c r="CH15" i="16"/>
  <c r="CK15" i="16"/>
  <c r="CN15" i="16"/>
  <c r="CQ15" i="16"/>
  <c r="CT15" i="16"/>
  <c r="CW15" i="16"/>
  <c r="DA15" i="16"/>
  <c r="DD15" i="16"/>
  <c r="DG15" i="16"/>
  <c r="DJ15" i="16"/>
  <c r="DM15" i="16"/>
  <c r="DP15" i="16"/>
  <c r="CH16" i="16"/>
  <c r="CJ16" i="16"/>
  <c r="CK16" i="16"/>
  <c r="CM16" i="16"/>
  <c r="CN16" i="16"/>
  <c r="CP16" i="16"/>
  <c r="CQ16" i="16"/>
  <c r="CS16" i="16"/>
  <c r="CT16" i="16"/>
  <c r="CV16" i="16"/>
  <c r="CW16" i="16"/>
  <c r="CY16" i="16"/>
  <c r="DA16" i="16"/>
  <c r="DC16" i="16"/>
  <c r="DD16" i="16"/>
  <c r="DF16" i="16"/>
  <c r="DG16" i="16"/>
  <c r="DI16" i="16"/>
  <c r="DJ16" i="16"/>
  <c r="DL16" i="16"/>
  <c r="DM16" i="16"/>
  <c r="DO16" i="16"/>
  <c r="DP16" i="16"/>
  <c r="DR16" i="16"/>
  <c r="CH17" i="16"/>
  <c r="CK17" i="16"/>
  <c r="CN17" i="16"/>
  <c r="CQ17" i="16"/>
  <c r="CT17" i="16"/>
  <c r="CW17" i="16"/>
  <c r="DA17" i="16"/>
  <c r="DD17" i="16"/>
  <c r="DG17" i="16"/>
  <c r="DJ17" i="16"/>
  <c r="DM17" i="16"/>
  <c r="DP17" i="16"/>
  <c r="CH18" i="16"/>
  <c r="CK18" i="16"/>
  <c r="CN18" i="16"/>
  <c r="CQ18" i="16"/>
  <c r="CT18" i="16"/>
  <c r="CW18" i="16"/>
  <c r="DA18" i="16"/>
  <c r="DD18" i="16"/>
  <c r="DG18" i="16"/>
  <c r="DJ18" i="16"/>
  <c r="DM18" i="16"/>
  <c r="DP18" i="16"/>
  <c r="CH19" i="16"/>
  <c r="CK19" i="16"/>
  <c r="CN19" i="16"/>
  <c r="CQ19" i="16"/>
  <c r="CT19" i="16"/>
  <c r="CW19" i="16"/>
  <c r="DA19" i="16"/>
  <c r="DD19" i="16"/>
  <c r="DG19" i="16"/>
  <c r="DJ19" i="16"/>
  <c r="DM19" i="16"/>
  <c r="DP19" i="16"/>
  <c r="CH20" i="16"/>
  <c r="CK20" i="16"/>
  <c r="CN20" i="16"/>
  <c r="CQ20" i="16"/>
  <c r="CT20" i="16"/>
  <c r="CW20" i="16"/>
  <c r="DA20" i="16"/>
  <c r="DD20" i="16"/>
  <c r="DG20" i="16"/>
  <c r="DJ20" i="16"/>
  <c r="DM20" i="16"/>
  <c r="DP20" i="16"/>
  <c r="CH21" i="16"/>
  <c r="CK21" i="16"/>
  <c r="CN21" i="16"/>
  <c r="CQ21" i="16"/>
  <c r="CT21" i="16"/>
  <c r="CW21" i="16"/>
  <c r="DA21" i="16"/>
  <c r="DD21" i="16"/>
  <c r="DG21" i="16"/>
  <c r="DJ21" i="16"/>
  <c r="DM21" i="16"/>
  <c r="DP21" i="16"/>
  <c r="CH22" i="16"/>
  <c r="CK22" i="16"/>
  <c r="CN22" i="16"/>
  <c r="CQ22" i="16"/>
  <c r="CT22" i="16"/>
  <c r="CW22" i="16"/>
  <c r="DA22" i="16"/>
  <c r="DD22" i="16"/>
  <c r="DG22" i="16"/>
  <c r="DJ22" i="16"/>
  <c r="DM22" i="16"/>
  <c r="DP22" i="16"/>
  <c r="CH42" i="16"/>
  <c r="CJ42" i="16"/>
  <c r="CK42" i="16"/>
  <c r="CM42" i="16"/>
  <c r="CN42" i="16"/>
  <c r="CP42" i="16"/>
  <c r="CQ42" i="16"/>
  <c r="CS42" i="16"/>
  <c r="CT42" i="16"/>
  <c r="CV42" i="16"/>
  <c r="CW42" i="16"/>
  <c r="CY42" i="16"/>
  <c r="DA42" i="16"/>
  <c r="DC42" i="16"/>
  <c r="DD42" i="16"/>
  <c r="DF42" i="16"/>
  <c r="DG42" i="16"/>
  <c r="DI42" i="16"/>
  <c r="DJ42" i="16"/>
  <c r="DL42" i="16"/>
  <c r="DM42" i="16"/>
  <c r="DO42" i="16"/>
  <c r="DP42" i="16"/>
  <c r="DR42" i="16"/>
  <c r="CH43" i="16"/>
  <c r="CK43" i="16"/>
  <c r="CN43" i="16"/>
  <c r="CQ43" i="16"/>
  <c r="CT43" i="16"/>
  <c r="CW43" i="16"/>
  <c r="DA43" i="16"/>
  <c r="DD43" i="16"/>
  <c r="DG43" i="16"/>
  <c r="DJ43" i="16"/>
  <c r="DM43" i="16"/>
  <c r="DP43" i="16"/>
  <c r="CH44" i="16"/>
  <c r="CK44" i="16"/>
  <c r="CN44" i="16"/>
  <c r="CQ44" i="16"/>
  <c r="CT44" i="16"/>
  <c r="CW44" i="16"/>
  <c r="DA44" i="16"/>
  <c r="DD44" i="16"/>
  <c r="DG44" i="16"/>
  <c r="DJ44" i="16"/>
  <c r="DM44" i="16"/>
  <c r="DP44" i="16"/>
  <c r="CH45" i="16"/>
  <c r="CK45" i="16"/>
  <c r="CN45" i="16"/>
  <c r="CQ45" i="16"/>
  <c r="CT45" i="16"/>
  <c r="CW45" i="16"/>
  <c r="DA45" i="16"/>
  <c r="DD45" i="16"/>
  <c r="DG45" i="16"/>
  <c r="DJ45" i="16"/>
  <c r="DM45" i="16"/>
  <c r="DP45" i="16"/>
  <c r="CH46" i="16"/>
  <c r="CK46" i="16"/>
  <c r="CN46" i="16"/>
  <c r="CQ46" i="16"/>
  <c r="CT46" i="16"/>
  <c r="CW46" i="16"/>
  <c r="DA46" i="16"/>
  <c r="DD46" i="16"/>
  <c r="DG46" i="16"/>
  <c r="DJ46" i="16"/>
  <c r="DM46" i="16"/>
  <c r="DP46" i="16"/>
  <c r="CH47" i="16"/>
  <c r="CK47" i="16"/>
  <c r="CN47" i="16"/>
  <c r="CQ47" i="16"/>
  <c r="CT47" i="16"/>
  <c r="CW47" i="16"/>
  <c r="DA47" i="16"/>
  <c r="DD47" i="16"/>
  <c r="DG47" i="16"/>
  <c r="DJ47" i="16"/>
  <c r="DM47" i="16"/>
  <c r="DP47" i="16"/>
  <c r="CH54" i="16"/>
  <c r="CK54" i="16"/>
  <c r="CN54" i="16"/>
  <c r="CQ54" i="16"/>
  <c r="CT54" i="16"/>
  <c r="CW54" i="16"/>
  <c r="DA54" i="16"/>
  <c r="DD54" i="16"/>
  <c r="DG54" i="16"/>
  <c r="DJ54" i="16"/>
  <c r="DM54" i="16"/>
  <c r="DP54" i="16"/>
  <c r="CH56" i="16"/>
  <c r="CK56" i="16"/>
  <c r="CN56" i="16"/>
  <c r="CQ56" i="16"/>
  <c r="CT56" i="16"/>
  <c r="CW56" i="16"/>
  <c r="DA56" i="16"/>
  <c r="DD56" i="16"/>
  <c r="DG56" i="16"/>
  <c r="DJ56" i="16"/>
  <c r="DM56" i="16"/>
  <c r="DP56" i="16"/>
  <c r="CH79" i="16"/>
  <c r="CK79" i="16"/>
  <c r="CN79" i="16"/>
  <c r="CQ79" i="16"/>
  <c r="CT79" i="16"/>
  <c r="CW79" i="16"/>
  <c r="DA79" i="16"/>
  <c r="DD79" i="16"/>
  <c r="DG79" i="16"/>
  <c r="DJ79" i="16"/>
  <c r="DM79" i="16"/>
  <c r="DP79" i="16"/>
  <c r="CH80" i="16"/>
  <c r="CJ80" i="16"/>
  <c r="CK80" i="16"/>
  <c r="CM80" i="16"/>
  <c r="CN80" i="16"/>
  <c r="CP80" i="16"/>
  <c r="CQ80" i="16"/>
  <c r="CS80" i="16"/>
  <c r="CT80" i="16"/>
  <c r="CV80" i="16"/>
  <c r="CW80" i="16"/>
  <c r="CY80" i="16"/>
  <c r="DA80" i="16"/>
  <c r="DC80" i="16"/>
  <c r="DD80" i="16"/>
  <c r="DF80" i="16"/>
  <c r="DG80" i="16"/>
  <c r="DI80" i="16"/>
  <c r="DJ80" i="16"/>
  <c r="DL80" i="16"/>
  <c r="DM80" i="16"/>
  <c r="DO80" i="16"/>
  <c r="DP80" i="16"/>
  <c r="DR80" i="16"/>
  <c r="CH81" i="16"/>
  <c r="CK81" i="16"/>
  <c r="CN81" i="16"/>
  <c r="CQ81" i="16"/>
  <c r="CT81" i="16"/>
  <c r="CW81" i="16"/>
  <c r="DA81" i="16"/>
  <c r="DD81" i="16"/>
  <c r="DG81" i="16"/>
  <c r="DJ81" i="16"/>
  <c r="DM81" i="16"/>
  <c r="DP81" i="16"/>
  <c r="CH82" i="16"/>
  <c r="CK82" i="16"/>
  <c r="CN82" i="16"/>
  <c r="CQ82" i="16"/>
  <c r="CT82" i="16"/>
  <c r="CW82" i="16"/>
  <c r="DA82" i="16"/>
  <c r="DD82" i="16"/>
  <c r="DG82" i="16"/>
  <c r="DJ82" i="16"/>
  <c r="DM82" i="16"/>
  <c r="DP82" i="16"/>
  <c r="CH83" i="16"/>
  <c r="CK83" i="16"/>
  <c r="CN83" i="16"/>
  <c r="CQ83" i="16"/>
  <c r="CT83" i="16"/>
  <c r="CW83" i="16"/>
  <c r="DA83" i="16"/>
  <c r="DD83" i="16"/>
  <c r="DG83" i="16"/>
  <c r="DJ83" i="16"/>
  <c r="DM83" i="16"/>
  <c r="DP83" i="16"/>
  <c r="CH86" i="16"/>
  <c r="CK86" i="16"/>
  <c r="CN86" i="16"/>
  <c r="CQ86" i="16"/>
  <c r="CT86" i="16"/>
  <c r="CW86" i="16"/>
  <c r="DA86" i="16"/>
  <c r="DD86" i="16"/>
  <c r="DG86" i="16"/>
  <c r="DJ86" i="16"/>
  <c r="DM86" i="16"/>
  <c r="DP86" i="16"/>
  <c r="CH118" i="16"/>
  <c r="CK118" i="16"/>
  <c r="CN118" i="16"/>
  <c r="CQ118" i="16"/>
  <c r="CT118" i="16"/>
  <c r="CW118" i="16"/>
  <c r="DA118" i="16"/>
  <c r="DD118" i="16"/>
  <c r="DG118" i="16"/>
  <c r="DJ118" i="16"/>
  <c r="DM118" i="16"/>
  <c r="DP118" i="16"/>
  <c r="CH119" i="16"/>
  <c r="CK119" i="16"/>
  <c r="CN119" i="16"/>
  <c r="CQ119" i="16"/>
  <c r="CT119" i="16"/>
  <c r="CW119" i="16"/>
  <c r="DA119" i="16"/>
  <c r="DD119" i="16"/>
  <c r="DG119" i="16"/>
  <c r="DJ119" i="16"/>
  <c r="DM119" i="16"/>
  <c r="DP119" i="16"/>
  <c r="CH120" i="16"/>
  <c r="CK120" i="16"/>
  <c r="CN120" i="16"/>
  <c r="CQ120" i="16"/>
  <c r="CT120" i="16"/>
  <c r="CW120" i="16"/>
  <c r="DA120" i="16"/>
  <c r="DD120" i="16"/>
  <c r="DG120" i="16"/>
  <c r="DJ120" i="16"/>
  <c r="DM120" i="16"/>
  <c r="DP120" i="16"/>
  <c r="CH121" i="16"/>
  <c r="CK121" i="16"/>
  <c r="CN121" i="16"/>
  <c r="CQ121" i="16"/>
  <c r="CT121" i="16"/>
  <c r="CW121" i="16"/>
  <c r="DA121" i="16"/>
  <c r="DD121" i="16"/>
  <c r="DG121" i="16"/>
  <c r="DJ121" i="16"/>
  <c r="DM121" i="16"/>
  <c r="DP121" i="16"/>
  <c r="CH122" i="16"/>
  <c r="CK122" i="16"/>
  <c r="CN122" i="16"/>
  <c r="CQ122" i="16"/>
  <c r="CT122" i="16"/>
  <c r="CW122" i="16"/>
  <c r="DA122" i="16"/>
  <c r="DD122" i="16"/>
  <c r="DG122" i="16"/>
  <c r="DJ122" i="16"/>
  <c r="DM122" i="16"/>
  <c r="DP122" i="16"/>
  <c r="CH123" i="16"/>
  <c r="CK123" i="16"/>
  <c r="CN123" i="16"/>
  <c r="CQ123" i="16"/>
  <c r="CT123" i="16"/>
  <c r="CW123" i="16"/>
  <c r="DA123" i="16"/>
  <c r="DD123" i="16"/>
  <c r="DG123" i="16"/>
  <c r="DJ123" i="16"/>
  <c r="DM123" i="16"/>
  <c r="DP123" i="16"/>
  <c r="CH150" i="16"/>
  <c r="CJ150" i="16"/>
  <c r="CK150" i="16"/>
  <c r="CM150" i="16"/>
  <c r="CN150" i="16"/>
  <c r="CP150" i="16"/>
  <c r="CQ150" i="16"/>
  <c r="CS150" i="16"/>
  <c r="CT150" i="16"/>
  <c r="CV150" i="16"/>
  <c r="CW150" i="16"/>
  <c r="CY150" i="16"/>
  <c r="DA150" i="16"/>
  <c r="DC150" i="16"/>
  <c r="DD150" i="16"/>
  <c r="DF150" i="16"/>
  <c r="DG150" i="16"/>
  <c r="DI150" i="16"/>
  <c r="DJ150" i="16"/>
  <c r="DL150" i="16"/>
  <c r="DM150" i="16"/>
  <c r="DO150" i="16"/>
  <c r="DP150" i="16"/>
  <c r="DR150" i="16"/>
  <c r="CH151" i="16"/>
  <c r="CK151" i="16"/>
  <c r="CN151" i="16"/>
  <c r="CQ151" i="16"/>
  <c r="CT151" i="16"/>
  <c r="CW151" i="16"/>
  <c r="DA151" i="16"/>
  <c r="DD151" i="16"/>
  <c r="DG151" i="16"/>
  <c r="DJ151" i="16"/>
  <c r="DM151" i="16"/>
  <c r="DP151" i="16"/>
  <c r="CH152" i="16"/>
  <c r="CK152" i="16"/>
  <c r="CN152" i="16"/>
  <c r="CQ152" i="16"/>
  <c r="CT152" i="16"/>
  <c r="CW152" i="16"/>
  <c r="DA152" i="16"/>
  <c r="DD152" i="16"/>
  <c r="DG152" i="16"/>
  <c r="DJ152" i="16"/>
  <c r="DM152" i="16"/>
  <c r="DP152" i="16"/>
  <c r="CH153" i="16"/>
  <c r="CK153" i="16"/>
  <c r="CN153" i="16"/>
  <c r="CQ153" i="16"/>
  <c r="CT153" i="16"/>
  <c r="CW153" i="16"/>
  <c r="DA153" i="16"/>
  <c r="DD153" i="16"/>
  <c r="DG153" i="16"/>
  <c r="DJ153" i="16"/>
  <c r="DM153" i="16"/>
  <c r="DP153" i="16"/>
  <c r="CH154" i="16"/>
  <c r="CK154" i="16"/>
  <c r="CN154" i="16"/>
  <c r="CQ154" i="16"/>
  <c r="CT154" i="16"/>
  <c r="CW154" i="16"/>
  <c r="DA154" i="16"/>
  <c r="DD154" i="16"/>
  <c r="DG154" i="16"/>
  <c r="DJ154" i="16"/>
  <c r="DM154" i="16"/>
  <c r="DP154" i="16"/>
  <c r="CH161" i="16"/>
  <c r="CK161" i="16"/>
  <c r="CN161" i="16"/>
  <c r="CQ161" i="16"/>
  <c r="CT161" i="16"/>
  <c r="CW161" i="16"/>
  <c r="DA161" i="16"/>
  <c r="DD161" i="16"/>
  <c r="DG161" i="16"/>
  <c r="DJ161" i="16"/>
  <c r="DM161" i="16"/>
  <c r="DP161" i="16"/>
  <c r="CH175" i="16"/>
  <c r="CJ175" i="16"/>
  <c r="CK175" i="16"/>
  <c r="CM175" i="16"/>
  <c r="CN175" i="16"/>
  <c r="CP175" i="16"/>
  <c r="CQ175" i="16"/>
  <c r="CS175" i="16"/>
  <c r="CT175" i="16"/>
  <c r="CV175" i="16"/>
  <c r="CW175" i="16"/>
  <c r="CY175" i="16"/>
  <c r="DA175" i="16"/>
  <c r="DC175" i="16"/>
  <c r="DD175" i="16"/>
  <c r="DF175" i="16"/>
  <c r="DG175" i="16"/>
  <c r="DI175" i="16"/>
  <c r="DJ175" i="16"/>
  <c r="DL175" i="16"/>
  <c r="DM175" i="16"/>
  <c r="DO175" i="16"/>
  <c r="DP175" i="16"/>
  <c r="DR175" i="16"/>
  <c r="CH176" i="16"/>
  <c r="CK176" i="16"/>
  <c r="CN176" i="16"/>
  <c r="CQ176" i="16"/>
  <c r="CT176" i="16"/>
  <c r="CW176" i="16"/>
  <c r="DA176" i="16"/>
  <c r="DD176" i="16"/>
  <c r="DG176" i="16"/>
  <c r="DJ176" i="16"/>
  <c r="DM176" i="16"/>
  <c r="DP176" i="16"/>
  <c r="CH177" i="16"/>
  <c r="CK177" i="16"/>
  <c r="CN177" i="16"/>
  <c r="CQ177" i="16"/>
  <c r="CT177" i="16"/>
  <c r="CW177" i="16"/>
  <c r="DA177" i="16"/>
  <c r="DD177" i="16"/>
  <c r="DG177" i="16"/>
  <c r="DJ177" i="16"/>
  <c r="DM177" i="16"/>
  <c r="DP177" i="16"/>
  <c r="CH178" i="16"/>
  <c r="CK178" i="16"/>
  <c r="CN178" i="16"/>
  <c r="CQ178" i="16"/>
  <c r="CT178" i="16"/>
  <c r="CW178" i="16"/>
  <c r="DA178" i="16"/>
  <c r="DD178" i="16"/>
  <c r="DG178" i="16"/>
  <c r="DJ178" i="16"/>
  <c r="DM178" i="16"/>
  <c r="DP178" i="16"/>
  <c r="CH198" i="16"/>
  <c r="CK198" i="16"/>
  <c r="CN198" i="16"/>
  <c r="CQ198" i="16"/>
  <c r="CT198" i="16"/>
  <c r="CW198" i="16"/>
  <c r="DA198" i="16"/>
  <c r="DD198" i="16"/>
  <c r="DG198" i="16"/>
  <c r="DJ198" i="16"/>
  <c r="DM198" i="16"/>
  <c r="DP198" i="16"/>
  <c r="AY3" i="16"/>
  <c r="BB3" i="16"/>
  <c r="BE3" i="16"/>
  <c r="BH3" i="16"/>
  <c r="BK3" i="16"/>
  <c r="BR3" i="16"/>
  <c r="BU3" i="16"/>
  <c r="BX3" i="16"/>
  <c r="CA3" i="16"/>
  <c r="CD3" i="16"/>
  <c r="AV4" i="16"/>
  <c r="AX4" i="16"/>
  <c r="AY4" i="16"/>
  <c r="BA4" i="16"/>
  <c r="BB4" i="16"/>
  <c r="BD4" i="16"/>
  <c r="BE4" i="16"/>
  <c r="BG4" i="16"/>
  <c r="BH4" i="16"/>
  <c r="BJ4" i="16"/>
  <c r="BK4" i="16"/>
  <c r="BM4" i="16"/>
  <c r="BO4" i="16"/>
  <c r="BQ4" i="16"/>
  <c r="BR4" i="16"/>
  <c r="BT4" i="16"/>
  <c r="BU4" i="16"/>
  <c r="BW4" i="16"/>
  <c r="BX4" i="16"/>
  <c r="BZ4" i="16"/>
  <c r="CA4" i="16"/>
  <c r="CC4" i="16"/>
  <c r="CD4" i="16"/>
  <c r="CF4" i="16"/>
  <c r="AV5" i="16"/>
  <c r="AY5" i="16"/>
  <c r="BB5" i="16"/>
  <c r="BE5" i="16"/>
  <c r="BH5" i="16"/>
  <c r="BK5" i="16"/>
  <c r="BO5" i="16"/>
  <c r="BR5" i="16"/>
  <c r="BU5" i="16"/>
  <c r="BX5" i="16"/>
  <c r="CA5" i="16"/>
  <c r="CD5" i="16"/>
  <c r="AV10" i="16"/>
  <c r="AY10" i="16"/>
  <c r="BB10" i="16"/>
  <c r="BE10" i="16"/>
  <c r="BH10" i="16"/>
  <c r="BK10" i="16"/>
  <c r="BO10" i="16"/>
  <c r="BR10" i="16"/>
  <c r="BU10" i="16"/>
  <c r="BX10" i="16"/>
  <c r="CA10" i="16"/>
  <c r="CD10" i="16"/>
  <c r="AV11" i="16"/>
  <c r="AY11" i="16"/>
  <c r="BB11" i="16"/>
  <c r="BE11" i="16"/>
  <c r="BH11" i="16"/>
  <c r="BK11" i="16"/>
  <c r="BO11" i="16"/>
  <c r="BR11" i="16"/>
  <c r="BU11" i="16"/>
  <c r="BX11" i="16"/>
  <c r="CA11" i="16"/>
  <c r="CD11" i="16"/>
  <c r="AV12" i="16"/>
  <c r="AY12" i="16"/>
  <c r="BB12" i="16"/>
  <c r="BE12" i="16"/>
  <c r="BH12" i="16"/>
  <c r="BK12" i="16"/>
  <c r="BO12" i="16"/>
  <c r="BR12" i="16"/>
  <c r="BU12" i="16"/>
  <c r="BX12" i="16"/>
  <c r="CA12" i="16"/>
  <c r="CD12" i="16"/>
  <c r="AV13" i="16"/>
  <c r="AY13" i="16"/>
  <c r="BB13" i="16"/>
  <c r="BE13" i="16"/>
  <c r="BH13" i="16"/>
  <c r="BK13" i="16"/>
  <c r="BO13" i="16"/>
  <c r="BR13" i="16"/>
  <c r="BU13" i="16"/>
  <c r="BX13" i="16"/>
  <c r="CA13" i="16"/>
  <c r="CD13" i="16"/>
  <c r="AV14" i="16"/>
  <c r="AY14" i="16"/>
  <c r="BB14" i="16"/>
  <c r="BE14" i="16"/>
  <c r="BH14" i="16"/>
  <c r="BK14" i="16"/>
  <c r="BO14" i="16"/>
  <c r="BR14" i="16"/>
  <c r="BU14" i="16"/>
  <c r="BX14" i="16"/>
  <c r="CA14" i="16"/>
  <c r="CD14" i="16"/>
  <c r="AV15" i="16"/>
  <c r="AY15" i="16"/>
  <c r="BB15" i="16"/>
  <c r="BE15" i="16"/>
  <c r="BH15" i="16"/>
  <c r="BK15" i="16"/>
  <c r="BO15" i="16"/>
  <c r="BR15" i="16"/>
  <c r="BU15" i="16"/>
  <c r="BX15" i="16"/>
  <c r="CA15" i="16"/>
  <c r="CD15" i="16"/>
  <c r="AV16" i="16"/>
  <c r="AX16" i="16"/>
  <c r="AY16" i="16"/>
  <c r="BA16" i="16"/>
  <c r="BB16" i="16"/>
  <c r="BD16" i="16"/>
  <c r="BE16" i="16"/>
  <c r="BG16" i="16"/>
  <c r="BH16" i="16"/>
  <c r="BJ16" i="16"/>
  <c r="BK16" i="16"/>
  <c r="BM16" i="16"/>
  <c r="BO16" i="16"/>
  <c r="BQ16" i="16"/>
  <c r="BR16" i="16"/>
  <c r="BT16" i="16"/>
  <c r="BU16" i="16"/>
  <c r="BW16" i="16"/>
  <c r="BX16" i="16"/>
  <c r="BZ16" i="16"/>
  <c r="CA16" i="16"/>
  <c r="CC16" i="16"/>
  <c r="CD16" i="16"/>
  <c r="CF16" i="16"/>
  <c r="AV17" i="16"/>
  <c r="AY17" i="16"/>
  <c r="BB17" i="16"/>
  <c r="BE17" i="16"/>
  <c r="BH17" i="16"/>
  <c r="BK17" i="16"/>
  <c r="BO17" i="16"/>
  <c r="BR17" i="16"/>
  <c r="BU17" i="16"/>
  <c r="BX17" i="16"/>
  <c r="CA17" i="16"/>
  <c r="CD17" i="16"/>
  <c r="AV18" i="16"/>
  <c r="AY18" i="16"/>
  <c r="BB18" i="16"/>
  <c r="BE18" i="16"/>
  <c r="BH18" i="16"/>
  <c r="BK18" i="16"/>
  <c r="BO18" i="16"/>
  <c r="BR18" i="16"/>
  <c r="BU18" i="16"/>
  <c r="BX18" i="16"/>
  <c r="CA18" i="16"/>
  <c r="CD18" i="16"/>
  <c r="AV19" i="16"/>
  <c r="AY19" i="16"/>
  <c r="BB19" i="16"/>
  <c r="BE19" i="16"/>
  <c r="BH19" i="16"/>
  <c r="BK19" i="16"/>
  <c r="BO19" i="16"/>
  <c r="BR19" i="16"/>
  <c r="BU19" i="16"/>
  <c r="BX19" i="16"/>
  <c r="CA19" i="16"/>
  <c r="CD19" i="16"/>
  <c r="AV20" i="16"/>
  <c r="AY20" i="16"/>
  <c r="BB20" i="16"/>
  <c r="BE20" i="16"/>
  <c r="BH20" i="16"/>
  <c r="BK20" i="16"/>
  <c r="BO20" i="16"/>
  <c r="BR20" i="16"/>
  <c r="BU20" i="16"/>
  <c r="BX20" i="16"/>
  <c r="CA20" i="16"/>
  <c r="CD20" i="16"/>
  <c r="AV21" i="16"/>
  <c r="AY21" i="16"/>
  <c r="BB21" i="16"/>
  <c r="BE21" i="16"/>
  <c r="BH21" i="16"/>
  <c r="BK21" i="16"/>
  <c r="BO21" i="16"/>
  <c r="BR21" i="16"/>
  <c r="BU21" i="16"/>
  <c r="BX21" i="16"/>
  <c r="CA21" i="16"/>
  <c r="CD21" i="16"/>
  <c r="AV22" i="16"/>
  <c r="AY22" i="16"/>
  <c r="BB22" i="16"/>
  <c r="BE22" i="16"/>
  <c r="BH22" i="16"/>
  <c r="BK22" i="16"/>
  <c r="BO22" i="16"/>
  <c r="BR22" i="16"/>
  <c r="BU22" i="16"/>
  <c r="BX22" i="16"/>
  <c r="CA22" i="16"/>
  <c r="CD22" i="16"/>
  <c r="AV42" i="16"/>
  <c r="AX42" i="16"/>
  <c r="AY42" i="16"/>
  <c r="BA42" i="16"/>
  <c r="BB42" i="16"/>
  <c r="BD42" i="16"/>
  <c r="BE42" i="16"/>
  <c r="BG42" i="16"/>
  <c r="BH42" i="16"/>
  <c r="BJ42" i="16"/>
  <c r="BK42" i="16"/>
  <c r="BM42" i="16"/>
  <c r="BO42" i="16"/>
  <c r="BQ42" i="16"/>
  <c r="BR42" i="16"/>
  <c r="BT42" i="16"/>
  <c r="BU42" i="16"/>
  <c r="BW42" i="16"/>
  <c r="BX42" i="16"/>
  <c r="BZ42" i="16"/>
  <c r="CA42" i="16"/>
  <c r="CC42" i="16"/>
  <c r="CD42" i="16"/>
  <c r="CF42" i="16"/>
  <c r="AV43" i="16"/>
  <c r="AY43" i="16"/>
  <c r="BB43" i="16"/>
  <c r="BE43" i="16"/>
  <c r="BH43" i="16"/>
  <c r="BK43" i="16"/>
  <c r="BO43" i="16"/>
  <c r="BR43" i="16"/>
  <c r="BU43" i="16"/>
  <c r="BX43" i="16"/>
  <c r="CA43" i="16"/>
  <c r="CD43" i="16"/>
  <c r="AV44" i="16"/>
  <c r="AY44" i="16"/>
  <c r="BB44" i="16"/>
  <c r="BE44" i="16"/>
  <c r="BH44" i="16"/>
  <c r="BK44" i="16"/>
  <c r="BO44" i="16"/>
  <c r="BR44" i="16"/>
  <c r="BU44" i="16"/>
  <c r="BX44" i="16"/>
  <c r="CA44" i="16"/>
  <c r="CD44" i="16"/>
  <c r="AV45" i="16"/>
  <c r="AY45" i="16"/>
  <c r="BB45" i="16"/>
  <c r="BE45" i="16"/>
  <c r="BH45" i="16"/>
  <c r="BK45" i="16"/>
  <c r="BO45" i="16"/>
  <c r="BR45" i="16"/>
  <c r="BU45" i="16"/>
  <c r="BX45" i="16"/>
  <c r="CA45" i="16"/>
  <c r="CD45" i="16"/>
  <c r="AV46" i="16"/>
  <c r="AY46" i="16"/>
  <c r="BB46" i="16"/>
  <c r="BE46" i="16"/>
  <c r="BH46" i="16"/>
  <c r="BK46" i="16"/>
  <c r="BO46" i="16"/>
  <c r="BR46" i="16"/>
  <c r="BU46" i="16"/>
  <c r="BX46" i="16"/>
  <c r="CA46" i="16"/>
  <c r="CD46" i="16"/>
  <c r="AV47" i="16"/>
  <c r="AY47" i="16"/>
  <c r="BB47" i="16"/>
  <c r="BE47" i="16"/>
  <c r="BH47" i="16"/>
  <c r="BK47" i="16"/>
  <c r="BO47" i="16"/>
  <c r="BR47" i="16"/>
  <c r="BU47" i="16"/>
  <c r="BX47" i="16"/>
  <c r="CA47" i="16"/>
  <c r="CD47" i="16"/>
  <c r="AV54" i="16"/>
  <c r="AY54" i="16"/>
  <c r="BB54" i="16"/>
  <c r="BE54" i="16"/>
  <c r="BH54" i="16"/>
  <c r="BK54" i="16"/>
  <c r="BO54" i="16"/>
  <c r="BR54" i="16"/>
  <c r="BU54" i="16"/>
  <c r="BX54" i="16"/>
  <c r="CA54" i="16"/>
  <c r="CD54" i="16"/>
  <c r="AV56" i="16"/>
  <c r="AY56" i="16"/>
  <c r="BB56" i="16"/>
  <c r="BE56" i="16"/>
  <c r="BH56" i="16"/>
  <c r="BK56" i="16"/>
  <c r="BO56" i="16"/>
  <c r="BR56" i="16"/>
  <c r="BU56" i="16"/>
  <c r="BX56" i="16"/>
  <c r="CA56" i="16"/>
  <c r="CD56" i="16"/>
  <c r="AV79" i="16"/>
  <c r="AY79" i="16"/>
  <c r="BB79" i="16"/>
  <c r="BE79" i="16"/>
  <c r="BH79" i="16"/>
  <c r="BK79" i="16"/>
  <c r="BO79" i="16"/>
  <c r="BR79" i="16"/>
  <c r="BU79" i="16"/>
  <c r="BX79" i="16"/>
  <c r="CA79" i="16"/>
  <c r="CD79" i="16"/>
  <c r="AV80" i="16"/>
  <c r="AX80" i="16"/>
  <c r="AY80" i="16"/>
  <c r="BA80" i="16"/>
  <c r="BB80" i="16"/>
  <c r="BD80" i="16"/>
  <c r="BE80" i="16"/>
  <c r="BG80" i="16"/>
  <c r="BH80" i="16"/>
  <c r="BJ80" i="16"/>
  <c r="BK80" i="16"/>
  <c r="BM80" i="16"/>
  <c r="BO80" i="16"/>
  <c r="BQ80" i="16"/>
  <c r="BR80" i="16"/>
  <c r="BT80" i="16"/>
  <c r="BU80" i="16"/>
  <c r="BW80" i="16"/>
  <c r="BX80" i="16"/>
  <c r="BZ80" i="16"/>
  <c r="CA80" i="16"/>
  <c r="CC80" i="16"/>
  <c r="CD80" i="16"/>
  <c r="CF80" i="16"/>
  <c r="AV81" i="16"/>
  <c r="AY81" i="16"/>
  <c r="BB81" i="16"/>
  <c r="BE81" i="16"/>
  <c r="BH81" i="16"/>
  <c r="BK81" i="16"/>
  <c r="BO81" i="16"/>
  <c r="BR81" i="16"/>
  <c r="BU81" i="16"/>
  <c r="BX81" i="16"/>
  <c r="CA81" i="16"/>
  <c r="CD81" i="16"/>
  <c r="AV82" i="16"/>
  <c r="AY82" i="16"/>
  <c r="BB82" i="16"/>
  <c r="BE82" i="16"/>
  <c r="BH82" i="16"/>
  <c r="BK82" i="16"/>
  <c r="BO82" i="16"/>
  <c r="BR82" i="16"/>
  <c r="BU82" i="16"/>
  <c r="BX82" i="16"/>
  <c r="CA82" i="16"/>
  <c r="CD82" i="16"/>
  <c r="AV83" i="16"/>
  <c r="AY83" i="16"/>
  <c r="BB83" i="16"/>
  <c r="BE83" i="16"/>
  <c r="BH83" i="16"/>
  <c r="BK83" i="16"/>
  <c r="BO83" i="16"/>
  <c r="BR83" i="16"/>
  <c r="BU83" i="16"/>
  <c r="BX83" i="16"/>
  <c r="CA83" i="16"/>
  <c r="CD83" i="16"/>
  <c r="AV86" i="16"/>
  <c r="AY86" i="16"/>
  <c r="BB86" i="16"/>
  <c r="BE86" i="16"/>
  <c r="BH86" i="16"/>
  <c r="BK86" i="16"/>
  <c r="BO86" i="16"/>
  <c r="BR86" i="16"/>
  <c r="BU86" i="16"/>
  <c r="BX86" i="16"/>
  <c r="CA86" i="16"/>
  <c r="CD86" i="16"/>
  <c r="AV118" i="16"/>
  <c r="AY118" i="16"/>
  <c r="BB118" i="16"/>
  <c r="BE118" i="16"/>
  <c r="BH118" i="16"/>
  <c r="BK118" i="16"/>
  <c r="BO118" i="16"/>
  <c r="BR118" i="16"/>
  <c r="BU118" i="16"/>
  <c r="BX118" i="16"/>
  <c r="CA118" i="16"/>
  <c r="CD118" i="16"/>
  <c r="AV119" i="16"/>
  <c r="AY119" i="16"/>
  <c r="BB119" i="16"/>
  <c r="BE119" i="16"/>
  <c r="BH119" i="16"/>
  <c r="BK119" i="16"/>
  <c r="BO119" i="16"/>
  <c r="BR119" i="16"/>
  <c r="BU119" i="16"/>
  <c r="BX119" i="16"/>
  <c r="CA119" i="16"/>
  <c r="CD119" i="16"/>
  <c r="AV120" i="16"/>
  <c r="AY120" i="16"/>
  <c r="BB120" i="16"/>
  <c r="BE120" i="16"/>
  <c r="BH120" i="16"/>
  <c r="BK120" i="16"/>
  <c r="BO120" i="16"/>
  <c r="BR120" i="16"/>
  <c r="BU120" i="16"/>
  <c r="BX120" i="16"/>
  <c r="CA120" i="16"/>
  <c r="CD120" i="16"/>
  <c r="AV121" i="16"/>
  <c r="AY121" i="16"/>
  <c r="BB121" i="16"/>
  <c r="BE121" i="16"/>
  <c r="BH121" i="16"/>
  <c r="BK121" i="16"/>
  <c r="BO121" i="16"/>
  <c r="BR121" i="16"/>
  <c r="BU121" i="16"/>
  <c r="BX121" i="16"/>
  <c r="CA121" i="16"/>
  <c r="CD121" i="16"/>
  <c r="AV122" i="16"/>
  <c r="AY122" i="16"/>
  <c r="BB122" i="16"/>
  <c r="BE122" i="16"/>
  <c r="BH122" i="16"/>
  <c r="BK122" i="16"/>
  <c r="BO122" i="16"/>
  <c r="BR122" i="16"/>
  <c r="BU122" i="16"/>
  <c r="BX122" i="16"/>
  <c r="CA122" i="16"/>
  <c r="CD122" i="16"/>
  <c r="AV123" i="16"/>
  <c r="AY123" i="16"/>
  <c r="BB123" i="16"/>
  <c r="BE123" i="16"/>
  <c r="BH123" i="16"/>
  <c r="BK123" i="16"/>
  <c r="BO123" i="16"/>
  <c r="BR123" i="16"/>
  <c r="BU123" i="16"/>
  <c r="BX123" i="16"/>
  <c r="CA123" i="16"/>
  <c r="CD123" i="16"/>
  <c r="AV150" i="16"/>
  <c r="AX150" i="16"/>
  <c r="AY150" i="16"/>
  <c r="BA150" i="16"/>
  <c r="BB150" i="16"/>
  <c r="BD150" i="16"/>
  <c r="BE150" i="16"/>
  <c r="BG150" i="16"/>
  <c r="BH150" i="16"/>
  <c r="BJ150" i="16"/>
  <c r="BK150" i="16"/>
  <c r="BM150" i="16"/>
  <c r="BO150" i="16"/>
  <c r="BQ150" i="16"/>
  <c r="BR150" i="16"/>
  <c r="BT150" i="16"/>
  <c r="BU150" i="16"/>
  <c r="BW150" i="16"/>
  <c r="BX150" i="16"/>
  <c r="BZ150" i="16"/>
  <c r="CA150" i="16"/>
  <c r="CC150" i="16"/>
  <c r="CD150" i="16"/>
  <c r="CF150" i="16"/>
  <c r="AV151" i="16"/>
  <c r="AY151" i="16"/>
  <c r="BB151" i="16"/>
  <c r="BE151" i="16"/>
  <c r="BH151" i="16"/>
  <c r="BK151" i="16"/>
  <c r="BO151" i="16"/>
  <c r="BR151" i="16"/>
  <c r="BU151" i="16"/>
  <c r="BX151" i="16"/>
  <c r="CA151" i="16"/>
  <c r="CD151" i="16"/>
  <c r="AV152" i="16"/>
  <c r="AY152" i="16"/>
  <c r="BB152" i="16"/>
  <c r="BE152" i="16"/>
  <c r="BH152" i="16"/>
  <c r="BK152" i="16"/>
  <c r="BO152" i="16"/>
  <c r="BR152" i="16"/>
  <c r="BU152" i="16"/>
  <c r="BX152" i="16"/>
  <c r="CA152" i="16"/>
  <c r="CD152" i="16"/>
  <c r="AV153" i="16"/>
  <c r="AY153" i="16"/>
  <c r="BB153" i="16"/>
  <c r="BE153" i="16"/>
  <c r="BH153" i="16"/>
  <c r="BK153" i="16"/>
  <c r="BO153" i="16"/>
  <c r="BR153" i="16"/>
  <c r="BU153" i="16"/>
  <c r="BX153" i="16"/>
  <c r="CA153" i="16"/>
  <c r="CD153" i="16"/>
  <c r="AV154" i="16"/>
  <c r="AY154" i="16"/>
  <c r="BB154" i="16"/>
  <c r="BE154" i="16"/>
  <c r="BH154" i="16"/>
  <c r="BK154" i="16"/>
  <c r="BO154" i="16"/>
  <c r="BR154" i="16"/>
  <c r="BU154" i="16"/>
  <c r="BX154" i="16"/>
  <c r="CA154" i="16"/>
  <c r="CD154" i="16"/>
  <c r="AV161" i="16"/>
  <c r="AY161" i="16"/>
  <c r="BB161" i="16"/>
  <c r="BE161" i="16"/>
  <c r="BH161" i="16"/>
  <c r="BK161" i="16"/>
  <c r="BO161" i="16"/>
  <c r="BR161" i="16"/>
  <c r="BU161" i="16"/>
  <c r="BX161" i="16"/>
  <c r="CA161" i="16"/>
  <c r="CD161" i="16"/>
  <c r="AV175" i="16"/>
  <c r="AX175" i="16"/>
  <c r="AY175" i="16"/>
  <c r="BA175" i="16"/>
  <c r="BB175" i="16"/>
  <c r="BD175" i="16"/>
  <c r="BE175" i="16"/>
  <c r="BG175" i="16"/>
  <c r="BH175" i="16"/>
  <c r="BJ175" i="16"/>
  <c r="BK175" i="16"/>
  <c r="BM175" i="16"/>
  <c r="BO175" i="16"/>
  <c r="BQ175" i="16"/>
  <c r="BR175" i="16"/>
  <c r="BT175" i="16"/>
  <c r="BU175" i="16"/>
  <c r="BW175" i="16"/>
  <c r="BX175" i="16"/>
  <c r="BZ175" i="16"/>
  <c r="CA175" i="16"/>
  <c r="CC175" i="16"/>
  <c r="CD175" i="16"/>
  <c r="CF175" i="16"/>
  <c r="AV176" i="16"/>
  <c r="AY176" i="16"/>
  <c r="BB176" i="16"/>
  <c r="BE176" i="16"/>
  <c r="BH176" i="16"/>
  <c r="BK176" i="16"/>
  <c r="BO176" i="16"/>
  <c r="BR176" i="16"/>
  <c r="BU176" i="16"/>
  <c r="BX176" i="16"/>
  <c r="CA176" i="16"/>
  <c r="CD176" i="16"/>
  <c r="AV177" i="16"/>
  <c r="AY177" i="16"/>
  <c r="BB177" i="16"/>
  <c r="BE177" i="16"/>
  <c r="BH177" i="16"/>
  <c r="BK177" i="16"/>
  <c r="BO177" i="16"/>
  <c r="BR177" i="16"/>
  <c r="BU177" i="16"/>
  <c r="BX177" i="16"/>
  <c r="CA177" i="16"/>
  <c r="CD177" i="16"/>
  <c r="AV178" i="16"/>
  <c r="AY178" i="16"/>
  <c r="BB178" i="16"/>
  <c r="BE178" i="16"/>
  <c r="BH178" i="16"/>
  <c r="BK178" i="16"/>
  <c r="BO178" i="16"/>
  <c r="BR178" i="16"/>
  <c r="BU178" i="16"/>
  <c r="BX178" i="16"/>
  <c r="CA178" i="16"/>
  <c r="CD178" i="16"/>
  <c r="AV198" i="16"/>
  <c r="AY198" i="16"/>
  <c r="BB198" i="16"/>
  <c r="BE198" i="16"/>
  <c r="BH198" i="16"/>
  <c r="BK198" i="16"/>
  <c r="BO198" i="16"/>
  <c r="BR198" i="16"/>
  <c r="BU198" i="16"/>
  <c r="BX198" i="16"/>
  <c r="CA198" i="16"/>
  <c r="CD198" i="16"/>
  <c r="M3" i="19"/>
  <c r="P3" i="19"/>
  <c r="S3" i="19"/>
  <c r="V3" i="19"/>
  <c r="Y3" i="19"/>
  <c r="AF3" i="19"/>
  <c r="AI3" i="19"/>
  <c r="AL3" i="19"/>
  <c r="AO3" i="19"/>
  <c r="AR3" i="19"/>
  <c r="J4" i="19"/>
  <c r="M4" i="19"/>
  <c r="O4" i="19"/>
  <c r="P4" i="19"/>
  <c r="R4" i="19"/>
  <c r="S4" i="19"/>
  <c r="U4" i="19"/>
  <c r="V4" i="19"/>
  <c r="X4" i="19"/>
  <c r="Y4" i="19"/>
  <c r="AA4" i="19"/>
  <c r="AC4" i="19"/>
  <c r="AE4" i="19"/>
  <c r="AF4" i="19"/>
  <c r="AH4" i="19"/>
  <c r="AI4" i="19"/>
  <c r="AK4" i="19"/>
  <c r="AL4" i="19"/>
  <c r="AN4" i="19"/>
  <c r="AO4" i="19"/>
  <c r="AQ4" i="19"/>
  <c r="AR4" i="19"/>
  <c r="AT4" i="19"/>
  <c r="A5" i="19"/>
  <c r="J5" i="19"/>
  <c r="M5" i="19"/>
  <c r="P5" i="19"/>
  <c r="S5" i="19"/>
  <c r="V5" i="19"/>
  <c r="Y5" i="19"/>
  <c r="AC5" i="19"/>
  <c r="AF5" i="19"/>
  <c r="AI5" i="19"/>
  <c r="AL5" i="19"/>
  <c r="AO5" i="19"/>
  <c r="AR5" i="19"/>
  <c r="A6" i="19"/>
  <c r="J6" i="19"/>
  <c r="M6" i="19"/>
  <c r="P6" i="19"/>
  <c r="S6" i="19"/>
  <c r="V6" i="19"/>
  <c r="Y6" i="19"/>
  <c r="AC6" i="19"/>
  <c r="AF6" i="19"/>
  <c r="AI6" i="19"/>
  <c r="AL6" i="19"/>
  <c r="AO6" i="19"/>
  <c r="AR6" i="19"/>
  <c r="A7" i="19"/>
  <c r="J7" i="19"/>
  <c r="M7" i="19"/>
  <c r="P7" i="19"/>
  <c r="S7" i="19"/>
  <c r="V7" i="19"/>
  <c r="Y7" i="19"/>
  <c r="AC7" i="19"/>
  <c r="AF7" i="19"/>
  <c r="AI7" i="19"/>
  <c r="AL7" i="19"/>
  <c r="AO7" i="19"/>
  <c r="AR7" i="19"/>
  <c r="A8" i="19"/>
  <c r="J8" i="19"/>
  <c r="M8" i="19"/>
  <c r="P8" i="19"/>
  <c r="S8" i="19"/>
  <c r="V8" i="19"/>
  <c r="Y8" i="19"/>
  <c r="AC8" i="19"/>
  <c r="AF8" i="19"/>
  <c r="AI8" i="19"/>
  <c r="AL8" i="19"/>
  <c r="AO8" i="19"/>
  <c r="AR8" i="19"/>
  <c r="A9" i="19"/>
  <c r="J9" i="19"/>
  <c r="M9" i="19"/>
  <c r="P9" i="19"/>
  <c r="S9" i="19"/>
  <c r="V9" i="19"/>
  <c r="Y9" i="19"/>
  <c r="AC9" i="19"/>
  <c r="AF9" i="19"/>
  <c r="AI9" i="19"/>
  <c r="AL9" i="19"/>
  <c r="AO9" i="19"/>
  <c r="AR9" i="19"/>
  <c r="A10" i="19"/>
  <c r="J10" i="19"/>
  <c r="M10" i="19"/>
  <c r="P10" i="19"/>
  <c r="S10" i="19"/>
  <c r="V10" i="19"/>
  <c r="Y10" i="19"/>
  <c r="AC10" i="19"/>
  <c r="AF10" i="19"/>
  <c r="AI10" i="19"/>
  <c r="AL10" i="19"/>
  <c r="AO10" i="19"/>
  <c r="AR10" i="19"/>
  <c r="A11" i="19"/>
  <c r="J11" i="19"/>
  <c r="M11" i="19"/>
  <c r="P11" i="19"/>
  <c r="S11" i="19"/>
  <c r="V11" i="19"/>
  <c r="Y11" i="19"/>
  <c r="AC11" i="19"/>
  <c r="AF11" i="19"/>
  <c r="AI11" i="19"/>
  <c r="AL11" i="19"/>
  <c r="AO11" i="19"/>
  <c r="AR11" i="19"/>
  <c r="J12" i="19"/>
  <c r="L12" i="19"/>
  <c r="M12" i="19"/>
  <c r="O12" i="19"/>
  <c r="P12" i="19"/>
  <c r="S12" i="19"/>
  <c r="V12" i="19"/>
  <c r="X12" i="19"/>
  <c r="Y12" i="19"/>
  <c r="AA12" i="19"/>
  <c r="AC12" i="19"/>
  <c r="AE12" i="19"/>
  <c r="AF12" i="19"/>
  <c r="AH12" i="19"/>
  <c r="AI12" i="19"/>
  <c r="AK12" i="19"/>
  <c r="AL12" i="19"/>
  <c r="AN12" i="19"/>
  <c r="AO12" i="19"/>
  <c r="AQ12" i="19"/>
  <c r="AR12" i="19"/>
  <c r="AT12" i="19"/>
  <c r="A13" i="19"/>
  <c r="J13" i="19"/>
  <c r="M13" i="19"/>
  <c r="P13" i="19"/>
  <c r="S13" i="19"/>
  <c r="V13" i="19"/>
  <c r="Y13" i="19"/>
  <c r="AC13" i="19"/>
  <c r="AF13" i="19"/>
  <c r="AI13" i="19"/>
  <c r="AL13" i="19"/>
  <c r="AO13" i="19"/>
  <c r="AR13" i="19"/>
  <c r="A14" i="19"/>
  <c r="J14" i="19"/>
  <c r="M14" i="19"/>
  <c r="P14" i="19"/>
  <c r="S14" i="19"/>
  <c r="V14" i="19"/>
  <c r="Y14" i="19"/>
  <c r="AC14" i="19"/>
  <c r="AF14" i="19"/>
  <c r="AI14" i="19"/>
  <c r="AL14" i="19"/>
  <c r="AO14" i="19"/>
  <c r="AR14" i="19"/>
  <c r="A15" i="19"/>
  <c r="J15" i="19"/>
  <c r="M15" i="19"/>
  <c r="P15" i="19"/>
  <c r="S15" i="19"/>
  <c r="V15" i="19"/>
  <c r="Y15" i="19"/>
  <c r="AC15" i="19"/>
  <c r="AF15" i="19"/>
  <c r="AI15" i="19"/>
  <c r="AL15" i="19"/>
  <c r="AO15" i="19"/>
  <c r="AR15" i="19"/>
  <c r="A16" i="19"/>
  <c r="J16" i="19"/>
  <c r="M16" i="19"/>
  <c r="P16" i="19"/>
  <c r="S16" i="19"/>
  <c r="V16" i="19"/>
  <c r="Y16" i="19"/>
  <c r="AC16" i="19"/>
  <c r="AF16" i="19"/>
  <c r="AI16" i="19"/>
  <c r="AL16" i="19"/>
  <c r="AO16" i="19"/>
  <c r="AR16" i="19"/>
  <c r="A17" i="19"/>
  <c r="J17" i="19"/>
  <c r="M17" i="19"/>
  <c r="P17" i="19"/>
  <c r="S17" i="19"/>
  <c r="V17" i="19"/>
  <c r="Y17" i="19"/>
  <c r="AC17" i="19"/>
  <c r="AF17" i="19"/>
  <c r="AI17" i="19"/>
  <c r="AL17" i="19"/>
  <c r="AO17" i="19"/>
  <c r="AR17" i="19"/>
  <c r="A18" i="19"/>
  <c r="J18" i="19"/>
  <c r="M18" i="19"/>
  <c r="P18" i="19"/>
  <c r="S18" i="19"/>
  <c r="V18" i="19"/>
  <c r="Y18" i="19"/>
  <c r="AC18" i="19"/>
  <c r="AF18" i="19"/>
  <c r="AI18" i="19"/>
  <c r="AL18" i="19"/>
  <c r="AO18" i="19"/>
  <c r="AR18" i="19"/>
  <c r="J26" i="19"/>
  <c r="L26" i="19"/>
  <c r="M26" i="19"/>
  <c r="O26" i="19"/>
  <c r="P26" i="19"/>
  <c r="R26" i="19"/>
  <c r="S26" i="19"/>
  <c r="U26" i="19"/>
  <c r="V26" i="19"/>
  <c r="X26" i="19"/>
  <c r="Y26" i="19"/>
  <c r="AA26" i="19"/>
  <c r="AC26" i="19"/>
  <c r="AE26" i="19"/>
  <c r="AF26" i="19"/>
  <c r="AH26" i="19"/>
  <c r="AI26" i="19"/>
  <c r="AK26" i="19"/>
  <c r="AL26" i="19"/>
  <c r="AN26" i="19"/>
  <c r="AO26" i="19"/>
  <c r="AQ26" i="19"/>
  <c r="AR26" i="19"/>
  <c r="AT26" i="19"/>
  <c r="A27" i="19"/>
  <c r="J27" i="19"/>
  <c r="M27" i="19"/>
  <c r="P27" i="19"/>
  <c r="S27" i="19"/>
  <c r="V27" i="19"/>
  <c r="Y27" i="19"/>
  <c r="AC27" i="19"/>
  <c r="AF27" i="19"/>
  <c r="AI27" i="19"/>
  <c r="AL27" i="19"/>
  <c r="AO27" i="19"/>
  <c r="AR27" i="19"/>
  <c r="A28" i="19"/>
  <c r="J28" i="19"/>
  <c r="M28" i="19"/>
  <c r="P28" i="19"/>
  <c r="S28" i="19"/>
  <c r="V28" i="19"/>
  <c r="Y28" i="19"/>
  <c r="AC28" i="19"/>
  <c r="AF28" i="19"/>
  <c r="AI28" i="19"/>
  <c r="AL28" i="19"/>
  <c r="AO28" i="19"/>
  <c r="AR28" i="19"/>
  <c r="A29" i="19"/>
  <c r="J29" i="19"/>
  <c r="M29" i="19"/>
  <c r="P29" i="19"/>
  <c r="S29" i="19"/>
  <c r="V29" i="19"/>
  <c r="Y29" i="19"/>
  <c r="AC29" i="19"/>
  <c r="AF29" i="19"/>
  <c r="AI29" i="19"/>
  <c r="AL29" i="19"/>
  <c r="AO29" i="19"/>
  <c r="AR29" i="19"/>
  <c r="A30" i="19"/>
  <c r="J30" i="19"/>
  <c r="M30" i="19"/>
  <c r="P30" i="19"/>
  <c r="S30" i="19"/>
  <c r="V30" i="19"/>
  <c r="Y30" i="19"/>
  <c r="AC30" i="19"/>
  <c r="AF30" i="19"/>
  <c r="AI30" i="19"/>
  <c r="AL30" i="19"/>
  <c r="AO30" i="19"/>
  <c r="AR30" i="19"/>
  <c r="A31" i="19"/>
  <c r="J31" i="19"/>
  <c r="M31" i="19"/>
  <c r="P31" i="19"/>
  <c r="S31" i="19"/>
  <c r="V31" i="19"/>
  <c r="Y31" i="19"/>
  <c r="AC31" i="19"/>
  <c r="AF31" i="19"/>
  <c r="AI31" i="19"/>
  <c r="AL31" i="19"/>
  <c r="AO31" i="19"/>
  <c r="AR31" i="19"/>
  <c r="A32" i="19"/>
  <c r="J32" i="19"/>
  <c r="M32" i="19"/>
  <c r="P32" i="19"/>
  <c r="S32" i="19"/>
  <c r="V32" i="19"/>
  <c r="Y32" i="19"/>
  <c r="AC32" i="19"/>
  <c r="AF32" i="19"/>
  <c r="AI32" i="19"/>
  <c r="AL32" i="19"/>
  <c r="AO32" i="19"/>
  <c r="AR32" i="19"/>
  <c r="A33" i="19"/>
  <c r="J33" i="19"/>
  <c r="M33" i="19"/>
  <c r="P33" i="19"/>
  <c r="S33" i="19"/>
  <c r="V33" i="19"/>
  <c r="Y33" i="19"/>
  <c r="AC33" i="19"/>
  <c r="AF33" i="19"/>
  <c r="AI33" i="19"/>
  <c r="AL33" i="19"/>
  <c r="AO33" i="19"/>
  <c r="AR33" i="19"/>
  <c r="A34" i="19"/>
  <c r="J34" i="19"/>
  <c r="M34" i="19"/>
  <c r="P34" i="19"/>
  <c r="S34" i="19"/>
  <c r="V34" i="19"/>
  <c r="Y34" i="19"/>
  <c r="AC34" i="19"/>
  <c r="AF34" i="19"/>
  <c r="AI34" i="19"/>
  <c r="AL34" i="19"/>
  <c r="AO34" i="19"/>
  <c r="AR34" i="19"/>
  <c r="A177" i="16"/>
  <c r="A178" i="16"/>
  <c r="A198" i="16"/>
  <c r="A176" i="16"/>
  <c r="J175" i="16"/>
  <c r="L175" i="16"/>
  <c r="O175" i="16"/>
  <c r="R175" i="16"/>
  <c r="U175" i="16"/>
  <c r="X175" i="16"/>
  <c r="AA175" i="16"/>
  <c r="AC175" i="16"/>
  <c r="AE175" i="16"/>
  <c r="AH175" i="16"/>
  <c r="AK175" i="16"/>
  <c r="AN175" i="16"/>
  <c r="AQ175" i="16"/>
  <c r="AT175" i="16"/>
  <c r="J176" i="16"/>
  <c r="AC176" i="16"/>
  <c r="J177" i="16"/>
  <c r="AC177" i="16"/>
  <c r="J178" i="16"/>
  <c r="AC178" i="16"/>
  <c r="J198" i="16"/>
  <c r="AC198" i="16"/>
  <c r="A152" i="16"/>
  <c r="A153" i="16"/>
  <c r="A154" i="16"/>
  <c r="A161" i="16"/>
  <c r="A151" i="16"/>
  <c r="J150" i="16"/>
  <c r="O150" i="16"/>
  <c r="R150" i="16"/>
  <c r="U150" i="16"/>
  <c r="X150" i="16"/>
  <c r="AA150" i="16"/>
  <c r="AC150" i="16"/>
  <c r="AE150" i="16"/>
  <c r="AH150" i="16"/>
  <c r="AK150" i="16"/>
  <c r="AN150" i="16"/>
  <c r="AQ150" i="16"/>
  <c r="AT150" i="16"/>
  <c r="J151" i="16"/>
  <c r="AC151" i="16"/>
  <c r="J152" i="16"/>
  <c r="AC152" i="16"/>
  <c r="J153" i="16"/>
  <c r="AC153" i="16"/>
  <c r="J154" i="16"/>
  <c r="AC154" i="16"/>
  <c r="J161" i="16"/>
  <c r="AC161" i="16"/>
  <c r="A119" i="16"/>
  <c r="A120" i="16"/>
  <c r="A121" i="16"/>
  <c r="A122" i="16"/>
  <c r="A123" i="16"/>
  <c r="A118" i="16"/>
  <c r="J118" i="16"/>
  <c r="AC118" i="16"/>
  <c r="J119" i="16"/>
  <c r="AC119" i="16"/>
  <c r="J120" i="16"/>
  <c r="AC120" i="16"/>
  <c r="J121" i="16"/>
  <c r="AC121" i="16"/>
  <c r="J122" i="16"/>
  <c r="AC122" i="16"/>
  <c r="J123" i="16"/>
  <c r="AC123" i="16"/>
  <c r="AC56" i="16"/>
  <c r="J56" i="16"/>
  <c r="A56" i="16"/>
  <c r="AC54" i="16"/>
  <c r="J54" i="16"/>
  <c r="A54" i="16"/>
  <c r="A3"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M3" i="17"/>
  <c r="P3" i="17"/>
  <c r="S3" i="17"/>
  <c r="V3" i="17"/>
  <c r="Y3" i="17"/>
  <c r="AF3" i="17"/>
  <c r="AI3" i="17"/>
  <c r="AL3" i="17"/>
  <c r="AO3" i="17"/>
  <c r="AR3" i="17"/>
  <c r="J4" i="17"/>
  <c r="L4" i="17"/>
  <c r="M4" i="17"/>
  <c r="O4" i="17"/>
  <c r="P4" i="17"/>
  <c r="R4" i="17"/>
  <c r="S4" i="17"/>
  <c r="U4" i="17"/>
  <c r="V4" i="17"/>
  <c r="X4" i="17"/>
  <c r="Y4" i="17"/>
  <c r="AA4" i="17"/>
  <c r="AC4" i="17"/>
  <c r="AE4" i="17"/>
  <c r="AF4" i="17"/>
  <c r="AH4" i="17"/>
  <c r="AI4" i="17"/>
  <c r="AK4" i="17"/>
  <c r="AL4" i="17"/>
  <c r="AN4" i="17"/>
  <c r="AO4" i="17"/>
  <c r="AQ4" i="17"/>
  <c r="AR4" i="17"/>
  <c r="AT4" i="17"/>
  <c r="A6" i="17"/>
  <c r="J6" i="17"/>
  <c r="M6" i="17"/>
  <c r="P6" i="17"/>
  <c r="S6" i="17"/>
  <c r="V6" i="17"/>
  <c r="Y6" i="17"/>
  <c r="AC6" i="17"/>
  <c r="AF6" i="17"/>
  <c r="AI6" i="17"/>
  <c r="AL6" i="17"/>
  <c r="AO6" i="17"/>
  <c r="AR6" i="17"/>
  <c r="A5" i="17"/>
  <c r="J5" i="17"/>
  <c r="M5" i="17"/>
  <c r="P5" i="17"/>
  <c r="S5" i="17"/>
  <c r="V5" i="17"/>
  <c r="Y5" i="17"/>
  <c r="AC5" i="17"/>
  <c r="AF5" i="17"/>
  <c r="AI5" i="17"/>
  <c r="AL5" i="17"/>
  <c r="AO5" i="17"/>
  <c r="AR5" i="17"/>
  <c r="A11" i="17"/>
  <c r="J11" i="17"/>
  <c r="M11" i="17"/>
  <c r="P11" i="17"/>
  <c r="S11" i="17"/>
  <c r="V11" i="17"/>
  <c r="Y11" i="17"/>
  <c r="AC11" i="17"/>
  <c r="AF11" i="17"/>
  <c r="AI11" i="17"/>
  <c r="AL11" i="17"/>
  <c r="AO11" i="17"/>
  <c r="AR11" i="17"/>
  <c r="A12" i="17"/>
  <c r="J12" i="17"/>
  <c r="M12" i="17"/>
  <c r="P12" i="17"/>
  <c r="S12" i="17"/>
  <c r="V12" i="17"/>
  <c r="Y12" i="17"/>
  <c r="AC12" i="17"/>
  <c r="AF12" i="17"/>
  <c r="AI12" i="17"/>
  <c r="AL12" i="17"/>
  <c r="AO12" i="17"/>
  <c r="AR12" i="17"/>
  <c r="A13" i="17"/>
  <c r="J13" i="17"/>
  <c r="M13" i="17"/>
  <c r="P13" i="17"/>
  <c r="S13" i="17"/>
  <c r="V13" i="17"/>
  <c r="Y13" i="17"/>
  <c r="AC13" i="17"/>
  <c r="AF13" i="17"/>
  <c r="AI13" i="17"/>
  <c r="AL13" i="17"/>
  <c r="AO13" i="17"/>
  <c r="AR13" i="17"/>
  <c r="A15" i="17"/>
  <c r="J15" i="17"/>
  <c r="M15" i="17"/>
  <c r="P15" i="17"/>
  <c r="S15" i="17"/>
  <c r="V15" i="17"/>
  <c r="Y15" i="17"/>
  <c r="AC15" i="17"/>
  <c r="AF15" i="17"/>
  <c r="AI15" i="17"/>
  <c r="AL15" i="17"/>
  <c r="AO15" i="17"/>
  <c r="AR15" i="17"/>
  <c r="J37" i="17"/>
  <c r="L37" i="17"/>
  <c r="M37" i="17"/>
  <c r="O37" i="17"/>
  <c r="P37" i="17"/>
  <c r="R37" i="17"/>
  <c r="S37" i="17"/>
  <c r="U37" i="17"/>
  <c r="V37" i="17"/>
  <c r="X37" i="17"/>
  <c r="Y37" i="17"/>
  <c r="AA37" i="17"/>
  <c r="AC37" i="17"/>
  <c r="AE37" i="17"/>
  <c r="AF37" i="17"/>
  <c r="AH37" i="17"/>
  <c r="AI37" i="17"/>
  <c r="AK37" i="17"/>
  <c r="AL37" i="17"/>
  <c r="AN37" i="17"/>
  <c r="AO37" i="17"/>
  <c r="AQ37" i="17"/>
  <c r="AR37" i="17"/>
  <c r="AT37" i="17"/>
  <c r="A38" i="17"/>
  <c r="J38" i="17"/>
  <c r="M38" i="17"/>
  <c r="P38" i="17"/>
  <c r="S38" i="17"/>
  <c r="V38" i="17"/>
  <c r="Y38" i="17"/>
  <c r="AC38" i="17"/>
  <c r="AF38" i="17"/>
  <c r="AI38" i="17"/>
  <c r="AL38" i="17"/>
  <c r="AO38" i="17"/>
  <c r="AR38" i="17"/>
  <c r="A39" i="17"/>
  <c r="J39" i="17"/>
  <c r="M39" i="17"/>
  <c r="P39" i="17"/>
  <c r="S39" i="17"/>
  <c r="V39" i="17"/>
  <c r="Y39" i="17"/>
  <c r="AC39" i="17"/>
  <c r="AF39" i="17"/>
  <c r="AI39" i="17"/>
  <c r="AL39" i="17"/>
  <c r="AO39" i="17"/>
  <c r="AR39" i="17"/>
  <c r="A40" i="17"/>
  <c r="J40" i="17"/>
  <c r="M40" i="17"/>
  <c r="P40" i="17"/>
  <c r="S40" i="17"/>
  <c r="V40" i="17"/>
  <c r="Y40" i="17"/>
  <c r="AC40" i="17"/>
  <c r="AF40" i="17"/>
  <c r="AI40" i="17"/>
  <c r="AL40" i="17"/>
  <c r="AO40" i="17"/>
  <c r="AR40" i="17"/>
  <c r="A41" i="17"/>
  <c r="J41" i="17"/>
  <c r="M41" i="17"/>
  <c r="P41" i="17"/>
  <c r="S41" i="17"/>
  <c r="V41" i="17"/>
  <c r="Y41" i="17"/>
  <c r="AC41" i="17"/>
  <c r="AF41" i="17"/>
  <c r="AI41" i="17"/>
  <c r="AL41" i="17"/>
  <c r="AO41" i="17"/>
  <c r="AR41" i="17"/>
  <c r="A42" i="17"/>
  <c r="J42" i="17"/>
  <c r="M42" i="17"/>
  <c r="P42" i="17"/>
  <c r="S42" i="17"/>
  <c r="V42" i="17"/>
  <c r="Y42" i="17"/>
  <c r="AC42" i="17"/>
  <c r="AF42" i="17"/>
  <c r="AI42" i="17"/>
  <c r="AL42" i="17"/>
  <c r="AO42" i="17"/>
  <c r="AR42" i="17"/>
  <c r="A43" i="17"/>
  <c r="J43" i="17"/>
  <c r="M43" i="17"/>
  <c r="P43" i="17"/>
  <c r="S43" i="17"/>
  <c r="V43" i="17"/>
  <c r="Y43" i="17"/>
  <c r="AC43" i="17"/>
  <c r="AF43" i="17"/>
  <c r="AI43" i="17"/>
  <c r="AL43" i="17"/>
  <c r="AO43" i="17"/>
  <c r="AR43" i="17"/>
  <c r="J44" i="17"/>
  <c r="M44" i="17"/>
  <c r="P44" i="17"/>
  <c r="R44" i="17"/>
  <c r="S44" i="17"/>
  <c r="U44" i="17"/>
  <c r="V44" i="17"/>
  <c r="X44" i="17"/>
  <c r="Y44" i="17"/>
  <c r="AA44" i="17"/>
  <c r="AC44" i="17"/>
  <c r="AE44" i="17"/>
  <c r="AF44" i="17"/>
  <c r="AH44" i="17"/>
  <c r="AI44" i="17"/>
  <c r="AK44" i="17"/>
  <c r="AL44" i="17"/>
  <c r="AN44" i="17"/>
  <c r="AO44" i="17"/>
  <c r="AQ44" i="17"/>
  <c r="AR44" i="17"/>
  <c r="AT44" i="17"/>
  <c r="A45" i="17"/>
  <c r="J45" i="17"/>
  <c r="M45" i="17"/>
  <c r="P45" i="17"/>
  <c r="S45" i="17"/>
  <c r="V45" i="17"/>
  <c r="Y45" i="17"/>
  <c r="AC45" i="17"/>
  <c r="AF45" i="17"/>
  <c r="AI45" i="17"/>
  <c r="AL45" i="17"/>
  <c r="AO45" i="17"/>
  <c r="AR45" i="17"/>
  <c r="A46" i="17"/>
  <c r="J46" i="17"/>
  <c r="M46" i="17"/>
  <c r="P46" i="17"/>
  <c r="S46" i="17"/>
  <c r="V46" i="17"/>
  <c r="Y46" i="17"/>
  <c r="AC46" i="17"/>
  <c r="AF46" i="17"/>
  <c r="AI46" i="17"/>
  <c r="AL46" i="17"/>
  <c r="AO46" i="17"/>
  <c r="AR46" i="17"/>
  <c r="A47" i="17"/>
  <c r="J47" i="17"/>
  <c r="M47" i="17"/>
  <c r="P47" i="17"/>
  <c r="S47" i="17"/>
  <c r="V47" i="17"/>
  <c r="Y47" i="17"/>
  <c r="AC47" i="17"/>
  <c r="AF47" i="17"/>
  <c r="AI47" i="17"/>
  <c r="AL47" i="17"/>
  <c r="AO47" i="17"/>
  <c r="AR47" i="17"/>
  <c r="A48" i="17"/>
  <c r="J48" i="17"/>
  <c r="M48" i="17"/>
  <c r="P48" i="17"/>
  <c r="S48" i="17"/>
  <c r="V48" i="17"/>
  <c r="Y48" i="17"/>
  <c r="AC48" i="17"/>
  <c r="AF48" i="17"/>
  <c r="AI48" i="17"/>
  <c r="AL48" i="17"/>
  <c r="AO48" i="17"/>
  <c r="AR48" i="17"/>
  <c r="A49" i="17"/>
  <c r="J49" i="17"/>
  <c r="M49" i="17"/>
  <c r="P49" i="17"/>
  <c r="S49" i="17"/>
  <c r="V49" i="17"/>
  <c r="Y49" i="17"/>
  <c r="AC49" i="17"/>
  <c r="AF49" i="17"/>
  <c r="AI49" i="17"/>
  <c r="AL49" i="17"/>
  <c r="AO49" i="17"/>
  <c r="AR49" i="17"/>
  <c r="J16" i="17"/>
  <c r="L16" i="17"/>
  <c r="M16" i="17"/>
  <c r="O16" i="17"/>
  <c r="P16" i="17"/>
  <c r="R16" i="17"/>
  <c r="S16" i="17"/>
  <c r="U16" i="17"/>
  <c r="V16" i="17"/>
  <c r="X16" i="17"/>
  <c r="Y16" i="17"/>
  <c r="AA16" i="17"/>
  <c r="AC16" i="17"/>
  <c r="AE16" i="17"/>
  <c r="AF16" i="17"/>
  <c r="AH16" i="17"/>
  <c r="AI16" i="17"/>
  <c r="AK16" i="17"/>
  <c r="AL16" i="17"/>
  <c r="AN16" i="17"/>
  <c r="AO16" i="17"/>
  <c r="AQ16" i="17"/>
  <c r="AR16" i="17"/>
  <c r="AT16" i="17"/>
  <c r="A17" i="17"/>
  <c r="J17" i="17"/>
  <c r="M17" i="17"/>
  <c r="P17" i="17"/>
  <c r="S17" i="17"/>
  <c r="V17" i="17"/>
  <c r="Y17" i="17"/>
  <c r="AC17" i="17"/>
  <c r="AF17" i="17"/>
  <c r="AI17" i="17"/>
  <c r="AL17" i="17"/>
  <c r="AO17" i="17"/>
  <c r="AR17" i="17"/>
  <c r="A18" i="17"/>
  <c r="J18" i="17"/>
  <c r="M18" i="17"/>
  <c r="P18" i="17"/>
  <c r="S18" i="17"/>
  <c r="V18" i="17"/>
  <c r="Y18" i="17"/>
  <c r="AC18" i="17"/>
  <c r="AF18" i="17"/>
  <c r="AI18" i="17"/>
  <c r="AL18" i="17"/>
  <c r="AO18" i="17"/>
  <c r="AR18" i="17"/>
  <c r="A19" i="17"/>
  <c r="J19" i="17"/>
  <c r="M19" i="17"/>
  <c r="P19" i="17"/>
  <c r="S19" i="17"/>
  <c r="V19" i="17"/>
  <c r="Y19" i="17"/>
  <c r="AC19" i="17"/>
  <c r="AF19" i="17"/>
  <c r="AI19" i="17"/>
  <c r="AL19" i="17"/>
  <c r="AO19" i="17"/>
  <c r="AR19" i="17"/>
  <c r="A24" i="17"/>
  <c r="J24" i="17"/>
  <c r="M24" i="17"/>
  <c r="P24" i="17"/>
  <c r="S24" i="17"/>
  <c r="V24" i="17"/>
  <c r="Y24" i="17"/>
  <c r="AC24" i="17"/>
  <c r="AF24" i="17"/>
  <c r="AI24" i="17"/>
  <c r="AL24" i="17"/>
  <c r="AO24" i="17"/>
  <c r="AR24" i="17"/>
  <c r="A26" i="17"/>
  <c r="J26" i="17"/>
  <c r="M26" i="17"/>
  <c r="P26" i="17"/>
  <c r="S26" i="17"/>
  <c r="V26" i="17"/>
  <c r="Y26" i="17"/>
  <c r="AC26" i="17"/>
  <c r="AF26" i="17"/>
  <c r="AI26" i="17"/>
  <c r="AL26" i="17"/>
  <c r="AO26" i="17"/>
  <c r="AR26" i="17"/>
  <c r="A82" i="16"/>
  <c r="A83" i="16"/>
  <c r="A86" i="16"/>
  <c r="A81" i="16"/>
  <c r="J80" i="16"/>
  <c r="L80" i="16"/>
  <c r="O80" i="16"/>
  <c r="R80" i="16"/>
  <c r="U80" i="16"/>
  <c r="X80" i="16"/>
  <c r="AA80" i="16"/>
  <c r="AC80" i="16"/>
  <c r="AE80" i="16"/>
  <c r="AH80" i="16"/>
  <c r="AK80" i="16"/>
  <c r="AN80" i="16"/>
  <c r="AQ80" i="16"/>
  <c r="AT80" i="16"/>
  <c r="J81" i="16"/>
  <c r="AC81" i="16"/>
  <c r="J82" i="16"/>
  <c r="AC82" i="16"/>
  <c r="J83" i="16"/>
  <c r="AC83" i="16"/>
  <c r="J86" i="16"/>
  <c r="AC86" i="16"/>
  <c r="A44" i="16"/>
  <c r="A45" i="16"/>
  <c r="A46" i="16"/>
  <c r="A47" i="16"/>
  <c r="A79" i="16"/>
  <c r="A43" i="16"/>
  <c r="J42" i="16"/>
  <c r="L42" i="16"/>
  <c r="O42" i="16"/>
  <c r="R42" i="16"/>
  <c r="U42" i="16"/>
  <c r="X42" i="16"/>
  <c r="AA42" i="16"/>
  <c r="AC42" i="16"/>
  <c r="AE42" i="16"/>
  <c r="AH42" i="16"/>
  <c r="AK42" i="16"/>
  <c r="AN42" i="16"/>
  <c r="AQ42" i="16"/>
  <c r="AT42" i="16"/>
  <c r="J43" i="16"/>
  <c r="AC43" i="16"/>
  <c r="J44" i="16"/>
  <c r="AC44" i="16"/>
  <c r="J45" i="16"/>
  <c r="AC45" i="16"/>
  <c r="J46" i="16"/>
  <c r="AC46" i="16"/>
  <c r="J47" i="16"/>
  <c r="AC47" i="16"/>
  <c r="J79" i="16"/>
  <c r="AC79" i="16"/>
  <c r="AQ16" i="16"/>
  <c r="AT16" i="16"/>
  <c r="AN16" i="16"/>
  <c r="AK16" i="16"/>
  <c r="AH16" i="16"/>
  <c r="AE16" i="16"/>
  <c r="AA16" i="16"/>
  <c r="X16" i="16"/>
  <c r="U16" i="16"/>
  <c r="R16" i="16"/>
  <c r="M3" i="16"/>
  <c r="P3" i="16"/>
  <c r="S3" i="16"/>
  <c r="V3" i="16"/>
  <c r="Y3" i="16"/>
  <c r="AF3" i="16"/>
  <c r="AI3" i="16"/>
  <c r="AL3" i="16"/>
  <c r="AO3" i="16"/>
  <c r="AR3" i="16"/>
  <c r="O4" i="16"/>
  <c r="R4" i="16"/>
  <c r="U4" i="16"/>
  <c r="X4" i="16"/>
  <c r="AA4" i="16"/>
  <c r="AE4" i="16"/>
  <c r="AH4" i="16"/>
  <c r="AK4" i="16"/>
  <c r="AN4" i="16"/>
  <c r="AQ4" i="16"/>
  <c r="AT4" i="16"/>
  <c r="J4" i="16"/>
  <c r="M4" i="16"/>
  <c r="P4" i="16"/>
  <c r="S4" i="16"/>
  <c r="V4" i="16"/>
  <c r="Y4" i="16"/>
  <c r="AC4" i="16"/>
  <c r="AF4" i="16"/>
  <c r="AI4" i="16"/>
  <c r="AL4" i="16"/>
  <c r="AO4" i="16"/>
  <c r="AR4" i="16"/>
  <c r="A5" i="16"/>
  <c r="J5" i="16"/>
  <c r="M5" i="16"/>
  <c r="P5" i="16"/>
  <c r="S5" i="16"/>
  <c r="V5" i="16"/>
  <c r="Y5" i="16"/>
  <c r="AC5" i="16"/>
  <c r="AF5" i="16"/>
  <c r="AI5" i="16"/>
  <c r="AL5" i="16"/>
  <c r="AO5" i="16"/>
  <c r="AR5" i="16"/>
  <c r="A10" i="16"/>
  <c r="J10" i="16"/>
  <c r="M10" i="16"/>
  <c r="P10" i="16"/>
  <c r="S10" i="16"/>
  <c r="V10" i="16"/>
  <c r="Y10" i="16"/>
  <c r="AC10" i="16"/>
  <c r="AF10" i="16"/>
  <c r="AI10" i="16"/>
  <c r="AL10" i="16"/>
  <c r="AO10" i="16"/>
  <c r="AR10" i="16"/>
  <c r="A11" i="16"/>
  <c r="J11" i="16"/>
  <c r="M11" i="16"/>
  <c r="P11" i="16"/>
  <c r="S11" i="16"/>
  <c r="V11" i="16"/>
  <c r="Y11" i="16"/>
  <c r="AC11" i="16"/>
  <c r="AF11" i="16"/>
  <c r="AI11" i="16"/>
  <c r="AL11" i="16"/>
  <c r="AO11" i="16"/>
  <c r="AR11" i="16"/>
  <c r="A12" i="16"/>
  <c r="M12" i="16"/>
  <c r="P12" i="16"/>
  <c r="S12" i="16"/>
  <c r="V12" i="16"/>
  <c r="Y12" i="16"/>
  <c r="AC12" i="16"/>
  <c r="AF12" i="16"/>
  <c r="AI12" i="16"/>
  <c r="AL12" i="16"/>
  <c r="AO12" i="16"/>
  <c r="AR12" i="16"/>
  <c r="A13" i="16"/>
  <c r="M13" i="16"/>
  <c r="P13" i="16"/>
  <c r="S13" i="16"/>
  <c r="V13" i="16"/>
  <c r="Y13" i="16"/>
  <c r="AC13" i="16"/>
  <c r="AF13" i="16"/>
  <c r="AI13" i="16"/>
  <c r="AL13" i="16"/>
  <c r="AO13" i="16"/>
  <c r="AR13" i="16"/>
  <c r="A14" i="16"/>
  <c r="M14" i="16"/>
  <c r="P14" i="16"/>
  <c r="S14" i="16"/>
  <c r="V14" i="16"/>
  <c r="Y14" i="16"/>
  <c r="AC14" i="16"/>
  <c r="AF14" i="16"/>
  <c r="AI14" i="16"/>
  <c r="AL14" i="16"/>
  <c r="AO14" i="16"/>
  <c r="AR14" i="16"/>
  <c r="A15" i="16"/>
  <c r="J15" i="16"/>
  <c r="M15" i="16"/>
  <c r="P15" i="16"/>
  <c r="S15" i="16"/>
  <c r="V15" i="16"/>
  <c r="Y15" i="16"/>
  <c r="AC15" i="16"/>
  <c r="AF15" i="16"/>
  <c r="AI15" i="16"/>
  <c r="AL15" i="16"/>
  <c r="AO15" i="16"/>
  <c r="AR15" i="16"/>
  <c r="J16" i="16"/>
  <c r="M16" i="16"/>
  <c r="P16" i="16"/>
  <c r="S16" i="16"/>
  <c r="V16" i="16"/>
  <c r="Y16" i="16"/>
  <c r="AC16" i="16"/>
  <c r="AF16" i="16"/>
  <c r="AI16" i="16"/>
  <c r="AL16" i="16"/>
  <c r="AO16" i="16"/>
  <c r="AR16" i="16"/>
  <c r="A17" i="16"/>
  <c r="J17" i="16"/>
  <c r="M17" i="16"/>
  <c r="P17" i="16"/>
  <c r="S17" i="16"/>
  <c r="V17" i="16"/>
  <c r="Y17" i="16"/>
  <c r="AC17" i="16"/>
  <c r="AF17" i="16"/>
  <c r="AI17" i="16"/>
  <c r="AL17" i="16"/>
  <c r="AO17" i="16"/>
  <c r="AR17" i="16"/>
  <c r="A18" i="16"/>
  <c r="J18" i="16"/>
  <c r="M18" i="16"/>
  <c r="P18" i="16"/>
  <c r="S18" i="16"/>
  <c r="V18" i="16"/>
  <c r="Y18" i="16"/>
  <c r="AC18" i="16"/>
  <c r="AF18" i="16"/>
  <c r="AI18" i="16"/>
  <c r="AL18" i="16"/>
  <c r="AO18" i="16"/>
  <c r="AR18" i="16"/>
  <c r="A19" i="16"/>
  <c r="J19" i="16"/>
  <c r="M19" i="16"/>
  <c r="P19" i="16"/>
  <c r="S19" i="16"/>
  <c r="V19" i="16"/>
  <c r="Y19" i="16"/>
  <c r="AC19" i="16"/>
  <c r="AF19" i="16"/>
  <c r="AI19" i="16"/>
  <c r="AL19" i="16"/>
  <c r="AO19" i="16"/>
  <c r="AR19" i="16"/>
  <c r="A20" i="16"/>
  <c r="J20" i="16"/>
  <c r="M20" i="16"/>
  <c r="P20" i="16"/>
  <c r="S20" i="16"/>
  <c r="V20" i="16"/>
  <c r="Y20" i="16"/>
  <c r="AC20" i="16"/>
  <c r="AF20" i="16"/>
  <c r="AI20" i="16"/>
  <c r="AL20" i="16"/>
  <c r="AO20" i="16"/>
  <c r="AR20" i="16"/>
  <c r="A21" i="16"/>
  <c r="J21" i="16"/>
  <c r="M21" i="16"/>
  <c r="P21" i="16"/>
  <c r="S21" i="16"/>
  <c r="V21" i="16"/>
  <c r="Y21" i="16"/>
  <c r="AC21" i="16"/>
  <c r="AF21" i="16"/>
  <c r="AI21" i="16"/>
  <c r="AL21" i="16"/>
  <c r="AO21" i="16"/>
  <c r="AR21" i="16"/>
  <c r="A22" i="16"/>
  <c r="J22" i="16"/>
  <c r="M22" i="16"/>
  <c r="P22" i="16"/>
  <c r="S22" i="16"/>
  <c r="V22" i="16"/>
  <c r="Y22" i="16"/>
  <c r="AC22" i="16"/>
  <c r="AF22" i="16"/>
  <c r="AI22" i="16"/>
  <c r="AL22" i="16"/>
  <c r="AO22" i="16"/>
  <c r="AR22" i="16"/>
  <c r="A4" i="10"/>
  <c r="A5" i="10"/>
  <c r="A6" i="10"/>
  <c r="A7" i="10"/>
  <c r="A8" i="10"/>
  <c r="A9" i="10"/>
  <c r="A10" i="10"/>
  <c r="A11" i="10"/>
  <c r="A12" i="10"/>
  <c r="A13" i="10"/>
  <c r="A14" i="10"/>
  <c r="A15" i="10"/>
  <c r="A16" i="10"/>
  <c r="A17" i="10"/>
  <c r="A3" i="10"/>
  <c r="A4" i="7"/>
  <c r="A5" i="7"/>
  <c r="A6" i="7"/>
  <c r="A7" i="7"/>
  <c r="A8" i="7"/>
  <c r="A9" i="7"/>
  <c r="A10" i="7"/>
  <c r="A11" i="7"/>
  <c r="A12" i="7"/>
  <c r="A13" i="7"/>
  <c r="A14" i="7"/>
  <c r="A15" i="7"/>
  <c r="A16" i="7"/>
  <c r="A17" i="7"/>
  <c r="A3" i="7"/>
  <c r="A3" i="2"/>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 i="1"/>
  <c r="A372" i="8"/>
  <c r="A291" i="8"/>
  <c r="B60" i="16" s="1"/>
  <c r="A57" i="8"/>
  <c r="B118" i="16" s="1"/>
  <c r="A58" i="8"/>
  <c r="B119" i="16" s="1"/>
  <c r="A64" i="8"/>
  <c r="B120" i="16" s="1"/>
  <c r="A65" i="8"/>
  <c r="B121" i="16" s="1"/>
  <c r="A66" i="8"/>
  <c r="A71" i="8"/>
  <c r="B122" i="16" s="1"/>
  <c r="A72" i="8"/>
  <c r="B123" i="16" s="1"/>
  <c r="A77" i="8"/>
  <c r="A78" i="8"/>
  <c r="B124" i="16" s="1"/>
  <c r="A79" i="8"/>
  <c r="B125" i="16" s="1"/>
  <c r="A80" i="8"/>
  <c r="B126" i="16" s="1"/>
  <c r="A81" i="8"/>
  <c r="B127" i="16" s="1"/>
  <c r="A82" i="8"/>
  <c r="A83" i="8"/>
  <c r="A84" i="8"/>
  <c r="A89" i="8"/>
  <c r="A90" i="8"/>
  <c r="A96" i="8"/>
  <c r="B87" i="16" s="1"/>
  <c r="A97" i="8"/>
  <c r="B88" i="16" s="1"/>
  <c r="A102" i="8"/>
  <c r="A103" i="8"/>
  <c r="A104" i="8"/>
  <c r="A105" i="8"/>
  <c r="B43" i="16" s="1"/>
  <c r="A106" i="8"/>
  <c r="B44" i="16" s="1"/>
  <c r="A111" i="8"/>
  <c r="A112" i="8"/>
  <c r="B45" i="16" s="1"/>
  <c r="A113" i="8"/>
  <c r="B46" i="16" s="1"/>
  <c r="A118" i="8"/>
  <c r="A119" i="8"/>
  <c r="B128" i="16" s="1"/>
  <c r="A120" i="8"/>
  <c r="B129" i="16" s="1"/>
  <c r="A121" i="8"/>
  <c r="A126" i="8"/>
  <c r="B130" i="16" s="1"/>
  <c r="A127" i="8"/>
  <c r="B131" i="16" s="1"/>
  <c r="A128" i="8"/>
  <c r="A133" i="8"/>
  <c r="B90" i="16" s="1"/>
  <c r="A134" i="8"/>
  <c r="A135" i="8"/>
  <c r="A136" i="8"/>
  <c r="A137" i="8"/>
  <c r="A152" i="8"/>
  <c r="A153" i="8"/>
  <c r="A154" i="8"/>
  <c r="A160" i="8"/>
  <c r="A161" i="8"/>
  <c r="A143" i="8"/>
  <c r="B47" i="16" s="1"/>
  <c r="A144" i="8"/>
  <c r="A145" i="8"/>
  <c r="B48" i="16" s="1"/>
  <c r="A146" i="8"/>
  <c r="A147" i="8"/>
  <c r="A162" i="8"/>
  <c r="A163" i="8"/>
  <c r="A164" i="8"/>
  <c r="A165" i="8"/>
  <c r="A166" i="8"/>
  <c r="B49" i="16" s="1"/>
  <c r="A167" i="8"/>
  <c r="B50" i="16" s="1"/>
  <c r="A168" i="8"/>
  <c r="A169" i="8"/>
  <c r="A170" i="8"/>
  <c r="A171" i="8"/>
  <c r="A172" i="8"/>
  <c r="A173" i="8"/>
  <c r="A174" i="8"/>
  <c r="B51" i="16" s="1"/>
  <c r="A175" i="8"/>
  <c r="A176" i="8"/>
  <c r="A177" i="8"/>
  <c r="A178" i="8"/>
  <c r="A183" i="8"/>
  <c r="A184" i="8"/>
  <c r="A189" i="8"/>
  <c r="A190" i="8"/>
  <c r="B132" i="16" s="1"/>
  <c r="A191" i="8"/>
  <c r="B133" i="16" s="1"/>
  <c r="A196" i="8"/>
  <c r="A197" i="8"/>
  <c r="B91" i="16" s="1"/>
  <c r="A198" i="8"/>
  <c r="B92" i="16" s="1"/>
  <c r="A202" i="8"/>
  <c r="A204" i="8"/>
  <c r="A205" i="8"/>
  <c r="A209" i="8"/>
  <c r="A211" i="8"/>
  <c r="B7" i="16" s="1"/>
  <c r="A212" i="8"/>
  <c r="B83" i="16" s="1"/>
  <c r="A214" i="8"/>
  <c r="A215" i="8"/>
  <c r="A220" i="8"/>
  <c r="A223" i="8"/>
  <c r="A224" i="8"/>
  <c r="A228" i="8"/>
  <c r="A230" i="8"/>
  <c r="A231" i="8"/>
  <c r="A233" i="8"/>
  <c r="A237" i="8"/>
  <c r="A238" i="8"/>
  <c r="A239" i="8"/>
  <c r="A244" i="8"/>
  <c r="A245" i="8"/>
  <c r="A246" i="8"/>
  <c r="A251" i="8"/>
  <c r="A252" i="8"/>
  <c r="A257" i="8"/>
  <c r="A258" i="8"/>
  <c r="B52" i="16" s="1"/>
  <c r="A259" i="8"/>
  <c r="B53" i="16" s="1"/>
  <c r="A264" i="8"/>
  <c r="A267" i="8"/>
  <c r="A268" i="8"/>
  <c r="B55" i="16" s="1"/>
  <c r="A269" i="8"/>
  <c r="A274" i="8"/>
  <c r="A275" i="8"/>
  <c r="A276" i="8"/>
  <c r="A277" i="8"/>
  <c r="A282" i="8"/>
  <c r="A283" i="8"/>
  <c r="B57" i="16" s="1"/>
  <c r="A284" i="8"/>
  <c r="B58" i="16" s="1"/>
  <c r="A285" i="8"/>
  <c r="B59" i="16" s="1"/>
  <c r="A290" i="8"/>
  <c r="A292" i="8"/>
  <c r="A293" i="8"/>
  <c r="B61" i="16" s="1"/>
  <c r="A294" i="8"/>
  <c r="A299" i="8"/>
  <c r="A300" i="8"/>
  <c r="A301" i="8"/>
  <c r="A306" i="8"/>
  <c r="A307" i="8"/>
  <c r="B97" i="16" s="1"/>
  <c r="A308" i="8"/>
  <c r="B98" i="16" s="1"/>
  <c r="A313" i="8"/>
  <c r="A314" i="8"/>
  <c r="B99" i="16" s="1"/>
  <c r="A315" i="8"/>
  <c r="B100" i="16" s="1"/>
  <c r="A320" i="8"/>
  <c r="A321" i="8"/>
  <c r="B101" i="16" s="1"/>
  <c r="A322" i="8"/>
  <c r="B102" i="16" s="1"/>
  <c r="A327" i="8"/>
  <c r="A328" i="8"/>
  <c r="B103" i="16" s="1"/>
  <c r="A329" i="8"/>
  <c r="B104" i="16" s="1"/>
  <c r="A334" i="8"/>
  <c r="A335" i="8"/>
  <c r="B5" i="16" s="1"/>
  <c r="A337" i="8"/>
  <c r="B81" i="16" s="1"/>
  <c r="A346" i="8"/>
  <c r="A347" i="8"/>
  <c r="A352" i="8"/>
  <c r="A353" i="8"/>
  <c r="B105" i="16" s="1"/>
  <c r="A354" i="8"/>
  <c r="B106" i="16" s="1"/>
  <c r="A355" i="8"/>
  <c r="A356" i="8"/>
  <c r="A357" i="8"/>
  <c r="A358" i="8"/>
  <c r="A363" i="8"/>
  <c r="A365" i="8"/>
  <c r="B62" i="16" s="1"/>
  <c r="A366" i="8"/>
  <c r="B63" i="16" s="1"/>
  <c r="A367" i="8"/>
  <c r="B64" i="16" s="1"/>
  <c r="A373" i="8"/>
  <c r="B144" i="16" s="1"/>
  <c r="A374" i="8"/>
  <c r="A375" i="8"/>
  <c r="B145" i="16" s="1"/>
  <c r="A380" i="8"/>
  <c r="A381" i="8"/>
  <c r="B107" i="16" s="1"/>
  <c r="A382" i="8"/>
  <c r="A383" i="8"/>
  <c r="B108" i="16" s="1"/>
  <c r="A388" i="8"/>
  <c r="A389" i="8"/>
  <c r="A390" i="8"/>
  <c r="A391" i="8"/>
  <c r="A396" i="8"/>
  <c r="A397" i="8"/>
  <c r="A398" i="8"/>
  <c r="A399" i="8"/>
  <c r="A404" i="8"/>
  <c r="A405" i="8"/>
  <c r="A406" i="8"/>
  <c r="A407" i="8"/>
  <c r="A412" i="8"/>
  <c r="A3" i="8"/>
  <c r="A17" i="8"/>
  <c r="A18" i="8"/>
  <c r="A23" i="8"/>
  <c r="A28" i="8"/>
  <c r="A29" i="8"/>
  <c r="B114" i="16" s="1"/>
  <c r="A30" i="8"/>
  <c r="B115" i="16" s="1"/>
  <c r="A31" i="8"/>
  <c r="A36" i="8"/>
  <c r="B116" i="16" s="1"/>
  <c r="A37" i="8"/>
  <c r="B117" i="16" s="1"/>
  <c r="A38" i="8"/>
  <c r="A43" i="8"/>
  <c r="A44" i="8"/>
  <c r="A45" i="8"/>
  <c r="A50" i="8"/>
  <c r="A51" i="8"/>
  <c r="A56" i="8"/>
  <c r="C3" i="14"/>
  <c r="C4" i="14"/>
  <c r="C5" i="14"/>
  <c r="C6" i="14"/>
  <c r="C7" i="14"/>
  <c r="C8" i="14"/>
  <c r="C3" i="13"/>
  <c r="C4" i="13"/>
  <c r="C5" i="13"/>
  <c r="C6" i="13"/>
  <c r="C7" i="13"/>
  <c r="C8" i="13"/>
  <c r="C8" i="12"/>
  <c r="C4" i="12"/>
  <c r="C5" i="12"/>
  <c r="C6" i="12"/>
  <c r="C7" i="12"/>
  <c r="C3" i="12"/>
  <c r="G54" i="17" l="1"/>
  <c r="F54" i="17"/>
  <c r="E54" i="17"/>
  <c r="D54" i="17"/>
  <c r="C54" i="17"/>
  <c r="AR109" i="16"/>
  <c r="AR110" i="16"/>
  <c r="AR111" i="16"/>
  <c r="AO109" i="16"/>
  <c r="AO110" i="16"/>
  <c r="AO111" i="16"/>
  <c r="AL109" i="16"/>
  <c r="AL110" i="16"/>
  <c r="AL111" i="16"/>
  <c r="AI109" i="16"/>
  <c r="AI110" i="16"/>
  <c r="AI111" i="16"/>
  <c r="AF109" i="16"/>
  <c r="AF110" i="16"/>
  <c r="AF111" i="16"/>
  <c r="Y109" i="16"/>
  <c r="Y110" i="16"/>
  <c r="Y111" i="16"/>
  <c r="V109" i="16"/>
  <c r="V110" i="16"/>
  <c r="V111" i="16"/>
  <c r="S109" i="16"/>
  <c r="S110" i="16"/>
  <c r="S111" i="16"/>
  <c r="P109" i="16"/>
  <c r="P110" i="16"/>
  <c r="P111" i="16"/>
  <c r="M109" i="16"/>
  <c r="M110" i="16"/>
  <c r="M111" i="16"/>
  <c r="CD109" i="16"/>
  <c r="CD110" i="16"/>
  <c r="CD111" i="16"/>
  <c r="CA109" i="16"/>
  <c r="CA110" i="16"/>
  <c r="CA111" i="16"/>
  <c r="BX109" i="16"/>
  <c r="BX110" i="16"/>
  <c r="BX111" i="16"/>
  <c r="BU109" i="16"/>
  <c r="BU110" i="16"/>
  <c r="BU111" i="16"/>
  <c r="BR109" i="16"/>
  <c r="BR110" i="16"/>
  <c r="BR111" i="16"/>
  <c r="BK109" i="16"/>
  <c r="BK110" i="16"/>
  <c r="BK111" i="16"/>
  <c r="BH109" i="16"/>
  <c r="BH110" i="16"/>
  <c r="BH111" i="16"/>
  <c r="BE109" i="16"/>
  <c r="BE110" i="16"/>
  <c r="BE111" i="16"/>
  <c r="BB109" i="16"/>
  <c r="BB110" i="16"/>
  <c r="BB111" i="16"/>
  <c r="AY109" i="16"/>
  <c r="AY110" i="16"/>
  <c r="AY111" i="16"/>
  <c r="DP109" i="16"/>
  <c r="DP110" i="16"/>
  <c r="DP111" i="16"/>
  <c r="DM109" i="16"/>
  <c r="DM110" i="16"/>
  <c r="DM111" i="16"/>
  <c r="DJ109" i="16"/>
  <c r="DJ110" i="16"/>
  <c r="DJ111" i="16"/>
  <c r="DG109" i="16"/>
  <c r="DG110" i="16"/>
  <c r="DG111" i="16"/>
  <c r="DD109" i="16"/>
  <c r="DD110" i="16"/>
  <c r="DD111" i="16"/>
  <c r="CW109" i="16"/>
  <c r="CW110" i="16"/>
  <c r="CW111" i="16"/>
  <c r="CT109" i="16"/>
  <c r="CT110" i="16"/>
  <c r="CT111" i="16"/>
  <c r="CQ109" i="16"/>
  <c r="CQ110" i="16"/>
  <c r="CQ111" i="16"/>
  <c r="CN109" i="16"/>
  <c r="CN110" i="16"/>
  <c r="CN111" i="16"/>
  <c r="CK109" i="16"/>
  <c r="CK110" i="16"/>
  <c r="CK111" i="16"/>
  <c r="B96" i="16"/>
  <c r="B141" i="16"/>
  <c r="B95" i="16"/>
  <c r="B140" i="16"/>
  <c r="B56" i="16"/>
  <c r="B139" i="16"/>
  <c r="B54" i="16"/>
  <c r="B138" i="16"/>
  <c r="B68" i="16"/>
  <c r="B94" i="16"/>
  <c r="B67" i="16"/>
  <c r="B93" i="16"/>
  <c r="AR172" i="16"/>
  <c r="AR173" i="16"/>
  <c r="AO172" i="16"/>
  <c r="AO173" i="16"/>
  <c r="AL172" i="16"/>
  <c r="AL173" i="16"/>
  <c r="AI172" i="16"/>
  <c r="AI173" i="16"/>
  <c r="AF172" i="16"/>
  <c r="AF173" i="16"/>
  <c r="Y172" i="16"/>
  <c r="Y173" i="16"/>
  <c r="V172" i="16"/>
  <c r="V173" i="16"/>
  <c r="S172" i="16"/>
  <c r="S173" i="16"/>
  <c r="P172" i="16"/>
  <c r="P173" i="16"/>
  <c r="M172" i="16"/>
  <c r="M173" i="16"/>
  <c r="CD172" i="16"/>
  <c r="CD173" i="16"/>
  <c r="CA172" i="16"/>
  <c r="CA173" i="16"/>
  <c r="BX172" i="16"/>
  <c r="BX173" i="16"/>
  <c r="BU172" i="16"/>
  <c r="BU173" i="16"/>
  <c r="BR172" i="16"/>
  <c r="BR173" i="16"/>
  <c r="BK172" i="16"/>
  <c r="BK173" i="16"/>
  <c r="BH172" i="16"/>
  <c r="BH173" i="16"/>
  <c r="BE172" i="16"/>
  <c r="BE173" i="16"/>
  <c r="BB172" i="16"/>
  <c r="BB173" i="16"/>
  <c r="AY172" i="16"/>
  <c r="AY173" i="16"/>
  <c r="DP172" i="16"/>
  <c r="DP173" i="16"/>
  <c r="DM172" i="16"/>
  <c r="DM173" i="16"/>
  <c r="DJ172" i="16"/>
  <c r="DJ173" i="16"/>
  <c r="DG172" i="16"/>
  <c r="DG173" i="16"/>
  <c r="DD172" i="16"/>
  <c r="DD173" i="16"/>
  <c r="CW172" i="16"/>
  <c r="CW173" i="16"/>
  <c r="CT172" i="16"/>
  <c r="CT173" i="16"/>
  <c r="CQ172" i="16"/>
  <c r="CQ173" i="16"/>
  <c r="CN172" i="16"/>
  <c r="CN173" i="16"/>
  <c r="CK172" i="16"/>
  <c r="CK173" i="16"/>
  <c r="AR108" i="16"/>
  <c r="AO108" i="16"/>
  <c r="AL108" i="16"/>
  <c r="AI108" i="16"/>
  <c r="AF108" i="16"/>
  <c r="Y108" i="16"/>
  <c r="V108" i="16"/>
  <c r="S108" i="16"/>
  <c r="P108" i="16"/>
  <c r="M108" i="16"/>
  <c r="CD108" i="16"/>
  <c r="CA108" i="16"/>
  <c r="BX108" i="16"/>
  <c r="BU108" i="16"/>
  <c r="BR108" i="16"/>
  <c r="BK108" i="16"/>
  <c r="BH108" i="16"/>
  <c r="BE108" i="16"/>
  <c r="BB108" i="16"/>
  <c r="AY108" i="16"/>
  <c r="DP108" i="16"/>
  <c r="DM108" i="16"/>
  <c r="DJ108" i="16"/>
  <c r="DG108" i="16"/>
  <c r="DD108" i="16"/>
  <c r="CW108" i="16"/>
  <c r="CT108" i="16"/>
  <c r="CQ108" i="16"/>
  <c r="CN108" i="16"/>
  <c r="CK108" i="16"/>
  <c r="AR105" i="16"/>
  <c r="AR106" i="16"/>
  <c r="AR107" i="16"/>
  <c r="AR112" i="16"/>
  <c r="AR113" i="16"/>
  <c r="AO105" i="16"/>
  <c r="AO106" i="16"/>
  <c r="AO107" i="16"/>
  <c r="AO112" i="16"/>
  <c r="AO113" i="16"/>
  <c r="AL105" i="16"/>
  <c r="AL106" i="16"/>
  <c r="AL107" i="16"/>
  <c r="AL112" i="16"/>
  <c r="AL113" i="16"/>
  <c r="AI105" i="16"/>
  <c r="AI106" i="16"/>
  <c r="AI107" i="16"/>
  <c r="AI112" i="16"/>
  <c r="AI113" i="16"/>
  <c r="AF105" i="16"/>
  <c r="AF106" i="16"/>
  <c r="AF107" i="16"/>
  <c r="AF112" i="16"/>
  <c r="AF113" i="16"/>
  <c r="Y105" i="16"/>
  <c r="Y106" i="16"/>
  <c r="Y107" i="16"/>
  <c r="Y112" i="16"/>
  <c r="Y113" i="16"/>
  <c r="V105" i="16"/>
  <c r="V106" i="16"/>
  <c r="V107" i="16"/>
  <c r="V112" i="16"/>
  <c r="V113" i="16"/>
  <c r="S105" i="16"/>
  <c r="S106" i="16"/>
  <c r="S107" i="16"/>
  <c r="S112" i="16"/>
  <c r="S113" i="16"/>
  <c r="P105" i="16"/>
  <c r="P106" i="16"/>
  <c r="P107" i="16"/>
  <c r="P112" i="16"/>
  <c r="P113" i="16"/>
  <c r="M105" i="16"/>
  <c r="M106" i="16"/>
  <c r="M107" i="16"/>
  <c r="M112" i="16"/>
  <c r="M113" i="16"/>
  <c r="CD105" i="16"/>
  <c r="CD106" i="16"/>
  <c r="CD107" i="16"/>
  <c r="CD112" i="16"/>
  <c r="CD113" i="16"/>
  <c r="CA105" i="16"/>
  <c r="CA106" i="16"/>
  <c r="CA107" i="16"/>
  <c r="CA112" i="16"/>
  <c r="CA113" i="16"/>
  <c r="BX105" i="16"/>
  <c r="BX106" i="16"/>
  <c r="BX107" i="16"/>
  <c r="BX112" i="16"/>
  <c r="BX113" i="16"/>
  <c r="BU105" i="16"/>
  <c r="BU106" i="16"/>
  <c r="BU107" i="16"/>
  <c r="BU112" i="16"/>
  <c r="BU113" i="16"/>
  <c r="BR105" i="16"/>
  <c r="BR106" i="16"/>
  <c r="BR107" i="16"/>
  <c r="BR112" i="16"/>
  <c r="BR113" i="16"/>
  <c r="BK105" i="16"/>
  <c r="BK106" i="16"/>
  <c r="BK107" i="16"/>
  <c r="BK112" i="16"/>
  <c r="BK113" i="16"/>
  <c r="BH105" i="16"/>
  <c r="BH106" i="16"/>
  <c r="BH107" i="16"/>
  <c r="BH112" i="16"/>
  <c r="BH113" i="16"/>
  <c r="BE105" i="16"/>
  <c r="BE106" i="16"/>
  <c r="BE107" i="16"/>
  <c r="BE112" i="16"/>
  <c r="BE113" i="16"/>
  <c r="BB105" i="16"/>
  <c r="BB106" i="16"/>
  <c r="BB107" i="16"/>
  <c r="BB112" i="16"/>
  <c r="BB113" i="16"/>
  <c r="AY105" i="16"/>
  <c r="AY106" i="16"/>
  <c r="AY107" i="16"/>
  <c r="AY112" i="16"/>
  <c r="AY113" i="16"/>
  <c r="DP105" i="16"/>
  <c r="DP106" i="16"/>
  <c r="DP107" i="16"/>
  <c r="DP112" i="16"/>
  <c r="DP113" i="16"/>
  <c r="DM105" i="16"/>
  <c r="DM106" i="16"/>
  <c r="DM107" i="16"/>
  <c r="DM112" i="16"/>
  <c r="DM113" i="16"/>
  <c r="DJ105" i="16"/>
  <c r="DJ106" i="16"/>
  <c r="DJ107" i="16"/>
  <c r="DJ112" i="16"/>
  <c r="DJ113" i="16"/>
  <c r="DG105" i="16"/>
  <c r="DG106" i="16"/>
  <c r="DG107" i="16"/>
  <c r="DG112" i="16"/>
  <c r="DG113" i="16"/>
  <c r="DD105" i="16"/>
  <c r="DD106" i="16"/>
  <c r="DD107" i="16"/>
  <c r="DD112" i="16"/>
  <c r="DD113" i="16"/>
  <c r="CW105" i="16"/>
  <c r="CW106" i="16"/>
  <c r="CW107" i="16"/>
  <c r="CW112" i="16"/>
  <c r="CW113" i="16"/>
  <c r="CT105" i="16"/>
  <c r="CT106" i="16"/>
  <c r="CT107" i="16"/>
  <c r="CT112" i="16"/>
  <c r="CT113" i="16"/>
  <c r="CQ105" i="16"/>
  <c r="CQ106" i="16"/>
  <c r="CQ107" i="16"/>
  <c r="CQ112" i="16"/>
  <c r="CQ113" i="16"/>
  <c r="CN105" i="16"/>
  <c r="CN106" i="16"/>
  <c r="CN107" i="16"/>
  <c r="CN112" i="16"/>
  <c r="CN113" i="16"/>
  <c r="CK105" i="16"/>
  <c r="CK106" i="16"/>
  <c r="CK107" i="16"/>
  <c r="CK112" i="16"/>
  <c r="CK113" i="16"/>
  <c r="AR101" i="16"/>
  <c r="AR102" i="16"/>
  <c r="AR103" i="16"/>
  <c r="AR104" i="16"/>
  <c r="AO101" i="16"/>
  <c r="AO102" i="16"/>
  <c r="AO103" i="16"/>
  <c r="AO104" i="16"/>
  <c r="AL101" i="16"/>
  <c r="AL102" i="16"/>
  <c r="AL103" i="16"/>
  <c r="AL104" i="16"/>
  <c r="AI101" i="16"/>
  <c r="AI102" i="16"/>
  <c r="AI103" i="16"/>
  <c r="AI104" i="16"/>
  <c r="AF101" i="16"/>
  <c r="AF102" i="16"/>
  <c r="AF103" i="16"/>
  <c r="AF104" i="16"/>
  <c r="Y101" i="16"/>
  <c r="Y102" i="16"/>
  <c r="Y103" i="16"/>
  <c r="Y104" i="16"/>
  <c r="V101" i="16"/>
  <c r="V102" i="16"/>
  <c r="V103" i="16"/>
  <c r="V104" i="16"/>
  <c r="S101" i="16"/>
  <c r="S102" i="16"/>
  <c r="S103" i="16"/>
  <c r="S104" i="16"/>
  <c r="P101" i="16"/>
  <c r="P102" i="16"/>
  <c r="P103" i="16"/>
  <c r="P104" i="16"/>
  <c r="M101" i="16"/>
  <c r="M102" i="16"/>
  <c r="M103" i="16"/>
  <c r="M104" i="16"/>
  <c r="CD101" i="16"/>
  <c r="CD102" i="16"/>
  <c r="CD103" i="16"/>
  <c r="CD104" i="16"/>
  <c r="CA101" i="16"/>
  <c r="CA102" i="16"/>
  <c r="CA103" i="16"/>
  <c r="CA104" i="16"/>
  <c r="BX101" i="16"/>
  <c r="BX102" i="16"/>
  <c r="BX103" i="16"/>
  <c r="BX104" i="16"/>
  <c r="BU101" i="16"/>
  <c r="BU102" i="16"/>
  <c r="BU103" i="16"/>
  <c r="BU104" i="16"/>
  <c r="BR101" i="16"/>
  <c r="BR102" i="16"/>
  <c r="BR103" i="16"/>
  <c r="BR104" i="16"/>
  <c r="BK101" i="16"/>
  <c r="BK102" i="16"/>
  <c r="BK103" i="16"/>
  <c r="BK104" i="16"/>
  <c r="BH101" i="16"/>
  <c r="BH102" i="16"/>
  <c r="BH103" i="16"/>
  <c r="BH104" i="16"/>
  <c r="BE101" i="16"/>
  <c r="BE102" i="16"/>
  <c r="BE103" i="16"/>
  <c r="BE104" i="16"/>
  <c r="BB101" i="16"/>
  <c r="BB102" i="16"/>
  <c r="BB103" i="16"/>
  <c r="BB104" i="16"/>
  <c r="AY101" i="16"/>
  <c r="AY102" i="16"/>
  <c r="AY103" i="16"/>
  <c r="AY104" i="16"/>
  <c r="DP101" i="16"/>
  <c r="DP102" i="16"/>
  <c r="DP103" i="16"/>
  <c r="DP104" i="16"/>
  <c r="DM101" i="16"/>
  <c r="DM102" i="16"/>
  <c r="DM103" i="16"/>
  <c r="DM104" i="16"/>
  <c r="DJ101" i="16"/>
  <c r="DJ102" i="16"/>
  <c r="DJ103" i="16"/>
  <c r="DJ104" i="16"/>
  <c r="DG101" i="16"/>
  <c r="DG102" i="16"/>
  <c r="DG103" i="16"/>
  <c r="DG104" i="16"/>
  <c r="DD101" i="16"/>
  <c r="DD102" i="16"/>
  <c r="DD103" i="16"/>
  <c r="DD104" i="16"/>
  <c r="CW101" i="16"/>
  <c r="CW102" i="16"/>
  <c r="CW103" i="16"/>
  <c r="CW104" i="16"/>
  <c r="CT101" i="16"/>
  <c r="CT102" i="16"/>
  <c r="CT103" i="16"/>
  <c r="CT104" i="16"/>
  <c r="CQ101" i="16"/>
  <c r="CQ102" i="16"/>
  <c r="CQ103" i="16"/>
  <c r="CQ104" i="16"/>
  <c r="CN101" i="16"/>
  <c r="CN102" i="16"/>
  <c r="CN103" i="16"/>
  <c r="CN104" i="16"/>
  <c r="CK101" i="16"/>
  <c r="CK102" i="16"/>
  <c r="CK103" i="16"/>
  <c r="CK104" i="16"/>
  <c r="AR23" i="17"/>
  <c r="AR51" i="17"/>
  <c r="AR52" i="17"/>
  <c r="AR53" i="17"/>
  <c r="AR54" i="17"/>
  <c r="AR50" i="17"/>
  <c r="AO23" i="17"/>
  <c r="AO51" i="17"/>
  <c r="AO52" i="17"/>
  <c r="AO53" i="17"/>
  <c r="AO54" i="17"/>
  <c r="AO50" i="17"/>
  <c r="AL23" i="17"/>
  <c r="AL51" i="17"/>
  <c r="AL52" i="17"/>
  <c r="AL53" i="17"/>
  <c r="AL54" i="17"/>
  <c r="AL50" i="17"/>
  <c r="AI23" i="17"/>
  <c r="AI51" i="17"/>
  <c r="AI52" i="17"/>
  <c r="AI53" i="17"/>
  <c r="AI54" i="17"/>
  <c r="AI50" i="17"/>
  <c r="AF23" i="17"/>
  <c r="AF51" i="17"/>
  <c r="AF52" i="17"/>
  <c r="AF53" i="17"/>
  <c r="AF54" i="17"/>
  <c r="AF50" i="17"/>
  <c r="Y23" i="17"/>
  <c r="Y51" i="17"/>
  <c r="Y52" i="17"/>
  <c r="Y53" i="17"/>
  <c r="Y54" i="17"/>
  <c r="Y50" i="17"/>
  <c r="V23" i="17"/>
  <c r="V51" i="17"/>
  <c r="V52" i="17"/>
  <c r="V53" i="17"/>
  <c r="V54" i="17"/>
  <c r="V50" i="17"/>
  <c r="S23" i="17"/>
  <c r="S51" i="17"/>
  <c r="S52" i="17"/>
  <c r="S53" i="17"/>
  <c r="S54" i="17"/>
  <c r="S50" i="17"/>
  <c r="P23" i="17"/>
  <c r="P51" i="17"/>
  <c r="P52" i="17"/>
  <c r="P53" i="17"/>
  <c r="P54" i="17"/>
  <c r="P50" i="17"/>
  <c r="M23" i="17"/>
  <c r="M51" i="17"/>
  <c r="M52" i="17"/>
  <c r="M53" i="17"/>
  <c r="M54" i="17"/>
  <c r="M50" i="17"/>
  <c r="AR140" i="16"/>
  <c r="AR141" i="16"/>
  <c r="AO140" i="16"/>
  <c r="AO141" i="16"/>
  <c r="AL140" i="16"/>
  <c r="AL141" i="16"/>
  <c r="AI140" i="16"/>
  <c r="AI141" i="16"/>
  <c r="AF140" i="16"/>
  <c r="AF141" i="16"/>
  <c r="Y140" i="16"/>
  <c r="Y141" i="16"/>
  <c r="V140" i="16"/>
  <c r="V141" i="16"/>
  <c r="S140" i="16"/>
  <c r="S141" i="16"/>
  <c r="P140" i="16"/>
  <c r="P141" i="16"/>
  <c r="M140" i="16"/>
  <c r="M141" i="16"/>
  <c r="CD140" i="16"/>
  <c r="CD141" i="16"/>
  <c r="CA140" i="16"/>
  <c r="CA141" i="16"/>
  <c r="BX140" i="16"/>
  <c r="BX141" i="16"/>
  <c r="BU140" i="16"/>
  <c r="BU141" i="16"/>
  <c r="BR140" i="16"/>
  <c r="BR141" i="16"/>
  <c r="BK140" i="16"/>
  <c r="BK141" i="16"/>
  <c r="BH140" i="16"/>
  <c r="BH141" i="16"/>
  <c r="BE140" i="16"/>
  <c r="BE141" i="16"/>
  <c r="BB140" i="16"/>
  <c r="BB141" i="16"/>
  <c r="AY140" i="16"/>
  <c r="AY141" i="16"/>
  <c r="DP140" i="16"/>
  <c r="DP141" i="16"/>
  <c r="DM140" i="16"/>
  <c r="DM141" i="16"/>
  <c r="DJ140" i="16"/>
  <c r="DJ141" i="16"/>
  <c r="DG140" i="16"/>
  <c r="DG141" i="16"/>
  <c r="DD140" i="16"/>
  <c r="DD141" i="16"/>
  <c r="CW140" i="16"/>
  <c r="CW141" i="16"/>
  <c r="CT140" i="16"/>
  <c r="CT141" i="16"/>
  <c r="CQ140" i="16"/>
  <c r="CQ141" i="16"/>
  <c r="CN140" i="16"/>
  <c r="CN141" i="16"/>
  <c r="CK140" i="16"/>
  <c r="CK141" i="16"/>
  <c r="AR138" i="16"/>
  <c r="AR139" i="16"/>
  <c r="AO138" i="16"/>
  <c r="AO139" i="16"/>
  <c r="AL138" i="16"/>
  <c r="AL139" i="16"/>
  <c r="AI138" i="16"/>
  <c r="AI139" i="16"/>
  <c r="AF138" i="16"/>
  <c r="AF139" i="16"/>
  <c r="Y138" i="16"/>
  <c r="Y139" i="16"/>
  <c r="V138" i="16"/>
  <c r="V139" i="16"/>
  <c r="S138" i="16"/>
  <c r="S139" i="16"/>
  <c r="P138" i="16"/>
  <c r="P139" i="16"/>
  <c r="M138" i="16"/>
  <c r="M139" i="16"/>
  <c r="CD138" i="16"/>
  <c r="CD139" i="16"/>
  <c r="CA138" i="16"/>
  <c r="CA139" i="16"/>
  <c r="BX138" i="16"/>
  <c r="BX139" i="16"/>
  <c r="BU138" i="16"/>
  <c r="BU139" i="16"/>
  <c r="BR138" i="16"/>
  <c r="BR139" i="16"/>
  <c r="BK138" i="16"/>
  <c r="BK139" i="16"/>
  <c r="BH138" i="16"/>
  <c r="BH139" i="16"/>
  <c r="BE138" i="16"/>
  <c r="BE139" i="16"/>
  <c r="BB138" i="16"/>
  <c r="BB139" i="16"/>
  <c r="AY138" i="16"/>
  <c r="AY139" i="16"/>
  <c r="DP138" i="16"/>
  <c r="DP139" i="16"/>
  <c r="DM138" i="16"/>
  <c r="DM139" i="16"/>
  <c r="DJ138" i="16"/>
  <c r="DJ139" i="16"/>
  <c r="DG138" i="16"/>
  <c r="DG139" i="16"/>
  <c r="DD138" i="16"/>
  <c r="DD139" i="16"/>
  <c r="CW138" i="16"/>
  <c r="CW139" i="16"/>
  <c r="CT138" i="16"/>
  <c r="CT139" i="16"/>
  <c r="CQ138" i="16"/>
  <c r="CQ139" i="16"/>
  <c r="CN138" i="16"/>
  <c r="CN139" i="16"/>
  <c r="CK138" i="16"/>
  <c r="CK139" i="16"/>
  <c r="AR97" i="16"/>
  <c r="AR98" i="16"/>
  <c r="AR99" i="16"/>
  <c r="AR100" i="16"/>
  <c r="AO97" i="16"/>
  <c r="AO98" i="16"/>
  <c r="AO99" i="16"/>
  <c r="AO100" i="16"/>
  <c r="AL97" i="16"/>
  <c r="AL98" i="16"/>
  <c r="AL99" i="16"/>
  <c r="AL100" i="16"/>
  <c r="AI97" i="16"/>
  <c r="AI98" i="16"/>
  <c r="AI99" i="16"/>
  <c r="AI100" i="16"/>
  <c r="AF97" i="16"/>
  <c r="AF98" i="16"/>
  <c r="AF99" i="16"/>
  <c r="AF100" i="16"/>
  <c r="Y97" i="16"/>
  <c r="Y98" i="16"/>
  <c r="Y99" i="16"/>
  <c r="Y100" i="16"/>
  <c r="V97" i="16"/>
  <c r="V98" i="16"/>
  <c r="V99" i="16"/>
  <c r="V100" i="16"/>
  <c r="S97" i="16"/>
  <c r="S98" i="16"/>
  <c r="S99" i="16"/>
  <c r="S100" i="16"/>
  <c r="P97" i="16"/>
  <c r="P98" i="16"/>
  <c r="P99" i="16"/>
  <c r="P100" i="16"/>
  <c r="M97" i="16"/>
  <c r="M98" i="16"/>
  <c r="M99" i="16"/>
  <c r="M100" i="16"/>
  <c r="CD97" i="16"/>
  <c r="CD98" i="16"/>
  <c r="CD99" i="16"/>
  <c r="CD100" i="16"/>
  <c r="CA97" i="16"/>
  <c r="CA98" i="16"/>
  <c r="CA99" i="16"/>
  <c r="CA100" i="16"/>
  <c r="BX97" i="16"/>
  <c r="BX98" i="16"/>
  <c r="BX99" i="16"/>
  <c r="BX100" i="16"/>
  <c r="BU97" i="16"/>
  <c r="BU98" i="16"/>
  <c r="BU99" i="16"/>
  <c r="BU100" i="16"/>
  <c r="BR97" i="16"/>
  <c r="BR98" i="16"/>
  <c r="BR99" i="16"/>
  <c r="BR100" i="16"/>
  <c r="BK97" i="16"/>
  <c r="BK98" i="16"/>
  <c r="BK99" i="16"/>
  <c r="BK100" i="16"/>
  <c r="BH97" i="16"/>
  <c r="BH98" i="16"/>
  <c r="BH99" i="16"/>
  <c r="BH100" i="16"/>
  <c r="BE97" i="16"/>
  <c r="BE98" i="16"/>
  <c r="BE99" i="16"/>
  <c r="BE100" i="16"/>
  <c r="BB97" i="16"/>
  <c r="BB98" i="16"/>
  <c r="BB99" i="16"/>
  <c r="BB100" i="16"/>
  <c r="AY97" i="16"/>
  <c r="AY98" i="16"/>
  <c r="AY99" i="16"/>
  <c r="AY100" i="16"/>
  <c r="DP97" i="16"/>
  <c r="DP98" i="16"/>
  <c r="DP99" i="16"/>
  <c r="DP100" i="16"/>
  <c r="DM97" i="16"/>
  <c r="DM98" i="16"/>
  <c r="DM99" i="16"/>
  <c r="DM100" i="16"/>
  <c r="DJ97" i="16"/>
  <c r="DJ98" i="16"/>
  <c r="DJ99" i="16"/>
  <c r="DJ100" i="16"/>
  <c r="DG97" i="16"/>
  <c r="DG98" i="16"/>
  <c r="DG99" i="16"/>
  <c r="DG100" i="16"/>
  <c r="DD97" i="16"/>
  <c r="DD98" i="16"/>
  <c r="DD99" i="16"/>
  <c r="DD100" i="16"/>
  <c r="CW97" i="16"/>
  <c r="CW98" i="16"/>
  <c r="CW99" i="16"/>
  <c r="CW100" i="16"/>
  <c r="CT97" i="16"/>
  <c r="CT98" i="16"/>
  <c r="CT99" i="16"/>
  <c r="CT100" i="16"/>
  <c r="CQ97" i="16"/>
  <c r="CQ98" i="16"/>
  <c r="CQ99" i="16"/>
  <c r="CQ100" i="16"/>
  <c r="CN97" i="16"/>
  <c r="CN98" i="16"/>
  <c r="CN99" i="16"/>
  <c r="CN100" i="16"/>
  <c r="CK97" i="16"/>
  <c r="CK98" i="16"/>
  <c r="CK99" i="16"/>
  <c r="CK100" i="16"/>
  <c r="AR95" i="16"/>
  <c r="AR96" i="16"/>
  <c r="AO95" i="16"/>
  <c r="AO96" i="16"/>
  <c r="AL95" i="16"/>
  <c r="AL96" i="16"/>
  <c r="AI95" i="16"/>
  <c r="AI96" i="16"/>
  <c r="AF95" i="16"/>
  <c r="AF96" i="16"/>
  <c r="Y95" i="16"/>
  <c r="Y96" i="16"/>
  <c r="V95" i="16"/>
  <c r="V96" i="16"/>
  <c r="S95" i="16"/>
  <c r="S96" i="16"/>
  <c r="P95" i="16"/>
  <c r="P96" i="16"/>
  <c r="M95" i="16"/>
  <c r="M96" i="16"/>
  <c r="CD95" i="16"/>
  <c r="CD96" i="16"/>
  <c r="CA95" i="16"/>
  <c r="CA96" i="16"/>
  <c r="BX95" i="16"/>
  <c r="BX96" i="16"/>
  <c r="BU95" i="16"/>
  <c r="BU96" i="16"/>
  <c r="BR95" i="16"/>
  <c r="BR96" i="16"/>
  <c r="BK95" i="16"/>
  <c r="BK96" i="16"/>
  <c r="BH95" i="16"/>
  <c r="BH96" i="16"/>
  <c r="BE95" i="16"/>
  <c r="BE96" i="16"/>
  <c r="BB95" i="16"/>
  <c r="BB96" i="16"/>
  <c r="AY95" i="16"/>
  <c r="AY96" i="16"/>
  <c r="DP95" i="16"/>
  <c r="DP96" i="16"/>
  <c r="DM95" i="16"/>
  <c r="DM96" i="16"/>
  <c r="DJ95" i="16"/>
  <c r="DJ96" i="16"/>
  <c r="DG95" i="16"/>
  <c r="DG96" i="16"/>
  <c r="DD95" i="16"/>
  <c r="DD96" i="16"/>
  <c r="CW95" i="16"/>
  <c r="CW96" i="16"/>
  <c r="CT95" i="16"/>
  <c r="CT96" i="16"/>
  <c r="CQ95" i="16"/>
  <c r="CQ96" i="16"/>
  <c r="CN95" i="16"/>
  <c r="CN96" i="16"/>
  <c r="CK95" i="16"/>
  <c r="CK96" i="16"/>
  <c r="AR114" i="16"/>
  <c r="AR115" i="16"/>
  <c r="AR116" i="16"/>
  <c r="AR117" i="16"/>
  <c r="AO114" i="16"/>
  <c r="AO115" i="16"/>
  <c r="AO116" i="16"/>
  <c r="AO117" i="16"/>
  <c r="AL114" i="16"/>
  <c r="AL115" i="16"/>
  <c r="AL116" i="16"/>
  <c r="AL117" i="16"/>
  <c r="AI114" i="16"/>
  <c r="AI115" i="16"/>
  <c r="AI116" i="16"/>
  <c r="AI117" i="16"/>
  <c r="AF114" i="16"/>
  <c r="AF115" i="16"/>
  <c r="AF116" i="16"/>
  <c r="AF117" i="16"/>
  <c r="Y114" i="16"/>
  <c r="Y115" i="16"/>
  <c r="Y116" i="16"/>
  <c r="Y117" i="16"/>
  <c r="V114" i="16"/>
  <c r="V115" i="16"/>
  <c r="V116" i="16"/>
  <c r="V117" i="16"/>
  <c r="S114" i="16"/>
  <c r="S115" i="16"/>
  <c r="S116" i="16"/>
  <c r="S117" i="16"/>
  <c r="P114" i="16"/>
  <c r="P115" i="16"/>
  <c r="P116" i="16"/>
  <c r="P117" i="16"/>
  <c r="M114" i="16"/>
  <c r="M115" i="16"/>
  <c r="M116" i="16"/>
  <c r="M117" i="16"/>
  <c r="CD114" i="16"/>
  <c r="CD115" i="16"/>
  <c r="CD116" i="16"/>
  <c r="CD117" i="16"/>
  <c r="CA114" i="16"/>
  <c r="CA115" i="16"/>
  <c r="CA116" i="16"/>
  <c r="CA117" i="16"/>
  <c r="BX114" i="16"/>
  <c r="BX115" i="16"/>
  <c r="BX116" i="16"/>
  <c r="BX117" i="16"/>
  <c r="BU114" i="16"/>
  <c r="BU115" i="16"/>
  <c r="BU116" i="16"/>
  <c r="BU117" i="16"/>
  <c r="BR114" i="16"/>
  <c r="BR115" i="16"/>
  <c r="BR116" i="16"/>
  <c r="BR117" i="16"/>
  <c r="BK114" i="16"/>
  <c r="BK115" i="16"/>
  <c r="BK116" i="16"/>
  <c r="BK117" i="16"/>
  <c r="BH114" i="16"/>
  <c r="BH115" i="16"/>
  <c r="BH116" i="16"/>
  <c r="BH117" i="16"/>
  <c r="BE114" i="16"/>
  <c r="BE115" i="16"/>
  <c r="BE116" i="16"/>
  <c r="BE117" i="16"/>
  <c r="BB114" i="16"/>
  <c r="BB115" i="16"/>
  <c r="BB116" i="16"/>
  <c r="BB117" i="16"/>
  <c r="AY114" i="16"/>
  <c r="AY115" i="16"/>
  <c r="AY116" i="16"/>
  <c r="AY117" i="16"/>
  <c r="DP114" i="16"/>
  <c r="DP115" i="16"/>
  <c r="DP116" i="16"/>
  <c r="DP117" i="16"/>
  <c r="DM114" i="16"/>
  <c r="DM115" i="16"/>
  <c r="DM116" i="16"/>
  <c r="DM117" i="16"/>
  <c r="DJ114" i="16"/>
  <c r="DJ115" i="16"/>
  <c r="DJ116" i="16"/>
  <c r="DJ117" i="16"/>
  <c r="DG114" i="16"/>
  <c r="DG115" i="16"/>
  <c r="DG116" i="16"/>
  <c r="DG117" i="16"/>
  <c r="DD114" i="16"/>
  <c r="DD115" i="16"/>
  <c r="DD116" i="16"/>
  <c r="DD117" i="16"/>
  <c r="CW114" i="16"/>
  <c r="CW115" i="16"/>
  <c r="CW116" i="16"/>
  <c r="CW117" i="16"/>
  <c r="CT114" i="16"/>
  <c r="CT115" i="16"/>
  <c r="CT116" i="16"/>
  <c r="CT117" i="16"/>
  <c r="CQ114" i="16"/>
  <c r="CQ115" i="16"/>
  <c r="CQ116" i="16"/>
  <c r="CQ117" i="16"/>
  <c r="CN114" i="16"/>
  <c r="CN115" i="16"/>
  <c r="CN116" i="16"/>
  <c r="CN117" i="16"/>
  <c r="CK114" i="16"/>
  <c r="CK115" i="16"/>
  <c r="CK116" i="16"/>
  <c r="CK117" i="16"/>
  <c r="B86" i="16"/>
  <c r="B66" i="16"/>
  <c r="B85" i="16"/>
  <c r="B65" i="16"/>
  <c r="B143" i="16"/>
  <c r="B74" i="16"/>
  <c r="B142" i="16"/>
  <c r="B73" i="16"/>
  <c r="B137" i="16"/>
  <c r="B72" i="16"/>
  <c r="B136" i="16"/>
  <c r="B71" i="16"/>
  <c r="B135" i="16"/>
  <c r="B70" i="16"/>
  <c r="B134" i="16"/>
  <c r="B69" i="16"/>
  <c r="AR169" i="16"/>
  <c r="AR170" i="16"/>
  <c r="AR171" i="16"/>
  <c r="AO169" i="16"/>
  <c r="AO170" i="16"/>
  <c r="AO171" i="16"/>
  <c r="AL169" i="16"/>
  <c r="AL170" i="16"/>
  <c r="AL171" i="16"/>
  <c r="AI169" i="16"/>
  <c r="AI170" i="16"/>
  <c r="AI171" i="16"/>
  <c r="AF169" i="16"/>
  <c r="AF170" i="16"/>
  <c r="AF171" i="16"/>
  <c r="Y169" i="16"/>
  <c r="Y170" i="16"/>
  <c r="Y171" i="16"/>
  <c r="V169" i="16"/>
  <c r="V170" i="16"/>
  <c r="V171" i="16"/>
  <c r="S169" i="16"/>
  <c r="S170" i="16"/>
  <c r="S171" i="16"/>
  <c r="P169" i="16"/>
  <c r="P170" i="16"/>
  <c r="P171" i="16"/>
  <c r="M169" i="16"/>
  <c r="M170" i="16"/>
  <c r="M171" i="16"/>
  <c r="CD169" i="16"/>
  <c r="CD170" i="16"/>
  <c r="CD171" i="16"/>
  <c r="CA169" i="16"/>
  <c r="CA170" i="16"/>
  <c r="CA171" i="16"/>
  <c r="BX169" i="16"/>
  <c r="BX170" i="16"/>
  <c r="BX171" i="16"/>
  <c r="BU169" i="16"/>
  <c r="BU170" i="16"/>
  <c r="BU171" i="16"/>
  <c r="BR169" i="16"/>
  <c r="BR170" i="16"/>
  <c r="BR171" i="16"/>
  <c r="BK169" i="16"/>
  <c r="BK170" i="16"/>
  <c r="BK171" i="16"/>
  <c r="BH169" i="16"/>
  <c r="BH170" i="16"/>
  <c r="BH171" i="16"/>
  <c r="BE169" i="16"/>
  <c r="BE170" i="16"/>
  <c r="BE171" i="16"/>
  <c r="BB169" i="16"/>
  <c r="BB170" i="16"/>
  <c r="BB171" i="16"/>
  <c r="AY169" i="16"/>
  <c r="AY170" i="16"/>
  <c r="AY171" i="16"/>
  <c r="DP169" i="16"/>
  <c r="DP170" i="16"/>
  <c r="DP171" i="16"/>
  <c r="DM169" i="16"/>
  <c r="DM170" i="16"/>
  <c r="DM171" i="16"/>
  <c r="DJ169" i="16"/>
  <c r="DJ170" i="16"/>
  <c r="DJ171" i="16"/>
  <c r="DG169" i="16"/>
  <c r="DG170" i="16"/>
  <c r="DG171" i="16"/>
  <c r="DD169" i="16"/>
  <c r="DD170" i="16"/>
  <c r="DD171" i="16"/>
  <c r="CW169" i="16"/>
  <c r="CW170" i="16"/>
  <c r="CW171" i="16"/>
  <c r="CT169" i="16"/>
  <c r="CT170" i="16"/>
  <c r="CT171" i="16"/>
  <c r="CQ169" i="16"/>
  <c r="CQ170" i="16"/>
  <c r="CQ171" i="16"/>
  <c r="CN169" i="16"/>
  <c r="CN170" i="16"/>
  <c r="CN171" i="16"/>
  <c r="CK169" i="16"/>
  <c r="CK170" i="16"/>
  <c r="CK171" i="16"/>
  <c r="AR167" i="16"/>
  <c r="AR168" i="16"/>
  <c r="AO167" i="16"/>
  <c r="AO168" i="16"/>
  <c r="AL167" i="16"/>
  <c r="AL168" i="16"/>
  <c r="AI167" i="16"/>
  <c r="AI168" i="16"/>
  <c r="AF167" i="16"/>
  <c r="AF168" i="16"/>
  <c r="Y167" i="16"/>
  <c r="Y168" i="16"/>
  <c r="V167" i="16"/>
  <c r="V168" i="16"/>
  <c r="S167" i="16"/>
  <c r="S168" i="16"/>
  <c r="P167" i="16"/>
  <c r="P168" i="16"/>
  <c r="M167" i="16"/>
  <c r="M168" i="16"/>
  <c r="CD167" i="16"/>
  <c r="CD168" i="16"/>
  <c r="CA167" i="16"/>
  <c r="CA168" i="16"/>
  <c r="BX167" i="16"/>
  <c r="BX168" i="16"/>
  <c r="BU167" i="16"/>
  <c r="BU168" i="16"/>
  <c r="BR167" i="16"/>
  <c r="BR168" i="16"/>
  <c r="BK167" i="16"/>
  <c r="BK168" i="16"/>
  <c r="BH167" i="16"/>
  <c r="BH168" i="16"/>
  <c r="BE167" i="16"/>
  <c r="BE168" i="16"/>
  <c r="BB167" i="16"/>
  <c r="BB168" i="16"/>
  <c r="AY167" i="16"/>
  <c r="AY168" i="16"/>
  <c r="DP167" i="16"/>
  <c r="DP168" i="16"/>
  <c r="DM167" i="16"/>
  <c r="DM168" i="16"/>
  <c r="DJ167" i="16"/>
  <c r="DJ168" i="16"/>
  <c r="DG167" i="16"/>
  <c r="DG168" i="16"/>
  <c r="DD167" i="16"/>
  <c r="DD168" i="16"/>
  <c r="CW167" i="16"/>
  <c r="CW168" i="16"/>
  <c r="CT167" i="16"/>
  <c r="CT168" i="16"/>
  <c r="CQ167" i="16"/>
  <c r="CQ168" i="16"/>
  <c r="CN167" i="16"/>
  <c r="CN168" i="16"/>
  <c r="CK167" i="16"/>
  <c r="CK168" i="16"/>
  <c r="AR164" i="16"/>
  <c r="AR165" i="16"/>
  <c r="AR166" i="16"/>
  <c r="AO164" i="16"/>
  <c r="AO165" i="16"/>
  <c r="AO166" i="16"/>
  <c r="AL164" i="16"/>
  <c r="AL165" i="16"/>
  <c r="AL166" i="16"/>
  <c r="AI164" i="16"/>
  <c r="AI165" i="16"/>
  <c r="AI166" i="16"/>
  <c r="AF164" i="16"/>
  <c r="AF165" i="16"/>
  <c r="AF166" i="16"/>
  <c r="Y164" i="16"/>
  <c r="Y165" i="16"/>
  <c r="Y166" i="16"/>
  <c r="V164" i="16"/>
  <c r="V165" i="16"/>
  <c r="V166" i="16"/>
  <c r="S164" i="16"/>
  <c r="S165" i="16"/>
  <c r="S166" i="16"/>
  <c r="P164" i="16"/>
  <c r="P165" i="16"/>
  <c r="P166" i="16"/>
  <c r="M164" i="16"/>
  <c r="M165" i="16"/>
  <c r="M166" i="16"/>
  <c r="CD164" i="16"/>
  <c r="CD165" i="16"/>
  <c r="CD166" i="16"/>
  <c r="CA164" i="16"/>
  <c r="CA165" i="16"/>
  <c r="CA166" i="16"/>
  <c r="BX164" i="16"/>
  <c r="BX165" i="16"/>
  <c r="BX166" i="16"/>
  <c r="BU164" i="16"/>
  <c r="BU165" i="16"/>
  <c r="BU166" i="16"/>
  <c r="BR164" i="16"/>
  <c r="BR165" i="16"/>
  <c r="BR166" i="16"/>
  <c r="BK164" i="16"/>
  <c r="BK165" i="16"/>
  <c r="BK166" i="16"/>
  <c r="BH164" i="16"/>
  <c r="BH165" i="16"/>
  <c r="BH166" i="16"/>
  <c r="BE164" i="16"/>
  <c r="BE165" i="16"/>
  <c r="BE166" i="16"/>
  <c r="BB164" i="16"/>
  <c r="BB165" i="16"/>
  <c r="BB166" i="16"/>
  <c r="AY164" i="16"/>
  <c r="AY165" i="16"/>
  <c r="AY166" i="16"/>
  <c r="DP164" i="16"/>
  <c r="DP165" i="16"/>
  <c r="DP166" i="16"/>
  <c r="DM164" i="16"/>
  <c r="DM165" i="16"/>
  <c r="DM166" i="16"/>
  <c r="DJ164" i="16"/>
  <c r="DJ165" i="16"/>
  <c r="DJ166" i="16"/>
  <c r="DG164" i="16"/>
  <c r="DG165" i="16"/>
  <c r="DG166" i="16"/>
  <c r="DD164" i="16"/>
  <c r="DD165" i="16"/>
  <c r="DD166" i="16"/>
  <c r="CW164" i="16"/>
  <c r="CW165" i="16"/>
  <c r="CW166" i="16"/>
  <c r="CT164" i="16"/>
  <c r="CT165" i="16"/>
  <c r="CT166" i="16"/>
  <c r="CQ164" i="16"/>
  <c r="CQ165" i="16"/>
  <c r="CQ166" i="16"/>
  <c r="CN164" i="16"/>
  <c r="CN165" i="16"/>
  <c r="CN166" i="16"/>
  <c r="CK164" i="16"/>
  <c r="CK165" i="16"/>
  <c r="CK166" i="16"/>
  <c r="AR163" i="16"/>
  <c r="AO163" i="16"/>
  <c r="AL163" i="16"/>
  <c r="AI163" i="16"/>
  <c r="AF163" i="16"/>
  <c r="Y163" i="16"/>
  <c r="V163" i="16"/>
  <c r="S163" i="16"/>
  <c r="P163" i="16"/>
  <c r="M163" i="16"/>
  <c r="CD163" i="16"/>
  <c r="CA163" i="16"/>
  <c r="BX163" i="16"/>
  <c r="BU163" i="16"/>
  <c r="BR163" i="16"/>
  <c r="BK163" i="16"/>
  <c r="BH163" i="16"/>
  <c r="BE163" i="16"/>
  <c r="BB163" i="16"/>
  <c r="AY163" i="16"/>
  <c r="DP163" i="16"/>
  <c r="DM163" i="16"/>
  <c r="DJ163" i="16"/>
  <c r="DG163" i="16"/>
  <c r="DD163" i="16"/>
  <c r="CW163" i="16"/>
  <c r="CT163" i="16"/>
  <c r="CQ163" i="16"/>
  <c r="CN163" i="16"/>
  <c r="CK163" i="16"/>
  <c r="C5" i="19"/>
  <c r="D5" i="19"/>
  <c r="E5" i="19"/>
  <c r="F5" i="19"/>
  <c r="G5" i="19"/>
  <c r="C6" i="19"/>
  <c r="D6" i="19"/>
  <c r="E6" i="19"/>
  <c r="F6" i="19"/>
  <c r="G6" i="19"/>
  <c r="C7" i="19"/>
  <c r="D7" i="19"/>
  <c r="E7" i="19"/>
  <c r="F7" i="19"/>
  <c r="G7" i="19"/>
  <c r="C25" i="19"/>
  <c r="D25" i="19"/>
  <c r="E25" i="19"/>
  <c r="F25" i="19"/>
  <c r="G25" i="19"/>
  <c r="C23" i="19"/>
  <c r="D23" i="19"/>
  <c r="E23" i="19"/>
  <c r="F23" i="19"/>
  <c r="G23" i="19"/>
  <c r="C24" i="19"/>
  <c r="D24" i="19"/>
  <c r="E24" i="19"/>
  <c r="F24" i="19"/>
  <c r="G24" i="19"/>
  <c r="D22" i="19"/>
  <c r="E22" i="19"/>
  <c r="F22" i="19"/>
  <c r="G22" i="19"/>
  <c r="C22" i="19"/>
  <c r="C20" i="19"/>
  <c r="D20" i="19"/>
  <c r="E20" i="19"/>
  <c r="F20" i="19"/>
  <c r="G20" i="19"/>
  <c r="C19" i="19"/>
  <c r="D19" i="19"/>
  <c r="E19" i="19"/>
  <c r="F19" i="19"/>
  <c r="G19" i="19"/>
  <c r="C13" i="19"/>
  <c r="D13" i="19"/>
  <c r="E13" i="19"/>
  <c r="F13" i="19"/>
  <c r="G13" i="19"/>
  <c r="C14" i="19"/>
  <c r="D14" i="19"/>
  <c r="E14" i="19"/>
  <c r="F14" i="19"/>
  <c r="G14" i="19"/>
  <c r="C15" i="19"/>
  <c r="D15" i="19"/>
  <c r="E15" i="19"/>
  <c r="F15" i="19"/>
  <c r="G15" i="19"/>
  <c r="C16" i="19"/>
  <c r="D16" i="19"/>
  <c r="E16" i="19"/>
  <c r="F16" i="19"/>
  <c r="G16" i="19"/>
  <c r="C17" i="19"/>
  <c r="D17" i="19"/>
  <c r="E17" i="19"/>
  <c r="F17" i="19"/>
  <c r="G17" i="19"/>
  <c r="C18" i="19"/>
  <c r="D18" i="19"/>
  <c r="E18" i="19"/>
  <c r="F18" i="19"/>
  <c r="G18" i="19"/>
  <c r="G4" i="19"/>
  <c r="D4" i="19"/>
  <c r="E4" i="19"/>
  <c r="F4" i="19"/>
  <c r="C4" i="19"/>
  <c r="AR20" i="17"/>
  <c r="AR21" i="17"/>
  <c r="AR22" i="17"/>
  <c r="AR14" i="17"/>
  <c r="AO20" i="17"/>
  <c r="AO21" i="17"/>
  <c r="AO22" i="17"/>
  <c r="AO14" i="17"/>
  <c r="AL20" i="17"/>
  <c r="AL21" i="17"/>
  <c r="AL22" i="17"/>
  <c r="AL14" i="17"/>
  <c r="AI20" i="17"/>
  <c r="AI21" i="17"/>
  <c r="AI22" i="17"/>
  <c r="AI14" i="17"/>
  <c r="AF20" i="17"/>
  <c r="AF21" i="17"/>
  <c r="AF22" i="17"/>
  <c r="AF14" i="17"/>
  <c r="Y20" i="17"/>
  <c r="Y21" i="17"/>
  <c r="Y22" i="17"/>
  <c r="Y14" i="17"/>
  <c r="V20" i="17"/>
  <c r="V21" i="17"/>
  <c r="V22" i="17"/>
  <c r="V14" i="17"/>
  <c r="S20" i="17"/>
  <c r="S21" i="17"/>
  <c r="S22" i="17"/>
  <c r="S14" i="17"/>
  <c r="P20" i="17"/>
  <c r="P21" i="17"/>
  <c r="P22" i="17"/>
  <c r="P14" i="17"/>
  <c r="M20" i="17"/>
  <c r="M21" i="17"/>
  <c r="M22" i="17"/>
  <c r="M14" i="17"/>
  <c r="AR31" i="17"/>
  <c r="AR30" i="17"/>
  <c r="AR29" i="17"/>
  <c r="AR28" i="17"/>
  <c r="AR27" i="17"/>
  <c r="AO31" i="17"/>
  <c r="AO30" i="17"/>
  <c r="AO29" i="17"/>
  <c r="AO28" i="17"/>
  <c r="AO27" i="17"/>
  <c r="AL31" i="17"/>
  <c r="AL30" i="17"/>
  <c r="AL29" i="17"/>
  <c r="AL28" i="17"/>
  <c r="AL27" i="17"/>
  <c r="AI31" i="17"/>
  <c r="AI30" i="17"/>
  <c r="AI29" i="17"/>
  <c r="AI28" i="17"/>
  <c r="AI27" i="17"/>
  <c r="AF31" i="17"/>
  <c r="AF30" i="17"/>
  <c r="AF29" i="17"/>
  <c r="AF28" i="17"/>
  <c r="AF27" i="17"/>
  <c r="Y31" i="17"/>
  <c r="Y30" i="17"/>
  <c r="Y29" i="17"/>
  <c r="Y28" i="17"/>
  <c r="Y27" i="17"/>
  <c r="V31" i="17"/>
  <c r="V30" i="17"/>
  <c r="V29" i="17"/>
  <c r="V28" i="17"/>
  <c r="V27" i="17"/>
  <c r="S31" i="17"/>
  <c r="S30" i="17"/>
  <c r="S29" i="17"/>
  <c r="S28" i="17"/>
  <c r="S27" i="17"/>
  <c r="P31" i="17"/>
  <c r="P30" i="17"/>
  <c r="P29" i="17"/>
  <c r="P28" i="17"/>
  <c r="P27" i="17"/>
  <c r="M31" i="17"/>
  <c r="M30" i="17"/>
  <c r="M29" i="17"/>
  <c r="M28" i="17"/>
  <c r="M27" i="17"/>
  <c r="AR10" i="17"/>
  <c r="AR9" i="17"/>
  <c r="AR8" i="17"/>
  <c r="AR7" i="17"/>
  <c r="AO10" i="17"/>
  <c r="AO9" i="17"/>
  <c r="AO8" i="17"/>
  <c r="AO7" i="17"/>
  <c r="AL10" i="17"/>
  <c r="AL9" i="17"/>
  <c r="AL8" i="17"/>
  <c r="AL7" i="17"/>
  <c r="AI10" i="17"/>
  <c r="AI9" i="17"/>
  <c r="AI8" i="17"/>
  <c r="AI7" i="17"/>
  <c r="AF10" i="17"/>
  <c r="AF9" i="17"/>
  <c r="AF8" i="17"/>
  <c r="AF7" i="17"/>
  <c r="Y10" i="17"/>
  <c r="Y9" i="17"/>
  <c r="Y8" i="17"/>
  <c r="Y7" i="17"/>
  <c r="V10" i="17"/>
  <c r="V9" i="17"/>
  <c r="V8" i="17"/>
  <c r="V7" i="17"/>
  <c r="S10" i="17"/>
  <c r="S9" i="17"/>
  <c r="S8" i="17"/>
  <c r="S7" i="17"/>
  <c r="P10" i="17"/>
  <c r="P9" i="17"/>
  <c r="P8" i="17"/>
  <c r="P7" i="17"/>
  <c r="M10" i="17"/>
  <c r="M9" i="17"/>
  <c r="M8" i="17"/>
  <c r="M7" i="17"/>
  <c r="AR94" i="16"/>
  <c r="AR93" i="16"/>
  <c r="AR92" i="16"/>
  <c r="AR91" i="16"/>
  <c r="AR90" i="16"/>
  <c r="AR89" i="16"/>
  <c r="AR88" i="16"/>
  <c r="AR87" i="16"/>
  <c r="AO94" i="16"/>
  <c r="AO93" i="16"/>
  <c r="AO92" i="16"/>
  <c r="AO91" i="16"/>
  <c r="AO90" i="16"/>
  <c r="AO89" i="16"/>
  <c r="AO88" i="16"/>
  <c r="AO87" i="16"/>
  <c r="AL94" i="16"/>
  <c r="AL93" i="16"/>
  <c r="AL92" i="16"/>
  <c r="AL91" i="16"/>
  <c r="AL90" i="16"/>
  <c r="AL89" i="16"/>
  <c r="AL88" i="16"/>
  <c r="AL87" i="16"/>
  <c r="AI94" i="16"/>
  <c r="AI93" i="16"/>
  <c r="AI92" i="16"/>
  <c r="AI91" i="16"/>
  <c r="AI90" i="16"/>
  <c r="AI89" i="16"/>
  <c r="AI88" i="16"/>
  <c r="AI87" i="16"/>
  <c r="AF94" i="16"/>
  <c r="AF93" i="16"/>
  <c r="AF92" i="16"/>
  <c r="AF91" i="16"/>
  <c r="AF90" i="16"/>
  <c r="AF89" i="16"/>
  <c r="AF88" i="16"/>
  <c r="AF87" i="16"/>
  <c r="Y94" i="16"/>
  <c r="Y93" i="16"/>
  <c r="Y92" i="16"/>
  <c r="Y91" i="16"/>
  <c r="Y90" i="16"/>
  <c r="Y89" i="16"/>
  <c r="Y88" i="16"/>
  <c r="Y87" i="16"/>
  <c r="V94" i="16"/>
  <c r="V93" i="16"/>
  <c r="V92" i="16"/>
  <c r="V91" i="16"/>
  <c r="V90" i="16"/>
  <c r="V89" i="16"/>
  <c r="V88" i="16"/>
  <c r="V87" i="16"/>
  <c r="S94" i="16"/>
  <c r="S93" i="16"/>
  <c r="S92" i="16"/>
  <c r="S91" i="16"/>
  <c r="S90" i="16"/>
  <c r="S89" i="16"/>
  <c r="S88" i="16"/>
  <c r="S87" i="16"/>
  <c r="P94" i="16"/>
  <c r="P93" i="16"/>
  <c r="P92" i="16"/>
  <c r="P91" i="16"/>
  <c r="P90" i="16"/>
  <c r="P89" i="16"/>
  <c r="P88" i="16"/>
  <c r="P87" i="16"/>
  <c r="M94" i="16"/>
  <c r="M93" i="16"/>
  <c r="M92" i="16"/>
  <c r="M91" i="16"/>
  <c r="M90" i="16"/>
  <c r="M89" i="16"/>
  <c r="M88" i="16"/>
  <c r="M87" i="16"/>
  <c r="CD94" i="16"/>
  <c r="CD93" i="16"/>
  <c r="CD92" i="16"/>
  <c r="CD91" i="16"/>
  <c r="CD90" i="16"/>
  <c r="CD89" i="16"/>
  <c r="CD88" i="16"/>
  <c r="CD87" i="16"/>
  <c r="CA94" i="16"/>
  <c r="CA93" i="16"/>
  <c r="CA92" i="16"/>
  <c r="CA91" i="16"/>
  <c r="CA90" i="16"/>
  <c r="CA89" i="16"/>
  <c r="CA88" i="16"/>
  <c r="CA87" i="16"/>
  <c r="BX94" i="16"/>
  <c r="BX93" i="16"/>
  <c r="BX92" i="16"/>
  <c r="BX91" i="16"/>
  <c r="BX90" i="16"/>
  <c r="BX89" i="16"/>
  <c r="BX88" i="16"/>
  <c r="BX87" i="16"/>
  <c r="BU94" i="16"/>
  <c r="BU93" i="16"/>
  <c r="BU92" i="16"/>
  <c r="BU91" i="16"/>
  <c r="BU90" i="16"/>
  <c r="BU89" i="16"/>
  <c r="BU88" i="16"/>
  <c r="BU87" i="16"/>
  <c r="BR94" i="16"/>
  <c r="BR93" i="16"/>
  <c r="BR92" i="16"/>
  <c r="BR91" i="16"/>
  <c r="BR90" i="16"/>
  <c r="BR89" i="16"/>
  <c r="BR88" i="16"/>
  <c r="BR87" i="16"/>
  <c r="BK94" i="16"/>
  <c r="BK93" i="16"/>
  <c r="BK92" i="16"/>
  <c r="BK91" i="16"/>
  <c r="BK90" i="16"/>
  <c r="BK89" i="16"/>
  <c r="BK88" i="16"/>
  <c r="BK87" i="16"/>
  <c r="BH94" i="16"/>
  <c r="BH93" i="16"/>
  <c r="BH92" i="16"/>
  <c r="BH91" i="16"/>
  <c r="BH90" i="16"/>
  <c r="BH89" i="16"/>
  <c r="BH88" i="16"/>
  <c r="BH87" i="16"/>
  <c r="BE94" i="16"/>
  <c r="BE93" i="16"/>
  <c r="BE92" i="16"/>
  <c r="BE91" i="16"/>
  <c r="BE90" i="16"/>
  <c r="BE89" i="16"/>
  <c r="BE88" i="16"/>
  <c r="BE87" i="16"/>
  <c r="BB94" i="16"/>
  <c r="BB93" i="16"/>
  <c r="BB92" i="16"/>
  <c r="BB91" i="16"/>
  <c r="BB90" i="16"/>
  <c r="BB89" i="16"/>
  <c r="BB88" i="16"/>
  <c r="BB87" i="16"/>
  <c r="AY94" i="16"/>
  <c r="AY93" i="16"/>
  <c r="AY92" i="16"/>
  <c r="AY91" i="16"/>
  <c r="AY90" i="16"/>
  <c r="AY89" i="16"/>
  <c r="AY88" i="16"/>
  <c r="AY87" i="16"/>
  <c r="DP94" i="16"/>
  <c r="DP93" i="16"/>
  <c r="DP92" i="16"/>
  <c r="DP91" i="16"/>
  <c r="DP90" i="16"/>
  <c r="DP89" i="16"/>
  <c r="DP88" i="16"/>
  <c r="DP87" i="16"/>
  <c r="DM94" i="16"/>
  <c r="DM93" i="16"/>
  <c r="DM92" i="16"/>
  <c r="DM91" i="16"/>
  <c r="DM90" i="16"/>
  <c r="DM89" i="16"/>
  <c r="DM88" i="16"/>
  <c r="DM87" i="16"/>
  <c r="DJ94" i="16"/>
  <c r="DJ93" i="16"/>
  <c r="DJ92" i="16"/>
  <c r="DJ91" i="16"/>
  <c r="DJ90" i="16"/>
  <c r="DJ89" i="16"/>
  <c r="DJ88" i="16"/>
  <c r="DJ87" i="16"/>
  <c r="DG94" i="16"/>
  <c r="DG93" i="16"/>
  <c r="DG92" i="16"/>
  <c r="DG91" i="16"/>
  <c r="DG90" i="16"/>
  <c r="DG89" i="16"/>
  <c r="DG88" i="16"/>
  <c r="DG87" i="16"/>
  <c r="DD94" i="16"/>
  <c r="DD93" i="16"/>
  <c r="DD92" i="16"/>
  <c r="DD91" i="16"/>
  <c r="DD90" i="16"/>
  <c r="DD89" i="16"/>
  <c r="DD88" i="16"/>
  <c r="DD87" i="16"/>
  <c r="CW94" i="16"/>
  <c r="CW93" i="16"/>
  <c r="CW92" i="16"/>
  <c r="CW91" i="16"/>
  <c r="CW90" i="16"/>
  <c r="CW89" i="16"/>
  <c r="CW88" i="16"/>
  <c r="CW87" i="16"/>
  <c r="CT94" i="16"/>
  <c r="CT93" i="16"/>
  <c r="CT92" i="16"/>
  <c r="CT91" i="16"/>
  <c r="CT90" i="16"/>
  <c r="CT89" i="16"/>
  <c r="CT88" i="16"/>
  <c r="CT87" i="16"/>
  <c r="CQ94" i="16"/>
  <c r="CQ93" i="16"/>
  <c r="CQ92" i="16"/>
  <c r="CQ91" i="16"/>
  <c r="CQ90" i="16"/>
  <c r="CQ89" i="16"/>
  <c r="CQ88" i="16"/>
  <c r="CQ87" i="16"/>
  <c r="CN94" i="16"/>
  <c r="CN93" i="16"/>
  <c r="CN92" i="16"/>
  <c r="CN91" i="16"/>
  <c r="CN90" i="16"/>
  <c r="CN89" i="16"/>
  <c r="CN88" i="16"/>
  <c r="CN87" i="16"/>
  <c r="CK94" i="16"/>
  <c r="CK93" i="16"/>
  <c r="CK92" i="16"/>
  <c r="CK91" i="16"/>
  <c r="CK90" i="16"/>
  <c r="CK89" i="16"/>
  <c r="CK88" i="16"/>
  <c r="CK87" i="16"/>
  <c r="AR40" i="16"/>
  <c r="AR39" i="16"/>
  <c r="AR38" i="16"/>
  <c r="AO40" i="16"/>
  <c r="AO39" i="16"/>
  <c r="AO38" i="16"/>
  <c r="AL40" i="16"/>
  <c r="AL39" i="16"/>
  <c r="AL38" i="16"/>
  <c r="AI40" i="16"/>
  <c r="AI39" i="16"/>
  <c r="AI38" i="16"/>
  <c r="AF40" i="16"/>
  <c r="AF39" i="16"/>
  <c r="AF38" i="16"/>
  <c r="Y40" i="16"/>
  <c r="Y39" i="16"/>
  <c r="Y38" i="16"/>
  <c r="V40" i="16"/>
  <c r="V39" i="16"/>
  <c r="V38" i="16"/>
  <c r="S40" i="16"/>
  <c r="S39" i="16"/>
  <c r="S38" i="16"/>
  <c r="P40" i="16"/>
  <c r="P39" i="16"/>
  <c r="P38" i="16"/>
  <c r="M40" i="16"/>
  <c r="M39" i="16"/>
  <c r="M38" i="16"/>
  <c r="CD40" i="16"/>
  <c r="CD39" i="16"/>
  <c r="CD38" i="16"/>
  <c r="CA40" i="16"/>
  <c r="CA39" i="16"/>
  <c r="CA38" i="16"/>
  <c r="BX40" i="16"/>
  <c r="BX39" i="16"/>
  <c r="BX38" i="16"/>
  <c r="BU40" i="16"/>
  <c r="BU39" i="16"/>
  <c r="BU38" i="16"/>
  <c r="BR40" i="16"/>
  <c r="BR39" i="16"/>
  <c r="BR38" i="16"/>
  <c r="BK40" i="16"/>
  <c r="BK39" i="16"/>
  <c r="BK38" i="16"/>
  <c r="BH40" i="16"/>
  <c r="BH39" i="16"/>
  <c r="BH38" i="16"/>
  <c r="BE40" i="16"/>
  <c r="BE39" i="16"/>
  <c r="BE38" i="16"/>
  <c r="BB40" i="16"/>
  <c r="BB39" i="16"/>
  <c r="BB38" i="16"/>
  <c r="AY40" i="16"/>
  <c r="AY39" i="16"/>
  <c r="AY38" i="16"/>
  <c r="DP40" i="16"/>
  <c r="DP39" i="16"/>
  <c r="DP38" i="16"/>
  <c r="DM40" i="16"/>
  <c r="DM39" i="16"/>
  <c r="DM38" i="16"/>
  <c r="DJ40" i="16"/>
  <c r="DJ39" i="16"/>
  <c r="DJ38" i="16"/>
  <c r="DG40" i="16"/>
  <c r="DG39" i="16"/>
  <c r="DG38" i="16"/>
  <c r="DD40" i="16"/>
  <c r="DD39" i="16"/>
  <c r="DD38" i="16"/>
  <c r="CW40" i="16"/>
  <c r="CW39" i="16"/>
  <c r="CW38" i="16"/>
  <c r="CT40" i="16"/>
  <c r="CT39" i="16"/>
  <c r="CT38" i="16"/>
  <c r="CQ40" i="16"/>
  <c r="CQ39" i="16"/>
  <c r="CQ38" i="16"/>
  <c r="CN40" i="16"/>
  <c r="CN39" i="16"/>
  <c r="CN38" i="16"/>
  <c r="CK40" i="16"/>
  <c r="CK39" i="16"/>
  <c r="CK38" i="16"/>
  <c r="AR203" i="16"/>
  <c r="AO203" i="16"/>
  <c r="AL203" i="16"/>
  <c r="AI203" i="16"/>
  <c r="AF203" i="16"/>
  <c r="Y203" i="16"/>
  <c r="V203" i="16"/>
  <c r="S203" i="16"/>
  <c r="P203" i="16"/>
  <c r="M203" i="16"/>
  <c r="CD203" i="16"/>
  <c r="CA203" i="16"/>
  <c r="BX203" i="16"/>
  <c r="BU203" i="16"/>
  <c r="BR203" i="16"/>
  <c r="BK203" i="16"/>
  <c r="BH203" i="16"/>
  <c r="BE203" i="16"/>
  <c r="BB203" i="16"/>
  <c r="AY203" i="16"/>
  <c r="DP203" i="16"/>
  <c r="DM203" i="16"/>
  <c r="DJ203" i="16"/>
  <c r="DG203" i="16"/>
  <c r="DD203" i="16"/>
  <c r="CW203" i="16"/>
  <c r="CT203" i="16"/>
  <c r="CQ203" i="16"/>
  <c r="CN203" i="16"/>
  <c r="CK203" i="16"/>
  <c r="AR202" i="16"/>
  <c r="AR201" i="16"/>
  <c r="AR200" i="16"/>
  <c r="AO202" i="16"/>
  <c r="AO201" i="16"/>
  <c r="AO200" i="16"/>
  <c r="AL202" i="16"/>
  <c r="AL201" i="16"/>
  <c r="AL200" i="16"/>
  <c r="AI202" i="16"/>
  <c r="AI201" i="16"/>
  <c r="AI200" i="16"/>
  <c r="AF202" i="16"/>
  <c r="AF201" i="16"/>
  <c r="AF200" i="16"/>
  <c r="Y202" i="16"/>
  <c r="Y201" i="16"/>
  <c r="Y200" i="16"/>
  <c r="V202" i="16"/>
  <c r="V201" i="16"/>
  <c r="V200" i="16"/>
  <c r="S202" i="16"/>
  <c r="S201" i="16"/>
  <c r="S200" i="16"/>
  <c r="P202" i="16"/>
  <c r="P201" i="16"/>
  <c r="P200" i="16"/>
  <c r="M202" i="16"/>
  <c r="M201" i="16"/>
  <c r="M200" i="16"/>
  <c r="CD202" i="16"/>
  <c r="CD201" i="16"/>
  <c r="CD200" i="16"/>
  <c r="CA202" i="16"/>
  <c r="CA201" i="16"/>
  <c r="CA200" i="16"/>
  <c r="BX202" i="16"/>
  <c r="BX201" i="16"/>
  <c r="BX200" i="16"/>
  <c r="BU202" i="16"/>
  <c r="BU201" i="16"/>
  <c r="BU200" i="16"/>
  <c r="BR202" i="16"/>
  <c r="BR201" i="16"/>
  <c r="BR200" i="16"/>
  <c r="BK202" i="16"/>
  <c r="BK201" i="16"/>
  <c r="BK200" i="16"/>
  <c r="BH202" i="16"/>
  <c r="BH201" i="16"/>
  <c r="BH200" i="16"/>
  <c r="BE202" i="16"/>
  <c r="BE201" i="16"/>
  <c r="BE200" i="16"/>
  <c r="BB202" i="16"/>
  <c r="BB201" i="16"/>
  <c r="BB200" i="16"/>
  <c r="AY202" i="16"/>
  <c r="AY201" i="16"/>
  <c r="AY200" i="16"/>
  <c r="DP202" i="16"/>
  <c r="DP201" i="16"/>
  <c r="DP200" i="16"/>
  <c r="DM202" i="16"/>
  <c r="DM201" i="16"/>
  <c r="DM200" i="16"/>
  <c r="DJ202" i="16"/>
  <c r="DJ201" i="16"/>
  <c r="DJ200" i="16"/>
  <c r="DG202" i="16"/>
  <c r="DG201" i="16"/>
  <c r="DG200" i="16"/>
  <c r="DD202" i="16"/>
  <c r="DD201" i="16"/>
  <c r="DD200" i="16"/>
  <c r="CW202" i="16"/>
  <c r="CW201" i="16"/>
  <c r="CW200" i="16"/>
  <c r="CT202" i="16"/>
  <c r="CT201" i="16"/>
  <c r="CT200" i="16"/>
  <c r="CQ202" i="16"/>
  <c r="CQ201" i="16"/>
  <c r="CQ200" i="16"/>
  <c r="CN202" i="16"/>
  <c r="CN201" i="16"/>
  <c r="CN200" i="16"/>
  <c r="CK202" i="16"/>
  <c r="CK201" i="16"/>
  <c r="CK200" i="16"/>
  <c r="AR41" i="16"/>
  <c r="AO41" i="16"/>
  <c r="AL41" i="16"/>
  <c r="AI41" i="16"/>
  <c r="AF41" i="16"/>
  <c r="Y41" i="16"/>
  <c r="V41" i="16"/>
  <c r="S41" i="16"/>
  <c r="P41" i="16"/>
  <c r="M41" i="16"/>
  <c r="CD41" i="16"/>
  <c r="CA41" i="16"/>
  <c r="BX41" i="16"/>
  <c r="BU41" i="16"/>
  <c r="BR41" i="16"/>
  <c r="BK41" i="16"/>
  <c r="BH41" i="16"/>
  <c r="BE41" i="16"/>
  <c r="BB41" i="16"/>
  <c r="AY41" i="16"/>
  <c r="CW41" i="16"/>
  <c r="CT41" i="16"/>
  <c r="CQ41" i="16"/>
  <c r="CN41" i="16"/>
  <c r="CK41" i="16"/>
  <c r="G5" i="17"/>
  <c r="F5" i="17"/>
  <c r="E5" i="17"/>
  <c r="C5" i="17"/>
  <c r="D5" i="17"/>
  <c r="AR148" i="16"/>
  <c r="AO148" i="16"/>
  <c r="AL148" i="16"/>
  <c r="AI148" i="16"/>
  <c r="AF148" i="16"/>
  <c r="Y148" i="16"/>
  <c r="V148" i="16"/>
  <c r="S148" i="16"/>
  <c r="P148" i="16"/>
  <c r="M148" i="16"/>
  <c r="CD148" i="16"/>
  <c r="CA148" i="16"/>
  <c r="BX148" i="16"/>
  <c r="BU148" i="16"/>
  <c r="BR148" i="16"/>
  <c r="BK148" i="16"/>
  <c r="BH148" i="16"/>
  <c r="BE148" i="16"/>
  <c r="BB148" i="16"/>
  <c r="AY148" i="16"/>
  <c r="DP148" i="16"/>
  <c r="DM148" i="16"/>
  <c r="DJ148" i="16"/>
  <c r="DG148" i="16"/>
  <c r="DD148" i="16"/>
  <c r="CW148" i="16"/>
  <c r="CT148" i="16"/>
  <c r="CQ148" i="16"/>
  <c r="CN148" i="16"/>
  <c r="CK148" i="16"/>
  <c r="AR146" i="16"/>
  <c r="AR147" i="16"/>
  <c r="AO146" i="16"/>
  <c r="AO147" i="16"/>
  <c r="AL146" i="16"/>
  <c r="AL147" i="16"/>
  <c r="AI146" i="16"/>
  <c r="AI147" i="16"/>
  <c r="AF146" i="16"/>
  <c r="AF147" i="16"/>
  <c r="Y146" i="16"/>
  <c r="Y147" i="16"/>
  <c r="V146" i="16"/>
  <c r="V147" i="16"/>
  <c r="S146" i="16"/>
  <c r="S147" i="16"/>
  <c r="P146" i="16"/>
  <c r="P147" i="16"/>
  <c r="M146" i="16"/>
  <c r="M147" i="16"/>
  <c r="CD146" i="16"/>
  <c r="CD147" i="16"/>
  <c r="CA146" i="16"/>
  <c r="CA147" i="16"/>
  <c r="BX146" i="16"/>
  <c r="BX147" i="16"/>
  <c r="BU146" i="16"/>
  <c r="BU147" i="16"/>
  <c r="BR146" i="16"/>
  <c r="BR147" i="16"/>
  <c r="BK146" i="16"/>
  <c r="BK147" i="16"/>
  <c r="BH146" i="16"/>
  <c r="BH147" i="16"/>
  <c r="BE146" i="16"/>
  <c r="BE147" i="16"/>
  <c r="BB146" i="16"/>
  <c r="BB147" i="16"/>
  <c r="AY146" i="16"/>
  <c r="AY147" i="16"/>
  <c r="DP146" i="16"/>
  <c r="DP147" i="16"/>
  <c r="DM146" i="16"/>
  <c r="DM147" i="16"/>
  <c r="DJ146" i="16"/>
  <c r="DJ147" i="16"/>
  <c r="DG146" i="16"/>
  <c r="DG147" i="16"/>
  <c r="DD146" i="16"/>
  <c r="DD147" i="16"/>
  <c r="CW146" i="16"/>
  <c r="CW147" i="16"/>
  <c r="CT146" i="16"/>
  <c r="CT147" i="16"/>
  <c r="CQ146" i="16"/>
  <c r="CQ147" i="16"/>
  <c r="CN146" i="16"/>
  <c r="CN147" i="16"/>
  <c r="CK146" i="16"/>
  <c r="CK147" i="16"/>
  <c r="AR85" i="16"/>
  <c r="AR84" i="16"/>
  <c r="AO85" i="16"/>
  <c r="AO84" i="16"/>
  <c r="AL85" i="16"/>
  <c r="AL84" i="16"/>
  <c r="AI85" i="16"/>
  <c r="AI84" i="16"/>
  <c r="AF85" i="16"/>
  <c r="AF84" i="16"/>
  <c r="Y85" i="16"/>
  <c r="Y84" i="16"/>
  <c r="V85" i="16"/>
  <c r="V84" i="16"/>
  <c r="S85" i="16"/>
  <c r="S84" i="16"/>
  <c r="P85" i="16"/>
  <c r="P84" i="16"/>
  <c r="M85" i="16"/>
  <c r="M84" i="16"/>
  <c r="CD85" i="16"/>
  <c r="CD84" i="16"/>
  <c r="CA85" i="16"/>
  <c r="CA84" i="16"/>
  <c r="BX85" i="16"/>
  <c r="BX84" i="16"/>
  <c r="BU85" i="16"/>
  <c r="BU84" i="16"/>
  <c r="BR85" i="16"/>
  <c r="BR84" i="16"/>
  <c r="BK85" i="16"/>
  <c r="BK84" i="16"/>
  <c r="BH85" i="16"/>
  <c r="BH84" i="16"/>
  <c r="BE85" i="16"/>
  <c r="BE84" i="16"/>
  <c r="BB85" i="16"/>
  <c r="BB84" i="16"/>
  <c r="AY85" i="16"/>
  <c r="AY84" i="16"/>
  <c r="DP85" i="16"/>
  <c r="DP84" i="16"/>
  <c r="DM85" i="16"/>
  <c r="DM84" i="16"/>
  <c r="DJ85" i="16"/>
  <c r="DJ84" i="16"/>
  <c r="DG85" i="16"/>
  <c r="DG84" i="16"/>
  <c r="DD85" i="16"/>
  <c r="DD84" i="16"/>
  <c r="CW85" i="16"/>
  <c r="CW84" i="16"/>
  <c r="CT85" i="16"/>
  <c r="CT84" i="16"/>
  <c r="CQ85" i="16"/>
  <c r="CQ84" i="16"/>
  <c r="CN85" i="16"/>
  <c r="CN84" i="16"/>
  <c r="CK85" i="16"/>
  <c r="CK84" i="16"/>
  <c r="AR75" i="16"/>
  <c r="AR76" i="16"/>
  <c r="AO75" i="16"/>
  <c r="AO76" i="16"/>
  <c r="AL75" i="16"/>
  <c r="AL76" i="16"/>
  <c r="AI75" i="16"/>
  <c r="AI76" i="16"/>
  <c r="AF75" i="16"/>
  <c r="AF76" i="16"/>
  <c r="Y75" i="16"/>
  <c r="Y76" i="16"/>
  <c r="V75" i="16"/>
  <c r="V76" i="16"/>
  <c r="S75" i="16"/>
  <c r="S76" i="16"/>
  <c r="P75" i="16"/>
  <c r="P76" i="16"/>
  <c r="M75" i="16"/>
  <c r="M76" i="16"/>
  <c r="CD75" i="16"/>
  <c r="CD76" i="16"/>
  <c r="CA75" i="16"/>
  <c r="CA76" i="16"/>
  <c r="BX75" i="16"/>
  <c r="BX76" i="16"/>
  <c r="BU75" i="16"/>
  <c r="BU76" i="16"/>
  <c r="BR75" i="16"/>
  <c r="BR76" i="16"/>
  <c r="BK75" i="16"/>
  <c r="BK76" i="16"/>
  <c r="BH75" i="16"/>
  <c r="BH76" i="16"/>
  <c r="BE75" i="16"/>
  <c r="BE76" i="16"/>
  <c r="BB75" i="16"/>
  <c r="BB76" i="16"/>
  <c r="AY75" i="16"/>
  <c r="AY76" i="16"/>
  <c r="DP75" i="16"/>
  <c r="DP76" i="16"/>
  <c r="DM75" i="16"/>
  <c r="DM76" i="16"/>
  <c r="DJ75" i="16"/>
  <c r="DJ76" i="16"/>
  <c r="DG75" i="16"/>
  <c r="DG76" i="16"/>
  <c r="DD75" i="16"/>
  <c r="DD76" i="16"/>
  <c r="CW75" i="16"/>
  <c r="CW76" i="16"/>
  <c r="CT75" i="16"/>
  <c r="CT76" i="16"/>
  <c r="CQ75" i="16"/>
  <c r="CQ76" i="16"/>
  <c r="CN75" i="16"/>
  <c r="CN76" i="16"/>
  <c r="CK75" i="16"/>
  <c r="CK76" i="16"/>
  <c r="AR77" i="16"/>
  <c r="AO77" i="16"/>
  <c r="AL77" i="16"/>
  <c r="AI77" i="16"/>
  <c r="AF77" i="16"/>
  <c r="Y77" i="16"/>
  <c r="V77" i="16"/>
  <c r="S77" i="16"/>
  <c r="P77" i="16"/>
  <c r="M77" i="16"/>
  <c r="CD77" i="16"/>
  <c r="CA77" i="16"/>
  <c r="BX77" i="16"/>
  <c r="BU77" i="16"/>
  <c r="BR77" i="16"/>
  <c r="BK77" i="16"/>
  <c r="BH77" i="16"/>
  <c r="BE77" i="16"/>
  <c r="BB77" i="16"/>
  <c r="AY77" i="16"/>
  <c r="DP77" i="16"/>
  <c r="DM77" i="16"/>
  <c r="DJ77" i="16"/>
  <c r="DG77" i="16"/>
  <c r="DD77" i="16"/>
  <c r="CW77" i="16"/>
  <c r="CT77" i="16"/>
  <c r="CQ77" i="16"/>
  <c r="CN77" i="16"/>
  <c r="CK77" i="16"/>
  <c r="AR174" i="16"/>
  <c r="AO174" i="16"/>
  <c r="AL174" i="16"/>
  <c r="AI174" i="16"/>
  <c r="AF174" i="16"/>
  <c r="Y174" i="16"/>
  <c r="V174" i="16"/>
  <c r="S174" i="16"/>
  <c r="P174" i="16"/>
  <c r="M174" i="16"/>
  <c r="CD174" i="16"/>
  <c r="CA174" i="16"/>
  <c r="BX174" i="16"/>
  <c r="BU174" i="16"/>
  <c r="BR174" i="16"/>
  <c r="BK174" i="16"/>
  <c r="BH174" i="16"/>
  <c r="BE174" i="16"/>
  <c r="BB174" i="16"/>
  <c r="AY174" i="16"/>
  <c r="DP174" i="16"/>
  <c r="DM174" i="16"/>
  <c r="DJ174" i="16"/>
  <c r="DG174" i="16"/>
  <c r="DD174" i="16"/>
  <c r="CW174" i="16"/>
  <c r="CT174" i="16"/>
  <c r="CQ174" i="16"/>
  <c r="CN174" i="16"/>
  <c r="CK174" i="16"/>
  <c r="AR74" i="16"/>
  <c r="AR78" i="16"/>
  <c r="AO74" i="16"/>
  <c r="AO78" i="16"/>
  <c r="AL74" i="16"/>
  <c r="AL78" i="16"/>
  <c r="AI74" i="16"/>
  <c r="AI78" i="16"/>
  <c r="AF74" i="16"/>
  <c r="AF78" i="16"/>
  <c r="Y74" i="16"/>
  <c r="Y78" i="16"/>
  <c r="V74" i="16"/>
  <c r="V78" i="16"/>
  <c r="S74" i="16"/>
  <c r="S78" i="16"/>
  <c r="P74" i="16"/>
  <c r="P78" i="16"/>
  <c r="M74" i="16"/>
  <c r="M78" i="16"/>
  <c r="CD74" i="16"/>
  <c r="CD78" i="16"/>
  <c r="CA74" i="16"/>
  <c r="CA78" i="16"/>
  <c r="BX74" i="16"/>
  <c r="BX78" i="16"/>
  <c r="BU74" i="16"/>
  <c r="BU78" i="16"/>
  <c r="BR74" i="16"/>
  <c r="BR78" i="16"/>
  <c r="BK74" i="16"/>
  <c r="BK78" i="16"/>
  <c r="BH74" i="16"/>
  <c r="BH78" i="16"/>
  <c r="BE74" i="16"/>
  <c r="BE78" i="16"/>
  <c r="BB74" i="16"/>
  <c r="BB78" i="16"/>
  <c r="AY74" i="16"/>
  <c r="AY78" i="16"/>
  <c r="DP74" i="16"/>
  <c r="DP78" i="16"/>
  <c r="DM74" i="16"/>
  <c r="DM78" i="16"/>
  <c r="DJ74" i="16"/>
  <c r="DJ78" i="16"/>
  <c r="DG74" i="16"/>
  <c r="DG78" i="16"/>
  <c r="DD74" i="16"/>
  <c r="DD78" i="16"/>
  <c r="CW74" i="16"/>
  <c r="CW78" i="16"/>
  <c r="CT74" i="16"/>
  <c r="CT78" i="16"/>
  <c r="CQ74" i="16"/>
  <c r="CQ78" i="16"/>
  <c r="CN74" i="16"/>
  <c r="CN78" i="16"/>
  <c r="CK74" i="16"/>
  <c r="CK78" i="16"/>
  <c r="AR34" i="16"/>
  <c r="AR35" i="16"/>
  <c r="AR36" i="16"/>
  <c r="AR37" i="16"/>
  <c r="AO34" i="16"/>
  <c r="AO35" i="16"/>
  <c r="AO36" i="16"/>
  <c r="AO37" i="16"/>
  <c r="AL34" i="16"/>
  <c r="AL35" i="16"/>
  <c r="AL36" i="16"/>
  <c r="AL37" i="16"/>
  <c r="AI34" i="16"/>
  <c r="AI35" i="16"/>
  <c r="AI36" i="16"/>
  <c r="AI37" i="16"/>
  <c r="AF34" i="16"/>
  <c r="AF35" i="16"/>
  <c r="AF36" i="16"/>
  <c r="AF37" i="16"/>
  <c r="Y34" i="16"/>
  <c r="Y35" i="16"/>
  <c r="Y36" i="16"/>
  <c r="Y37" i="16"/>
  <c r="V34" i="16"/>
  <c r="V35" i="16"/>
  <c r="V36" i="16"/>
  <c r="V37" i="16"/>
  <c r="S34" i="16"/>
  <c r="S35" i="16"/>
  <c r="S36" i="16"/>
  <c r="S37" i="16"/>
  <c r="P34" i="16"/>
  <c r="P35" i="16"/>
  <c r="P36" i="16"/>
  <c r="P37" i="16"/>
  <c r="M34" i="16"/>
  <c r="M35" i="16"/>
  <c r="M36" i="16"/>
  <c r="M37" i="16"/>
  <c r="CD34" i="16"/>
  <c r="CD35" i="16"/>
  <c r="CD36" i="16"/>
  <c r="CD37" i="16"/>
  <c r="CA34" i="16"/>
  <c r="CA35" i="16"/>
  <c r="CA36" i="16"/>
  <c r="CA37" i="16"/>
  <c r="BX34" i="16"/>
  <c r="BX35" i="16"/>
  <c r="BX36" i="16"/>
  <c r="BX37" i="16"/>
  <c r="BU34" i="16"/>
  <c r="BU35" i="16"/>
  <c r="BU36" i="16"/>
  <c r="BU37" i="16"/>
  <c r="BR34" i="16"/>
  <c r="BR35" i="16"/>
  <c r="BR36" i="16"/>
  <c r="BR37" i="16"/>
  <c r="BK34" i="16"/>
  <c r="BK35" i="16"/>
  <c r="BK36" i="16"/>
  <c r="BK37" i="16"/>
  <c r="BH34" i="16"/>
  <c r="BH35" i="16"/>
  <c r="BH36" i="16"/>
  <c r="BH37" i="16"/>
  <c r="BE34" i="16"/>
  <c r="BE35" i="16"/>
  <c r="BE36" i="16"/>
  <c r="BE37" i="16"/>
  <c r="BB34" i="16"/>
  <c r="BB35" i="16"/>
  <c r="BB36" i="16"/>
  <c r="BB37" i="16"/>
  <c r="AY34" i="16"/>
  <c r="AY35" i="16"/>
  <c r="AY36" i="16"/>
  <c r="AY37" i="16"/>
  <c r="DP34" i="16"/>
  <c r="DP35" i="16"/>
  <c r="DP36" i="16"/>
  <c r="DP37" i="16"/>
  <c r="DM34" i="16"/>
  <c r="DM35" i="16"/>
  <c r="DM36" i="16"/>
  <c r="DM37" i="16"/>
  <c r="DJ34" i="16"/>
  <c r="DJ35" i="16"/>
  <c r="DJ36" i="16"/>
  <c r="DJ37" i="16"/>
  <c r="DG34" i="16"/>
  <c r="DG35" i="16"/>
  <c r="DG36" i="16"/>
  <c r="DG37" i="16"/>
  <c r="DD34" i="16"/>
  <c r="DD35" i="16"/>
  <c r="DD36" i="16"/>
  <c r="DD37" i="16"/>
  <c r="CW34" i="16"/>
  <c r="CW35" i="16"/>
  <c r="CW36" i="16"/>
  <c r="CW37" i="16"/>
  <c r="CT34" i="16"/>
  <c r="CT35" i="16"/>
  <c r="CT36" i="16"/>
  <c r="CT37" i="16"/>
  <c r="CQ34" i="16"/>
  <c r="CQ35" i="16"/>
  <c r="CQ36" i="16"/>
  <c r="CQ37" i="16"/>
  <c r="CN34" i="16"/>
  <c r="CN35" i="16"/>
  <c r="CN36" i="16"/>
  <c r="CN37" i="16"/>
  <c r="CK34" i="16"/>
  <c r="CK35" i="16"/>
  <c r="CK36" i="16"/>
  <c r="CK37" i="16"/>
  <c r="AR29" i="16"/>
  <c r="AR30" i="16"/>
  <c r="AR31" i="16"/>
  <c r="AR32" i="16"/>
  <c r="AR33" i="16"/>
  <c r="AO29" i="16"/>
  <c r="AO30" i="16"/>
  <c r="AO31" i="16"/>
  <c r="AO32" i="16"/>
  <c r="AO33" i="16"/>
  <c r="AL29" i="16"/>
  <c r="AL30" i="16"/>
  <c r="AL31" i="16"/>
  <c r="AL32" i="16"/>
  <c r="AL33" i="16"/>
  <c r="AI29" i="16"/>
  <c r="AI30" i="16"/>
  <c r="AI31" i="16"/>
  <c r="AI32" i="16"/>
  <c r="AI33" i="16"/>
  <c r="AF29" i="16"/>
  <c r="AF30" i="16"/>
  <c r="AF31" i="16"/>
  <c r="AF32" i="16"/>
  <c r="AF33" i="16"/>
  <c r="Y29" i="16"/>
  <c r="Y30" i="16"/>
  <c r="Y31" i="16"/>
  <c r="Y32" i="16"/>
  <c r="Y33" i="16"/>
  <c r="V29" i="16"/>
  <c r="V30" i="16"/>
  <c r="V31" i="16"/>
  <c r="V32" i="16"/>
  <c r="V33" i="16"/>
  <c r="S29" i="16"/>
  <c r="S30" i="16"/>
  <c r="S31" i="16"/>
  <c r="S32" i="16"/>
  <c r="S33" i="16"/>
  <c r="P29" i="16"/>
  <c r="P30" i="16"/>
  <c r="P31" i="16"/>
  <c r="P32" i="16"/>
  <c r="P33" i="16"/>
  <c r="M29" i="16"/>
  <c r="M30" i="16"/>
  <c r="M31" i="16"/>
  <c r="M32" i="16"/>
  <c r="M33" i="16"/>
  <c r="CD29" i="16"/>
  <c r="CD30" i="16"/>
  <c r="CD31" i="16"/>
  <c r="CD32" i="16"/>
  <c r="CD33" i="16"/>
  <c r="CA29" i="16"/>
  <c r="CA30" i="16"/>
  <c r="CA31" i="16"/>
  <c r="CA32" i="16"/>
  <c r="CA33" i="16"/>
  <c r="BX29" i="16"/>
  <c r="BX30" i="16"/>
  <c r="BX31" i="16"/>
  <c r="BX32" i="16"/>
  <c r="BX33" i="16"/>
  <c r="BU29" i="16"/>
  <c r="BU30" i="16"/>
  <c r="BU31" i="16"/>
  <c r="BU32" i="16"/>
  <c r="BU33" i="16"/>
  <c r="BR29" i="16"/>
  <c r="BR30" i="16"/>
  <c r="BR31" i="16"/>
  <c r="BR32" i="16"/>
  <c r="BR33" i="16"/>
  <c r="BK29" i="16"/>
  <c r="BK30" i="16"/>
  <c r="BK31" i="16"/>
  <c r="BK32" i="16"/>
  <c r="BK33" i="16"/>
  <c r="BH29" i="16"/>
  <c r="BH30" i="16"/>
  <c r="BH31" i="16"/>
  <c r="BH32" i="16"/>
  <c r="BH33" i="16"/>
  <c r="BE29" i="16"/>
  <c r="BE30" i="16"/>
  <c r="BE31" i="16"/>
  <c r="BE32" i="16"/>
  <c r="BE33" i="16"/>
  <c r="BB29" i="16"/>
  <c r="BB30" i="16"/>
  <c r="BB31" i="16"/>
  <c r="BB32" i="16"/>
  <c r="BB33" i="16"/>
  <c r="AY29" i="16"/>
  <c r="AY30" i="16"/>
  <c r="AY31" i="16"/>
  <c r="AY32" i="16"/>
  <c r="AY33" i="16"/>
  <c r="DP29" i="16"/>
  <c r="DP30" i="16"/>
  <c r="DP31" i="16"/>
  <c r="DP32" i="16"/>
  <c r="DP33" i="16"/>
  <c r="DM29" i="16"/>
  <c r="DM30" i="16"/>
  <c r="DM31" i="16"/>
  <c r="DM32" i="16"/>
  <c r="DM33" i="16"/>
  <c r="DJ29" i="16"/>
  <c r="DJ30" i="16"/>
  <c r="DJ31" i="16"/>
  <c r="DJ32" i="16"/>
  <c r="DJ33" i="16"/>
  <c r="DG29" i="16"/>
  <c r="DG30" i="16"/>
  <c r="DG31" i="16"/>
  <c r="DG32" i="16"/>
  <c r="DG33" i="16"/>
  <c r="DD29" i="16"/>
  <c r="DD30" i="16"/>
  <c r="DD31" i="16"/>
  <c r="DD32" i="16"/>
  <c r="DD33" i="16"/>
  <c r="CW29" i="16"/>
  <c r="CW30" i="16"/>
  <c r="CW31" i="16"/>
  <c r="CW32" i="16"/>
  <c r="CW33" i="16"/>
  <c r="CT29" i="16"/>
  <c r="CT30" i="16"/>
  <c r="CT31" i="16"/>
  <c r="CT32" i="16"/>
  <c r="CT33" i="16"/>
  <c r="CQ29" i="16"/>
  <c r="CQ30" i="16"/>
  <c r="CQ31" i="16"/>
  <c r="CQ32" i="16"/>
  <c r="CQ33" i="16"/>
  <c r="CN29" i="16"/>
  <c r="CN30" i="16"/>
  <c r="CN31" i="16"/>
  <c r="CN32" i="16"/>
  <c r="CN33" i="16"/>
  <c r="CK29" i="16"/>
  <c r="CK30" i="16"/>
  <c r="CK31" i="16"/>
  <c r="CK32" i="16"/>
  <c r="CK33" i="16"/>
  <c r="AR26" i="16"/>
  <c r="AR27" i="16"/>
  <c r="AR28" i="16"/>
  <c r="AO26" i="16"/>
  <c r="AO27" i="16"/>
  <c r="AO28" i="16"/>
  <c r="AL26" i="16"/>
  <c r="AL27" i="16"/>
  <c r="AL28" i="16"/>
  <c r="AI26" i="16"/>
  <c r="AI27" i="16"/>
  <c r="AI28" i="16"/>
  <c r="AF26" i="16"/>
  <c r="AF27" i="16"/>
  <c r="AF28" i="16"/>
  <c r="Y26" i="16"/>
  <c r="Y27" i="16"/>
  <c r="Y28" i="16"/>
  <c r="V26" i="16"/>
  <c r="V27" i="16"/>
  <c r="V28" i="16"/>
  <c r="S26" i="16"/>
  <c r="S27" i="16"/>
  <c r="S28" i="16"/>
  <c r="P26" i="16"/>
  <c r="P27" i="16"/>
  <c r="P28" i="16"/>
  <c r="M26" i="16"/>
  <c r="M27" i="16"/>
  <c r="M28" i="16"/>
  <c r="CD26" i="16"/>
  <c r="CD27" i="16"/>
  <c r="CD28" i="16"/>
  <c r="CA26" i="16"/>
  <c r="CA27" i="16"/>
  <c r="CA28" i="16"/>
  <c r="BX26" i="16"/>
  <c r="BX27" i="16"/>
  <c r="BX28" i="16"/>
  <c r="BU26" i="16"/>
  <c r="BU27" i="16"/>
  <c r="BU28" i="16"/>
  <c r="BR26" i="16"/>
  <c r="BR27" i="16"/>
  <c r="BR28" i="16"/>
  <c r="BK26" i="16"/>
  <c r="BK27" i="16"/>
  <c r="BK28" i="16"/>
  <c r="BH26" i="16"/>
  <c r="BH27" i="16"/>
  <c r="BH28" i="16"/>
  <c r="BE26" i="16"/>
  <c r="BE27" i="16"/>
  <c r="BE28" i="16"/>
  <c r="BB26" i="16"/>
  <c r="BB27" i="16"/>
  <c r="BB28" i="16"/>
  <c r="AY26" i="16"/>
  <c r="AY27" i="16"/>
  <c r="AY28" i="16"/>
  <c r="DP26" i="16"/>
  <c r="DP27" i="16"/>
  <c r="DP28" i="16"/>
  <c r="DM26" i="16"/>
  <c r="DM27" i="16"/>
  <c r="DM28" i="16"/>
  <c r="DJ26" i="16"/>
  <c r="DJ27" i="16"/>
  <c r="DJ28" i="16"/>
  <c r="DG26" i="16"/>
  <c r="DG27" i="16"/>
  <c r="DG28" i="16"/>
  <c r="DD26" i="16"/>
  <c r="DD27" i="16"/>
  <c r="DD28" i="16"/>
  <c r="CW26" i="16"/>
  <c r="CW27" i="16"/>
  <c r="CW28" i="16"/>
  <c r="CT26" i="16"/>
  <c r="CT27" i="16"/>
  <c r="CT28" i="16"/>
  <c r="CQ26" i="16"/>
  <c r="CQ27" i="16"/>
  <c r="CQ28" i="16"/>
  <c r="CN26" i="16"/>
  <c r="CN27" i="16"/>
  <c r="CN28" i="16"/>
  <c r="CK26" i="16"/>
  <c r="CK27" i="16"/>
  <c r="CK28" i="16"/>
  <c r="AR25" i="16"/>
  <c r="AR24" i="16"/>
  <c r="AR23" i="16"/>
  <c r="AO25" i="16"/>
  <c r="AO24" i="16"/>
  <c r="AO23" i="16"/>
  <c r="AL25" i="16"/>
  <c r="AL24" i="16"/>
  <c r="AL23" i="16"/>
  <c r="AI25" i="16"/>
  <c r="AI24" i="16"/>
  <c r="AI23" i="16"/>
  <c r="AF25" i="16"/>
  <c r="AF24" i="16"/>
  <c r="AF23" i="16"/>
  <c r="Y25" i="16"/>
  <c r="Y24" i="16"/>
  <c r="Y23" i="16"/>
  <c r="V25" i="16"/>
  <c r="V24" i="16"/>
  <c r="V23" i="16"/>
  <c r="S25" i="16"/>
  <c r="S24" i="16"/>
  <c r="S23" i="16"/>
  <c r="P25" i="16"/>
  <c r="P24" i="16"/>
  <c r="P23" i="16"/>
  <c r="M25" i="16"/>
  <c r="M24" i="16"/>
  <c r="M23" i="16"/>
  <c r="CD25" i="16"/>
  <c r="CD24" i="16"/>
  <c r="CD23" i="16"/>
  <c r="CA25" i="16"/>
  <c r="CA24" i="16"/>
  <c r="CA23" i="16"/>
  <c r="BX25" i="16"/>
  <c r="BX24" i="16"/>
  <c r="BX23" i="16"/>
  <c r="BU25" i="16"/>
  <c r="BU24" i="16"/>
  <c r="BU23" i="16"/>
  <c r="BR25" i="16"/>
  <c r="BR24" i="16"/>
  <c r="BR23" i="16"/>
  <c r="BK25" i="16"/>
  <c r="BK24" i="16"/>
  <c r="BK23" i="16"/>
  <c r="BH25" i="16"/>
  <c r="BH24" i="16"/>
  <c r="BH23" i="16"/>
  <c r="BE25" i="16"/>
  <c r="BE24" i="16"/>
  <c r="BE23" i="16"/>
  <c r="BB25" i="16"/>
  <c r="BB24" i="16"/>
  <c r="BB23" i="16"/>
  <c r="AY25" i="16"/>
  <c r="AY24" i="16"/>
  <c r="AY23" i="16"/>
  <c r="DP25" i="16"/>
  <c r="DP24" i="16"/>
  <c r="DP23" i="16"/>
  <c r="DM25" i="16"/>
  <c r="DM24" i="16"/>
  <c r="DM23" i="16"/>
  <c r="DJ25" i="16"/>
  <c r="DJ24" i="16"/>
  <c r="DJ23" i="16"/>
  <c r="DG25" i="16"/>
  <c r="DG24" i="16"/>
  <c r="DG23" i="16"/>
  <c r="DD25" i="16"/>
  <c r="DD24" i="16"/>
  <c r="DD23" i="16"/>
  <c r="CW25" i="16"/>
  <c r="CW24" i="16"/>
  <c r="CW23" i="16"/>
  <c r="CT25" i="16"/>
  <c r="CT24" i="16"/>
  <c r="CT23" i="16"/>
  <c r="CQ25" i="16"/>
  <c r="CQ24" i="16"/>
  <c r="CQ23" i="16"/>
  <c r="CN25" i="16"/>
  <c r="CN24" i="16"/>
  <c r="CN23" i="16"/>
  <c r="CK25" i="16"/>
  <c r="CK24" i="16"/>
  <c r="CK23" i="16"/>
  <c r="AR7" i="16"/>
  <c r="AR6" i="16"/>
  <c r="AO7" i="16"/>
  <c r="AO6" i="16"/>
  <c r="AL7" i="16"/>
  <c r="AL6" i="16"/>
  <c r="AI7" i="16"/>
  <c r="AI6" i="16"/>
  <c r="AF7" i="16"/>
  <c r="AF6" i="16"/>
  <c r="Y7" i="16"/>
  <c r="Y6" i="16"/>
  <c r="V7" i="16"/>
  <c r="V6" i="16"/>
  <c r="S7" i="16"/>
  <c r="S6" i="16"/>
  <c r="P7" i="16"/>
  <c r="P6" i="16"/>
  <c r="M7" i="16"/>
  <c r="M6" i="16"/>
  <c r="CD7" i="16"/>
  <c r="CD6" i="16"/>
  <c r="CA7" i="16"/>
  <c r="CA6" i="16"/>
  <c r="BX7" i="16"/>
  <c r="BX6" i="16"/>
  <c r="BU7" i="16"/>
  <c r="BU6" i="16"/>
  <c r="BR7" i="16"/>
  <c r="BR6" i="16"/>
  <c r="BK7" i="16"/>
  <c r="BK6" i="16"/>
  <c r="BH7" i="16"/>
  <c r="BH6" i="16"/>
  <c r="BE7" i="16"/>
  <c r="BE6" i="16"/>
  <c r="BB7" i="16"/>
  <c r="BB6" i="16"/>
  <c r="AY7" i="16"/>
  <c r="AY6" i="16"/>
  <c r="DP7" i="16"/>
  <c r="DP6" i="16"/>
  <c r="DM7" i="16"/>
  <c r="DM6" i="16"/>
  <c r="DJ7" i="16"/>
  <c r="DJ6" i="16"/>
  <c r="DG7" i="16"/>
  <c r="DG6" i="16"/>
  <c r="DD7" i="16"/>
  <c r="DD6" i="16"/>
  <c r="CW7" i="16"/>
  <c r="CW6" i="16"/>
  <c r="CT7" i="16"/>
  <c r="CT6" i="16"/>
  <c r="CQ7" i="16"/>
  <c r="CQ6" i="16"/>
  <c r="CN7" i="16"/>
  <c r="CN6" i="16"/>
  <c r="CK7" i="16"/>
  <c r="CK6" i="16"/>
  <c r="AR9" i="16"/>
  <c r="AR8" i="16"/>
  <c r="AO9" i="16"/>
  <c r="AO8" i="16"/>
  <c r="AL9" i="16"/>
  <c r="AL8" i="16"/>
  <c r="AI9" i="16"/>
  <c r="AI8" i="16"/>
  <c r="AF9" i="16"/>
  <c r="AF8" i="16"/>
  <c r="Y9" i="16"/>
  <c r="Y8" i="16"/>
  <c r="V9" i="16"/>
  <c r="V8" i="16"/>
  <c r="S9" i="16"/>
  <c r="S8" i="16"/>
  <c r="P9" i="16"/>
  <c r="P8" i="16"/>
  <c r="M9" i="16"/>
  <c r="M8" i="16"/>
  <c r="CD9" i="16"/>
  <c r="CD8" i="16"/>
  <c r="CA9" i="16"/>
  <c r="CA8" i="16"/>
  <c r="BX9" i="16"/>
  <c r="BX8" i="16"/>
  <c r="BU9" i="16"/>
  <c r="BU8" i="16"/>
  <c r="BR9" i="16"/>
  <c r="BR8" i="16"/>
  <c r="BK9" i="16"/>
  <c r="BK8" i="16"/>
  <c r="BH9" i="16"/>
  <c r="BH8" i="16"/>
  <c r="BE9" i="16"/>
  <c r="BE8" i="16"/>
  <c r="BB9" i="16"/>
  <c r="BB8" i="16"/>
  <c r="AY9" i="16"/>
  <c r="AY8" i="16"/>
  <c r="DP9" i="16"/>
  <c r="DP8" i="16"/>
  <c r="DM9" i="16"/>
  <c r="DM8" i="16"/>
  <c r="DJ9" i="16"/>
  <c r="DJ8" i="16"/>
  <c r="DG9" i="16"/>
  <c r="DG8" i="16"/>
  <c r="DD9" i="16"/>
  <c r="DD8" i="16"/>
  <c r="CW9" i="16"/>
  <c r="CW8" i="16"/>
  <c r="CT9" i="16"/>
  <c r="CT8" i="16"/>
  <c r="CQ9" i="16"/>
  <c r="CQ8" i="16"/>
  <c r="CN9" i="16"/>
  <c r="CN8" i="16"/>
  <c r="CK9" i="16"/>
  <c r="CK8" i="16"/>
  <c r="AR136" i="16"/>
  <c r="AR137" i="16"/>
  <c r="AR142" i="16"/>
  <c r="AR143" i="16"/>
  <c r="AR144" i="16"/>
  <c r="AR145" i="16"/>
  <c r="AR63" i="16"/>
  <c r="AO136" i="16"/>
  <c r="AO137" i="16"/>
  <c r="AO142" i="16"/>
  <c r="AO143" i="16"/>
  <c r="AO144" i="16"/>
  <c r="AO145" i="16"/>
  <c r="AO63" i="16"/>
  <c r="AL136" i="16"/>
  <c r="AL137" i="16"/>
  <c r="AL142" i="16"/>
  <c r="AL143" i="16"/>
  <c r="AL144" i="16"/>
  <c r="AL145" i="16"/>
  <c r="AL63" i="16"/>
  <c r="AI136" i="16"/>
  <c r="AI137" i="16"/>
  <c r="AI142" i="16"/>
  <c r="AI143" i="16"/>
  <c r="AI144" i="16"/>
  <c r="AI145" i="16"/>
  <c r="AI63" i="16"/>
  <c r="AF136" i="16"/>
  <c r="AF137" i="16"/>
  <c r="AF142" i="16"/>
  <c r="AF143" i="16"/>
  <c r="AF144" i="16"/>
  <c r="AF145" i="16"/>
  <c r="AF63" i="16"/>
  <c r="Y136" i="16"/>
  <c r="Y137" i="16"/>
  <c r="Y142" i="16"/>
  <c r="Y143" i="16"/>
  <c r="Y144" i="16"/>
  <c r="Y145" i="16"/>
  <c r="Y63" i="16"/>
  <c r="V136" i="16"/>
  <c r="V137" i="16"/>
  <c r="V142" i="16"/>
  <c r="V143" i="16"/>
  <c r="V144" i="16"/>
  <c r="V145" i="16"/>
  <c r="V63" i="16"/>
  <c r="S136" i="16"/>
  <c r="S137" i="16"/>
  <c r="S142" i="16"/>
  <c r="S143" i="16"/>
  <c r="S144" i="16"/>
  <c r="S145" i="16"/>
  <c r="S63" i="16"/>
  <c r="P136" i="16"/>
  <c r="P137" i="16"/>
  <c r="P142" i="16"/>
  <c r="P143" i="16"/>
  <c r="P144" i="16"/>
  <c r="P145" i="16"/>
  <c r="P63" i="16"/>
  <c r="M136" i="16"/>
  <c r="M137" i="16"/>
  <c r="M142" i="16"/>
  <c r="M143" i="16"/>
  <c r="M144" i="16"/>
  <c r="M145" i="16"/>
  <c r="M63" i="16"/>
  <c r="CD136" i="16"/>
  <c r="CD137" i="16"/>
  <c r="CD142" i="16"/>
  <c r="CD143" i="16"/>
  <c r="CD144" i="16"/>
  <c r="CD145" i="16"/>
  <c r="CD63" i="16"/>
  <c r="CA136" i="16"/>
  <c r="CA137" i="16"/>
  <c r="CA142" i="16"/>
  <c r="CA143" i="16"/>
  <c r="CA144" i="16"/>
  <c r="CA145" i="16"/>
  <c r="CA63" i="16"/>
  <c r="BX136" i="16"/>
  <c r="BX137" i="16"/>
  <c r="BX142" i="16"/>
  <c r="BX143" i="16"/>
  <c r="BX144" i="16"/>
  <c r="BX145" i="16"/>
  <c r="BX63" i="16"/>
  <c r="BU136" i="16"/>
  <c r="BU137" i="16"/>
  <c r="BU142" i="16"/>
  <c r="BU143" i="16"/>
  <c r="BU144" i="16"/>
  <c r="BU145" i="16"/>
  <c r="BU63" i="16"/>
  <c r="BR136" i="16"/>
  <c r="BR137" i="16"/>
  <c r="BR142" i="16"/>
  <c r="BR143" i="16"/>
  <c r="BR144" i="16"/>
  <c r="BR145" i="16"/>
  <c r="BR63" i="16"/>
  <c r="BK136" i="16"/>
  <c r="BK137" i="16"/>
  <c r="BK142" i="16"/>
  <c r="BK143" i="16"/>
  <c r="BK144" i="16"/>
  <c r="BK145" i="16"/>
  <c r="BK63" i="16"/>
  <c r="BH136" i="16"/>
  <c r="BH137" i="16"/>
  <c r="BH142" i="16"/>
  <c r="BH143" i="16"/>
  <c r="BH144" i="16"/>
  <c r="BH145" i="16"/>
  <c r="BH63" i="16"/>
  <c r="BE136" i="16"/>
  <c r="BE137" i="16"/>
  <c r="BE142" i="16"/>
  <c r="BE143" i="16"/>
  <c r="BE144" i="16"/>
  <c r="BE145" i="16"/>
  <c r="BE63" i="16"/>
  <c r="BB136" i="16"/>
  <c r="BB137" i="16"/>
  <c r="BB142" i="16"/>
  <c r="BB143" i="16"/>
  <c r="BB144" i="16"/>
  <c r="BB145" i="16"/>
  <c r="BB63" i="16"/>
  <c r="AY136" i="16"/>
  <c r="AY137" i="16"/>
  <c r="AY142" i="16"/>
  <c r="AY143" i="16"/>
  <c r="AY144" i="16"/>
  <c r="AY145" i="16"/>
  <c r="AY63" i="16"/>
  <c r="DP136" i="16"/>
  <c r="DP137" i="16"/>
  <c r="DP142" i="16"/>
  <c r="DP143" i="16"/>
  <c r="DP144" i="16"/>
  <c r="DP145" i="16"/>
  <c r="DP63" i="16"/>
  <c r="DM136" i="16"/>
  <c r="DM137" i="16"/>
  <c r="DM142" i="16"/>
  <c r="DM143" i="16"/>
  <c r="DM144" i="16"/>
  <c r="DM145" i="16"/>
  <c r="DM63" i="16"/>
  <c r="DJ136" i="16"/>
  <c r="DJ137" i="16"/>
  <c r="DJ142" i="16"/>
  <c r="DJ143" i="16"/>
  <c r="DJ144" i="16"/>
  <c r="DJ145" i="16"/>
  <c r="DJ63" i="16"/>
  <c r="DG136" i="16"/>
  <c r="DG137" i="16"/>
  <c r="DG142" i="16"/>
  <c r="DG143" i="16"/>
  <c r="DG144" i="16"/>
  <c r="DG145" i="16"/>
  <c r="DG63" i="16"/>
  <c r="DD136" i="16"/>
  <c r="DD137" i="16"/>
  <c r="DD142" i="16"/>
  <c r="DD143" i="16"/>
  <c r="DD144" i="16"/>
  <c r="DD145" i="16"/>
  <c r="DD63" i="16"/>
  <c r="CW136" i="16"/>
  <c r="CW137" i="16"/>
  <c r="CW142" i="16"/>
  <c r="CW143" i="16"/>
  <c r="CW144" i="16"/>
  <c r="CW145" i="16"/>
  <c r="CW63" i="16"/>
  <c r="CT136" i="16"/>
  <c r="CT137" i="16"/>
  <c r="CT142" i="16"/>
  <c r="CT143" i="16"/>
  <c r="CT144" i="16"/>
  <c r="CT145" i="16"/>
  <c r="CT63" i="16"/>
  <c r="CQ136" i="16"/>
  <c r="CQ137" i="16"/>
  <c r="CQ142" i="16"/>
  <c r="CQ143" i="16"/>
  <c r="CQ144" i="16"/>
  <c r="CQ145" i="16"/>
  <c r="CQ63" i="16"/>
  <c r="CN136" i="16"/>
  <c r="CN137" i="16"/>
  <c r="CN142" i="16"/>
  <c r="CN143" i="16"/>
  <c r="CN144" i="16"/>
  <c r="CN145" i="16"/>
  <c r="CN63" i="16"/>
  <c r="CK136" i="16"/>
  <c r="CK137" i="16"/>
  <c r="CK142" i="16"/>
  <c r="CK143" i="16"/>
  <c r="CK144" i="16"/>
  <c r="CK145" i="16"/>
  <c r="CK63" i="16"/>
  <c r="AR58" i="16"/>
  <c r="AR55" i="16"/>
  <c r="AO58" i="16"/>
  <c r="AO55" i="16"/>
  <c r="AL58" i="16"/>
  <c r="AL55" i="16"/>
  <c r="AI58" i="16"/>
  <c r="AI55" i="16"/>
  <c r="AF58" i="16"/>
  <c r="AF55" i="16"/>
  <c r="Y58" i="16"/>
  <c r="Y55" i="16"/>
  <c r="V58" i="16"/>
  <c r="V55" i="16"/>
  <c r="S58" i="16"/>
  <c r="S55" i="16"/>
  <c r="P58" i="16"/>
  <c r="P55" i="16"/>
  <c r="M58" i="16"/>
  <c r="M55" i="16"/>
  <c r="CD58" i="16"/>
  <c r="CD55" i="16"/>
  <c r="CA58" i="16"/>
  <c r="CA55" i="16"/>
  <c r="BX58" i="16"/>
  <c r="BX55" i="16"/>
  <c r="BU58" i="16"/>
  <c r="BU55" i="16"/>
  <c r="BR58" i="16"/>
  <c r="BR55" i="16"/>
  <c r="BK58" i="16"/>
  <c r="BK55" i="16"/>
  <c r="BH58" i="16"/>
  <c r="BH55" i="16"/>
  <c r="BE58" i="16"/>
  <c r="BE55" i="16"/>
  <c r="BB58" i="16"/>
  <c r="BB55" i="16"/>
  <c r="AY58" i="16"/>
  <c r="AY55" i="16"/>
  <c r="DP58" i="16"/>
  <c r="DP55" i="16"/>
  <c r="DM58" i="16"/>
  <c r="DM55" i="16"/>
  <c r="DJ58" i="16"/>
  <c r="DJ55" i="16"/>
  <c r="DG58" i="16"/>
  <c r="DG55" i="16"/>
  <c r="DD58" i="16"/>
  <c r="DD55" i="16"/>
  <c r="CW58" i="16"/>
  <c r="CW55" i="16"/>
  <c r="CT58" i="16"/>
  <c r="CT55" i="16"/>
  <c r="CQ58" i="16"/>
  <c r="CQ55" i="16"/>
  <c r="CN58" i="16"/>
  <c r="CN55" i="16"/>
  <c r="CK58" i="16"/>
  <c r="CK55" i="16"/>
  <c r="AR162" i="16"/>
  <c r="AR157" i="16"/>
  <c r="AR158" i="16"/>
  <c r="AR159" i="16"/>
  <c r="AR160" i="16"/>
  <c r="AR51" i="16"/>
  <c r="AR50" i="16"/>
  <c r="AR49" i="16"/>
  <c r="AO162" i="16"/>
  <c r="AO157" i="16"/>
  <c r="AO158" i="16"/>
  <c r="AO159" i="16"/>
  <c r="AO160" i="16"/>
  <c r="AO51" i="16"/>
  <c r="AO50" i="16"/>
  <c r="AO49" i="16"/>
  <c r="AL162" i="16"/>
  <c r="AL157" i="16"/>
  <c r="AL158" i="16"/>
  <c r="AL159" i="16"/>
  <c r="AL160" i="16"/>
  <c r="AL51" i="16"/>
  <c r="AL50" i="16"/>
  <c r="AL49" i="16"/>
  <c r="AI162" i="16"/>
  <c r="AI157" i="16"/>
  <c r="AI158" i="16"/>
  <c r="AI159" i="16"/>
  <c r="AI160" i="16"/>
  <c r="AI51" i="16"/>
  <c r="AI50" i="16"/>
  <c r="AI49" i="16"/>
  <c r="AF162" i="16"/>
  <c r="AF157" i="16"/>
  <c r="AF158" i="16"/>
  <c r="AF159" i="16"/>
  <c r="AF160" i="16"/>
  <c r="AF51" i="16"/>
  <c r="AF50" i="16"/>
  <c r="AF49" i="16"/>
  <c r="Y162" i="16"/>
  <c r="Y157" i="16"/>
  <c r="Y158" i="16"/>
  <c r="Y159" i="16"/>
  <c r="Y160" i="16"/>
  <c r="Y51" i="16"/>
  <c r="Y50" i="16"/>
  <c r="Y49" i="16"/>
  <c r="V162" i="16"/>
  <c r="V157" i="16"/>
  <c r="V158" i="16"/>
  <c r="V159" i="16"/>
  <c r="V160" i="16"/>
  <c r="V51" i="16"/>
  <c r="V50" i="16"/>
  <c r="V49" i="16"/>
  <c r="S162" i="16"/>
  <c r="S157" i="16"/>
  <c r="S158" i="16"/>
  <c r="S159" i="16"/>
  <c r="S160" i="16"/>
  <c r="S51" i="16"/>
  <c r="S50" i="16"/>
  <c r="S49" i="16"/>
  <c r="P162" i="16"/>
  <c r="P157" i="16"/>
  <c r="P158" i="16"/>
  <c r="P159" i="16"/>
  <c r="P160" i="16"/>
  <c r="P51" i="16"/>
  <c r="P50" i="16"/>
  <c r="P49" i="16"/>
  <c r="M162" i="16"/>
  <c r="M157" i="16"/>
  <c r="M158" i="16"/>
  <c r="M159" i="16"/>
  <c r="M160" i="16"/>
  <c r="M51" i="16"/>
  <c r="M50" i="16"/>
  <c r="M49" i="16"/>
  <c r="CD162" i="16"/>
  <c r="CD157" i="16"/>
  <c r="CD158" i="16"/>
  <c r="CD159" i="16"/>
  <c r="CD160" i="16"/>
  <c r="CD51" i="16"/>
  <c r="CD50" i="16"/>
  <c r="CD49" i="16"/>
  <c r="CA162" i="16"/>
  <c r="CA157" i="16"/>
  <c r="CA158" i="16"/>
  <c r="CA159" i="16"/>
  <c r="CA160" i="16"/>
  <c r="CA51" i="16"/>
  <c r="CA50" i="16"/>
  <c r="CA49" i="16"/>
  <c r="BX162" i="16"/>
  <c r="BX157" i="16"/>
  <c r="BX158" i="16"/>
  <c r="BX159" i="16"/>
  <c r="BX160" i="16"/>
  <c r="BX51" i="16"/>
  <c r="BX50" i="16"/>
  <c r="BX49" i="16"/>
  <c r="BU162" i="16"/>
  <c r="BU157" i="16"/>
  <c r="BU158" i="16"/>
  <c r="BU159" i="16"/>
  <c r="BU160" i="16"/>
  <c r="BU51" i="16"/>
  <c r="BU50" i="16"/>
  <c r="BU49" i="16"/>
  <c r="BR162" i="16"/>
  <c r="BR157" i="16"/>
  <c r="BR158" i="16"/>
  <c r="BR159" i="16"/>
  <c r="BR160" i="16"/>
  <c r="BR51" i="16"/>
  <c r="BR50" i="16"/>
  <c r="BR49" i="16"/>
  <c r="BK162" i="16"/>
  <c r="BK157" i="16"/>
  <c r="BK158" i="16"/>
  <c r="BK159" i="16"/>
  <c r="BK160" i="16"/>
  <c r="BK51" i="16"/>
  <c r="BK50" i="16"/>
  <c r="BK49" i="16"/>
  <c r="BH162" i="16"/>
  <c r="BH157" i="16"/>
  <c r="BH158" i="16"/>
  <c r="BH159" i="16"/>
  <c r="BH160" i="16"/>
  <c r="BH51" i="16"/>
  <c r="BH50" i="16"/>
  <c r="BH49" i="16"/>
  <c r="BE162" i="16"/>
  <c r="BE157" i="16"/>
  <c r="BE158" i="16"/>
  <c r="BE159" i="16"/>
  <c r="BE160" i="16"/>
  <c r="BE51" i="16"/>
  <c r="BE50" i="16"/>
  <c r="BE49" i="16"/>
  <c r="BB162" i="16"/>
  <c r="BB157" i="16"/>
  <c r="BB158" i="16"/>
  <c r="BB159" i="16"/>
  <c r="BB160" i="16"/>
  <c r="BB51" i="16"/>
  <c r="BB50" i="16"/>
  <c r="BB49" i="16"/>
  <c r="AY162" i="16"/>
  <c r="AY157" i="16"/>
  <c r="AY158" i="16"/>
  <c r="AY159" i="16"/>
  <c r="AY160" i="16"/>
  <c r="AY51" i="16"/>
  <c r="AY50" i="16"/>
  <c r="AY49" i="16"/>
  <c r="DP162" i="16"/>
  <c r="DP157" i="16"/>
  <c r="DP158" i="16"/>
  <c r="DP159" i="16"/>
  <c r="DP160" i="16"/>
  <c r="DP51" i="16"/>
  <c r="DP50" i="16"/>
  <c r="DP49" i="16"/>
  <c r="DM162" i="16"/>
  <c r="DM157" i="16"/>
  <c r="DM158" i="16"/>
  <c r="DM159" i="16"/>
  <c r="DM160" i="16"/>
  <c r="DM51" i="16"/>
  <c r="DM50" i="16"/>
  <c r="DM49" i="16"/>
  <c r="DJ162" i="16"/>
  <c r="DJ157" i="16"/>
  <c r="DJ158" i="16"/>
  <c r="DJ159" i="16"/>
  <c r="DJ160" i="16"/>
  <c r="DJ51" i="16"/>
  <c r="DJ50" i="16"/>
  <c r="DJ49" i="16"/>
  <c r="DG162" i="16"/>
  <c r="DG157" i="16"/>
  <c r="DG158" i="16"/>
  <c r="DG159" i="16"/>
  <c r="DG160" i="16"/>
  <c r="DG51" i="16"/>
  <c r="DG50" i="16"/>
  <c r="DG49" i="16"/>
  <c r="DD162" i="16"/>
  <c r="DD157" i="16"/>
  <c r="DD158" i="16"/>
  <c r="DD159" i="16"/>
  <c r="DD160" i="16"/>
  <c r="DD51" i="16"/>
  <c r="DD50" i="16"/>
  <c r="DD49" i="16"/>
  <c r="CW162" i="16"/>
  <c r="CW157" i="16"/>
  <c r="CW158" i="16"/>
  <c r="CW159" i="16"/>
  <c r="CW160" i="16"/>
  <c r="CW51" i="16"/>
  <c r="CW50" i="16"/>
  <c r="CW49" i="16"/>
  <c r="CT162" i="16"/>
  <c r="CT157" i="16"/>
  <c r="CT158" i="16"/>
  <c r="CT159" i="16"/>
  <c r="CT160" i="16"/>
  <c r="CT51" i="16"/>
  <c r="CT50" i="16"/>
  <c r="CT49" i="16"/>
  <c r="CQ162" i="16"/>
  <c r="CQ157" i="16"/>
  <c r="CQ158" i="16"/>
  <c r="CQ159" i="16"/>
  <c r="CQ160" i="16"/>
  <c r="CQ51" i="16"/>
  <c r="CQ50" i="16"/>
  <c r="CQ49" i="16"/>
  <c r="CN162" i="16"/>
  <c r="CN157" i="16"/>
  <c r="CN158" i="16"/>
  <c r="CN159" i="16"/>
  <c r="CN160" i="16"/>
  <c r="CN51" i="16"/>
  <c r="CN50" i="16"/>
  <c r="CN49" i="16"/>
  <c r="CK162" i="16"/>
  <c r="CK157" i="16"/>
  <c r="CK158" i="16"/>
  <c r="CK159" i="16"/>
  <c r="CK160" i="16"/>
  <c r="CK51" i="16"/>
  <c r="CK50" i="16"/>
  <c r="CK49" i="16"/>
  <c r="AR128" i="16"/>
  <c r="AR129" i="16"/>
  <c r="AR130" i="16"/>
  <c r="AR131" i="16"/>
  <c r="AR132" i="16"/>
  <c r="AR133" i="16"/>
  <c r="AR134" i="16"/>
  <c r="AR135" i="16"/>
  <c r="AO128" i="16"/>
  <c r="AO129" i="16"/>
  <c r="AO130" i="16"/>
  <c r="AO131" i="16"/>
  <c r="AO132" i="16"/>
  <c r="AO133" i="16"/>
  <c r="AO134" i="16"/>
  <c r="AO135" i="16"/>
  <c r="AL128" i="16"/>
  <c r="AL129" i="16"/>
  <c r="AL130" i="16"/>
  <c r="AL131" i="16"/>
  <c r="AL132" i="16"/>
  <c r="AL133" i="16"/>
  <c r="AL134" i="16"/>
  <c r="AL135" i="16"/>
  <c r="AI128" i="16"/>
  <c r="AI129" i="16"/>
  <c r="AI130" i="16"/>
  <c r="AI131" i="16"/>
  <c r="AI132" i="16"/>
  <c r="AI133" i="16"/>
  <c r="AI134" i="16"/>
  <c r="AI135" i="16"/>
  <c r="AF128" i="16"/>
  <c r="AF129" i="16"/>
  <c r="AF130" i="16"/>
  <c r="AF131" i="16"/>
  <c r="AF132" i="16"/>
  <c r="AF133" i="16"/>
  <c r="AF134" i="16"/>
  <c r="AF135" i="16"/>
  <c r="Y128" i="16"/>
  <c r="Y129" i="16"/>
  <c r="Y130" i="16"/>
  <c r="Y131" i="16"/>
  <c r="Y132" i="16"/>
  <c r="Y133" i="16"/>
  <c r="Y134" i="16"/>
  <c r="Y135" i="16"/>
  <c r="V128" i="16"/>
  <c r="V129" i="16"/>
  <c r="V130" i="16"/>
  <c r="V131" i="16"/>
  <c r="V132" i="16"/>
  <c r="V133" i="16"/>
  <c r="V134" i="16"/>
  <c r="V135" i="16"/>
  <c r="S128" i="16"/>
  <c r="S129" i="16"/>
  <c r="S130" i="16"/>
  <c r="S131" i="16"/>
  <c r="S132" i="16"/>
  <c r="S133" i="16"/>
  <c r="S134" i="16"/>
  <c r="S135" i="16"/>
  <c r="P128" i="16"/>
  <c r="P129" i="16"/>
  <c r="P130" i="16"/>
  <c r="P131" i="16"/>
  <c r="P132" i="16"/>
  <c r="P133" i="16"/>
  <c r="P134" i="16"/>
  <c r="P135" i="16"/>
  <c r="M128" i="16"/>
  <c r="M129" i="16"/>
  <c r="M130" i="16"/>
  <c r="M131" i="16"/>
  <c r="M132" i="16"/>
  <c r="M133" i="16"/>
  <c r="M134" i="16"/>
  <c r="M135" i="16"/>
  <c r="CD128" i="16"/>
  <c r="CD129" i="16"/>
  <c r="CD130" i="16"/>
  <c r="CD131" i="16"/>
  <c r="CD132" i="16"/>
  <c r="CD133" i="16"/>
  <c r="CD134" i="16"/>
  <c r="CD135" i="16"/>
  <c r="CA128" i="16"/>
  <c r="CA129" i="16"/>
  <c r="CA130" i="16"/>
  <c r="CA131" i="16"/>
  <c r="CA132" i="16"/>
  <c r="CA133" i="16"/>
  <c r="CA134" i="16"/>
  <c r="CA135" i="16"/>
  <c r="BX128" i="16"/>
  <c r="BX129" i="16"/>
  <c r="BX130" i="16"/>
  <c r="BX131" i="16"/>
  <c r="BX132" i="16"/>
  <c r="BX133" i="16"/>
  <c r="BX134" i="16"/>
  <c r="BX135" i="16"/>
  <c r="BU128" i="16"/>
  <c r="BU129" i="16"/>
  <c r="BU130" i="16"/>
  <c r="BU131" i="16"/>
  <c r="BU132" i="16"/>
  <c r="BU133" i="16"/>
  <c r="BU134" i="16"/>
  <c r="BU135" i="16"/>
  <c r="BR128" i="16"/>
  <c r="BR129" i="16"/>
  <c r="BR130" i="16"/>
  <c r="BR131" i="16"/>
  <c r="BR132" i="16"/>
  <c r="BR133" i="16"/>
  <c r="BR134" i="16"/>
  <c r="BR135" i="16"/>
  <c r="BK128" i="16"/>
  <c r="BK129" i="16"/>
  <c r="BK130" i="16"/>
  <c r="BK131" i="16"/>
  <c r="BK132" i="16"/>
  <c r="BK133" i="16"/>
  <c r="BK134" i="16"/>
  <c r="BK135" i="16"/>
  <c r="BH128" i="16"/>
  <c r="BH129" i="16"/>
  <c r="BH130" i="16"/>
  <c r="BH131" i="16"/>
  <c r="BH132" i="16"/>
  <c r="BH133" i="16"/>
  <c r="BH134" i="16"/>
  <c r="BH135" i="16"/>
  <c r="BE128" i="16"/>
  <c r="BE129" i="16"/>
  <c r="BE130" i="16"/>
  <c r="BE131" i="16"/>
  <c r="BE132" i="16"/>
  <c r="BE133" i="16"/>
  <c r="BE134" i="16"/>
  <c r="BE135" i="16"/>
  <c r="BB128" i="16"/>
  <c r="BB129" i="16"/>
  <c r="BB130" i="16"/>
  <c r="BB131" i="16"/>
  <c r="BB132" i="16"/>
  <c r="BB133" i="16"/>
  <c r="BB134" i="16"/>
  <c r="BB135" i="16"/>
  <c r="AY128" i="16"/>
  <c r="AY129" i="16"/>
  <c r="AY130" i="16"/>
  <c r="AY131" i="16"/>
  <c r="AY132" i="16"/>
  <c r="AY133" i="16"/>
  <c r="AY134" i="16"/>
  <c r="AY135" i="16"/>
  <c r="DP128" i="16"/>
  <c r="DP129" i="16"/>
  <c r="DP130" i="16"/>
  <c r="DP131" i="16"/>
  <c r="DP132" i="16"/>
  <c r="DP133" i="16"/>
  <c r="DP134" i="16"/>
  <c r="DP135" i="16"/>
  <c r="DM128" i="16"/>
  <c r="DM129" i="16"/>
  <c r="DM130" i="16"/>
  <c r="DM131" i="16"/>
  <c r="DM132" i="16"/>
  <c r="DM133" i="16"/>
  <c r="DM134" i="16"/>
  <c r="DM135" i="16"/>
  <c r="DJ128" i="16"/>
  <c r="DJ129" i="16"/>
  <c r="DJ130" i="16"/>
  <c r="DJ131" i="16"/>
  <c r="DJ132" i="16"/>
  <c r="DJ133" i="16"/>
  <c r="DJ134" i="16"/>
  <c r="DJ135" i="16"/>
  <c r="DG128" i="16"/>
  <c r="DG129" i="16"/>
  <c r="DG130" i="16"/>
  <c r="DG131" i="16"/>
  <c r="DG132" i="16"/>
  <c r="DG133" i="16"/>
  <c r="DG134" i="16"/>
  <c r="DG135" i="16"/>
  <c r="DD128" i="16"/>
  <c r="DD129" i="16"/>
  <c r="DD130" i="16"/>
  <c r="DD131" i="16"/>
  <c r="DD132" i="16"/>
  <c r="DD133" i="16"/>
  <c r="DD134" i="16"/>
  <c r="DD135" i="16"/>
  <c r="CW128" i="16"/>
  <c r="CW129" i="16"/>
  <c r="CW130" i="16"/>
  <c r="CW131" i="16"/>
  <c r="CW132" i="16"/>
  <c r="CW133" i="16"/>
  <c r="CW134" i="16"/>
  <c r="CW135" i="16"/>
  <c r="CT128" i="16"/>
  <c r="CT129" i="16"/>
  <c r="CT130" i="16"/>
  <c r="CT131" i="16"/>
  <c r="CT132" i="16"/>
  <c r="CT133" i="16"/>
  <c r="CT134" i="16"/>
  <c r="CT135" i="16"/>
  <c r="CQ128" i="16"/>
  <c r="CQ129" i="16"/>
  <c r="CQ130" i="16"/>
  <c r="CQ131" i="16"/>
  <c r="CQ132" i="16"/>
  <c r="CQ133" i="16"/>
  <c r="CQ134" i="16"/>
  <c r="CQ135" i="16"/>
  <c r="CN128" i="16"/>
  <c r="CN129" i="16"/>
  <c r="CN130" i="16"/>
  <c r="CN131" i="16"/>
  <c r="CN132" i="16"/>
  <c r="CN133" i="16"/>
  <c r="CN134" i="16"/>
  <c r="CN135" i="16"/>
  <c r="CK128" i="16"/>
  <c r="CK129" i="16"/>
  <c r="CK130" i="16"/>
  <c r="CK131" i="16"/>
  <c r="CK132" i="16"/>
  <c r="CK133" i="16"/>
  <c r="CK134" i="16"/>
  <c r="CK135" i="16"/>
  <c r="AR127" i="16"/>
  <c r="AR126" i="16"/>
  <c r="AR125" i="16"/>
  <c r="AR124" i="16"/>
  <c r="AO127" i="16"/>
  <c r="AO126" i="16"/>
  <c r="AO125" i="16"/>
  <c r="AO124" i="16"/>
  <c r="AL127" i="16"/>
  <c r="AL126" i="16"/>
  <c r="AL125" i="16"/>
  <c r="AL124" i="16"/>
  <c r="AI127" i="16"/>
  <c r="AI126" i="16"/>
  <c r="AI125" i="16"/>
  <c r="AI124" i="16"/>
  <c r="AF127" i="16"/>
  <c r="AF126" i="16"/>
  <c r="AF125" i="16"/>
  <c r="AF124" i="16"/>
  <c r="Y127" i="16"/>
  <c r="Y126" i="16"/>
  <c r="Y125" i="16"/>
  <c r="Y124" i="16"/>
  <c r="V127" i="16"/>
  <c r="V126" i="16"/>
  <c r="V125" i="16"/>
  <c r="V124" i="16"/>
  <c r="S127" i="16"/>
  <c r="S126" i="16"/>
  <c r="S125" i="16"/>
  <c r="S124" i="16"/>
  <c r="P127" i="16"/>
  <c r="P126" i="16"/>
  <c r="P125" i="16"/>
  <c r="P124" i="16"/>
  <c r="M127" i="16"/>
  <c r="M126" i="16"/>
  <c r="M125" i="16"/>
  <c r="M124" i="16"/>
  <c r="CD127" i="16"/>
  <c r="CD126" i="16"/>
  <c r="CD125" i="16"/>
  <c r="CD124" i="16"/>
  <c r="CA127" i="16"/>
  <c r="CA126" i="16"/>
  <c r="CA125" i="16"/>
  <c r="CA124" i="16"/>
  <c r="BX127" i="16"/>
  <c r="BX126" i="16"/>
  <c r="BX125" i="16"/>
  <c r="BX124" i="16"/>
  <c r="BU127" i="16"/>
  <c r="BU126" i="16"/>
  <c r="BU125" i="16"/>
  <c r="BU124" i="16"/>
  <c r="BR127" i="16"/>
  <c r="BR126" i="16"/>
  <c r="BR125" i="16"/>
  <c r="BR124" i="16"/>
  <c r="BK127" i="16"/>
  <c r="BK126" i="16"/>
  <c r="BK125" i="16"/>
  <c r="BK124" i="16"/>
  <c r="BH127" i="16"/>
  <c r="BH126" i="16"/>
  <c r="BH125" i="16"/>
  <c r="BH124" i="16"/>
  <c r="BE127" i="16"/>
  <c r="BE126" i="16"/>
  <c r="BE125" i="16"/>
  <c r="BE124" i="16"/>
  <c r="BB127" i="16"/>
  <c r="BB126" i="16"/>
  <c r="BB125" i="16"/>
  <c r="BB124" i="16"/>
  <c r="AY127" i="16"/>
  <c r="AY126" i="16"/>
  <c r="AY125" i="16"/>
  <c r="AY124" i="16"/>
  <c r="DP127" i="16"/>
  <c r="DP126" i="16"/>
  <c r="DP125" i="16"/>
  <c r="DP124" i="16"/>
  <c r="DM127" i="16"/>
  <c r="DM126" i="16"/>
  <c r="DM125" i="16"/>
  <c r="DM124" i="16"/>
  <c r="DJ127" i="16"/>
  <c r="DJ126" i="16"/>
  <c r="DJ125" i="16"/>
  <c r="DJ124" i="16"/>
  <c r="DG127" i="16"/>
  <c r="DG126" i="16"/>
  <c r="DG125" i="16"/>
  <c r="DG124" i="16"/>
  <c r="DD127" i="16"/>
  <c r="DD126" i="16"/>
  <c r="DD125" i="16"/>
  <c r="DD124" i="16"/>
  <c r="CW127" i="16"/>
  <c r="CW126" i="16"/>
  <c r="CW125" i="16"/>
  <c r="CW124" i="16"/>
  <c r="CT127" i="16"/>
  <c r="CT126" i="16"/>
  <c r="CT125" i="16"/>
  <c r="CT124" i="16"/>
  <c r="CQ127" i="16"/>
  <c r="CQ126" i="16"/>
  <c r="CQ125" i="16"/>
  <c r="CQ124" i="16"/>
  <c r="CN127" i="16"/>
  <c r="CN126" i="16"/>
  <c r="CN125" i="16"/>
  <c r="CN124" i="16"/>
  <c r="CK127" i="16"/>
  <c r="CK126" i="16"/>
  <c r="CK125" i="16"/>
  <c r="CK124" i="16"/>
  <c r="AR156" i="16"/>
  <c r="AR155" i="16"/>
  <c r="AO156" i="16"/>
  <c r="AO155" i="16"/>
  <c r="AL156" i="16"/>
  <c r="AL155" i="16"/>
  <c r="AI156" i="16"/>
  <c r="AI155" i="16"/>
  <c r="AF156" i="16"/>
  <c r="AF155" i="16"/>
  <c r="Y156" i="16"/>
  <c r="Y155" i="16"/>
  <c r="V156" i="16"/>
  <c r="V155" i="16"/>
  <c r="S156" i="16"/>
  <c r="S155" i="16"/>
  <c r="P156" i="16"/>
  <c r="P155" i="16"/>
  <c r="M156" i="16"/>
  <c r="M155" i="16"/>
  <c r="CD156" i="16"/>
  <c r="CD155" i="16"/>
  <c r="CA156" i="16"/>
  <c r="CA155" i="16"/>
  <c r="BX156" i="16"/>
  <c r="BX155" i="16"/>
  <c r="BU156" i="16"/>
  <c r="BU155" i="16"/>
  <c r="BR156" i="16"/>
  <c r="BR155" i="16"/>
  <c r="BK156" i="16"/>
  <c r="BK155" i="16"/>
  <c r="BH156" i="16"/>
  <c r="BH155" i="16"/>
  <c r="BE156" i="16"/>
  <c r="BE155" i="16"/>
  <c r="BB156" i="16"/>
  <c r="BB155" i="16"/>
  <c r="AY156" i="16"/>
  <c r="AY155" i="16"/>
  <c r="DP156" i="16"/>
  <c r="DP155" i="16"/>
  <c r="DM156" i="16"/>
  <c r="DM155" i="16"/>
  <c r="DJ156" i="16"/>
  <c r="DJ155" i="16"/>
  <c r="DG156" i="16"/>
  <c r="DG155" i="16"/>
  <c r="DD156" i="16"/>
  <c r="DD155" i="16"/>
  <c r="CW156" i="16"/>
  <c r="CW155" i="16"/>
  <c r="CT156" i="16"/>
  <c r="CT155" i="16"/>
  <c r="CQ156" i="16"/>
  <c r="CQ155" i="16"/>
  <c r="CN156" i="16"/>
  <c r="CN155" i="16"/>
  <c r="CK156" i="16"/>
  <c r="CK155" i="16"/>
  <c r="AR195" i="16"/>
  <c r="AR194" i="16"/>
  <c r="AR193" i="16"/>
  <c r="AR192" i="16"/>
  <c r="AR191" i="16"/>
  <c r="AO195" i="16"/>
  <c r="AO194" i="16"/>
  <c r="AO193" i="16"/>
  <c r="AO192" i="16"/>
  <c r="AO191" i="16"/>
  <c r="AL195" i="16"/>
  <c r="AL194" i="16"/>
  <c r="AL193" i="16"/>
  <c r="AL192" i="16"/>
  <c r="AL191" i="16"/>
  <c r="AI195" i="16"/>
  <c r="AI194" i="16"/>
  <c r="AI193" i="16"/>
  <c r="AI192" i="16"/>
  <c r="AI191" i="16"/>
  <c r="AF195" i="16"/>
  <c r="AF194" i="16"/>
  <c r="AF193" i="16"/>
  <c r="AF192" i="16"/>
  <c r="AF191" i="16"/>
  <c r="Y195" i="16"/>
  <c r="Y194" i="16"/>
  <c r="Y193" i="16"/>
  <c r="Y192" i="16"/>
  <c r="Y191" i="16"/>
  <c r="V195" i="16"/>
  <c r="V194" i="16"/>
  <c r="V193" i="16"/>
  <c r="V192" i="16"/>
  <c r="V191" i="16"/>
  <c r="S195" i="16"/>
  <c r="S194" i="16"/>
  <c r="S193" i="16"/>
  <c r="S192" i="16"/>
  <c r="S191" i="16"/>
  <c r="P195" i="16"/>
  <c r="P194" i="16"/>
  <c r="P193" i="16"/>
  <c r="P192" i="16"/>
  <c r="P191" i="16"/>
  <c r="M195" i="16"/>
  <c r="M194" i="16"/>
  <c r="M193" i="16"/>
  <c r="M192" i="16"/>
  <c r="M191" i="16"/>
  <c r="CD195" i="16"/>
  <c r="CD194" i="16"/>
  <c r="CD193" i="16"/>
  <c r="CD192" i="16"/>
  <c r="CD191" i="16"/>
  <c r="CA195" i="16"/>
  <c r="CA194" i="16"/>
  <c r="CA193" i="16"/>
  <c r="CA192" i="16"/>
  <c r="CA191" i="16"/>
  <c r="BX195" i="16"/>
  <c r="BX194" i="16"/>
  <c r="BX193" i="16"/>
  <c r="BX192" i="16"/>
  <c r="BX191" i="16"/>
  <c r="BU195" i="16"/>
  <c r="BU194" i="16"/>
  <c r="BU193" i="16"/>
  <c r="BU192" i="16"/>
  <c r="BU191" i="16"/>
  <c r="BR195" i="16"/>
  <c r="BR194" i="16"/>
  <c r="BR193" i="16"/>
  <c r="BR192" i="16"/>
  <c r="BR191" i="16"/>
  <c r="BK195" i="16"/>
  <c r="BK194" i="16"/>
  <c r="BK193" i="16"/>
  <c r="BK192" i="16"/>
  <c r="BK191" i="16"/>
  <c r="BH195" i="16"/>
  <c r="BH194" i="16"/>
  <c r="BH193" i="16"/>
  <c r="BH192" i="16"/>
  <c r="BH191" i="16"/>
  <c r="BE195" i="16"/>
  <c r="BE194" i="16"/>
  <c r="BE193" i="16"/>
  <c r="BE192" i="16"/>
  <c r="BE191" i="16"/>
  <c r="BB195" i="16"/>
  <c r="BB194" i="16"/>
  <c r="BB193" i="16"/>
  <c r="BB192" i="16"/>
  <c r="BB191" i="16"/>
  <c r="AY195" i="16"/>
  <c r="AY194" i="16"/>
  <c r="AY193" i="16"/>
  <c r="AY192" i="16"/>
  <c r="AY191" i="16"/>
  <c r="DP195" i="16"/>
  <c r="DP194" i="16"/>
  <c r="DP193" i="16"/>
  <c r="DP192" i="16"/>
  <c r="DP191" i="16"/>
  <c r="DM195" i="16"/>
  <c r="DM194" i="16"/>
  <c r="DM193" i="16"/>
  <c r="DM192" i="16"/>
  <c r="DM191" i="16"/>
  <c r="DJ195" i="16"/>
  <c r="DJ194" i="16"/>
  <c r="DJ193" i="16"/>
  <c r="DJ192" i="16"/>
  <c r="DJ191" i="16"/>
  <c r="DG195" i="16"/>
  <c r="DG194" i="16"/>
  <c r="DG193" i="16"/>
  <c r="DG192" i="16"/>
  <c r="DG191" i="16"/>
  <c r="DD195" i="16"/>
  <c r="DD194" i="16"/>
  <c r="DD193" i="16"/>
  <c r="DD192" i="16"/>
  <c r="DD191" i="16"/>
  <c r="CW195" i="16"/>
  <c r="CW194" i="16"/>
  <c r="CW193" i="16"/>
  <c r="CW192" i="16"/>
  <c r="CW191" i="16"/>
  <c r="CT195" i="16"/>
  <c r="CT194" i="16"/>
  <c r="CT193" i="16"/>
  <c r="CT192" i="16"/>
  <c r="CT191" i="16"/>
  <c r="CQ195" i="16"/>
  <c r="CQ194" i="16"/>
  <c r="CQ193" i="16"/>
  <c r="CQ192" i="16"/>
  <c r="CQ191" i="16"/>
  <c r="CN195" i="16"/>
  <c r="CN194" i="16"/>
  <c r="CN193" i="16"/>
  <c r="CN192" i="16"/>
  <c r="CN191" i="16"/>
  <c r="CK195" i="16"/>
  <c r="CK194" i="16"/>
  <c r="CK193" i="16"/>
  <c r="CK192" i="16"/>
  <c r="CK191" i="16"/>
  <c r="AR190" i="16"/>
  <c r="AR189" i="16"/>
  <c r="AR188" i="16"/>
  <c r="AR187" i="16"/>
  <c r="AR186" i="16"/>
  <c r="AO190" i="16"/>
  <c r="AO189" i="16"/>
  <c r="AO188" i="16"/>
  <c r="AO187" i="16"/>
  <c r="AO186" i="16"/>
  <c r="AL190" i="16"/>
  <c r="AL189" i="16"/>
  <c r="AL188" i="16"/>
  <c r="AL187" i="16"/>
  <c r="AL186" i="16"/>
  <c r="AI190" i="16"/>
  <c r="AI189" i="16"/>
  <c r="AI188" i="16"/>
  <c r="AI187" i="16"/>
  <c r="AI186" i="16"/>
  <c r="AF190" i="16"/>
  <c r="AF189" i="16"/>
  <c r="AF188" i="16"/>
  <c r="AF187" i="16"/>
  <c r="AF186" i="16"/>
  <c r="Y190" i="16"/>
  <c r="Y189" i="16"/>
  <c r="Y188" i="16"/>
  <c r="Y187" i="16"/>
  <c r="Y186" i="16"/>
  <c r="V190" i="16"/>
  <c r="V189" i="16"/>
  <c r="V188" i="16"/>
  <c r="V187" i="16"/>
  <c r="V186" i="16"/>
  <c r="S190" i="16"/>
  <c r="S189" i="16"/>
  <c r="S188" i="16"/>
  <c r="S187" i="16"/>
  <c r="S186" i="16"/>
  <c r="P190" i="16"/>
  <c r="P189" i="16"/>
  <c r="P188" i="16"/>
  <c r="P187" i="16"/>
  <c r="P186" i="16"/>
  <c r="M190" i="16"/>
  <c r="M189" i="16"/>
  <c r="M188" i="16"/>
  <c r="M187" i="16"/>
  <c r="M186" i="16"/>
  <c r="CD190" i="16"/>
  <c r="CD189" i="16"/>
  <c r="CD188" i="16"/>
  <c r="CD187" i="16"/>
  <c r="CD186" i="16"/>
  <c r="CA190" i="16"/>
  <c r="CA189" i="16"/>
  <c r="CA188" i="16"/>
  <c r="CA187" i="16"/>
  <c r="CA186" i="16"/>
  <c r="BX190" i="16"/>
  <c r="BX189" i="16"/>
  <c r="BX188" i="16"/>
  <c r="BX187" i="16"/>
  <c r="BX186" i="16"/>
  <c r="BU190" i="16"/>
  <c r="BU189" i="16"/>
  <c r="BU188" i="16"/>
  <c r="BU187" i="16"/>
  <c r="BU186" i="16"/>
  <c r="BR190" i="16"/>
  <c r="BR189" i="16"/>
  <c r="BR188" i="16"/>
  <c r="BR187" i="16"/>
  <c r="BR186" i="16"/>
  <c r="BK190" i="16"/>
  <c r="BK189" i="16"/>
  <c r="BK188" i="16"/>
  <c r="BK187" i="16"/>
  <c r="BK186" i="16"/>
  <c r="BH190" i="16"/>
  <c r="BH189" i="16"/>
  <c r="BH188" i="16"/>
  <c r="BH187" i="16"/>
  <c r="BH186" i="16"/>
  <c r="BE190" i="16"/>
  <c r="BE189" i="16"/>
  <c r="BE188" i="16"/>
  <c r="BE187" i="16"/>
  <c r="BE186" i="16"/>
  <c r="BB190" i="16"/>
  <c r="BB189" i="16"/>
  <c r="BB188" i="16"/>
  <c r="BB187" i="16"/>
  <c r="BB186" i="16"/>
  <c r="AY190" i="16"/>
  <c r="AY189" i="16"/>
  <c r="AY188" i="16"/>
  <c r="AY187" i="16"/>
  <c r="AY186" i="16"/>
  <c r="DP190" i="16"/>
  <c r="DP189" i="16"/>
  <c r="DP188" i="16"/>
  <c r="DP187" i="16"/>
  <c r="DP186" i="16"/>
  <c r="DM190" i="16"/>
  <c r="DM189" i="16"/>
  <c r="DM188" i="16"/>
  <c r="DM187" i="16"/>
  <c r="DM186" i="16"/>
  <c r="DJ190" i="16"/>
  <c r="DJ189" i="16"/>
  <c r="DJ188" i="16"/>
  <c r="DJ187" i="16"/>
  <c r="DJ186" i="16"/>
  <c r="DG190" i="16"/>
  <c r="DG189" i="16"/>
  <c r="DG188" i="16"/>
  <c r="DG187" i="16"/>
  <c r="DG186" i="16"/>
  <c r="DD190" i="16"/>
  <c r="DD189" i="16"/>
  <c r="DD188" i="16"/>
  <c r="DD187" i="16"/>
  <c r="DD186" i="16"/>
  <c r="CW190" i="16"/>
  <c r="CW189" i="16"/>
  <c r="CW188" i="16"/>
  <c r="CW187" i="16"/>
  <c r="CW186" i="16"/>
  <c r="CT190" i="16"/>
  <c r="CT189" i="16"/>
  <c r="CT188" i="16"/>
  <c r="CT187" i="16"/>
  <c r="CT186" i="16"/>
  <c r="CQ190" i="16"/>
  <c r="CQ189" i="16"/>
  <c r="CQ188" i="16"/>
  <c r="CQ187" i="16"/>
  <c r="CQ186" i="16"/>
  <c r="CN190" i="16"/>
  <c r="CN189" i="16"/>
  <c r="CN188" i="16"/>
  <c r="CN187" i="16"/>
  <c r="CN186" i="16"/>
  <c r="CK190" i="16"/>
  <c r="CK189" i="16"/>
  <c r="CK188" i="16"/>
  <c r="CK187" i="16"/>
  <c r="CK186" i="16"/>
  <c r="AR179" i="16"/>
  <c r="AR180" i="16"/>
  <c r="AR181" i="16"/>
  <c r="AR182" i="16"/>
  <c r="AR183" i="16"/>
  <c r="AR184" i="16"/>
  <c r="AO179" i="16"/>
  <c r="AO180" i="16"/>
  <c r="AO181" i="16"/>
  <c r="AO182" i="16"/>
  <c r="AO183" i="16"/>
  <c r="AO184" i="16"/>
  <c r="AL179" i="16"/>
  <c r="AL180" i="16"/>
  <c r="AL181" i="16"/>
  <c r="AL182" i="16"/>
  <c r="AL183" i="16"/>
  <c r="AL184" i="16"/>
  <c r="AI179" i="16"/>
  <c r="AI180" i="16"/>
  <c r="AI181" i="16"/>
  <c r="AI182" i="16"/>
  <c r="AI183" i="16"/>
  <c r="AI184" i="16"/>
  <c r="AF179" i="16"/>
  <c r="AF180" i="16"/>
  <c r="AF181" i="16"/>
  <c r="AF182" i="16"/>
  <c r="AF183" i="16"/>
  <c r="AF184" i="16"/>
  <c r="Y179" i="16"/>
  <c r="Y180" i="16"/>
  <c r="Y181" i="16"/>
  <c r="Y182" i="16"/>
  <c r="Y183" i="16"/>
  <c r="Y184" i="16"/>
  <c r="V179" i="16"/>
  <c r="V180" i="16"/>
  <c r="V181" i="16"/>
  <c r="V182" i="16"/>
  <c r="V183" i="16"/>
  <c r="V184" i="16"/>
  <c r="S179" i="16"/>
  <c r="S180" i="16"/>
  <c r="S181" i="16"/>
  <c r="S182" i="16"/>
  <c r="S183" i="16"/>
  <c r="S184" i="16"/>
  <c r="P179" i="16"/>
  <c r="P180" i="16"/>
  <c r="P181" i="16"/>
  <c r="P182" i="16"/>
  <c r="P183" i="16"/>
  <c r="P184" i="16"/>
  <c r="M179" i="16"/>
  <c r="M180" i="16"/>
  <c r="M181" i="16"/>
  <c r="M182" i="16"/>
  <c r="M183" i="16"/>
  <c r="M184" i="16"/>
  <c r="CD179" i="16"/>
  <c r="CD180" i="16"/>
  <c r="CD181" i="16"/>
  <c r="CD182" i="16"/>
  <c r="CD183" i="16"/>
  <c r="CD184" i="16"/>
  <c r="CA179" i="16"/>
  <c r="CA180" i="16"/>
  <c r="CA181" i="16"/>
  <c r="CA182" i="16"/>
  <c r="CA183" i="16"/>
  <c r="CA184" i="16"/>
  <c r="BX179" i="16"/>
  <c r="BX180" i="16"/>
  <c r="BX181" i="16"/>
  <c r="BX182" i="16"/>
  <c r="BX183" i="16"/>
  <c r="BX184" i="16"/>
  <c r="BU179" i="16"/>
  <c r="BU180" i="16"/>
  <c r="BU181" i="16"/>
  <c r="BU182" i="16"/>
  <c r="BU183" i="16"/>
  <c r="BU184" i="16"/>
  <c r="BR179" i="16"/>
  <c r="BR180" i="16"/>
  <c r="BR181" i="16"/>
  <c r="BR182" i="16"/>
  <c r="BR183" i="16"/>
  <c r="BR184" i="16"/>
  <c r="BK179" i="16"/>
  <c r="BK180" i="16"/>
  <c r="BK181" i="16"/>
  <c r="BK182" i="16"/>
  <c r="BK183" i="16"/>
  <c r="BK184" i="16"/>
  <c r="BH179" i="16"/>
  <c r="BH180" i="16"/>
  <c r="BH181" i="16"/>
  <c r="BH182" i="16"/>
  <c r="BH183" i="16"/>
  <c r="BH184" i="16"/>
  <c r="BE179" i="16"/>
  <c r="BE180" i="16"/>
  <c r="BE181" i="16"/>
  <c r="BE182" i="16"/>
  <c r="BE183" i="16"/>
  <c r="BE184" i="16"/>
  <c r="BB179" i="16"/>
  <c r="BB180" i="16"/>
  <c r="BB181" i="16"/>
  <c r="BB182" i="16"/>
  <c r="BB183" i="16"/>
  <c r="BB184" i="16"/>
  <c r="AY179" i="16"/>
  <c r="AY180" i="16"/>
  <c r="AY181" i="16"/>
  <c r="AY182" i="16"/>
  <c r="AY183" i="16"/>
  <c r="AY184" i="16"/>
  <c r="DP179" i="16"/>
  <c r="DP180" i="16"/>
  <c r="DP181" i="16"/>
  <c r="DP182" i="16"/>
  <c r="DP183" i="16"/>
  <c r="DP184" i="16"/>
  <c r="DM179" i="16"/>
  <c r="DM180" i="16"/>
  <c r="DM181" i="16"/>
  <c r="DM182" i="16"/>
  <c r="DM183" i="16"/>
  <c r="DM184" i="16"/>
  <c r="DJ179" i="16"/>
  <c r="DJ180" i="16"/>
  <c r="DJ181" i="16"/>
  <c r="DJ182" i="16"/>
  <c r="DJ183" i="16"/>
  <c r="DJ184" i="16"/>
  <c r="DG179" i="16"/>
  <c r="DG180" i="16"/>
  <c r="DG181" i="16"/>
  <c r="DG182" i="16"/>
  <c r="DG183" i="16"/>
  <c r="DG184" i="16"/>
  <c r="DD179" i="16"/>
  <c r="DD180" i="16"/>
  <c r="DD181" i="16"/>
  <c r="DD182" i="16"/>
  <c r="DD183" i="16"/>
  <c r="DD184" i="16"/>
  <c r="CW179" i="16"/>
  <c r="CW180" i="16"/>
  <c r="CW181" i="16"/>
  <c r="CW182" i="16"/>
  <c r="CW183" i="16"/>
  <c r="CW184" i="16"/>
  <c r="CT179" i="16"/>
  <c r="CT180" i="16"/>
  <c r="CT181" i="16"/>
  <c r="CT182" i="16"/>
  <c r="CT183" i="16"/>
  <c r="CT184" i="16"/>
  <c r="CQ179" i="16"/>
  <c r="CQ180" i="16"/>
  <c r="CQ181" i="16"/>
  <c r="CQ182" i="16"/>
  <c r="CQ183" i="16"/>
  <c r="CQ184" i="16"/>
  <c r="CN179" i="16"/>
  <c r="CN180" i="16"/>
  <c r="CN181" i="16"/>
  <c r="CN182" i="16"/>
  <c r="CN183" i="16"/>
  <c r="CN184" i="16"/>
  <c r="CK179" i="16"/>
  <c r="CK180" i="16"/>
  <c r="CK181" i="16"/>
  <c r="CK182" i="16"/>
  <c r="CK183" i="16"/>
  <c r="CK184" i="16"/>
  <c r="AR199" i="16"/>
  <c r="AR197" i="16"/>
  <c r="AR196" i="16"/>
  <c r="AR185" i="16"/>
  <c r="AO199" i="16"/>
  <c r="AO197" i="16"/>
  <c r="AO196" i="16"/>
  <c r="AO185" i="16"/>
  <c r="AL199" i="16"/>
  <c r="AL197" i="16"/>
  <c r="AL196" i="16"/>
  <c r="AL185" i="16"/>
  <c r="AI199" i="16"/>
  <c r="AI197" i="16"/>
  <c r="AI196" i="16"/>
  <c r="AI185" i="16"/>
  <c r="AF199" i="16"/>
  <c r="AF197" i="16"/>
  <c r="AF196" i="16"/>
  <c r="AF185" i="16"/>
  <c r="Y199" i="16"/>
  <c r="Y197" i="16"/>
  <c r="Y196" i="16"/>
  <c r="Y185" i="16"/>
  <c r="V199" i="16"/>
  <c r="V197" i="16"/>
  <c r="V196" i="16"/>
  <c r="V185" i="16"/>
  <c r="S199" i="16"/>
  <c r="S197" i="16"/>
  <c r="S196" i="16"/>
  <c r="S185" i="16"/>
  <c r="P199" i="16"/>
  <c r="P197" i="16"/>
  <c r="P196" i="16"/>
  <c r="P185" i="16"/>
  <c r="M199" i="16"/>
  <c r="M197" i="16"/>
  <c r="M196" i="16"/>
  <c r="M185" i="16"/>
  <c r="CD199" i="16"/>
  <c r="CD197" i="16"/>
  <c r="CD196" i="16"/>
  <c r="CD185" i="16"/>
  <c r="CA199" i="16"/>
  <c r="CA197" i="16"/>
  <c r="CA196" i="16"/>
  <c r="CA185" i="16"/>
  <c r="BX199" i="16"/>
  <c r="BX197" i="16"/>
  <c r="BX196" i="16"/>
  <c r="BX185" i="16"/>
  <c r="BU199" i="16"/>
  <c r="BU197" i="16"/>
  <c r="BU196" i="16"/>
  <c r="BU185" i="16"/>
  <c r="BR199" i="16"/>
  <c r="BR197" i="16"/>
  <c r="BR196" i="16"/>
  <c r="BR185" i="16"/>
  <c r="BK199" i="16"/>
  <c r="BK197" i="16"/>
  <c r="BK196" i="16"/>
  <c r="BK185" i="16"/>
  <c r="BH199" i="16"/>
  <c r="BH197" i="16"/>
  <c r="BH196" i="16"/>
  <c r="BH185" i="16"/>
  <c r="BE199" i="16"/>
  <c r="BE197" i="16"/>
  <c r="BE196" i="16"/>
  <c r="BE185" i="16"/>
  <c r="BB199" i="16"/>
  <c r="BB197" i="16"/>
  <c r="BB196" i="16"/>
  <c r="BB185" i="16"/>
  <c r="AY199" i="16"/>
  <c r="AY197" i="16"/>
  <c r="AY196" i="16"/>
  <c r="AY185" i="16"/>
  <c r="DP199" i="16"/>
  <c r="DP197" i="16"/>
  <c r="DP196" i="16"/>
  <c r="DP185" i="16"/>
  <c r="DM199" i="16"/>
  <c r="DM197" i="16"/>
  <c r="DM196" i="16"/>
  <c r="DM185" i="16"/>
  <c r="DJ199" i="16"/>
  <c r="DJ197" i="16"/>
  <c r="DJ196" i="16"/>
  <c r="DJ185" i="16"/>
  <c r="DG199" i="16"/>
  <c r="DG197" i="16"/>
  <c r="DG196" i="16"/>
  <c r="DG185" i="16"/>
  <c r="DD199" i="16"/>
  <c r="DD197" i="16"/>
  <c r="DD196" i="16"/>
  <c r="DD185" i="16"/>
  <c r="CW199" i="16"/>
  <c r="CW197" i="16"/>
  <c r="CW196" i="16"/>
  <c r="CW185" i="16"/>
  <c r="CT199" i="16"/>
  <c r="CT197" i="16"/>
  <c r="CT196" i="16"/>
  <c r="CT185" i="16"/>
  <c r="CQ199" i="16"/>
  <c r="CQ197" i="16"/>
  <c r="CQ196" i="16"/>
  <c r="CQ185" i="16"/>
  <c r="CN199" i="16"/>
  <c r="CN197" i="16"/>
  <c r="CN196" i="16"/>
  <c r="CN185" i="16"/>
  <c r="CK199" i="16"/>
  <c r="CK197" i="16"/>
  <c r="CK196" i="16"/>
  <c r="CK185" i="16"/>
  <c r="AR33" i="17"/>
  <c r="AR34" i="17"/>
  <c r="AR35" i="17"/>
  <c r="AR36" i="17"/>
  <c r="AO33" i="17"/>
  <c r="AO34" i="17"/>
  <c r="AO35" i="17"/>
  <c r="AO36" i="17"/>
  <c r="AL33" i="17"/>
  <c r="AL34" i="17"/>
  <c r="AL35" i="17"/>
  <c r="AL36" i="17"/>
  <c r="AI33" i="17"/>
  <c r="AI34" i="17"/>
  <c r="AI35" i="17"/>
  <c r="AI36" i="17"/>
  <c r="AF33" i="17"/>
  <c r="AF34" i="17"/>
  <c r="AF35" i="17"/>
  <c r="AF36" i="17"/>
  <c r="Y33" i="17"/>
  <c r="Y34" i="17"/>
  <c r="Y35" i="17"/>
  <c r="Y36" i="17"/>
  <c r="V33" i="17"/>
  <c r="V34" i="17"/>
  <c r="V35" i="17"/>
  <c r="V36" i="17"/>
  <c r="S33" i="17"/>
  <c r="S34" i="17"/>
  <c r="S35" i="17"/>
  <c r="S36" i="17"/>
  <c r="P33" i="17"/>
  <c r="P34" i="17"/>
  <c r="P35" i="17"/>
  <c r="P36" i="17"/>
  <c r="M33" i="17"/>
  <c r="M34" i="17"/>
  <c r="M35" i="17"/>
  <c r="M36" i="17"/>
  <c r="AR67" i="16"/>
  <c r="AR68" i="16"/>
  <c r="AR69" i="16"/>
  <c r="AR70" i="16"/>
  <c r="AR62" i="16"/>
  <c r="AR64" i="16"/>
  <c r="AR65" i="16"/>
  <c r="AR66" i="16"/>
  <c r="AO67" i="16"/>
  <c r="AO68" i="16"/>
  <c r="AO69" i="16"/>
  <c r="AO70" i="16"/>
  <c r="AO62" i="16"/>
  <c r="AO64" i="16"/>
  <c r="AO65" i="16"/>
  <c r="AO66" i="16"/>
  <c r="AL67" i="16"/>
  <c r="AL68" i="16"/>
  <c r="AL69" i="16"/>
  <c r="AL70" i="16"/>
  <c r="AL62" i="16"/>
  <c r="AL64" i="16"/>
  <c r="AL65" i="16"/>
  <c r="AL66" i="16"/>
  <c r="AI67" i="16"/>
  <c r="AI68" i="16"/>
  <c r="AI69" i="16"/>
  <c r="AI70" i="16"/>
  <c r="AI62" i="16"/>
  <c r="AI64" i="16"/>
  <c r="AI65" i="16"/>
  <c r="AI66" i="16"/>
  <c r="AF67" i="16"/>
  <c r="AF68" i="16"/>
  <c r="AF69" i="16"/>
  <c r="AF70" i="16"/>
  <c r="AF62" i="16"/>
  <c r="AF64" i="16"/>
  <c r="AF65" i="16"/>
  <c r="AF66" i="16"/>
  <c r="Y67" i="16"/>
  <c r="Y68" i="16"/>
  <c r="Y69" i="16"/>
  <c r="Y70" i="16"/>
  <c r="Y62" i="16"/>
  <c r="Y64" i="16"/>
  <c r="Y65" i="16"/>
  <c r="Y66" i="16"/>
  <c r="V67" i="16"/>
  <c r="V68" i="16"/>
  <c r="V69" i="16"/>
  <c r="V70" i="16"/>
  <c r="V62" i="16"/>
  <c r="V64" i="16"/>
  <c r="V65" i="16"/>
  <c r="V66" i="16"/>
  <c r="S67" i="16"/>
  <c r="S68" i="16"/>
  <c r="S69" i="16"/>
  <c r="S70" i="16"/>
  <c r="S62" i="16"/>
  <c r="S64" i="16"/>
  <c r="S65" i="16"/>
  <c r="S66" i="16"/>
  <c r="P67" i="16"/>
  <c r="P68" i="16"/>
  <c r="P69" i="16"/>
  <c r="P70" i="16"/>
  <c r="P62" i="16"/>
  <c r="P64" i="16"/>
  <c r="P65" i="16"/>
  <c r="P66" i="16"/>
  <c r="M67" i="16"/>
  <c r="M68" i="16"/>
  <c r="M69" i="16"/>
  <c r="M70" i="16"/>
  <c r="M62" i="16"/>
  <c r="M64" i="16"/>
  <c r="M65" i="16"/>
  <c r="M66" i="16"/>
  <c r="CD67" i="16"/>
  <c r="CD68" i="16"/>
  <c r="CD69" i="16"/>
  <c r="CD70" i="16"/>
  <c r="CD62" i="16"/>
  <c r="CD64" i="16"/>
  <c r="CD65" i="16"/>
  <c r="CD66" i="16"/>
  <c r="CA67" i="16"/>
  <c r="CA68" i="16"/>
  <c r="CA69" i="16"/>
  <c r="CA70" i="16"/>
  <c r="CA62" i="16"/>
  <c r="CA64" i="16"/>
  <c r="CA65" i="16"/>
  <c r="CA66" i="16"/>
  <c r="BX67" i="16"/>
  <c r="BX68" i="16"/>
  <c r="BX69" i="16"/>
  <c r="BX70" i="16"/>
  <c r="BX62" i="16"/>
  <c r="BX64" i="16"/>
  <c r="BX65" i="16"/>
  <c r="BX66" i="16"/>
  <c r="BU67" i="16"/>
  <c r="BU68" i="16"/>
  <c r="BU69" i="16"/>
  <c r="BU70" i="16"/>
  <c r="BU62" i="16"/>
  <c r="BU64" i="16"/>
  <c r="BU65" i="16"/>
  <c r="BU66" i="16"/>
  <c r="BR67" i="16"/>
  <c r="BR68" i="16"/>
  <c r="BR69" i="16"/>
  <c r="BR70" i="16"/>
  <c r="BR62" i="16"/>
  <c r="BR64" i="16"/>
  <c r="BR65" i="16"/>
  <c r="BR66" i="16"/>
  <c r="BK67" i="16"/>
  <c r="BK68" i="16"/>
  <c r="BK69" i="16"/>
  <c r="BK70" i="16"/>
  <c r="BK62" i="16"/>
  <c r="BK64" i="16"/>
  <c r="BK65" i="16"/>
  <c r="BK66" i="16"/>
  <c r="BH67" i="16"/>
  <c r="BH68" i="16"/>
  <c r="BH69" i="16"/>
  <c r="BH70" i="16"/>
  <c r="BH62" i="16"/>
  <c r="BH64" i="16"/>
  <c r="BH65" i="16"/>
  <c r="BH66" i="16"/>
  <c r="BE67" i="16"/>
  <c r="BE68" i="16"/>
  <c r="BE69" i="16"/>
  <c r="BE70" i="16"/>
  <c r="BE62" i="16"/>
  <c r="BE64" i="16"/>
  <c r="BE65" i="16"/>
  <c r="BE66" i="16"/>
  <c r="BB67" i="16"/>
  <c r="BB68" i="16"/>
  <c r="BB69" i="16"/>
  <c r="BB70" i="16"/>
  <c r="BB62" i="16"/>
  <c r="BB64" i="16"/>
  <c r="BB65" i="16"/>
  <c r="BB66" i="16"/>
  <c r="AY67" i="16"/>
  <c r="AY68" i="16"/>
  <c r="AY69" i="16"/>
  <c r="AY70" i="16"/>
  <c r="AY62" i="16"/>
  <c r="AY64" i="16"/>
  <c r="AY65" i="16"/>
  <c r="AY66" i="16"/>
  <c r="DP67" i="16"/>
  <c r="DP68" i="16"/>
  <c r="DP69" i="16"/>
  <c r="DP70" i="16"/>
  <c r="DP62" i="16"/>
  <c r="DP64" i="16"/>
  <c r="DP65" i="16"/>
  <c r="DP66" i="16"/>
  <c r="DM67" i="16"/>
  <c r="DM68" i="16"/>
  <c r="DM69" i="16"/>
  <c r="DM70" i="16"/>
  <c r="DM62" i="16"/>
  <c r="DM64" i="16"/>
  <c r="DM65" i="16"/>
  <c r="DM66" i="16"/>
  <c r="DJ67" i="16"/>
  <c r="DJ68" i="16"/>
  <c r="DJ69" i="16"/>
  <c r="DJ70" i="16"/>
  <c r="DJ62" i="16"/>
  <c r="DJ64" i="16"/>
  <c r="DJ65" i="16"/>
  <c r="DJ66" i="16"/>
  <c r="DG67" i="16"/>
  <c r="DG68" i="16"/>
  <c r="DG69" i="16"/>
  <c r="DG70" i="16"/>
  <c r="DG62" i="16"/>
  <c r="DG64" i="16"/>
  <c r="DG65" i="16"/>
  <c r="DG66" i="16"/>
  <c r="DD67" i="16"/>
  <c r="DD68" i="16"/>
  <c r="DD69" i="16"/>
  <c r="DD70" i="16"/>
  <c r="DD62" i="16"/>
  <c r="DD64" i="16"/>
  <c r="DD65" i="16"/>
  <c r="DD66" i="16"/>
  <c r="CW67" i="16"/>
  <c r="CW68" i="16"/>
  <c r="CW69" i="16"/>
  <c r="CW70" i="16"/>
  <c r="CW62" i="16"/>
  <c r="CW64" i="16"/>
  <c r="CW65" i="16"/>
  <c r="CW66" i="16"/>
  <c r="CT67" i="16"/>
  <c r="CT68" i="16"/>
  <c r="CT69" i="16"/>
  <c r="CT70" i="16"/>
  <c r="CT62" i="16"/>
  <c r="CT64" i="16"/>
  <c r="CT65" i="16"/>
  <c r="CT66" i="16"/>
  <c r="CQ67" i="16"/>
  <c r="CQ68" i="16"/>
  <c r="CQ69" i="16"/>
  <c r="CQ70" i="16"/>
  <c r="CQ62" i="16"/>
  <c r="CQ64" i="16"/>
  <c r="CQ65" i="16"/>
  <c r="CQ66" i="16"/>
  <c r="CN67" i="16"/>
  <c r="CN68" i="16"/>
  <c r="CN69" i="16"/>
  <c r="CN70" i="16"/>
  <c r="CN62" i="16"/>
  <c r="CN64" i="16"/>
  <c r="CN65" i="16"/>
  <c r="CN66" i="16"/>
  <c r="CK67" i="16"/>
  <c r="CK68" i="16"/>
  <c r="CK69" i="16"/>
  <c r="CK70" i="16"/>
  <c r="CK62" i="16"/>
  <c r="CK64" i="16"/>
  <c r="CK65" i="16"/>
  <c r="CK66" i="16"/>
  <c r="AR61" i="16"/>
  <c r="AR60" i="16"/>
  <c r="AR59" i="16"/>
  <c r="AR57" i="16"/>
  <c r="AO61" i="16"/>
  <c r="AO60" i="16"/>
  <c r="AO59" i="16"/>
  <c r="AO57" i="16"/>
  <c r="AL61" i="16"/>
  <c r="AL60" i="16"/>
  <c r="AL59" i="16"/>
  <c r="AL57" i="16"/>
  <c r="AI61" i="16"/>
  <c r="AI60" i="16"/>
  <c r="AI59" i="16"/>
  <c r="AI57" i="16"/>
  <c r="AF61" i="16"/>
  <c r="AF60" i="16"/>
  <c r="AF59" i="16"/>
  <c r="AF57" i="16"/>
  <c r="Y61" i="16"/>
  <c r="Y60" i="16"/>
  <c r="Y59" i="16"/>
  <c r="Y57" i="16"/>
  <c r="V61" i="16"/>
  <c r="V60" i="16"/>
  <c r="V59" i="16"/>
  <c r="V57" i="16"/>
  <c r="S61" i="16"/>
  <c r="S60" i="16"/>
  <c r="S59" i="16"/>
  <c r="S57" i="16"/>
  <c r="P61" i="16"/>
  <c r="P60" i="16"/>
  <c r="P59" i="16"/>
  <c r="P57" i="16"/>
  <c r="M61" i="16"/>
  <c r="M60" i="16"/>
  <c r="M59" i="16"/>
  <c r="M57" i="16"/>
  <c r="CD61" i="16"/>
  <c r="CD60" i="16"/>
  <c r="CD59" i="16"/>
  <c r="CD57" i="16"/>
  <c r="CA61" i="16"/>
  <c r="CA60" i="16"/>
  <c r="CA59" i="16"/>
  <c r="CA57" i="16"/>
  <c r="BX61" i="16"/>
  <c r="BX60" i="16"/>
  <c r="BX59" i="16"/>
  <c r="BX57" i="16"/>
  <c r="BU61" i="16"/>
  <c r="BU60" i="16"/>
  <c r="BU59" i="16"/>
  <c r="BU57" i="16"/>
  <c r="BR61" i="16"/>
  <c r="BR60" i="16"/>
  <c r="BR59" i="16"/>
  <c r="BR57" i="16"/>
  <c r="BK61" i="16"/>
  <c r="BK60" i="16"/>
  <c r="BK59" i="16"/>
  <c r="BK57" i="16"/>
  <c r="BH61" i="16"/>
  <c r="BH60" i="16"/>
  <c r="BH59" i="16"/>
  <c r="BH57" i="16"/>
  <c r="BE61" i="16"/>
  <c r="BE60" i="16"/>
  <c r="BE59" i="16"/>
  <c r="BE57" i="16"/>
  <c r="BB61" i="16"/>
  <c r="BB60" i="16"/>
  <c r="BB59" i="16"/>
  <c r="BB57" i="16"/>
  <c r="AY61" i="16"/>
  <c r="AY60" i="16"/>
  <c r="AY59" i="16"/>
  <c r="AY57" i="16"/>
  <c r="DP61" i="16"/>
  <c r="DP60" i="16"/>
  <c r="DP59" i="16"/>
  <c r="DP57" i="16"/>
  <c r="DM61" i="16"/>
  <c r="DM60" i="16"/>
  <c r="DM59" i="16"/>
  <c r="DM57" i="16"/>
  <c r="DJ61" i="16"/>
  <c r="DJ60" i="16"/>
  <c r="DJ59" i="16"/>
  <c r="DJ57" i="16"/>
  <c r="DG61" i="16"/>
  <c r="DG60" i="16"/>
  <c r="DG59" i="16"/>
  <c r="DG57" i="16"/>
  <c r="DD61" i="16"/>
  <c r="DD60" i="16"/>
  <c r="DD59" i="16"/>
  <c r="DD57" i="16"/>
  <c r="CW61" i="16"/>
  <c r="CW60" i="16"/>
  <c r="CW59" i="16"/>
  <c r="CW57" i="16"/>
  <c r="CT61" i="16"/>
  <c r="CT60" i="16"/>
  <c r="CT59" i="16"/>
  <c r="CT57" i="16"/>
  <c r="CQ61" i="16"/>
  <c r="CQ60" i="16"/>
  <c r="CQ59" i="16"/>
  <c r="CQ57" i="16"/>
  <c r="CN61" i="16"/>
  <c r="CN60" i="16"/>
  <c r="CN59" i="16"/>
  <c r="CN57" i="16"/>
  <c r="CK61" i="16"/>
  <c r="CK60" i="16"/>
  <c r="CK59" i="16"/>
  <c r="CK57" i="16"/>
  <c r="AR73" i="16"/>
  <c r="AR72" i="16"/>
  <c r="AR71" i="16"/>
  <c r="AO73" i="16"/>
  <c r="AO72" i="16"/>
  <c r="AO71" i="16"/>
  <c r="AL73" i="16"/>
  <c r="AL72" i="16"/>
  <c r="AL71" i="16"/>
  <c r="AI73" i="16"/>
  <c r="AI72" i="16"/>
  <c r="AI71" i="16"/>
  <c r="AF73" i="16"/>
  <c r="AF72" i="16"/>
  <c r="AF71" i="16"/>
  <c r="Y73" i="16"/>
  <c r="Y72" i="16"/>
  <c r="Y71" i="16"/>
  <c r="V73" i="16"/>
  <c r="V72" i="16"/>
  <c r="V71" i="16"/>
  <c r="S73" i="16"/>
  <c r="S72" i="16"/>
  <c r="S71" i="16"/>
  <c r="P73" i="16"/>
  <c r="P72" i="16"/>
  <c r="P71" i="16"/>
  <c r="M73" i="16"/>
  <c r="M72" i="16"/>
  <c r="M71" i="16"/>
  <c r="CD73" i="16"/>
  <c r="CD72" i="16"/>
  <c r="CD71" i="16"/>
  <c r="CA73" i="16"/>
  <c r="CA72" i="16"/>
  <c r="CA71" i="16"/>
  <c r="BX73" i="16"/>
  <c r="BX72" i="16"/>
  <c r="BX71" i="16"/>
  <c r="BU73" i="16"/>
  <c r="BU72" i="16"/>
  <c r="BU71" i="16"/>
  <c r="BR73" i="16"/>
  <c r="BR72" i="16"/>
  <c r="BR71" i="16"/>
  <c r="BK73" i="16"/>
  <c r="BK72" i="16"/>
  <c r="BK71" i="16"/>
  <c r="BH73" i="16"/>
  <c r="BH72" i="16"/>
  <c r="BH71" i="16"/>
  <c r="BE73" i="16"/>
  <c r="BE72" i="16"/>
  <c r="BE71" i="16"/>
  <c r="BB73" i="16"/>
  <c r="BB72" i="16"/>
  <c r="BB71" i="16"/>
  <c r="AY73" i="16"/>
  <c r="AY72" i="16"/>
  <c r="AY71" i="16"/>
  <c r="DP73" i="16"/>
  <c r="DP72" i="16"/>
  <c r="DP71" i="16"/>
  <c r="DM73" i="16"/>
  <c r="DM72" i="16"/>
  <c r="DM71" i="16"/>
  <c r="DJ73" i="16"/>
  <c r="DJ72" i="16"/>
  <c r="DJ71" i="16"/>
  <c r="DG73" i="16"/>
  <c r="DG72" i="16"/>
  <c r="DG71" i="16"/>
  <c r="DD73" i="16"/>
  <c r="DD72" i="16"/>
  <c r="DD71" i="16"/>
  <c r="CW73" i="16"/>
  <c r="CW72" i="16"/>
  <c r="CW71" i="16"/>
  <c r="CT73" i="16"/>
  <c r="CT72" i="16"/>
  <c r="CT71" i="16"/>
  <c r="CQ73" i="16"/>
  <c r="CQ72" i="16"/>
  <c r="CQ71" i="16"/>
  <c r="CN73" i="16"/>
  <c r="CN72" i="16"/>
  <c r="CN71" i="16"/>
  <c r="CK73" i="16"/>
  <c r="CK72" i="16"/>
  <c r="CK71" i="16"/>
  <c r="AR53" i="16"/>
  <c r="AR52" i="16"/>
  <c r="AR48" i="16"/>
  <c r="AO53" i="16"/>
  <c r="AO52" i="16"/>
  <c r="AO48" i="16"/>
  <c r="AL53" i="16"/>
  <c r="AL52" i="16"/>
  <c r="AL48" i="16"/>
  <c r="AI53" i="16"/>
  <c r="AI52" i="16"/>
  <c r="AI48" i="16"/>
  <c r="AF53" i="16"/>
  <c r="AF52" i="16"/>
  <c r="AF48" i="16"/>
  <c r="Y53" i="16"/>
  <c r="Y52" i="16"/>
  <c r="Y48" i="16"/>
  <c r="V53" i="16"/>
  <c r="V52" i="16"/>
  <c r="V48" i="16"/>
  <c r="S53" i="16"/>
  <c r="S52" i="16"/>
  <c r="S48" i="16"/>
  <c r="P53" i="16"/>
  <c r="P52" i="16"/>
  <c r="P48" i="16"/>
  <c r="M53" i="16"/>
  <c r="M52" i="16"/>
  <c r="M48" i="16"/>
  <c r="BK53" i="16"/>
  <c r="BK52" i="16"/>
  <c r="BK48" i="16"/>
  <c r="BH53" i="16"/>
  <c r="BH52" i="16"/>
  <c r="BH48" i="16"/>
  <c r="BE53" i="16"/>
  <c r="BE52" i="16"/>
  <c r="BE48" i="16"/>
  <c r="BB53" i="16"/>
  <c r="BB52" i="16"/>
  <c r="BB48" i="16"/>
  <c r="AY53" i="16"/>
  <c r="AY52" i="16"/>
  <c r="AY48" i="16"/>
  <c r="DP53" i="16"/>
  <c r="DP52" i="16"/>
  <c r="DP48" i="16"/>
  <c r="DM53" i="16"/>
  <c r="DM52" i="16"/>
  <c r="DM48" i="16"/>
  <c r="DJ53" i="16"/>
  <c r="DJ52" i="16"/>
  <c r="DJ48" i="16"/>
  <c r="DG53" i="16"/>
  <c r="DG52" i="16"/>
  <c r="DG48" i="16"/>
  <c r="DD53" i="16"/>
  <c r="DD52" i="16"/>
  <c r="DD48" i="16"/>
  <c r="CW53" i="16"/>
  <c r="CW52" i="16"/>
  <c r="CW48" i="16"/>
  <c r="CT53" i="16"/>
  <c r="CT52" i="16"/>
  <c r="CT48" i="16"/>
  <c r="CQ53" i="16"/>
  <c r="CQ52" i="16"/>
  <c r="CQ48" i="16"/>
  <c r="CN53" i="16"/>
  <c r="CN52" i="16"/>
  <c r="CN48" i="16"/>
  <c r="CK53" i="16"/>
  <c r="CK52" i="16"/>
  <c r="CK48" i="16"/>
  <c r="CD53" i="16"/>
  <c r="CD52" i="16"/>
  <c r="CD48" i="16"/>
  <c r="CA53" i="16"/>
  <c r="CA52" i="16"/>
  <c r="CA48" i="16"/>
  <c r="BX53" i="16"/>
  <c r="BX52" i="16"/>
  <c r="BX48" i="16"/>
  <c r="BU53" i="16"/>
  <c r="BU52" i="16"/>
  <c r="BU48" i="16"/>
  <c r="BR53" i="16"/>
  <c r="BR52" i="16"/>
  <c r="BR48" i="16"/>
  <c r="AR175" i="16"/>
  <c r="AR176" i="16"/>
  <c r="AR177" i="16"/>
  <c r="AR178" i="16"/>
  <c r="AR198" i="16"/>
  <c r="AR150" i="16"/>
  <c r="AR151" i="16"/>
  <c r="AR152" i="16"/>
  <c r="AR153" i="16"/>
  <c r="AR154" i="16"/>
  <c r="AR161" i="16"/>
  <c r="AR118" i="16"/>
  <c r="AR119" i="16"/>
  <c r="AR120" i="16"/>
  <c r="AR121" i="16"/>
  <c r="AR122" i="16"/>
  <c r="AR123" i="16"/>
  <c r="AR56" i="16"/>
  <c r="AR54" i="16"/>
  <c r="AO175" i="16"/>
  <c r="AO176" i="16"/>
  <c r="AO177" i="16"/>
  <c r="AO178" i="16"/>
  <c r="AO198" i="16"/>
  <c r="AO150" i="16"/>
  <c r="AO151" i="16"/>
  <c r="AO152" i="16"/>
  <c r="AO153" i="16"/>
  <c r="AO154" i="16"/>
  <c r="AO161" i="16"/>
  <c r="AO118" i="16"/>
  <c r="AO119" i="16"/>
  <c r="AO120" i="16"/>
  <c r="AO121" i="16"/>
  <c r="AO122" i="16"/>
  <c r="AO123" i="16"/>
  <c r="AO56" i="16"/>
  <c r="AO54" i="16"/>
  <c r="AL175" i="16"/>
  <c r="AL176" i="16"/>
  <c r="AL177" i="16"/>
  <c r="AL178" i="16"/>
  <c r="AL198" i="16"/>
  <c r="AL150" i="16"/>
  <c r="AL151" i="16"/>
  <c r="AL152" i="16"/>
  <c r="AL153" i="16"/>
  <c r="AL154" i="16"/>
  <c r="AL161" i="16"/>
  <c r="AL118" i="16"/>
  <c r="AL119" i="16"/>
  <c r="AL120" i="16"/>
  <c r="AL121" i="16"/>
  <c r="AL122" i="16"/>
  <c r="AL123" i="16"/>
  <c r="AL56" i="16"/>
  <c r="AL54" i="16"/>
  <c r="AI175" i="16"/>
  <c r="AI176" i="16"/>
  <c r="AI177" i="16"/>
  <c r="AI178" i="16"/>
  <c r="AI198" i="16"/>
  <c r="AI150" i="16"/>
  <c r="AI151" i="16"/>
  <c r="AI152" i="16"/>
  <c r="AI153" i="16"/>
  <c r="AI154" i="16"/>
  <c r="AI161" i="16"/>
  <c r="AI118" i="16"/>
  <c r="AI119" i="16"/>
  <c r="AI120" i="16"/>
  <c r="AI121" i="16"/>
  <c r="AI122" i="16"/>
  <c r="AI123" i="16"/>
  <c r="AI56" i="16"/>
  <c r="AI54" i="16"/>
  <c r="AF175" i="16"/>
  <c r="AF176" i="16"/>
  <c r="AF177" i="16"/>
  <c r="AF178" i="16"/>
  <c r="AF198" i="16"/>
  <c r="AF150" i="16"/>
  <c r="AF151" i="16"/>
  <c r="AF152" i="16"/>
  <c r="AF153" i="16"/>
  <c r="AF154" i="16"/>
  <c r="AF161" i="16"/>
  <c r="AF118" i="16"/>
  <c r="AF119" i="16"/>
  <c r="AF120" i="16"/>
  <c r="AF121" i="16"/>
  <c r="AF122" i="16"/>
  <c r="AF123" i="16"/>
  <c r="AF56" i="16"/>
  <c r="AF54" i="16"/>
  <c r="Y175" i="16"/>
  <c r="Y176" i="16"/>
  <c r="Y177" i="16"/>
  <c r="Y178" i="16"/>
  <c r="Y198" i="16"/>
  <c r="Y150" i="16"/>
  <c r="Y151" i="16"/>
  <c r="Y152" i="16"/>
  <c r="Y153" i="16"/>
  <c r="Y154" i="16"/>
  <c r="Y161" i="16"/>
  <c r="Y118" i="16"/>
  <c r="Y119" i="16"/>
  <c r="Y120" i="16"/>
  <c r="Y121" i="16"/>
  <c r="Y122" i="16"/>
  <c r="Y123" i="16"/>
  <c r="Y56" i="16"/>
  <c r="Y54" i="16"/>
  <c r="V175" i="16"/>
  <c r="V176" i="16"/>
  <c r="V177" i="16"/>
  <c r="V178" i="16"/>
  <c r="V198" i="16"/>
  <c r="V150" i="16"/>
  <c r="V151" i="16"/>
  <c r="V152" i="16"/>
  <c r="V153" i="16"/>
  <c r="V154" i="16"/>
  <c r="V161" i="16"/>
  <c r="V118" i="16"/>
  <c r="V119" i="16"/>
  <c r="V120" i="16"/>
  <c r="V121" i="16"/>
  <c r="V122" i="16"/>
  <c r="V123" i="16"/>
  <c r="V56" i="16"/>
  <c r="V54" i="16"/>
  <c r="S175" i="16"/>
  <c r="S176" i="16"/>
  <c r="S177" i="16"/>
  <c r="S178" i="16"/>
  <c r="S198" i="16"/>
  <c r="S150" i="16"/>
  <c r="S151" i="16"/>
  <c r="S152" i="16"/>
  <c r="S153" i="16"/>
  <c r="S154" i="16"/>
  <c r="S161" i="16"/>
  <c r="S118" i="16"/>
  <c r="S119" i="16"/>
  <c r="S120" i="16"/>
  <c r="S121" i="16"/>
  <c r="S122" i="16"/>
  <c r="S123" i="16"/>
  <c r="S56" i="16"/>
  <c r="S54" i="16"/>
  <c r="P175" i="16"/>
  <c r="P176" i="16"/>
  <c r="P177" i="16"/>
  <c r="P178" i="16"/>
  <c r="P198" i="16"/>
  <c r="P150" i="16"/>
  <c r="P151" i="16"/>
  <c r="P152" i="16"/>
  <c r="P153" i="16"/>
  <c r="P154" i="16"/>
  <c r="P161" i="16"/>
  <c r="P118" i="16"/>
  <c r="P119" i="16"/>
  <c r="P120" i="16"/>
  <c r="P121" i="16"/>
  <c r="P122" i="16"/>
  <c r="P123" i="16"/>
  <c r="P56" i="16"/>
  <c r="P54" i="16"/>
  <c r="M175" i="16"/>
  <c r="M176" i="16"/>
  <c r="M177" i="16"/>
  <c r="M178" i="16"/>
  <c r="M198" i="16"/>
  <c r="M150" i="16"/>
  <c r="M151" i="16"/>
  <c r="M152" i="16"/>
  <c r="M153" i="16"/>
  <c r="M154" i="16"/>
  <c r="M161" i="16"/>
  <c r="M118" i="16"/>
  <c r="M119" i="16"/>
  <c r="M120" i="16"/>
  <c r="M121" i="16"/>
  <c r="M122" i="16"/>
  <c r="M123" i="16"/>
  <c r="M56" i="16"/>
  <c r="M54" i="16"/>
  <c r="AR80" i="16"/>
  <c r="AR81" i="16"/>
  <c r="AR82" i="16"/>
  <c r="AR83" i="16"/>
  <c r="AR86" i="16"/>
  <c r="AR42" i="16"/>
  <c r="AR43" i="16"/>
  <c r="AR44" i="16"/>
  <c r="AR45" i="16"/>
  <c r="AR46" i="16"/>
  <c r="AR47" i="16"/>
  <c r="AR79" i="16"/>
  <c r="AO80" i="16"/>
  <c r="AO81" i="16"/>
  <c r="AO82" i="16"/>
  <c r="AO83" i="16"/>
  <c r="AO86" i="16"/>
  <c r="AO42" i="16"/>
  <c r="AO43" i="16"/>
  <c r="AO44" i="16"/>
  <c r="AO45" i="16"/>
  <c r="AO46" i="16"/>
  <c r="AO47" i="16"/>
  <c r="AO79" i="16"/>
  <c r="AL80" i="16"/>
  <c r="AL81" i="16"/>
  <c r="AL82" i="16"/>
  <c r="AL83" i="16"/>
  <c r="AL86" i="16"/>
  <c r="AL42" i="16"/>
  <c r="AL43" i="16"/>
  <c r="AL44" i="16"/>
  <c r="AL45" i="16"/>
  <c r="AL46" i="16"/>
  <c r="AL47" i="16"/>
  <c r="AL79" i="16"/>
  <c r="AI80" i="16"/>
  <c r="AI81" i="16"/>
  <c r="AI82" i="16"/>
  <c r="AI83" i="16"/>
  <c r="AI86" i="16"/>
  <c r="AI42" i="16"/>
  <c r="AI43" i="16"/>
  <c r="AI44" i="16"/>
  <c r="AI45" i="16"/>
  <c r="AI46" i="16"/>
  <c r="AI47" i="16"/>
  <c r="AI79" i="16"/>
  <c r="AF80" i="16"/>
  <c r="AF81" i="16"/>
  <c r="AF82" i="16"/>
  <c r="AF83" i="16"/>
  <c r="AF86" i="16"/>
  <c r="AF42" i="16"/>
  <c r="AF43" i="16"/>
  <c r="AF44" i="16"/>
  <c r="AF45" i="16"/>
  <c r="AF46" i="16"/>
  <c r="AF47" i="16"/>
  <c r="AF79" i="16"/>
  <c r="Y80" i="16"/>
  <c r="Y81" i="16"/>
  <c r="Y82" i="16"/>
  <c r="Y83" i="16"/>
  <c r="Y86" i="16"/>
  <c r="Y42" i="16"/>
  <c r="Y43" i="16"/>
  <c r="Y44" i="16"/>
  <c r="Y45" i="16"/>
  <c r="Y46" i="16"/>
  <c r="Y47" i="16"/>
  <c r="Y79" i="16"/>
  <c r="V80" i="16"/>
  <c r="V81" i="16"/>
  <c r="V82" i="16"/>
  <c r="V83" i="16"/>
  <c r="V86" i="16"/>
  <c r="V42" i="16"/>
  <c r="V43" i="16"/>
  <c r="V44" i="16"/>
  <c r="V45" i="16"/>
  <c r="V46" i="16"/>
  <c r="V47" i="16"/>
  <c r="V79" i="16"/>
  <c r="S80" i="16"/>
  <c r="S81" i="16"/>
  <c r="S82" i="16"/>
  <c r="S83" i="16"/>
  <c r="S86" i="16"/>
  <c r="S42" i="16"/>
  <c r="S43" i="16"/>
  <c r="S44" i="16"/>
  <c r="S45" i="16"/>
  <c r="S46" i="16"/>
  <c r="S47" i="16"/>
  <c r="S79" i="16"/>
  <c r="P80" i="16"/>
  <c r="P81" i="16"/>
  <c r="P82" i="16"/>
  <c r="P83" i="16"/>
  <c r="P86" i="16"/>
  <c r="P42" i="16"/>
  <c r="P43" i="16"/>
  <c r="P44" i="16"/>
  <c r="P45" i="16"/>
  <c r="P46" i="16"/>
  <c r="P47" i="16"/>
  <c r="P79" i="16"/>
  <c r="M80" i="16"/>
  <c r="M81" i="16"/>
  <c r="M82" i="16"/>
  <c r="M83" i="16"/>
  <c r="M86" i="16"/>
  <c r="M42" i="16"/>
  <c r="M43" i="16"/>
  <c r="M44" i="16"/>
  <c r="M45" i="16"/>
  <c r="M46" i="16"/>
  <c r="M47" i="16"/>
  <c r="M79" i="16"/>
  <c r="A4" i="8" l="1"/>
  <c r="A5" i="8" l="1"/>
  <c r="A10" i="8" l="1"/>
  <c r="A12" i="8" l="1"/>
  <c r="A11" i="8"/>
  <c r="G32" i="17" l="1"/>
  <c r="F32" i="17"/>
  <c r="E32" i="17"/>
  <c r="D32" i="17"/>
  <c r="C32" i="17"/>
  <c r="G31" i="17"/>
  <c r="F31" i="17"/>
  <c r="E31" i="17"/>
  <c r="D31" i="17"/>
  <c r="C31" i="17"/>
  <c r="G25" i="17"/>
  <c r="F25" i="17"/>
  <c r="E25" i="17"/>
  <c r="D25" i="17"/>
  <c r="C25" i="17"/>
  <c r="G15" i="17"/>
  <c r="F15" i="17"/>
  <c r="E15" i="17"/>
  <c r="D15" i="17"/>
  <c r="C15" i="17"/>
  <c r="C108" i="16"/>
  <c r="D108" i="16"/>
  <c r="E108" i="16"/>
  <c r="F108" i="16"/>
  <c r="G108" i="16"/>
  <c r="C107" i="16"/>
  <c r="D107" i="16"/>
  <c r="E107" i="16"/>
  <c r="F107" i="16"/>
  <c r="G107" i="16"/>
  <c r="C106" i="16"/>
  <c r="D106" i="16"/>
  <c r="E106" i="16"/>
  <c r="F106" i="16"/>
  <c r="G106" i="16"/>
  <c r="C170" i="16"/>
  <c r="D170" i="16"/>
  <c r="E170" i="16"/>
  <c r="F170" i="16"/>
  <c r="G170" i="16"/>
  <c r="C171" i="16"/>
  <c r="D171" i="16"/>
  <c r="E171" i="16"/>
  <c r="F171" i="16"/>
  <c r="G171" i="16"/>
  <c r="C169" i="16"/>
  <c r="D169" i="16"/>
  <c r="E169" i="16"/>
  <c r="F169" i="16"/>
  <c r="G169" i="16"/>
  <c r="C168" i="16"/>
  <c r="D168" i="16"/>
  <c r="E168" i="16"/>
  <c r="F168" i="16"/>
  <c r="G168" i="16"/>
  <c r="C51" i="17"/>
  <c r="D51" i="17"/>
  <c r="E51" i="17"/>
  <c r="F51" i="17"/>
  <c r="G51" i="17"/>
  <c r="C52" i="17"/>
  <c r="D52" i="17"/>
  <c r="E52" i="17"/>
  <c r="F52" i="17"/>
  <c r="G52" i="17"/>
  <c r="C53" i="17"/>
  <c r="D53" i="17"/>
  <c r="E53" i="17"/>
  <c r="F53" i="17"/>
  <c r="G53" i="17"/>
  <c r="C105" i="16"/>
  <c r="D105" i="16"/>
  <c r="E105" i="16"/>
  <c r="F105" i="16"/>
  <c r="G105" i="16"/>
  <c r="C104" i="16"/>
  <c r="D104" i="16"/>
  <c r="E104" i="16"/>
  <c r="F104" i="16"/>
  <c r="G104" i="16"/>
  <c r="C103" i="16"/>
  <c r="D103" i="16"/>
  <c r="E103" i="16"/>
  <c r="F103" i="16"/>
  <c r="G103" i="16"/>
  <c r="C102" i="16"/>
  <c r="D102" i="16"/>
  <c r="E102" i="16"/>
  <c r="F102" i="16"/>
  <c r="G102" i="16"/>
  <c r="C101" i="16"/>
  <c r="D101" i="16"/>
  <c r="E101" i="16"/>
  <c r="F101" i="16"/>
  <c r="G101" i="16"/>
  <c r="C100" i="16"/>
  <c r="D100" i="16"/>
  <c r="E100" i="16"/>
  <c r="F100" i="16"/>
  <c r="G100" i="16"/>
  <c r="C99" i="16"/>
  <c r="D99" i="16"/>
  <c r="E99" i="16"/>
  <c r="F99" i="16"/>
  <c r="G99" i="16"/>
  <c r="C98" i="16"/>
  <c r="D98" i="16"/>
  <c r="E98" i="16"/>
  <c r="F98" i="16"/>
  <c r="G98" i="16"/>
  <c r="C97" i="16"/>
  <c r="D97" i="16"/>
  <c r="E97" i="16"/>
  <c r="F97" i="16"/>
  <c r="G97" i="16"/>
  <c r="G92" i="16"/>
  <c r="F92" i="16"/>
  <c r="E92" i="16"/>
  <c r="D92" i="16"/>
  <c r="C92" i="16"/>
  <c r="G91" i="16"/>
  <c r="F91" i="16"/>
  <c r="E91" i="16"/>
  <c r="D91" i="16"/>
  <c r="C91" i="16"/>
  <c r="G90" i="16"/>
  <c r="F90" i="16"/>
  <c r="E90" i="16"/>
  <c r="D90" i="16"/>
  <c r="C90" i="16"/>
  <c r="G89" i="16"/>
  <c r="F89" i="16"/>
  <c r="E89" i="16"/>
  <c r="D89" i="16"/>
  <c r="C89" i="16"/>
  <c r="C138" i="16"/>
  <c r="D138" i="16"/>
  <c r="E138" i="16"/>
  <c r="F138" i="16"/>
  <c r="G138" i="16"/>
  <c r="C139" i="16"/>
  <c r="D139" i="16"/>
  <c r="E139" i="16"/>
  <c r="F139" i="16"/>
  <c r="G139" i="16"/>
  <c r="C114" i="16"/>
  <c r="D114" i="16"/>
  <c r="E114" i="16"/>
  <c r="F114" i="16"/>
  <c r="G114" i="16"/>
  <c r="C115" i="16"/>
  <c r="D115" i="16"/>
  <c r="E115" i="16"/>
  <c r="F115" i="16"/>
  <c r="G115" i="16"/>
  <c r="C116" i="16"/>
  <c r="D116" i="16"/>
  <c r="E116" i="16"/>
  <c r="F116" i="16"/>
  <c r="G116" i="16"/>
  <c r="C117" i="16"/>
  <c r="D117" i="16"/>
  <c r="E117" i="16"/>
  <c r="F117" i="16"/>
  <c r="G117" i="16"/>
  <c r="G93" i="16"/>
  <c r="F93" i="16"/>
  <c r="E93" i="16"/>
  <c r="D93" i="16"/>
  <c r="C93" i="16"/>
  <c r="C94" i="16"/>
  <c r="G94" i="16"/>
  <c r="F94" i="16"/>
  <c r="E94" i="16"/>
  <c r="D94" i="16"/>
  <c r="C140" i="16"/>
  <c r="D140" i="16"/>
  <c r="E140" i="16"/>
  <c r="F140" i="16"/>
  <c r="G140" i="16"/>
  <c r="C95" i="16"/>
  <c r="D95" i="16"/>
  <c r="E95" i="16"/>
  <c r="F95" i="16"/>
  <c r="G95" i="16"/>
  <c r="C141" i="16"/>
  <c r="D141" i="16"/>
  <c r="E141" i="16"/>
  <c r="F141" i="16"/>
  <c r="G141" i="16"/>
  <c r="C96" i="16"/>
  <c r="D96" i="16"/>
  <c r="E96" i="16"/>
  <c r="F96" i="16"/>
  <c r="G96" i="16"/>
  <c r="C167" i="16"/>
  <c r="D167" i="16"/>
  <c r="E167" i="16"/>
  <c r="F167" i="16"/>
  <c r="G167" i="16"/>
  <c r="C50" i="17"/>
  <c r="D50" i="17"/>
  <c r="E50" i="17"/>
  <c r="F50" i="17"/>
  <c r="G50" i="17"/>
  <c r="C164" i="16"/>
  <c r="D164" i="16"/>
  <c r="E164" i="16"/>
  <c r="F164" i="16"/>
  <c r="G164" i="16"/>
  <c r="C165" i="16"/>
  <c r="D165" i="16"/>
  <c r="E165" i="16"/>
  <c r="F165" i="16"/>
  <c r="G165" i="16"/>
  <c r="C166" i="16"/>
  <c r="D166" i="16"/>
  <c r="E166" i="16"/>
  <c r="F166" i="16"/>
  <c r="G166" i="16"/>
  <c r="C163" i="16"/>
  <c r="D163" i="16"/>
  <c r="E163" i="16"/>
  <c r="F163" i="16"/>
  <c r="G163" i="16"/>
  <c r="G49" i="17"/>
  <c r="F49" i="17"/>
  <c r="E49" i="17"/>
  <c r="D49" i="17"/>
  <c r="C49" i="17"/>
  <c r="G48" i="17"/>
  <c r="F48" i="17"/>
  <c r="E48" i="17"/>
  <c r="D48" i="17"/>
  <c r="C48" i="17"/>
  <c r="G47" i="17"/>
  <c r="F47" i="17"/>
  <c r="E47" i="17"/>
  <c r="D47" i="17"/>
  <c r="C47" i="17"/>
  <c r="G88" i="16"/>
  <c r="F88" i="16"/>
  <c r="E88" i="16"/>
  <c r="D88" i="16"/>
  <c r="C88" i="16"/>
  <c r="G87" i="16"/>
  <c r="F87" i="16"/>
  <c r="E87" i="16"/>
  <c r="D87" i="16"/>
  <c r="C87" i="16"/>
  <c r="C23" i="17"/>
  <c r="D23" i="17"/>
  <c r="E23" i="17"/>
  <c r="F23" i="17"/>
  <c r="G23" i="17"/>
  <c r="G30" i="17"/>
  <c r="F30" i="17"/>
  <c r="E30" i="17"/>
  <c r="D30" i="17"/>
  <c r="C30" i="17"/>
  <c r="G29" i="17"/>
  <c r="F29" i="17"/>
  <c r="E29" i="17"/>
  <c r="D29" i="17"/>
  <c r="C29" i="17"/>
  <c r="G28" i="17"/>
  <c r="F28" i="17"/>
  <c r="E28" i="17"/>
  <c r="D28" i="17"/>
  <c r="C28" i="17"/>
  <c r="G27" i="17"/>
  <c r="F27" i="17"/>
  <c r="E27" i="17"/>
  <c r="D27" i="17"/>
  <c r="C27" i="17"/>
  <c r="G7" i="16"/>
  <c r="F7" i="16"/>
  <c r="E7" i="16"/>
  <c r="D7" i="16"/>
  <c r="C7" i="16"/>
  <c r="C20" i="17"/>
  <c r="D20" i="17"/>
  <c r="E20" i="17"/>
  <c r="F20" i="17"/>
  <c r="G20" i="17"/>
  <c r="C21" i="17"/>
  <c r="D21" i="17"/>
  <c r="E21" i="17"/>
  <c r="F21" i="17"/>
  <c r="G21" i="17"/>
  <c r="C22" i="17"/>
  <c r="D22" i="17"/>
  <c r="E22" i="17"/>
  <c r="F22" i="17"/>
  <c r="G22" i="17"/>
  <c r="G14" i="17"/>
  <c r="F14" i="17"/>
  <c r="E14" i="17"/>
  <c r="D14" i="17"/>
  <c r="C14" i="17"/>
  <c r="C10" i="17"/>
  <c r="D10" i="17"/>
  <c r="E10" i="17"/>
  <c r="F10" i="17"/>
  <c r="G10" i="17"/>
  <c r="C9" i="17"/>
  <c r="D9" i="17"/>
  <c r="E9" i="17"/>
  <c r="F9" i="17"/>
  <c r="G9" i="17"/>
  <c r="C8" i="17"/>
  <c r="D8" i="17"/>
  <c r="E8" i="17"/>
  <c r="F8" i="17"/>
  <c r="G8" i="17"/>
  <c r="C7" i="17"/>
  <c r="D7" i="17"/>
  <c r="E7" i="17"/>
  <c r="F7" i="17"/>
  <c r="G7" i="17"/>
  <c r="G200" i="16"/>
  <c r="F200" i="16"/>
  <c r="E200" i="16"/>
  <c r="D200" i="16"/>
  <c r="C200" i="16"/>
  <c r="G199" i="16"/>
  <c r="F199" i="16"/>
  <c r="E199" i="16"/>
  <c r="D199" i="16"/>
  <c r="C199" i="16"/>
  <c r="G198" i="16"/>
  <c r="F198" i="16"/>
  <c r="E198" i="16"/>
  <c r="D198" i="16"/>
  <c r="C198" i="16"/>
  <c r="G197" i="16"/>
  <c r="F197" i="16"/>
  <c r="E197" i="16"/>
  <c r="D197" i="16"/>
  <c r="C197" i="16"/>
  <c r="G196" i="16"/>
  <c r="F196" i="16"/>
  <c r="E196" i="16"/>
  <c r="D196" i="16"/>
  <c r="C196" i="16"/>
  <c r="G195" i="16"/>
  <c r="F195" i="16"/>
  <c r="E195" i="16"/>
  <c r="D195" i="16"/>
  <c r="C195" i="16"/>
  <c r="G194" i="16"/>
  <c r="F194" i="16"/>
  <c r="E194" i="16"/>
  <c r="D194" i="16"/>
  <c r="C194" i="16"/>
  <c r="G193" i="16"/>
  <c r="F193" i="16"/>
  <c r="E193" i="16"/>
  <c r="D193" i="16"/>
  <c r="C193" i="16"/>
  <c r="G192" i="16"/>
  <c r="F192" i="16"/>
  <c r="E192" i="16"/>
  <c r="D192" i="16"/>
  <c r="C192" i="16"/>
  <c r="G191" i="16"/>
  <c r="F191" i="16"/>
  <c r="E191" i="16"/>
  <c r="D191" i="16"/>
  <c r="C191" i="16"/>
  <c r="G190" i="16"/>
  <c r="F190" i="16"/>
  <c r="E190" i="16"/>
  <c r="D190" i="16"/>
  <c r="C190" i="16"/>
  <c r="G189" i="16"/>
  <c r="F189" i="16"/>
  <c r="E189" i="16"/>
  <c r="D189" i="16"/>
  <c r="C189" i="16"/>
  <c r="G188" i="16"/>
  <c r="F188" i="16"/>
  <c r="E188" i="16"/>
  <c r="D188" i="16"/>
  <c r="C188" i="16"/>
  <c r="G187" i="16"/>
  <c r="F187" i="16"/>
  <c r="E187" i="16"/>
  <c r="D187" i="16"/>
  <c r="C187" i="16"/>
  <c r="G186" i="16"/>
  <c r="F186" i="16"/>
  <c r="E186" i="16"/>
  <c r="D186" i="16"/>
  <c r="C186" i="16"/>
  <c r="G185" i="16"/>
  <c r="F185" i="16"/>
  <c r="E185" i="16"/>
  <c r="D185" i="16"/>
  <c r="C185" i="16"/>
  <c r="G184" i="16"/>
  <c r="F184" i="16"/>
  <c r="E184" i="16"/>
  <c r="D184" i="16"/>
  <c r="C184" i="16"/>
  <c r="G183" i="16"/>
  <c r="F183" i="16"/>
  <c r="E183" i="16"/>
  <c r="D183" i="16"/>
  <c r="C183" i="16"/>
  <c r="G182" i="16"/>
  <c r="F182" i="16"/>
  <c r="E182" i="16"/>
  <c r="D182" i="16"/>
  <c r="C182" i="16"/>
  <c r="G181" i="16"/>
  <c r="F181" i="16"/>
  <c r="E181" i="16"/>
  <c r="D181" i="16"/>
  <c r="C181" i="16"/>
  <c r="G180" i="16"/>
  <c r="F180" i="16"/>
  <c r="E180" i="16"/>
  <c r="D180" i="16"/>
  <c r="C180" i="16"/>
  <c r="G179" i="16"/>
  <c r="F179" i="16"/>
  <c r="E179" i="16"/>
  <c r="D179" i="16"/>
  <c r="C179" i="16"/>
  <c r="G178" i="16"/>
  <c r="F178" i="16"/>
  <c r="E178" i="16"/>
  <c r="D178" i="16"/>
  <c r="C178" i="16"/>
  <c r="G177" i="16"/>
  <c r="F177" i="16"/>
  <c r="E177" i="16"/>
  <c r="D177" i="16"/>
  <c r="C177" i="16"/>
  <c r="G176" i="16"/>
  <c r="F176" i="16"/>
  <c r="E176" i="16"/>
  <c r="D176" i="16"/>
  <c r="C176" i="16"/>
  <c r="G162" i="16"/>
  <c r="F162" i="16"/>
  <c r="E162" i="16"/>
  <c r="D162" i="16"/>
  <c r="C162" i="16"/>
  <c r="G161" i="16"/>
  <c r="F161" i="16"/>
  <c r="E161" i="16"/>
  <c r="D161" i="16"/>
  <c r="C161" i="16"/>
  <c r="G160" i="16"/>
  <c r="F160" i="16"/>
  <c r="E160" i="16"/>
  <c r="D160" i="16"/>
  <c r="C160" i="16"/>
  <c r="G159" i="16"/>
  <c r="F159" i="16"/>
  <c r="E159" i="16"/>
  <c r="D159" i="16"/>
  <c r="C159" i="16"/>
  <c r="G158" i="16"/>
  <c r="F158" i="16"/>
  <c r="E158" i="16"/>
  <c r="D158" i="16"/>
  <c r="C158" i="16"/>
  <c r="G157" i="16"/>
  <c r="F157" i="16"/>
  <c r="E157" i="16"/>
  <c r="D157" i="16"/>
  <c r="C157" i="16"/>
  <c r="G156" i="16"/>
  <c r="F156" i="16"/>
  <c r="E156" i="16"/>
  <c r="D156" i="16"/>
  <c r="C156" i="16"/>
  <c r="G155" i="16"/>
  <c r="F155" i="16"/>
  <c r="E155" i="16"/>
  <c r="D155" i="16"/>
  <c r="C155" i="16"/>
  <c r="G154" i="16"/>
  <c r="F154" i="16"/>
  <c r="E154" i="16"/>
  <c r="D154" i="16"/>
  <c r="C154" i="16"/>
  <c r="G153" i="16"/>
  <c r="F153" i="16"/>
  <c r="E153" i="16"/>
  <c r="D153" i="16"/>
  <c r="C153" i="16"/>
  <c r="G152" i="16"/>
  <c r="F152" i="16"/>
  <c r="E152" i="16"/>
  <c r="D152" i="16"/>
  <c r="C152" i="16"/>
  <c r="G151" i="16"/>
  <c r="F151" i="16"/>
  <c r="E151" i="16"/>
  <c r="D151" i="16"/>
  <c r="C151" i="16"/>
  <c r="G145" i="16"/>
  <c r="F145" i="16"/>
  <c r="E145" i="16"/>
  <c r="D145" i="16"/>
  <c r="C145" i="16"/>
  <c r="G144" i="16"/>
  <c r="F144" i="16"/>
  <c r="E144" i="16"/>
  <c r="D144" i="16"/>
  <c r="C144" i="16"/>
  <c r="G143" i="16"/>
  <c r="F143" i="16"/>
  <c r="E143" i="16"/>
  <c r="D143" i="16"/>
  <c r="C143" i="16"/>
  <c r="G142" i="16"/>
  <c r="F142" i="16"/>
  <c r="E142" i="16"/>
  <c r="D142" i="16"/>
  <c r="C142" i="16"/>
  <c r="G137" i="16"/>
  <c r="F137" i="16"/>
  <c r="E137" i="16"/>
  <c r="D137" i="16"/>
  <c r="C137" i="16"/>
  <c r="G136" i="16"/>
  <c r="F136" i="16"/>
  <c r="E136" i="16"/>
  <c r="D136" i="16"/>
  <c r="C136" i="16"/>
  <c r="G135" i="16"/>
  <c r="F135" i="16"/>
  <c r="E135" i="16"/>
  <c r="D135" i="16"/>
  <c r="C135" i="16"/>
  <c r="G134" i="16"/>
  <c r="F134" i="16"/>
  <c r="E134" i="16"/>
  <c r="D134" i="16"/>
  <c r="C134" i="16"/>
  <c r="G133" i="16"/>
  <c r="F133" i="16"/>
  <c r="E133" i="16"/>
  <c r="D133" i="16"/>
  <c r="C133" i="16"/>
  <c r="G132" i="16"/>
  <c r="F132" i="16"/>
  <c r="E132" i="16"/>
  <c r="D132" i="16"/>
  <c r="C132" i="16"/>
  <c r="G131" i="16"/>
  <c r="F131" i="16"/>
  <c r="E131" i="16"/>
  <c r="D131" i="16"/>
  <c r="C131" i="16"/>
  <c r="G130" i="16"/>
  <c r="F130" i="16"/>
  <c r="E130" i="16"/>
  <c r="D130" i="16"/>
  <c r="C130" i="16"/>
  <c r="G129" i="16"/>
  <c r="F129" i="16"/>
  <c r="E129" i="16"/>
  <c r="D129" i="16"/>
  <c r="C129" i="16"/>
  <c r="G128" i="16"/>
  <c r="F128" i="16"/>
  <c r="E128" i="16"/>
  <c r="D128" i="16"/>
  <c r="C128" i="16"/>
  <c r="G127" i="16"/>
  <c r="F127" i="16"/>
  <c r="E127" i="16"/>
  <c r="D127" i="16"/>
  <c r="C127" i="16"/>
  <c r="G126" i="16"/>
  <c r="F126" i="16"/>
  <c r="E126" i="16"/>
  <c r="D126" i="16"/>
  <c r="C126" i="16"/>
  <c r="G125" i="16"/>
  <c r="F125" i="16"/>
  <c r="E125" i="16"/>
  <c r="D125" i="16"/>
  <c r="C125" i="16"/>
  <c r="G124" i="16"/>
  <c r="F124" i="16"/>
  <c r="E124" i="16"/>
  <c r="D124" i="16"/>
  <c r="C124" i="16"/>
  <c r="G123" i="16"/>
  <c r="F123" i="16"/>
  <c r="E123" i="16"/>
  <c r="D123" i="16"/>
  <c r="C123" i="16"/>
  <c r="G122" i="16"/>
  <c r="F122" i="16"/>
  <c r="E122" i="16"/>
  <c r="D122" i="16"/>
  <c r="C122" i="16"/>
  <c r="G121" i="16"/>
  <c r="F121" i="16"/>
  <c r="E121" i="16"/>
  <c r="D121" i="16"/>
  <c r="C121" i="16"/>
  <c r="G120" i="16"/>
  <c r="F120" i="16"/>
  <c r="E120" i="16"/>
  <c r="D120" i="16"/>
  <c r="C120" i="16"/>
  <c r="G119" i="16"/>
  <c r="F119" i="16"/>
  <c r="E119" i="16"/>
  <c r="D119" i="16"/>
  <c r="C119" i="16"/>
  <c r="G118" i="16"/>
  <c r="F118" i="16"/>
  <c r="E118" i="16"/>
  <c r="D118" i="16"/>
  <c r="C118" i="16"/>
  <c r="G86" i="16"/>
  <c r="F86" i="16"/>
  <c r="E86" i="16"/>
  <c r="D86" i="16"/>
  <c r="C86" i="16"/>
  <c r="G85" i="16"/>
  <c r="F85" i="16"/>
  <c r="E85" i="16"/>
  <c r="D85" i="16"/>
  <c r="C85" i="16"/>
  <c r="G84" i="16"/>
  <c r="F84" i="16"/>
  <c r="E84" i="16"/>
  <c r="D84" i="16"/>
  <c r="C84" i="16"/>
  <c r="G83" i="16"/>
  <c r="F83" i="16"/>
  <c r="E83" i="16"/>
  <c r="D83" i="16"/>
  <c r="C83" i="16"/>
  <c r="G82" i="16"/>
  <c r="F82" i="16"/>
  <c r="E82" i="16"/>
  <c r="D82" i="16"/>
  <c r="C82" i="16"/>
  <c r="G81" i="16"/>
  <c r="F81" i="16"/>
  <c r="E81" i="16"/>
  <c r="D81" i="16"/>
  <c r="C81" i="16"/>
  <c r="G74" i="16"/>
  <c r="F74" i="16"/>
  <c r="E74" i="16"/>
  <c r="D74" i="16"/>
  <c r="C74" i="16"/>
  <c r="G73" i="16"/>
  <c r="F73" i="16"/>
  <c r="E73" i="16"/>
  <c r="D73" i="16"/>
  <c r="C73" i="16"/>
  <c r="G72" i="16"/>
  <c r="F72" i="16"/>
  <c r="E72" i="16"/>
  <c r="D72" i="16"/>
  <c r="C72" i="16"/>
  <c r="G71" i="16"/>
  <c r="F71" i="16"/>
  <c r="E71" i="16"/>
  <c r="D71" i="16"/>
  <c r="C71" i="16"/>
  <c r="G70" i="16"/>
  <c r="F70" i="16"/>
  <c r="E70" i="16"/>
  <c r="D70" i="16"/>
  <c r="C70" i="16"/>
  <c r="G69" i="16"/>
  <c r="F69" i="16"/>
  <c r="E69" i="16"/>
  <c r="D69" i="16"/>
  <c r="C69" i="16"/>
  <c r="G68" i="16"/>
  <c r="F68" i="16"/>
  <c r="E68" i="16"/>
  <c r="D68" i="16"/>
  <c r="C68" i="16"/>
  <c r="G67" i="16"/>
  <c r="F67" i="16"/>
  <c r="E67" i="16"/>
  <c r="D67" i="16"/>
  <c r="C67" i="16"/>
  <c r="G66" i="16"/>
  <c r="F66" i="16"/>
  <c r="E66" i="16"/>
  <c r="D66" i="16"/>
  <c r="C66" i="16"/>
  <c r="G63" i="16"/>
  <c r="F63" i="16"/>
  <c r="E63" i="16"/>
  <c r="D63" i="16"/>
  <c r="C63" i="16"/>
  <c r="G62" i="16"/>
  <c r="F62" i="16"/>
  <c r="E62" i="16"/>
  <c r="D62" i="16"/>
  <c r="C62" i="16"/>
  <c r="G61" i="16"/>
  <c r="F61" i="16"/>
  <c r="E61" i="16"/>
  <c r="D61" i="16"/>
  <c r="C61" i="16"/>
  <c r="G60" i="16"/>
  <c r="F60" i="16"/>
  <c r="E60" i="16"/>
  <c r="D60" i="16"/>
  <c r="C60" i="16"/>
  <c r="G59" i="16"/>
  <c r="F59" i="16"/>
  <c r="E59" i="16"/>
  <c r="D59" i="16"/>
  <c r="C59" i="16"/>
  <c r="G58" i="16"/>
  <c r="F58" i="16"/>
  <c r="E58" i="16"/>
  <c r="D58" i="16"/>
  <c r="C58" i="16"/>
  <c r="G57" i="16"/>
  <c r="F57" i="16"/>
  <c r="E57" i="16"/>
  <c r="D57" i="16"/>
  <c r="C57" i="16"/>
  <c r="G56" i="16"/>
  <c r="F56" i="16"/>
  <c r="E56" i="16"/>
  <c r="D56" i="16"/>
  <c r="C56" i="16"/>
  <c r="G55" i="16"/>
  <c r="F55" i="16"/>
  <c r="E55" i="16"/>
  <c r="D55" i="16"/>
  <c r="C55" i="16"/>
  <c r="G54" i="16"/>
  <c r="F54" i="16"/>
  <c r="E54" i="16"/>
  <c r="D54" i="16"/>
  <c r="C54" i="16"/>
  <c r="G53" i="16"/>
  <c r="F53" i="16"/>
  <c r="E53" i="16"/>
  <c r="D53" i="16"/>
  <c r="C53" i="16"/>
  <c r="G52" i="16"/>
  <c r="F52" i="16"/>
  <c r="E52" i="16"/>
  <c r="D52" i="16"/>
  <c r="C52" i="16"/>
  <c r="G51" i="16"/>
  <c r="F51" i="16"/>
  <c r="E51" i="16"/>
  <c r="D51" i="16"/>
  <c r="C51" i="16"/>
  <c r="G50" i="16"/>
  <c r="F50" i="16"/>
  <c r="E50" i="16"/>
  <c r="D50" i="16"/>
  <c r="C50" i="16"/>
  <c r="G49" i="16"/>
  <c r="F49" i="16"/>
  <c r="E49" i="16"/>
  <c r="D49" i="16"/>
  <c r="C49" i="16"/>
  <c r="G48" i="16"/>
  <c r="F48" i="16"/>
  <c r="E48" i="16"/>
  <c r="D48" i="16"/>
  <c r="C48" i="16"/>
  <c r="G47" i="16"/>
  <c r="F47" i="16"/>
  <c r="E47" i="16"/>
  <c r="D47" i="16"/>
  <c r="C47" i="16"/>
  <c r="G46" i="16"/>
  <c r="F46" i="16"/>
  <c r="E46" i="16"/>
  <c r="D46" i="16"/>
  <c r="C46" i="16"/>
  <c r="G45" i="16"/>
  <c r="F45" i="16"/>
  <c r="E45" i="16"/>
  <c r="D45" i="16"/>
  <c r="C45" i="16"/>
  <c r="G44" i="16"/>
  <c r="F44" i="16"/>
  <c r="E44" i="16"/>
  <c r="D44" i="16"/>
  <c r="C44" i="16"/>
  <c r="G43" i="16"/>
  <c r="F43" i="16"/>
  <c r="E43" i="16"/>
  <c r="D43" i="16"/>
  <c r="C43" i="16"/>
  <c r="G37" i="16"/>
  <c r="F37" i="16"/>
  <c r="E37" i="16"/>
  <c r="D37" i="16"/>
  <c r="C37" i="16"/>
  <c r="G36" i="16"/>
  <c r="F36" i="16"/>
  <c r="E36" i="16"/>
  <c r="D36" i="16"/>
  <c r="C36" i="16"/>
  <c r="G35" i="16"/>
  <c r="F35" i="16"/>
  <c r="E35" i="16"/>
  <c r="D35" i="16"/>
  <c r="C35" i="16"/>
  <c r="G34" i="16"/>
  <c r="F34" i="16"/>
  <c r="E34" i="16"/>
  <c r="D34" i="16"/>
  <c r="C34" i="16"/>
  <c r="G33" i="16"/>
  <c r="F33" i="16"/>
  <c r="E33" i="16"/>
  <c r="D33" i="16"/>
  <c r="C33" i="16"/>
  <c r="G32" i="16"/>
  <c r="F32" i="16"/>
  <c r="E32" i="16"/>
  <c r="D32" i="16"/>
  <c r="C32" i="16"/>
  <c r="G31" i="16"/>
  <c r="F31" i="16"/>
  <c r="E31" i="16"/>
  <c r="D31" i="16"/>
  <c r="C31" i="16"/>
  <c r="G30" i="16"/>
  <c r="F30" i="16"/>
  <c r="E30" i="16"/>
  <c r="D30" i="16"/>
  <c r="C30" i="16"/>
  <c r="G29" i="16"/>
  <c r="F29" i="16"/>
  <c r="E29" i="16"/>
  <c r="D29" i="16"/>
  <c r="C29" i="16"/>
  <c r="G28" i="16"/>
  <c r="F28" i="16"/>
  <c r="E28" i="16"/>
  <c r="D28" i="16"/>
  <c r="C28" i="16"/>
  <c r="G27" i="16"/>
  <c r="F27" i="16"/>
  <c r="E27" i="16"/>
  <c r="D27" i="16"/>
  <c r="C27" i="16"/>
  <c r="G26" i="16"/>
  <c r="F26" i="16"/>
  <c r="E26" i="16"/>
  <c r="D26" i="16"/>
  <c r="C26" i="16"/>
  <c r="G25" i="16"/>
  <c r="F25" i="16"/>
  <c r="E25" i="16"/>
  <c r="D25" i="16"/>
  <c r="C25" i="16"/>
  <c r="G24" i="16"/>
  <c r="F24" i="16"/>
  <c r="E24" i="16"/>
  <c r="D24" i="16"/>
  <c r="C24" i="16"/>
  <c r="G23" i="16"/>
  <c r="F23" i="16"/>
  <c r="E23" i="16"/>
  <c r="D23" i="16"/>
  <c r="C23" i="16"/>
  <c r="G22" i="16"/>
  <c r="F22" i="16"/>
  <c r="E22" i="16"/>
  <c r="D22" i="16"/>
  <c r="C22" i="16"/>
  <c r="G21" i="16"/>
  <c r="F21" i="16"/>
  <c r="E21" i="16"/>
  <c r="D21" i="16"/>
  <c r="C21" i="16"/>
  <c r="G20" i="16"/>
  <c r="F20" i="16"/>
  <c r="E20" i="16"/>
  <c r="D20" i="16"/>
  <c r="C20" i="16"/>
  <c r="G19" i="16"/>
  <c r="F19" i="16"/>
  <c r="E19" i="16"/>
  <c r="D19" i="16"/>
  <c r="C19" i="16"/>
  <c r="G18" i="16"/>
  <c r="F18" i="16"/>
  <c r="E18" i="16"/>
  <c r="D18" i="16"/>
  <c r="C18" i="16"/>
  <c r="G17" i="16"/>
  <c r="F17" i="16"/>
  <c r="E17" i="16"/>
  <c r="D17" i="16"/>
  <c r="C17" i="16"/>
  <c r="G6" i="16"/>
  <c r="F6" i="16"/>
  <c r="E6" i="16"/>
  <c r="D6" i="16"/>
  <c r="C6" i="16"/>
  <c r="G5" i="16"/>
  <c r="F5" i="16"/>
  <c r="E5" i="16"/>
  <c r="D5" i="16"/>
  <c r="C5" i="16"/>
  <c r="G6" i="17"/>
  <c r="F6" i="17"/>
  <c r="E6" i="17"/>
  <c r="D6" i="17"/>
  <c r="C6" i="17"/>
  <c r="G45" i="17"/>
  <c r="F45" i="17"/>
  <c r="E45" i="17"/>
  <c r="D45" i="17"/>
  <c r="C45" i="17"/>
  <c r="G40" i="17"/>
  <c r="F40" i="17"/>
  <c r="E40" i="17"/>
  <c r="D40" i="17"/>
  <c r="C40" i="17"/>
  <c r="G39" i="17"/>
  <c r="F39" i="17"/>
  <c r="E39" i="17"/>
  <c r="D39" i="17"/>
  <c r="C39" i="17"/>
  <c r="G26" i="17"/>
  <c r="F26" i="17"/>
  <c r="E26" i="17"/>
  <c r="D26" i="17"/>
  <c r="C26" i="17"/>
  <c r="G24" i="17"/>
  <c r="F24" i="17"/>
  <c r="E24" i="17"/>
  <c r="D24" i="17"/>
  <c r="C24" i="17"/>
  <c r="G19" i="17"/>
  <c r="F19" i="17"/>
  <c r="E19" i="17"/>
  <c r="D19" i="17"/>
  <c r="C19" i="17"/>
  <c r="G18" i="17"/>
  <c r="F18" i="17"/>
  <c r="E18" i="17"/>
  <c r="D18" i="17"/>
  <c r="C18" i="17"/>
  <c r="G17" i="17"/>
  <c r="F17" i="17"/>
  <c r="E17" i="17"/>
  <c r="D17" i="17"/>
  <c r="C17" i="17"/>
  <c r="G13" i="17"/>
  <c r="F13" i="17"/>
  <c r="E13" i="17"/>
  <c r="D13" i="17"/>
  <c r="C13" i="17"/>
  <c r="G12" i="17"/>
  <c r="F12" i="17"/>
  <c r="E12" i="17"/>
  <c r="D12" i="17"/>
  <c r="C12" i="17"/>
  <c r="G11" i="17"/>
  <c r="F11" i="17"/>
  <c r="E11" i="17"/>
  <c r="D11" i="17"/>
  <c r="C11" i="17"/>
  <c r="C64" i="16"/>
  <c r="D64" i="16"/>
  <c r="F64" i="16"/>
  <c r="E64" i="16"/>
  <c r="G64" i="16"/>
  <c r="C65" i="16"/>
  <c r="D65" i="16"/>
  <c r="F65" i="16"/>
  <c r="E65" i="16"/>
  <c r="G65" i="16"/>
  <c r="G46" i="17"/>
  <c r="F46" i="17"/>
  <c r="D46" i="17"/>
  <c r="E46" i="17"/>
  <c r="C46" i="17"/>
  <c r="G38" i="17"/>
  <c r="F38" i="17"/>
  <c r="D38" i="17"/>
  <c r="E38" i="17"/>
  <c r="C38" i="17"/>
</calcChain>
</file>

<file path=xl/sharedStrings.xml><?xml version="1.0" encoding="utf-8"?>
<sst xmlns="http://schemas.openxmlformats.org/spreadsheetml/2006/main" count="21438" uniqueCount="762">
  <si>
    <t>BÁO CÁO CÁC CÔNG VIỆC CHUNG PHÒNG BIM</t>
  </si>
  <si>
    <t>STT</t>
  </si>
  <si>
    <t>Công việc chính</t>
  </si>
  <si>
    <t>Tổng số đầu việc</t>
  </si>
  <si>
    <t>Số đầu việc đang thực hiện</t>
  </si>
  <si>
    <t>Số đầu việc hoàn thành</t>
  </si>
  <si>
    <t>Số đầu việc tạm dừng</t>
  </si>
  <si>
    <t>Số đầu việc quá hạn</t>
  </si>
  <si>
    <t>Xây dựng HTTC BIM</t>
  </si>
  <si>
    <t>Đào tạo BIM</t>
  </si>
  <si>
    <t>Quản lý BIM</t>
  </si>
  <si>
    <t>Thanh tra BIM</t>
  </si>
  <si>
    <t>Phát triển BIM Tools</t>
  </si>
  <si>
    <t>Quản lý phần mềm</t>
  </si>
  <si>
    <t>BÁO CÁO CÁC CÔNG VIỆC PHÒNG BIM (XD-MEP/HT)</t>
  </si>
  <si>
    <t>BÁO CÁO CÁC CÔNG VIỆC TỪNG NHÂN SỰ</t>
  </si>
  <si>
    <t>Nhân sự</t>
  </si>
  <si>
    <t>BÁO CÁO ĐỊNH MỨC CÁC CÔNG VIỆC TỪNG NHÂN SỰ</t>
  </si>
  <si>
    <t>Khởi tạo mô hình BIM</t>
  </si>
  <si>
    <t>Tạo lập mô hình BIM TKCS nộp CQNN</t>
  </si>
  <si>
    <t>Tạo lập mô hình BIM TKKT/FEED nộp CQNN</t>
  </si>
  <si>
    <t>Tạo lập mô hình BIM TKBVTC</t>
  </si>
  <si>
    <t>Tạo lập thư viện</t>
  </si>
  <si>
    <t>KSCL mô hình BIM</t>
  </si>
  <si>
    <t>Tổng hợp số liệu QH</t>
  </si>
  <si>
    <t>Tổng hợp số liệu TT</t>
  </si>
  <si>
    <t>Triển khai HS TKCS</t>
  </si>
  <si>
    <t>Cập nhật thông tin mô hình BIM</t>
  </si>
  <si>
    <t>Xuất khối lượng từ mô hình BIM</t>
  </si>
  <si>
    <t>Hà Minh Luân</t>
  </si>
  <si>
    <t>Mai Hồng Hạnh</t>
  </si>
  <si>
    <t>Lý Huy Thành</t>
  </si>
  <si>
    <t>Nguyễn Hải Nam</t>
  </si>
  <si>
    <t>Đỗ Minh Ngọc</t>
  </si>
  <si>
    <t>Trần Văn Diện</t>
  </si>
  <si>
    <t>Đặng Minh Quang</t>
  </si>
  <si>
    <t>Trần Văn Toản</t>
  </si>
  <si>
    <t xml:space="preserve">DATA CÔNG VIỆC </t>
  </si>
  <si>
    <t>Công việc khác</t>
  </si>
  <si>
    <t>Other</t>
  </si>
  <si>
    <t>Level 2</t>
  </si>
  <si>
    <t>Level 3</t>
  </si>
  <si>
    <t>Level 5</t>
  </si>
  <si>
    <t>Quy mô công trình</t>
  </si>
  <si>
    <t>Bộ môn</t>
  </si>
  <si>
    <t>Giai đoạn</t>
  </si>
  <si>
    <t>Mức độ ưu tiên</t>
  </si>
  <si>
    <t>Quy định</t>
  </si>
  <si>
    <t>Quy định triển khai BIM</t>
  </si>
  <si>
    <t>Rà soát</t>
  </si>
  <si>
    <t>HTTC BIM</t>
  </si>
  <si>
    <t>Khảo sát nhu cầu</t>
  </si>
  <si>
    <t>All</t>
  </si>
  <si>
    <t>N/A</t>
  </si>
  <si>
    <t>Set up hệ thống DR3</t>
  </si>
  <si>
    <t>Đánh giá KSCL mô hình</t>
  </si>
  <si>
    <t>Revit</t>
  </si>
  <si>
    <t>Ván khuôn</t>
  </si>
  <si>
    <t>Ghi nhận yêu cầu và tìm hiểu nghiệp vụ</t>
  </si>
  <si>
    <t>Khảo sát nhu cầu và cân đối số lượng</t>
  </si>
  <si>
    <t>Setup hệ thống quản lý công việc</t>
  </si>
  <si>
    <t>BIM</t>
  </si>
  <si>
    <t>Concept</t>
  </si>
  <si>
    <t>Cao</t>
  </si>
  <si>
    <t>Các phụ lục</t>
  </si>
  <si>
    <t>Phụ lục 1_Tiến trình phối hợp mô hình BIM giữa các bộ phận</t>
  </si>
  <si>
    <t>Biên soạn mới</t>
  </si>
  <si>
    <t>CDE</t>
  </si>
  <si>
    <t>Quản lý HSTK</t>
  </si>
  <si>
    <t>Lập kế hoạch và chương trình</t>
  </si>
  <si>
    <t>B.DSHNQN.DMF</t>
  </si>
  <si>
    <t>Bãi đỗ tàu qua đêm Cổ Loa</t>
  </si>
  <si>
    <t>Điền tổng Diện tích sàn</t>
  </si>
  <si>
    <t>KSCL DR3</t>
  </si>
  <si>
    <t>Lấy ý kiến xác nhận lỗi</t>
  </si>
  <si>
    <t>Công cụ định vị</t>
  </si>
  <si>
    <t>Lên và Trình PD phương án</t>
  </si>
  <si>
    <t>Lập ngân sách trang bị PM</t>
  </si>
  <si>
    <t xml:space="preserve">Họp nội bộ </t>
  </si>
  <si>
    <t>BIM XD</t>
  </si>
  <si>
    <t>TKCS</t>
  </si>
  <si>
    <t>Trung bình</t>
  </si>
  <si>
    <t>Phụ lục 2_Cấu trúc và phân quyền thư mục các dự án trên Server VTK</t>
  </si>
  <si>
    <t>Quản lý HSTC</t>
  </si>
  <si>
    <t>Triển khai đào tạo</t>
  </si>
  <si>
    <t>Depot Hạ Long Xanh</t>
  </si>
  <si>
    <t>Set up hệ thống CDE</t>
  </si>
  <si>
    <t>Lập BB XLVP</t>
  </si>
  <si>
    <t>ViewSheets(Tạo Sheets)</t>
  </si>
  <si>
    <t>Thực hiện Code</t>
  </si>
  <si>
    <t>Trình PD chủ trương trang bị PM</t>
  </si>
  <si>
    <t>Họp với BP khác</t>
  </si>
  <si>
    <t>BIM MEPF</t>
  </si>
  <si>
    <t>FEED</t>
  </si>
  <si>
    <t>Thấp</t>
  </si>
  <si>
    <t>Phụ lục 3_Cấu trúc và phân quyền thư mục CDE</t>
  </si>
  <si>
    <t>Mô đun 3</t>
  </si>
  <si>
    <t>Tổ chức thi và đánh giá</t>
  </si>
  <si>
    <t>B.DSHNQN.STA</t>
  </si>
  <si>
    <t>Nhà ga Cổ Loa</t>
  </si>
  <si>
    <t>KSCL CDE</t>
  </si>
  <si>
    <t>Đào/Đặp</t>
  </si>
  <si>
    <t>Chạy thử và Đánh giá</t>
  </si>
  <si>
    <t>Thẩm định giá và bổ nhiệm NCC</t>
  </si>
  <si>
    <t>BIM HT</t>
  </si>
  <si>
    <t>TKKT</t>
  </si>
  <si>
    <t>Phụ lục 4_Các quy trình phê duyệt hồ sơ trên CDE</t>
  </si>
  <si>
    <t>Công cụ tạo lập mô hình</t>
  </si>
  <si>
    <t>Revit cơ bản</t>
  </si>
  <si>
    <t>Báo cáo đào tạo</t>
  </si>
  <si>
    <t>Nhà ga Gia Bình</t>
  </si>
  <si>
    <t>Điều phối CDE</t>
  </si>
  <si>
    <t>Selection Tools</t>
  </si>
  <si>
    <t>Fix lỗi</t>
  </si>
  <si>
    <t>Lập PR-PO</t>
  </si>
  <si>
    <t>BIM IT</t>
  </si>
  <si>
    <t>TKBVTC</t>
  </si>
  <si>
    <t>Phụ lục 5_Quy ước đặt tên tệp tin và đánh mã bản vẽ</t>
  </si>
  <si>
    <t>Revit nâng cao</t>
  </si>
  <si>
    <t>Nhà ga Hạ Long Xanh</t>
  </si>
  <si>
    <t>Select By Parameter</t>
  </si>
  <si>
    <t>Hướng dẫn sử dụng</t>
  </si>
  <si>
    <t>Ký kết HĐ</t>
  </si>
  <si>
    <t>KT</t>
  </si>
  <si>
    <t>Thi công</t>
  </si>
  <si>
    <t>Phụ lục 6_Quy trình kiểm khớp và ma trận va chạm mẫu</t>
  </si>
  <si>
    <t>Civil3D và InfraWorks</t>
  </si>
  <si>
    <t>Nhà ga Ninh Xá</t>
  </si>
  <si>
    <t>Tạo lập mô hình BIM</t>
  </si>
  <si>
    <t>Highlight Model</t>
  </si>
  <si>
    <t>Xuất bản</t>
  </si>
  <si>
    <t>BB nghiệm thu</t>
  </si>
  <si>
    <t>KC</t>
  </si>
  <si>
    <t>Hoàn công</t>
  </si>
  <si>
    <t>Phụ lục 7_Quy định màu sắc các đối tượng trong mô hình BIM</t>
  </si>
  <si>
    <t>Công cụ phối hợp mô hình</t>
  </si>
  <si>
    <t>Navisworks</t>
  </si>
  <si>
    <t>Nhà ga Yên Tử</t>
  </si>
  <si>
    <t>Tag Plantings</t>
  </si>
  <si>
    <t>Thanh toán cho NCC</t>
  </si>
  <si>
    <t>DI</t>
  </si>
  <si>
    <t>Vận hành</t>
  </si>
  <si>
    <t>Phụ lục 8_Các khung nhìn mẫu View Template</t>
  </si>
  <si>
    <t>BIM Tools</t>
  </si>
  <si>
    <t>B.HNO.GL.VSC</t>
  </si>
  <si>
    <t>Trường PTLC hệ Cambride Lô B5-TH01</t>
  </si>
  <si>
    <t>Central File</t>
  </si>
  <si>
    <t>Phân phối License</t>
  </si>
  <si>
    <t>DN</t>
  </si>
  <si>
    <t>Phụ lục 9_Quy ước đánh mã Tỉnh Thành phố</t>
  </si>
  <si>
    <t>B.HNO.GL.VUNI</t>
  </si>
  <si>
    <t>Trường Vinuni  - Tòa M</t>
  </si>
  <si>
    <t>Điều phối BIM</t>
  </si>
  <si>
    <t>Auto Place</t>
  </si>
  <si>
    <t>NU</t>
  </si>
  <si>
    <t>Vũ Thị Thêu</t>
  </si>
  <si>
    <t>Phụ lục 10_Tiêu chuẩn LOD cho Kiến trúc</t>
  </si>
  <si>
    <t>Trường Vinuni  - Tòa P</t>
  </si>
  <si>
    <t>Auto Joins</t>
  </si>
  <si>
    <t>PC</t>
  </si>
  <si>
    <t>Ngô Tuấn Vũ</t>
  </si>
  <si>
    <t>Phụ lục 11_Tiêu chuẩn LOD cho Kết cấu</t>
  </si>
  <si>
    <t>Trường Vinuni  - Tòa Q, R, S</t>
  </si>
  <si>
    <t>Assign Level</t>
  </si>
  <si>
    <t>DH</t>
  </si>
  <si>
    <t>Nguyễn Văn Hải</t>
  </si>
  <si>
    <t>Phụ lục 12_Tiêu chuẩn LOD cho MEP</t>
  </si>
  <si>
    <t>Trường Vinuni  - Tòa T (KTX)</t>
  </si>
  <si>
    <t>Tag Rooms</t>
  </si>
  <si>
    <t>HT</t>
  </si>
  <si>
    <t>Lê Huy Toàn</t>
  </si>
  <si>
    <t>Phụ lục 13_Tiêu chuẩn LOD cho hạ tầng</t>
  </si>
  <si>
    <t>Trường Vinuni  - Tòa U (KTX)</t>
  </si>
  <si>
    <t>View Range</t>
  </si>
  <si>
    <t>MEPF</t>
  </si>
  <si>
    <t>Đặng Thái Sơn</t>
  </si>
  <si>
    <t>Phụ lục 14_Tiêu chuẩn LOD cho trackwork</t>
  </si>
  <si>
    <t>B.HNO.TMDM.VSC</t>
  </si>
  <si>
    <t>Trường Cambridge tại lô F3-PTTH1</t>
  </si>
  <si>
    <t>Auto Numbering</t>
  </si>
  <si>
    <t>Phan Trường Giang</t>
  </si>
  <si>
    <t>Phụ lục 15_Tiêu chuẩn LOD cho Cầu</t>
  </si>
  <si>
    <t>B.HNO.VHCL.VSC</t>
  </si>
  <si>
    <t>A7-NT, A7-CS và PT-02</t>
  </si>
  <si>
    <t>Override CropView</t>
  </si>
  <si>
    <t>Nguyễn Ngọc Cảnh</t>
  </si>
  <si>
    <t>Phụ lục 16_Phạm vi mô hình BIM và xuất khối lượng</t>
  </si>
  <si>
    <t>B.HNO.VHOHN.KS</t>
  </si>
  <si>
    <t>Lô đất B9-DV-02</t>
  </si>
  <si>
    <t>Remove Revit Link</t>
  </si>
  <si>
    <t>Vũ Hải Phong</t>
  </si>
  <si>
    <t>Phụ lục 17_Checklist KSCL Mô hình</t>
  </si>
  <si>
    <t>B.HNO.VHOHN.SVD</t>
  </si>
  <si>
    <t>SVĐ lô đất TDTT01</t>
  </si>
  <si>
    <t>Update Element Properties</t>
  </si>
  <si>
    <t>Tạ Bạch Hưng</t>
  </si>
  <si>
    <t>Phụ lục 18_Checklist KSCL CDE</t>
  </si>
  <si>
    <t>B.HPH.VYHP.VSC</t>
  </si>
  <si>
    <t>Trường VSC B2.THPT02</t>
  </si>
  <si>
    <t>Copy Elements From Link</t>
  </si>
  <si>
    <t>Hoàng Bảo Sơn</t>
  </si>
  <si>
    <t>Phụ lục 19_Chi tiết phân loại các nhóm lỗi va chạm trong mô hình BIM</t>
  </si>
  <si>
    <t>B.HYE.NOXHHY.CT</t>
  </si>
  <si>
    <t>NOXH01 (04 tòa)</t>
  </si>
  <si>
    <t>Export Schedules to Excel</t>
  </si>
  <si>
    <t>Nguyễn Thế Anh</t>
  </si>
  <si>
    <t>Các biểu mẫu</t>
  </si>
  <si>
    <t>Biểu mẫu 1_Mẫu tệp tin BEP cho các dự án áp dụng BIM</t>
  </si>
  <si>
    <t>NOXH02 (09 tòa)</t>
  </si>
  <si>
    <t>Export Sheets</t>
  </si>
  <si>
    <t>Lê Văn Trí</t>
  </si>
  <si>
    <t>Biểu mẫu 2_Danh sách nhân sự của dự án</t>
  </si>
  <si>
    <t>NOXH03 (05 tòa)</t>
  </si>
  <si>
    <t>Xuất Familys</t>
  </si>
  <si>
    <t>Nguyễn Tuấn Cường</t>
  </si>
  <si>
    <t>Biểu mẫu 3_Mẫu danh mục tệp tin và bản vẽ</t>
  </si>
  <si>
    <t>NOXH04 (07 tòa)</t>
  </si>
  <si>
    <t>Xuất Khối Lượng</t>
  </si>
  <si>
    <t>Hoàng Đình Trung</t>
  </si>
  <si>
    <t>Biểu mẫu 4_Các bảng thống kê mẫu KT</t>
  </si>
  <si>
    <t>B.HYE.NOXHPH.NX</t>
  </si>
  <si>
    <t>Nhà xe BDX-01</t>
  </si>
  <si>
    <t>Convert Grid 3D to 2D</t>
  </si>
  <si>
    <t>Nguyễn Văn Tuyên</t>
  </si>
  <si>
    <t>Biểu mẫu 5_Các bảng thống kê mẫu KC</t>
  </si>
  <si>
    <t>Nhà xe BDX-05</t>
  </si>
  <si>
    <t>Bubble On/Off</t>
  </si>
  <si>
    <t xml:space="preserve"> </t>
  </si>
  <si>
    <t>Nguyễn Thanh Phương</t>
  </si>
  <si>
    <t>Biểu mẫu 6_Các bảng thống kê mẫu Điện</t>
  </si>
  <si>
    <t>B.HYE.PVF</t>
  </si>
  <si>
    <t>Nhà thi đấu TDTT03</t>
  </si>
  <si>
    <t>Transfer By Link</t>
  </si>
  <si>
    <t>Biểu mẫu 7_Các bảng thống kê mẫu Điện nhẹ</t>
  </si>
  <si>
    <t>Sân vận động TDTT01</t>
  </si>
  <si>
    <t>Load Family</t>
  </si>
  <si>
    <t>Biểu mẫu 8_Các bảng thống kê mẫu Cấp thoát nước</t>
  </si>
  <si>
    <t>B.QNI.HLX.CT</t>
  </si>
  <si>
    <t>Hầm lô B03.2-CCCT-01</t>
  </si>
  <si>
    <t>Remove Filter</t>
  </si>
  <si>
    <t>Biểu mẫu 9_Các bảng thống kê mẫu ĐHTG</t>
  </si>
  <si>
    <t>Hầm lô B03.2-CCCT-02</t>
  </si>
  <si>
    <t>Chuyển giá trị Parameter</t>
  </si>
  <si>
    <t>Biểu mẫu 10_Các bảng thống kê mẫu PCCC</t>
  </si>
  <si>
    <t>Hầm lô B03.2-CCCT-03</t>
  </si>
  <si>
    <t>Tồng Hợp Số Liệu</t>
  </si>
  <si>
    <t>Biểu mẫu 11_Phiếu yêu cầu hỗ trợ BIM</t>
  </si>
  <si>
    <t>Hầm lô B03.4-CCCT-01</t>
  </si>
  <si>
    <t>Tag Diện Tích</t>
  </si>
  <si>
    <t>Quy định công tác thanh tra BIM</t>
  </si>
  <si>
    <t>Hầm lô B03.4-CCCT-02</t>
  </si>
  <si>
    <t>Move Tag to Center</t>
  </si>
  <si>
    <t>Hầm lô B03.4-CCCT-03</t>
  </si>
  <si>
    <t>Room Finishing</t>
  </si>
  <si>
    <t>Tháp Z35</t>
  </si>
  <si>
    <t>Wall By Boundary</t>
  </si>
  <si>
    <t>B.QNI.HLXHL.VMM</t>
  </si>
  <si>
    <t>VC MEGAMALL LÔ ĐẤT B02.3-TMĐ-01</t>
  </si>
  <si>
    <t>Remove Paint</t>
  </si>
  <si>
    <t>B.QNI.HLXHL.VP</t>
  </si>
  <si>
    <t>Tòa văn phòng 35 tầng (Lô đất B03.5-TMĐ-01)</t>
  </si>
  <si>
    <t>Edit Layer</t>
  </si>
  <si>
    <t>B.QNI.HLXHL.VSC</t>
  </si>
  <si>
    <t>Trường học các lô đất A2-MG-06, A2-TH-05, A2-CS-04</t>
  </si>
  <si>
    <t>Clear Duplicates</t>
  </si>
  <si>
    <t>Trường học lô đất PT-01</t>
  </si>
  <si>
    <t>Column Strength</t>
  </si>
  <si>
    <t>B.QNI.HLXQY.NH</t>
  </si>
  <si>
    <t>Nhà hát Hạ Long Xanh</t>
  </si>
  <si>
    <t>Wall/Core Strength</t>
  </si>
  <si>
    <t>B.TQU.VPTQ.VP</t>
  </si>
  <si>
    <t>Lô C.TM11</t>
  </si>
  <si>
    <t>Hạ cao độ Cọc</t>
  </si>
  <si>
    <t>N.DSHCMCG.STA</t>
  </si>
  <si>
    <t>Nhà Ga Bến Thành</t>
  </si>
  <si>
    <t>Công cụ Tạo Lanh Tô</t>
  </si>
  <si>
    <t>Nhà Ga Cần Giờ</t>
  </si>
  <si>
    <t>AutoCad To Revit</t>
  </si>
  <si>
    <t>N.HCM.CGIO.KS</t>
  </si>
  <si>
    <t>Khách sạn Grand Hyatt - A3.24.04</t>
  </si>
  <si>
    <t>Tạo bê tông lót</t>
  </si>
  <si>
    <t>Khách sạn M Gallery - B5.02.04</t>
  </si>
  <si>
    <t>Hạ Cote Sàn</t>
  </si>
  <si>
    <t xml:space="preserve">Khách sạn Ritz Carlton - B5-06-10,11 </t>
  </si>
  <si>
    <t>Định Vị Đối Tượng</t>
  </si>
  <si>
    <t>Khách sạn Vinpearl A5.02.13</t>
  </si>
  <si>
    <t>Sum By Parameter</t>
  </si>
  <si>
    <t>N.HCM.CGIO.KSMN</t>
  </si>
  <si>
    <t>Lô A5.01.01, mẫu M1G, M7, M8G</t>
  </si>
  <si>
    <t>Bộ công cụ AutoDim</t>
  </si>
  <si>
    <t>Lô A5.01.02, mẫu M4G, M9, M9G</t>
  </si>
  <si>
    <t>Dàn trang tài liệu bán hàng CAD</t>
  </si>
  <si>
    <t>Lô A5.01.04, mẫu M2, M2G, M5, M5G</t>
  </si>
  <si>
    <t>Dàn trang TMB Revit</t>
  </si>
  <si>
    <t>N.HCM.CGIO.NH</t>
  </si>
  <si>
    <t>Nhà hát</t>
  </si>
  <si>
    <t>RotateFloorTag</t>
  </si>
  <si>
    <t>N.HCM.CGIO.NTD</t>
  </si>
  <si>
    <t>Nhà thi đấu lô B5.03.2</t>
  </si>
  <si>
    <t>Desktop App Vinhomes_NenFiles</t>
  </si>
  <si>
    <t>N.HCM.CGIO.VSC</t>
  </si>
  <si>
    <t>Trường MN tại lô đất A4-13</t>
  </si>
  <si>
    <t>Ghép dãy mẫu căn Revit</t>
  </si>
  <si>
    <t>Trường TH tại lô đất A4-15</t>
  </si>
  <si>
    <t xml:space="preserve">Tô màu đất và xuất dữ liệu Excel </t>
  </si>
  <si>
    <t>Trường THCS tại lô đất A4-16</t>
  </si>
  <si>
    <t>Điền thông tin hạ tầng</t>
  </si>
  <si>
    <t>Trường THPT tại lô đất A4-29</t>
  </si>
  <si>
    <t>N.HCM.Q9.VP</t>
  </si>
  <si>
    <t>Toà văn phòng 43 tầng</t>
  </si>
  <si>
    <t>Dàn trang TLBH (loại hình TMDV)</t>
  </si>
  <si>
    <t>N.HCM.Q9.VSC.THCS</t>
  </si>
  <si>
    <t>Trường Cambridge (PTLC) III.6</t>
  </si>
  <si>
    <t>Dàn trang TKCS|TKTC(cad)</t>
  </si>
  <si>
    <t>N.TNI.HNLA.VSC</t>
  </si>
  <si>
    <t>Trường PTLC lô THCS-01</t>
  </si>
  <si>
    <t>Rotate Element</t>
  </si>
  <si>
    <t>T.DAN.LVDN.KS</t>
  </si>
  <si>
    <t>KS JW Marriott- Làng Vân (Cao 9 tầng)</t>
  </si>
  <si>
    <t>Trim/Extend Pipe 3D</t>
  </si>
  <si>
    <t>T.HTI.STHT.NOXH.CT</t>
  </si>
  <si>
    <t>NOXH01</t>
  </si>
  <si>
    <t>Trantision Fitting</t>
  </si>
  <si>
    <t>NOXH-01 (03 tòa)</t>
  </si>
  <si>
    <t>Align 3D</t>
  </si>
  <si>
    <t>T.KHO.VPNT.KSMN</t>
  </si>
  <si>
    <t>Mẫu M1</t>
  </si>
  <si>
    <t>Connect To</t>
  </si>
  <si>
    <t>Mẫu M2</t>
  </si>
  <si>
    <t>Disconnect</t>
  </si>
  <si>
    <t>Mẫu M3</t>
  </si>
  <si>
    <t>Change Level</t>
  </si>
  <si>
    <t>Mẫu M4</t>
  </si>
  <si>
    <t>Up-Down Duct</t>
  </si>
  <si>
    <t>Mẫu M5</t>
  </si>
  <si>
    <t>Up-Down Pipe</t>
  </si>
  <si>
    <t>Mẫu M6</t>
  </si>
  <si>
    <t>Up-Down Cable Tray</t>
  </si>
  <si>
    <t>Up-Down Conduit</t>
  </si>
  <si>
    <t>Copy Special</t>
  </si>
  <si>
    <t>Brand Pipe</t>
  </si>
  <si>
    <t>Axis Pipe</t>
  </si>
  <si>
    <t>Cap End</t>
  </si>
  <si>
    <t>MainPipe 1</t>
  </si>
  <si>
    <t>MainPipe 2A</t>
  </si>
  <si>
    <t>MainPipe 2B</t>
  </si>
  <si>
    <t>MainPipe 3A</t>
  </si>
  <si>
    <t>MainPipe 3B</t>
  </si>
  <si>
    <t>EQM Pipe 90</t>
  </si>
  <si>
    <t>EQM Pipe 45</t>
  </si>
  <si>
    <t>EQM Pipe 180</t>
  </si>
  <si>
    <t>Siphon 90</t>
  </si>
  <si>
    <t>Siphon 45</t>
  </si>
  <si>
    <t>Siphon 180</t>
  </si>
  <si>
    <t>Convert Siphon</t>
  </si>
  <si>
    <t>Vent Pipe A</t>
  </si>
  <si>
    <t>Vent Riser Pipe</t>
  </si>
  <si>
    <t>Kết nối đầu phun</t>
  </si>
  <si>
    <t>Tag Pipes</t>
  </si>
  <si>
    <t>Rect Hanger Tool</t>
  </si>
  <si>
    <t>Rod Hanger Tool</t>
  </si>
  <si>
    <t>Update Schedules</t>
  </si>
  <si>
    <t>Kiểm soát thống kê</t>
  </si>
  <si>
    <t>Xuất Khối lượng MEP</t>
  </si>
  <si>
    <t>Kiểm tra trùng lặp</t>
  </si>
  <si>
    <t>NavisWorks</t>
  </si>
  <si>
    <t>Comment</t>
  </si>
  <si>
    <t>Assign To</t>
  </si>
  <si>
    <t>Xuất báo cáo</t>
  </si>
  <si>
    <t>Cad</t>
  </si>
  <si>
    <t>Quick Region</t>
  </si>
  <si>
    <t>Civil3D</t>
  </si>
  <si>
    <t>Quick Shortcut</t>
  </si>
  <si>
    <t>Entity Handle</t>
  </si>
  <si>
    <t>Quay Siêu Cao</t>
  </si>
  <si>
    <t>Ranh giới Nút giao</t>
  </si>
  <si>
    <t>Apply Rule Mạng lưới</t>
  </si>
  <si>
    <t>Auto Label Network</t>
  </si>
  <si>
    <t>Copy Label Structure</t>
  </si>
  <si>
    <t>Bố trí thiết bị</t>
  </si>
  <si>
    <t>Tạo nhiều tuyến ống</t>
  </si>
  <si>
    <t>Cập nhập cao độ</t>
  </si>
  <si>
    <t>Hiệu chỉnh góc xoay</t>
  </si>
  <si>
    <t>Swap đối tượng</t>
  </si>
  <si>
    <t>Desktop App</t>
  </si>
  <si>
    <t>VINRar</t>
  </si>
  <si>
    <t>Kiểm tra thay đổi QH</t>
  </si>
  <si>
    <t>Ghép dãy thấp tầng</t>
  </si>
  <si>
    <t>Thống kê tình trạng bàn giao đất</t>
  </si>
  <si>
    <t xml:space="preserve">Edit Tường, Sàn KT </t>
  </si>
  <si>
    <t>QC mô hình</t>
  </si>
  <si>
    <t>Web App</t>
  </si>
  <si>
    <t xml:space="preserve">KSCL &amp; Điều phối </t>
  </si>
  <si>
    <t>Cắt bê tông</t>
  </si>
  <si>
    <t>CAD</t>
  </si>
  <si>
    <t>BẢNG GIAO VIỆC XÂY DỰNG HTTC BIM</t>
  </si>
  <si>
    <t>Sum ID</t>
  </si>
  <si>
    <t>Sub ID</t>
  </si>
  <si>
    <t>Level 1</t>
  </si>
  <si>
    <t>Level 4</t>
  </si>
  <si>
    <t>Nhân sự thực hiện 01</t>
  </si>
  <si>
    <t>Nhân sự thực hiện 02</t>
  </si>
  <si>
    <t>Nhân sự thực hiện 03</t>
  </si>
  <si>
    <t>Bắt đầu</t>
  </si>
  <si>
    <t>Kết thúc</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</si>
  <si>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</si>
  <si>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</si>
  <si>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</si>
  <si>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</si>
  <si>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</si>
  <si>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</si>
  <si>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</si>
  <si>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</si>
  <si>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</si>
  <si>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</si>
  <si>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</si>
  <si>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</si>
  <si>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</si>
  <si>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</si>
  <si>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</si>
  <si>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</si>
  <si>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</si>
  <si>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</si>
  <si>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</si>
  <si>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</si>
  <si>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</si>
  <si>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</si>
  <si>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</si>
  <si>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</si>
  <si>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</si>
  <si>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</si>
  <si>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</si>
  <si>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</si>
  <si>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</si>
  <si>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</si>
  <si>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</si>
  <si>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</si>
  <si>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BẢNG GIAO VIỆC ĐÀO TẠO BIM</t>
  </si>
  <si>
    <t>BẢNG GIAO VIỆC QUẢN LÝ BIM</t>
  </si>
  <si>
    <t>Mức độ
ưu tiên</t>
  </si>
  <si>
    <t>Nhân sự
thực hiện 01</t>
  </si>
  <si>
    <t>Nhân sự
thực hiện 02</t>
  </si>
  <si>
    <t>Nhân sự
thực hiện 03</t>
  </si>
  <si>
    <t>Fillter nhân sự</t>
  </si>
  <si>
    <t>N.DSHCMCG.DMF</t>
  </si>
  <si>
    <t>Depot</t>
  </si>
  <si>
    <t>BẢNG GIAO VIỆC THANH TRA BIM</t>
  </si>
  <si>
    <t>Khách sạn lô B5.02.04</t>
  </si>
  <si>
    <t>BẢNG GIAO VIỆC PHÁT TRIỂN BIM TOOLS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</si>
  <si>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</si>
  <si>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</si>
  <si>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</si>
  <si>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</si>
  <si>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</si>
  <si>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</si>
  <si>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</si>
  <si>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</si>
  <si>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</si>
  <si>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</si>
  <si>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</si>
  <si>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</si>
  <si>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</si>
  <si>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</si>
  <si>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</si>
  <si>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</si>
  <si>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</si>
  <si>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</si>
  <si>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</si>
  <si>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</si>
  <si>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</si>
  <si>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</si>
  <si>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</si>
  <si>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</si>
  <si>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</si>
  <si>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 xml:space="preserve">KSCL và Điều phối </t>
  </si>
  <si>
    <t>26</t>
  </si>
  <si>
    <t>27</t>
  </si>
  <si>
    <t>28</t>
  </si>
  <si>
    <t>29</t>
  </si>
  <si>
    <t>30</t>
  </si>
  <si>
    <t>31</t>
  </si>
  <si>
    <t>32</t>
  </si>
  <si>
    <t>33</t>
  </si>
  <si>
    <t>34</t>
  </si>
  <si>
    <t>35</t>
  </si>
  <si>
    <t>36</t>
  </si>
  <si>
    <t>37</t>
  </si>
  <si>
    <t>38</t>
  </si>
  <si>
    <t>39</t>
  </si>
  <si>
    <t>40</t>
  </si>
  <si>
    <t>Didital Twin</t>
  </si>
  <si>
    <t>App Digital Twin V1</t>
  </si>
  <si>
    <t>41</t>
  </si>
  <si>
    <t>42</t>
  </si>
  <si>
    <t>43</t>
  </si>
  <si>
    <t>44</t>
  </si>
  <si>
    <t>45</t>
  </si>
  <si>
    <t>46</t>
  </si>
  <si>
    <t>5.Didital Twin.138</t>
  </si>
  <si>
    <t>47</t>
  </si>
  <si>
    <t>App Digital Twin V2</t>
  </si>
  <si>
    <t> </t>
  </si>
  <si>
    <t>5.Didital Twin.139</t>
  </si>
  <si>
    <t>48</t>
  </si>
  <si>
    <t>5.Didital Twin.140</t>
  </si>
  <si>
    <t>49</t>
  </si>
  <si>
    <t>5.Didital Twin.141</t>
  </si>
  <si>
    <t>50</t>
  </si>
  <si>
    <t>5.Didital Twin.142</t>
  </si>
  <si>
    <t>51</t>
  </si>
  <si>
    <t>5.Didital Twin.143</t>
  </si>
  <si>
    <t>52</t>
  </si>
  <si>
    <t>5.Didital Twin.144</t>
  </si>
  <si>
    <t>53</t>
  </si>
  <si>
    <t>5.Didital Twin.145</t>
  </si>
  <si>
    <t>54</t>
  </si>
  <si>
    <t>App Digital Twin V3</t>
  </si>
  <si>
    <t>5.Didital Twin.146</t>
  </si>
  <si>
    <t>55</t>
  </si>
  <si>
    <t>5.Didital Twin.147</t>
  </si>
  <si>
    <t>56</t>
  </si>
  <si>
    <t>5.Didital Twin.148</t>
  </si>
  <si>
    <t>57</t>
  </si>
  <si>
    <t>5.Didital Twin.149</t>
  </si>
  <si>
    <t>58</t>
  </si>
  <si>
    <t>5.Didital Twin.150</t>
  </si>
  <si>
    <t>59</t>
  </si>
  <si>
    <t>5.Didital Twin.151</t>
  </si>
  <si>
    <t>60</t>
  </si>
  <si>
    <t>5.Didital Twin.152</t>
  </si>
  <si>
    <t>61</t>
  </si>
  <si>
    <t>App Digital Twin V4</t>
  </si>
  <si>
    <t>5.Didital Twin.153</t>
  </si>
  <si>
    <t>62</t>
  </si>
  <si>
    <t>5.Didital Twin.154</t>
  </si>
  <si>
    <t>63</t>
  </si>
  <si>
    <t>5.Didital Twin.155</t>
  </si>
  <si>
    <t>64</t>
  </si>
  <si>
    <t>5.Didital Twin.156</t>
  </si>
  <si>
    <t>65</t>
  </si>
  <si>
    <t>5.Didital Twin.157</t>
  </si>
  <si>
    <t>66</t>
  </si>
  <si>
    <t>5.Didital Twin.158</t>
  </si>
  <si>
    <t>67</t>
  </si>
  <si>
    <t>BẢNG GIAO VIỆC QUẢN LÝ PHẦN MỀM</t>
  </si>
  <si>
    <t>Nhân sự thực hiện</t>
  </si>
  <si>
    <t>Hoàn thành thực tế</t>
  </si>
  <si>
    <t>Tổng số ngày</t>
  </si>
  <si>
    <t>Tổng số giờ</t>
  </si>
  <si>
    <t>DuAn.LoaiHinh</t>
  </si>
  <si>
    <t>Hạng mục 1</t>
  </si>
  <si>
    <t>Hạng mục 2</t>
  </si>
  <si>
    <t>Hạng mục 3</t>
  </si>
  <si>
    <t>Hạng mục 4</t>
  </si>
  <si>
    <t>Hạng mục 5</t>
  </si>
  <si>
    <t>Hạng mục 6</t>
  </si>
  <si>
    <t>Hạng mục 7</t>
  </si>
  <si>
    <t>Hạng mục 8</t>
  </si>
  <si>
    <t>Hạng mục 9</t>
  </si>
  <si>
    <t>Hạng mục 10</t>
  </si>
  <si>
    <t>Hạng mục 11</t>
  </si>
  <si>
    <t>Hạng mục 12</t>
  </si>
  <si>
    <t>Hạng mục 13</t>
  </si>
  <si>
    <t>Hạng mục 14</t>
  </si>
  <si>
    <t>Hạng mục 15</t>
  </si>
  <si>
    <t>TỔNG QUAN CÁC CÔNG VIỆC PHÒNG BIM</t>
  </si>
  <si>
    <t>Trình tự</t>
  </si>
  <si>
    <t>Chi tiết</t>
  </si>
  <si>
    <t>Ghi chú</t>
  </si>
  <si>
    <t>Trách nhiệm</t>
  </si>
  <si>
    <t>Bước 1</t>
  </si>
  <si>
    <t>Đã bao gồm các phụ lục và biểu mẫu</t>
  </si>
  <si>
    <t>Quy định thanh tra BIM</t>
  </si>
  <si>
    <t>Bước 2</t>
  </si>
  <si>
    <t>Công cụ quản lý mô hình</t>
  </si>
  <si>
    <t>Bước 3</t>
  </si>
  <si>
    <t>Áp vào các dự án VTK đang thực hiện</t>
  </si>
  <si>
    <t>Anh Tuyên</t>
  </si>
  <si>
    <t>BIM XD, MEP, HT</t>
  </si>
  <si>
    <t>BIM XD + IT</t>
  </si>
  <si>
    <t>Triển khai hồ sơ thiết kế</t>
  </si>
  <si>
    <t>Bước 4</t>
  </si>
  <si>
    <t>Thực hiện thanh tra</t>
  </si>
  <si>
    <t>Bước 5</t>
  </si>
  <si>
    <t>Tool tạo lập mô hình</t>
  </si>
  <si>
    <t xml:space="preserve">BIM IT </t>
  </si>
  <si>
    <t>Tool KSCL và Điều phối mô hình</t>
  </si>
  <si>
    <t>Tool khai thác thông tin mô hình</t>
  </si>
  <si>
    <t>Ứng dụng Digital Twin</t>
  </si>
  <si>
    <t>Bước 6</t>
  </si>
  <si>
    <t>Chung cho các PM</t>
  </si>
  <si>
    <t>GĐ + Chủ trì BIM</t>
  </si>
  <si>
    <t>Quản lý chi tiết đến từng PM</t>
  </si>
  <si>
    <t>VSF</t>
  </si>
  <si>
    <t>BẢNG GIAO VIỆC KHÁC</t>
  </si>
  <si>
    <t>BÁO CÁO CÔNG VIỆC HÀNG NGÀY - BIM.XD</t>
  </si>
  <si>
    <t>ID</t>
  </si>
  <si>
    <t>Thực tế
hoàn thành</t>
  </si>
  <si>
    <t>Tuần 21</t>
  </si>
  <si>
    <t>Ngày</t>
  </si>
  <si>
    <t>Nội dung công việc</t>
  </si>
  <si>
    <t>Thời gian (h)</t>
  </si>
  <si>
    <t>Tuần 22</t>
  </si>
  <si>
    <t>Tuần 23</t>
  </si>
  <si>
    <t>Tuần 24</t>
  </si>
  <si>
    <t>Tuần 25</t>
  </si>
  <si>
    <t>Tuần 26</t>
  </si>
  <si>
    <t xml:space="preserve">Xuất khối lượng Xây, trát, ốp lát. </t>
  </si>
  <si>
    <t>Mô hình từ 2024 khi chưa áp dụng BOQ</t>
  </si>
  <si>
    <t>Check kiểm bảng thống kê, gửi mail phối hợp</t>
  </si>
  <si>
    <t>Quản lý CDE</t>
  </si>
  <si>
    <t>Phát hành hồ sơ thiết kế BVTC</t>
  </si>
  <si>
    <t>Phát hành hồ sơ (32 review)</t>
  </si>
  <si>
    <t>Tạo lập biểu mẫu cho WM mới</t>
  </si>
  <si>
    <t>Nghiên cứu cải thiện WN mới
Hướng dẫn KT8 thực hiện CDE
Họp nội bộ</t>
  </si>
  <si>
    <t>3.B.DSHNQN.DMF.101</t>
  </si>
  <si>
    <t>3.B.DSHNQN.DMF.201</t>
  </si>
  <si>
    <t>3.B.DSHNQN.STA.101</t>
  </si>
  <si>
    <t>3.B.DSHNQN.STA.102</t>
  </si>
  <si>
    <t>3.B.HNO.TMDM.VSC.101</t>
  </si>
  <si>
    <t>3.B.HNO.TMDM.VSC.201</t>
  </si>
  <si>
    <t>3.B.HYE.PVF.103</t>
  </si>
  <si>
    <t>3.B.HYE.PVF.203</t>
  </si>
  <si>
    <t>3.B.HYE.PVF.204</t>
  </si>
  <si>
    <t>3.B.QNI.HLX.CT.104</t>
  </si>
  <si>
    <t>3.B.QNI.HLX.CT.204</t>
  </si>
  <si>
    <t>3.B.QNI.HLXQY.NH.101</t>
  </si>
  <si>
    <t>3.B.QNI.HLXQY.NH.201</t>
  </si>
  <si>
    <t>3.B.TQU.VPTQ.VP.101</t>
  </si>
  <si>
    <t>Xuất khối lượng từ mô hình BIM, tuy nhiên mô hình đang ở mức ra hồ sơ TKBVTC, công trình là bàn giao cả hoàn thiện nội thất nhưng mô hình BIM chưa cập nhật những nội dung về trong nhà cũng như nội thất</t>
  </si>
  <si>
    <t>3.N.HCM.CGIO.KS.102</t>
  </si>
  <si>
    <t>3.N.HCM.CGIO.KS.202</t>
  </si>
  <si>
    <t>3.N.HCM.CGIO.NH.101</t>
  </si>
  <si>
    <t>3.N.HCM.CGIO.NH.201</t>
  </si>
  <si>
    <t>3.T.KHO.VPNT.KSMN.111</t>
  </si>
  <si>
    <t>3.T.KHO.VPNT.KSMN.112</t>
  </si>
  <si>
    <t>3.T.KHO.VPNT.KSMN.206</t>
  </si>
  <si>
    <t>Checklist kiểm soát chất lượng mô hình KT, xuất báo cáo KSCLMH</t>
  </si>
  <si>
    <t>Checklist kiểm soát chất lượng mô hình KT 2 khối hầm NOXH02.HA1 và NOXH02.HA2, xuất báo cáo KSCLMH
Gửi mail báo cáo KSCLMH lần 1</t>
  </si>
  <si>
    <t>Trao đổi TT tiến độ với KC, yêu cầu KC nộp mô hình</t>
  </si>
  <si>
    <t> Trao đổi, hướng dẫn KT về tiến độ, vướng mắc, cách nhập LOD cho mô hình</t>
  </si>
  <si>
    <t xml:space="preserve">                                       </t>
  </si>
  <si>
    <t>Check va chạm Navisworks KT với KC, xuất báo cáo va chạm
Checklist kiểm soát chất lượng mô hình KT, xuất báo cáo KSCLMH</t>
  </si>
  <si>
    <t>Check va chạm Navisworks KT với KC, xuất báo cáo va chạm
Checklist kiểm soát chất lượng mô hình KT, xuất báo cáo KSCLMH
Gửi mail báo cáo KSCLMH lần 4</t>
  </si>
  <si>
    <t>Check va chạm Navisworks KT với KC, xuất báo cáo va chạm
Checklist kiểm soát chất lượng mô hình KC, xuất báo cáo KSCLMH</t>
  </si>
  <si>
    <t>Checklist công việc, đầu việc cá nhân, nhập liệu các dự án và tiến độ vào bảng WM mới</t>
  </si>
  <si>
    <t> Nhập liệu lại các đầu việc vào sheet XD bảng WM mới</t>
  </si>
  <si>
    <t>Xuất khối lượng bê tông từ mô hình.</t>
  </si>
  <si>
    <t>Mô hình từ 2024 khi chưa áp dụng BOQ.</t>
  </si>
  <si>
    <t>Mô hình thiếu / sai so với hồ sơ thi công.</t>
  </si>
  <si>
    <t>Chấm điểm bài thi Revit tạo lập mô hình, bộ môn KC.</t>
  </si>
  <si>
    <t>Trao đổi TT tiến độ với KT14, yêu cầu TVTK nộp MH KT-KC (đóng gói TK các tòa M,P,Q,R,S)</t>
  </si>
  <si>
    <t>KSCL mô hình KT phần hầm (lần 4, BC-XD-002)</t>
  </si>
  <si>
    <t>KSCL mô hình KC phần hầm (lần 4, BC-XD-002)</t>
  </si>
  <si>
    <t>3.B.HNO.VHOHN.SVD.101</t>
  </si>
  <si>
    <t>3.B.HNO.VHOHN.SVD.201</t>
  </si>
  <si>
    <t>3.B.HYE.NOXHPH.NX.102</t>
  </si>
  <si>
    <t>3.B.HYE.NOXHPH.NX.103</t>
  </si>
  <si>
    <t>Dựng model tường xây, cửa, vữa trát, ramp dốc T1. Check kiểm HSTC chưa đúng chuẩn hóa NX và yêu cầu KT chỉnh sửa cập nhật</t>
  </si>
  <si>
    <t>Dựng model tường xây, cửa, vữa trát, ramp dốc T2 3 4 . Điền thông tin mô hình các hạng mục gạch xây , trát.</t>
  </si>
  <si>
    <t>3.B.HYE.NOXHPH.NX.202</t>
  </si>
  <si>
    <t>Khớp mô hình KC cập nhật sửa đổi theo KT</t>
  </si>
  <si>
    <t>Check kiểm mô hình KC không khớp KT , yêu cầu chỉnh sửa</t>
  </si>
  <si>
    <t>3.B.QNI.HLX.CT.102</t>
  </si>
  <si>
    <t>3.B.QNI.HLX.CT.202</t>
  </si>
  <si>
    <t>3.N.HCM.CGIO.KSMN.103</t>
  </si>
  <si>
    <t>3.N.HCM.CGIO.KSMN.104</t>
  </si>
  <si>
    <t>3.N.HCM.CGIO.KSMN.202</t>
  </si>
  <si>
    <t>3.N.HCM.Q9.VSC.THCS.101</t>
  </si>
  <si>
    <t>3.N.HCM.Q9.VSC.THCS.201</t>
  </si>
  <si>
    <t>3.T.DAN.LVDN.KS.101</t>
  </si>
  <si>
    <t>3.T.DAN.LVDN.KS.201</t>
  </si>
  <si>
    <t>3.T.KHO.VPNT.KSMN.204</t>
  </si>
  <si>
    <t>3.T.KHO.VPNT.KSMN.107</t>
  </si>
  <si>
    <t>3.T.KHO.VPNT.KSMN.108</t>
  </si>
  <si>
    <t>3.B.DSHNQN.DMF.102</t>
  </si>
  <si>
    <t>Tạo file các hạng mục; thực hiện mô hình file nền, nhà kho chẩn đoán lốp xe và phòng thiết bị.</t>
  </si>
  <si>
    <t>3.B.DSHNQN.DMF.202</t>
  </si>
  <si>
    <t>3.B.DSHNQN.STA.103</t>
  </si>
  <si>
    <t>3.B.DSHNQN.STA.201</t>
  </si>
  <si>
    <t>3.B.DSHNQN.STA.104</t>
  </si>
  <si>
    <t>3.B.DSHNQN.STA.202</t>
  </si>
  <si>
    <t>3.B.HNO.GL.VSC.101</t>
  </si>
  <si>
    <t>KSCL, hướng dẫn bộ môn điền thông tin MH.</t>
  </si>
  <si>
    <t>3.B.HNO.GL.VSC.201</t>
  </si>
  <si>
    <t>Tạo lại bảng thống kê, hướng dẫn bộ môn điền thông tin MH.</t>
  </si>
  <si>
    <t>3.B.HPH.VYHP.VSC.101</t>
  </si>
  <si>
    <t>Hướng dẫn bộ môn điền thông tin MH.</t>
  </si>
  <si>
    <t>3.B.HPH.VYHP.VSC.201</t>
  </si>
  <si>
    <t>3.B.QNI.HLX.CT.106</t>
  </si>
  <si>
    <t>3.B.QNI.HLX.CT.206</t>
  </si>
  <si>
    <t>3.N.DSHCMCG.STA.102</t>
  </si>
  <si>
    <t>3.N.DSHCMCG.STA.202</t>
  </si>
  <si>
    <t>3.T.KHO.VPNT.KSMN.109</t>
  </si>
  <si>
    <t>3.T.KHO.VPNT.KSMN.110</t>
  </si>
  <si>
    <t>3.T.KHO.VPNT.KSMN.205</t>
  </si>
  <si>
    <t>Tạo lập MH từ tầng 4-15.</t>
  </si>
  <si>
    <t>3.N.HCM.CGIO.KSMN.105</t>
  </si>
  <si>
    <t>3.N.HCM.CGIO.KSMN.106</t>
  </si>
  <si>
    <t>3.N.HCM.CGIO.KSMN.203</t>
  </si>
  <si>
    <t>BÁO CÁO CÔNG VIỆC HÀNG NGÀY - BIM.MEPF</t>
  </si>
  <si>
    <t>Thực tế hoàn thành</t>
  </si>
  <si>
    <t>1.Quy định.001</t>
  </si>
  <si>
    <t>3.B.HYE.NOXHHY.CT.302</t>
  </si>
  <si>
    <t>3.B.HYE.NOXHHY.CT.402</t>
  </si>
  <si>
    <t>3.B.HYE.NOXHHY.CT.502</t>
  </si>
  <si>
    <t>3.B.HYE.NOXHHY.CT.602</t>
  </si>
  <si>
    <t>3.B.HYE.NOXHHY.CT.702</t>
  </si>
  <si>
    <t>3.T.HTI.STHT.NOXH.CT.301</t>
  </si>
  <si>
    <t>3.T.HTI.STHT.NOXH.CT.401</t>
  </si>
  <si>
    <t>3.T.HTI.STHT.NOXH.CT.501</t>
  </si>
  <si>
    <t>3.T.HTI.STHT.NOXH.CT.601</t>
  </si>
  <si>
    <t>3.N.HCM.Q9.VP.701</t>
  </si>
  <si>
    <t>3.B.HYE.PVF.603</t>
  </si>
  <si>
    <t>3.N.HCM.Q9.VP.601</t>
  </si>
  <si>
    <t>Cập nhật thông tin MH. Xuất khối lượng ống thép và phụ kiện từ mô hình BIM</t>
  </si>
  <si>
    <t>3.B.HYE.NOXHHY.CT.301</t>
  </si>
  <si>
    <t>3.B.HYE.NOXHHY.CT.401</t>
  </si>
  <si>
    <t>3.B.HYE.NOXHHY.CT.501</t>
  </si>
  <si>
    <t>3.B.HYE.NOXHHY.CT.601</t>
  </si>
  <si>
    <t>3.B.HYE.NOXHHY.CT.701</t>
  </si>
  <si>
    <t>3.N.HCM.Q9.VP.602</t>
  </si>
  <si>
    <t>Cập nhật thông tin MH</t>
  </si>
  <si>
    <t>3.N.HCM.Q9.VP.603</t>
  </si>
  <si>
    <t>Xuất khối lượng toàn bộ HVAC từ mô hình BIM</t>
  </si>
  <si>
    <t>3.B.HYE.PVF.302</t>
  </si>
  <si>
    <t>3.B.HYE.PVF.402</t>
  </si>
  <si>
    <t>3.B.HYE.PVF.502</t>
  </si>
  <si>
    <t>3.B.HYE.PVF.602</t>
  </si>
  <si>
    <t>3.B.HYE.PVF.702</t>
  </si>
  <si>
    <t>3.N.HCM.CGIO.KS.605</t>
  </si>
  <si>
    <t>3.N.HCM.CGIO.KS.606</t>
  </si>
  <si>
    <t>3.B.HYE.PVF.503</t>
  </si>
  <si>
    <t>3.N.HCM.Q9.VP.501</t>
  </si>
  <si>
    <t>3.T.HTI.STHT.NOXH.CT.502</t>
  </si>
  <si>
    <t>3.N.HCM.CGIO.NTD.601</t>
  </si>
  <si>
    <t>3.N.HCM.CGIO.KS.304</t>
  </si>
  <si>
    <t>3.N.HCM.CGIO.KS.404</t>
  </si>
  <si>
    <t>3.N.HCM.CGIO.KS.504</t>
  </si>
  <si>
    <t>3.N.HCM.CGIO.KS.604</t>
  </si>
  <si>
    <t>3.N.HCM.CGIO.KS.704</t>
  </si>
  <si>
    <t>3.B.HYE.PVF.501</t>
  </si>
  <si>
    <t>3.B.HYE.PVF.601</t>
  </si>
  <si>
    <t>3.B.HYE.PVF.701</t>
  </si>
  <si>
    <t>2.Công cụ tạo lập mô hình.005</t>
  </si>
  <si>
    <t>5.CAD.127</t>
  </si>
  <si>
    <t>5.CAD.128</t>
  </si>
  <si>
    <t>5.CAD.129</t>
  </si>
  <si>
    <t>5.CAD.130</t>
  </si>
  <si>
    <t>5.Revit.07</t>
  </si>
  <si>
    <t>5.Revit.08</t>
  </si>
  <si>
    <t>5.Revit.17</t>
  </si>
  <si>
    <t>5.Revit.22</t>
  </si>
  <si>
    <t>5.Revit.10</t>
  </si>
  <si>
    <t>5.Revit.11</t>
  </si>
  <si>
    <t>5.Revit.23</t>
  </si>
  <si>
    <t>5.Revit.18</t>
  </si>
  <si>
    <t>5.Revit.24</t>
  </si>
  <si>
    <t>5.Revit.01</t>
  </si>
  <si>
    <t>5.Revit.02</t>
  </si>
  <si>
    <t>5.Revit.03</t>
  </si>
  <si>
    <t>5.Revit.04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</si>
</sst>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25">
    <font>
      <sz val="11"/>
      <color theme="1"/>
      <name val="Calibri"/>
      <family val="2"/>
      <scheme val="minor"/>
    </font>
    <font>
      <sz val="11"/>
      <color theme="1"/>
      <name val="Calibri"/>
      <scheme val="minor"/>
    </font>
    <font>
      <sz val="11"/>
      <color rgb="FFFF0000"/>
      <name val="Calibri"/>
      <family val="2"/>
      <scheme val="minor"/>
    </font>
    <font>
      <b/>
      <sz val="11"/>
      <color theme="1"/>
      <name val="Calibri"/>
      <family val="2"/>
      <scheme val="minor"/>
    </font>
    <font>
      <sz val="8"/>
      <name val="Calibri"/>
      <family val="2"/>
      <scheme val="minor"/>
    </font>
    <font>
      <sz val="11"/>
      <color rgb="FF000000"/>
      <name val="Calibri"/>
      <family val="2"/>
      <scheme val="minor"/>
    </font>
    <font>
      <b/>
      <sz val="11"/>
      <color theme="0"/>
      <name val="Calibri"/>
      <family val="2"/>
      <scheme val="minor"/>
    </font>
    <font>
      <sz val="11"/>
      <color rgb="FFFFC000"/>
      <name val="Calibri"/>
      <family val="2"/>
      <scheme val="minor"/>
    </font>
    <font>
      <sz val="11"/>
      <color rgb="FF92D050"/>
      <name val="Calibri"/>
      <family val="2"/>
      <scheme val="minor"/>
    </font>
    <font>
      <sz val="11"/>
      <color rgb="FF000000"/>
      <name val="Calibri"/>
    </font>
    <font>
      <sz val="11"/>
      <color rgb="FF000000"/>
      <name val="Calibri"/>
      <charset val="1"/>
    </font>
    <font>
      <b/>
      <sz val="11"/>
      <color rgb="FF000000"/>
      <name val="Calibri"/>
      <family val="2"/>
      <scheme val="minor"/>
    </font>
    <font>
      <sz val="11"/>
      <color theme="0"/>
      <name val="Calibri"/>
      <family val="2"/>
      <scheme val="minor"/>
    </font>
    <font>
      <u/>
      <sz val="11"/>
      <color theme="10"/>
      <name val="Calibri"/>
      <family val="2"/>
      <scheme val="minor"/>
    </font>
    <font>
      <b/>
      <sz val="12"/>
      <color theme="0"/>
      <name val="Calibri"/>
      <family val="2"/>
      <scheme val="minor"/>
    </font>
    <font>
      <b/>
      <sz val="12"/>
      <color rgb="FFFFFFFF"/>
      <name val="Calibri"/>
    </font>
    <font>
      <sz val="11"/>
      <color rgb="FFFFFFFF"/>
      <name val="Calibri"/>
    </font>
    <font>
      <sz val="11"/>
      <color rgb="FFBFBFBF"/>
      <name val="Calibri"/>
    </font>
    <font>
      <sz val="11"/>
      <color theme="0" tint="-0.34998626667073579"/>
      <name val="Calibri"/>
      <family val="2"/>
      <scheme val="minor"/>
    </font>
    <font>
      <b/>
      <sz val="11"/>
      <color theme="1"/>
      <name val="Calibri"/>
    </font>
    <font>
      <sz val="11"/>
      <color rgb="FF000000"/>
      <name val="Calibri"/>
      <family val="2"/>
    </font>
    <font>
      <sz val="11"/>
      <color theme="1"/>
      <name val="Calibri"/>
    </font>
    <font>
      <sz val="11"/>
      <color rgb="FF000000"/>
      <name val="Times New Roman"/>
    </font>
    <font>
      <sz val="11"/>
      <color theme="1"/>
      <name val="Times New Roman"/>
    </font>
    <font>
      <b/>
      <sz val="11"/>
      <color rgb="FF000000"/>
      <name val="Calibri"/>
    </font>
  </fonts>
  <fills count="17">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rgb="FF833C0C"/>
        <bgColor rgb="FF000000"/>
      </patternFill>
    </fill>
    <fill>
      <patternFill patternType="solid">
        <fgColor theme="7" tint="-0.499984740745262"/>
        <bgColor rgb="FF000000"/>
      </patternFill>
    </fill>
    <fill>
      <patternFill patternType="solid">
        <fgColor theme="7" tint="-0.499984740745262"/>
        <bgColor indexed="64"/>
      </patternFill>
    </fill>
    <fill>
      <patternFill patternType="solid">
        <fgColor rgb="FFFF0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2" tint="-9.9978637043366805E-2"/>
        <bgColor indexed="64"/>
      </patternFill>
    </fill>
  </fills>
  <borders count="3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rgb="FF000000"/>
      </top>
      <bottom/>
      <diagonal/>
    </border>
    <border>
      <left style="thin">
        <color rgb="FF000000"/>
      </left>
      <right/>
      <top/>
      <bottom/>
      <diagonal/>
    </border>
    <border>
      <left/>
      <right/>
      <top style="thin">
        <color indexed="64"/>
      </top>
      <bottom style="thin">
        <color indexed="64"/>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299">
    <xf numFmtId="0" fontId="0" fillId="0" borderId="0" xfId="0"/>
    <xf numFmtId="0" fontId="5" fillId="0" borderId="2" xfId="0" applyFont="1" applyBorder="1" applyAlignment="1">
      <alignment horizontal="left" vertical="center"/>
    </xf>
    <xf numFmtId="0" fontId="3" fillId="0" borderId="0" xfId="0" applyFont="1" applyAlignment="1">
      <alignment horizontal="center" vertical="center"/>
    </xf>
    <xf numFmtId="0" fontId="3" fillId="2" borderId="2" xfId="0" applyFont="1" applyFill="1" applyBorder="1" applyAlignment="1">
      <alignment horizontal="center" vertical="center"/>
    </xf>
    <xf numFmtId="0" fontId="0" fillId="0" borderId="2" xfId="0" applyBorder="1"/>
    <xf numFmtId="0" fontId="3" fillId="0" borderId="2" xfId="0" applyFont="1" applyBorder="1"/>
    <xf numFmtId="0" fontId="5" fillId="0" borderId="2" xfId="0" applyFont="1" applyBorder="1" applyAlignment="1">
      <alignment vertical="center"/>
    </xf>
    <xf numFmtId="0" fontId="0" fillId="0" borderId="0" xfId="0" applyAlignment="1">
      <alignment horizontal="center"/>
    </xf>
    <xf numFmtId="0" fontId="0" fillId="0" borderId="2" xfId="0" applyBorder="1" applyAlignment="1">
      <alignment horizontal="center" vertical="center"/>
    </xf>
    <xf numFmtId="0" fontId="0" fillId="0" borderId="0" xfId="0" applyAlignment="1">
      <alignment horizontal="center" vertical="center"/>
    </xf>
    <xf numFmtId="0" fontId="0" fillId="0" borderId="0" xfId="0" applyAlignment="1">
      <alignment horizontal="left"/>
    </xf>
    <xf numFmtId="0" fontId="3" fillId="0" borderId="2" xfId="0" applyFont="1" applyBorder="1" applyAlignment="1">
      <alignment horizontal="left"/>
    </xf>
    <xf numFmtId="0" fontId="0" fillId="0" borderId="0" xfId="0" applyAlignment="1">
      <alignment vertical="center"/>
    </xf>
    <xf numFmtId="0" fontId="3" fillId="2" borderId="5" xfId="0" applyFont="1" applyFill="1" applyBorder="1" applyAlignment="1">
      <alignment horizontal="center" vertical="center"/>
    </xf>
    <xf numFmtId="0" fontId="0" fillId="0" borderId="5" xfId="0" applyBorder="1" applyAlignment="1">
      <alignment horizontal="center" vertical="center"/>
    </xf>
    <xf numFmtId="0" fontId="3" fillId="3" borderId="5" xfId="0" applyFont="1" applyFill="1" applyBorder="1" applyAlignment="1">
      <alignment horizontal="center"/>
    </xf>
    <xf numFmtId="0" fontId="2" fillId="0" borderId="2" xfId="0" applyFont="1" applyBorder="1" applyAlignment="1">
      <alignment horizontal="left" vertical="center"/>
    </xf>
    <xf numFmtId="0" fontId="3" fillId="2" borderId="9" xfId="0" applyFont="1" applyFill="1" applyBorder="1" applyAlignment="1">
      <alignment horizontal="center" vertical="center"/>
    </xf>
    <xf numFmtId="0" fontId="0" fillId="0" borderId="9" xfId="0" applyBorder="1"/>
    <xf numFmtId="0" fontId="5" fillId="0" borderId="9" xfId="0" applyFont="1" applyBorder="1" applyAlignment="1">
      <alignment horizontal="left" vertical="center"/>
    </xf>
    <xf numFmtId="0" fontId="5" fillId="0" borderId="9" xfId="0" applyFont="1" applyBorder="1" applyAlignment="1">
      <alignment vertical="center"/>
    </xf>
    <xf numFmtId="0" fontId="0" fillId="0" borderId="5" xfId="0" applyBorder="1"/>
    <xf numFmtId="0" fontId="3" fillId="2" borderId="4" xfId="0" applyFont="1" applyFill="1" applyBorder="1" applyAlignment="1">
      <alignment horizontal="center" vertical="center"/>
    </xf>
    <xf numFmtId="0" fontId="5" fillId="0" borderId="5" xfId="0" applyFont="1" applyBorder="1" applyAlignment="1">
      <alignment horizontal="left" vertical="center"/>
    </xf>
    <xf numFmtId="0" fontId="5" fillId="0" borderId="12" xfId="0" applyFont="1" applyBorder="1" applyAlignment="1">
      <alignment horizontal="left" vertical="center"/>
    </xf>
    <xf numFmtId="0" fontId="5" fillId="0" borderId="12" xfId="0" applyFont="1" applyBorder="1" applyAlignment="1">
      <alignment vertical="center"/>
    </xf>
    <xf numFmtId="0" fontId="0" fillId="0" borderId="12" xfId="0" applyBorder="1"/>
    <xf numFmtId="0" fontId="6" fillId="4" borderId="0" xfId="0" applyFont="1" applyFill="1"/>
    <xf numFmtId="0" fontId="0" fillId="0" borderId="9" xfId="0" applyBorder="1" applyAlignment="1">
      <alignment vertical="center"/>
    </xf>
    <xf numFmtId="0" fontId="0" fillId="0" borderId="9" xfId="0" applyBorder="1" applyAlignment="1">
      <alignment horizontal="center"/>
    </xf>
    <xf numFmtId="14" fontId="0" fillId="0" borderId="9" xfId="0" applyNumberFormat="1" applyBorder="1"/>
    <xf numFmtId="14" fontId="0" fillId="0" borderId="12" xfId="0" applyNumberFormat="1" applyBorder="1"/>
    <xf numFmtId="0" fontId="3" fillId="0" borderId="0" xfId="0" applyFont="1"/>
    <xf numFmtId="0" fontId="9" fillId="0" borderId="9" xfId="0" applyFont="1" applyBorder="1"/>
    <xf numFmtId="0" fontId="3" fillId="0" borderId="9" xfId="0" applyFont="1" applyBorder="1"/>
    <xf numFmtId="0" fontId="0" fillId="0" borderId="9" xfId="0" applyBorder="1" applyAlignment="1">
      <alignment horizontal="center" vertical="center"/>
    </xf>
    <xf numFmtId="0" fontId="3" fillId="0" borderId="9" xfId="0" applyFont="1" applyBorder="1" applyAlignment="1">
      <alignment vertical="center"/>
    </xf>
    <xf numFmtId="0" fontId="6" fillId="4" borderId="7" xfId="0" applyFont="1" applyFill="1" applyBorder="1"/>
    <xf numFmtId="0" fontId="0" fillId="0" borderId="13" xfId="0" applyBorder="1"/>
    <xf numFmtId="0" fontId="3" fillId="2" borderId="6"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 xfId="0" applyFont="1" applyFill="1" applyBorder="1" applyAlignment="1">
      <alignment horizontal="center" vertical="center"/>
    </xf>
    <xf numFmtId="14" fontId="6" fillId="4" borderId="0" xfId="0" applyNumberFormat="1" applyFont="1" applyFill="1"/>
    <xf numFmtId="14" fontId="3" fillId="2" borderId="9" xfId="0" applyNumberFormat="1" applyFont="1" applyFill="1" applyBorder="1" applyAlignment="1">
      <alignment horizontal="center" vertical="center"/>
    </xf>
    <xf numFmtId="14" fontId="0" fillId="0" borderId="0" xfId="0" applyNumberFormat="1"/>
    <xf numFmtId="14" fontId="3" fillId="2" borderId="13" xfId="0" applyNumberFormat="1" applyFont="1" applyFill="1" applyBorder="1" applyAlignment="1">
      <alignment horizontal="center" vertical="center"/>
    </xf>
    <xf numFmtId="0" fontId="3" fillId="0" borderId="13" xfId="0" applyFont="1" applyBorder="1" applyAlignment="1">
      <alignment vertical="center"/>
    </xf>
    <xf numFmtId="0" fontId="0" fillId="0" borderId="13" xfId="0" applyBorder="1" applyAlignment="1">
      <alignment horizontal="center" vertical="center"/>
    </xf>
    <xf numFmtId="0" fontId="0" fillId="0" borderId="13" xfId="0" applyBorder="1" applyAlignment="1">
      <alignment horizontal="center"/>
    </xf>
    <xf numFmtId="0" fontId="6" fillId="4" borderId="9" xfId="0" applyFont="1" applyFill="1" applyBorder="1" applyAlignment="1">
      <alignment vertical="center"/>
    </xf>
    <xf numFmtId="0" fontId="12" fillId="4" borderId="0" xfId="0" applyFont="1" applyFill="1" applyAlignment="1">
      <alignment vertical="center"/>
    </xf>
    <xf numFmtId="0" fontId="3" fillId="2" borderId="13" xfId="0" applyFont="1" applyFill="1" applyBorder="1"/>
    <xf numFmtId="0" fontId="12" fillId="4" borderId="9" xfId="0" applyFont="1" applyFill="1" applyBorder="1" applyAlignment="1">
      <alignment vertical="center"/>
    </xf>
    <xf numFmtId="0" fontId="0" fillId="0" borderId="12" xfId="0" applyBorder="1" applyAlignment="1">
      <alignment vertical="center"/>
    </xf>
    <xf numFmtId="0" fontId="0" fillId="0" borderId="17" xfId="0" applyBorder="1" applyAlignment="1">
      <alignment vertical="center"/>
    </xf>
    <xf numFmtId="0" fontId="0" fillId="0" borderId="12" xfId="0" applyBorder="1" applyAlignment="1">
      <alignment horizontal="center" vertical="center"/>
    </xf>
    <xf numFmtId="0" fontId="0" fillId="0" borderId="0" xfId="0" quotePrefix="1"/>
    <xf numFmtId="0" fontId="0" fillId="4" borderId="0" xfId="0" applyFill="1"/>
    <xf numFmtId="14" fontId="3" fillId="2" borderId="17"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5" fillId="0" borderId="5" xfId="0" applyFont="1" applyBorder="1" applyAlignment="1">
      <alignment vertical="center"/>
    </xf>
    <xf numFmtId="0" fontId="3" fillId="2" borderId="9" xfId="0" applyFont="1" applyFill="1" applyBorder="1" applyAlignment="1">
      <alignment horizontal="center" vertical="center" wrapText="1"/>
    </xf>
    <xf numFmtId="0" fontId="6" fillId="4" borderId="9" xfId="0" applyFont="1" applyFill="1" applyBorder="1" applyAlignment="1">
      <alignment vertical="center" wrapText="1"/>
    </xf>
    <xf numFmtId="0" fontId="11" fillId="4" borderId="9" xfId="0" applyFont="1" applyFill="1" applyBorder="1" applyAlignment="1">
      <alignment vertical="center"/>
    </xf>
    <xf numFmtId="14" fontId="6" fillId="4" borderId="9" xfId="0" applyNumberFormat="1" applyFont="1" applyFill="1" applyBorder="1" applyAlignment="1">
      <alignment vertical="center"/>
    </xf>
    <xf numFmtId="0" fontId="0" fillId="4" borderId="0" xfId="0" applyFill="1" applyAlignment="1">
      <alignment vertical="center"/>
    </xf>
    <xf numFmtId="0" fontId="0" fillId="4" borderId="0" xfId="0" applyFill="1" applyAlignment="1">
      <alignment vertical="center" wrapText="1"/>
    </xf>
    <xf numFmtId="0" fontId="9" fillId="0" borderId="9" xfId="0" applyFont="1" applyBorder="1" applyAlignment="1">
      <alignment vertical="center" wrapText="1"/>
    </xf>
    <xf numFmtId="0" fontId="0" fillId="0" borderId="9" xfId="0" applyBorder="1" applyAlignment="1">
      <alignment vertical="center" wrapText="1"/>
    </xf>
    <xf numFmtId="0" fontId="2" fillId="0" borderId="9" xfId="0" applyFont="1" applyBorder="1" applyAlignment="1">
      <alignment vertical="center"/>
    </xf>
    <xf numFmtId="14" fontId="0" fillId="0" borderId="9" xfId="0" applyNumberFormat="1" applyBorder="1" applyAlignment="1">
      <alignment vertical="center"/>
    </xf>
    <xf numFmtId="0" fontId="0" fillId="0" borderId="13" xfId="0" applyBorder="1" applyAlignment="1">
      <alignment vertical="center"/>
    </xf>
    <xf numFmtId="0" fontId="0" fillId="0" borderId="13" xfId="0" applyBorder="1" applyAlignment="1">
      <alignment vertical="center" wrapText="1"/>
    </xf>
    <xf numFmtId="0" fontId="10" fillId="0" borderId="9" xfId="0" applyFont="1" applyBorder="1" applyAlignment="1">
      <alignment vertical="center" wrapText="1"/>
    </xf>
    <xf numFmtId="0" fontId="10" fillId="0" borderId="13" xfId="0" applyFont="1" applyBorder="1" applyAlignment="1">
      <alignment vertical="center" wrapText="1"/>
    </xf>
    <xf numFmtId="0" fontId="0" fillId="0" borderId="0" xfId="0" applyAlignment="1">
      <alignment vertical="center" wrapText="1"/>
    </xf>
    <xf numFmtId="0" fontId="5" fillId="0" borderId="0" xfId="0" applyFont="1" applyAlignment="1">
      <alignment vertical="center"/>
    </xf>
    <xf numFmtId="14" fontId="0" fillId="0" borderId="0" xfId="0" applyNumberFormat="1" applyAlignment="1">
      <alignment vertical="center"/>
    </xf>
    <xf numFmtId="0" fontId="6" fillId="4" borderId="0" xfId="0" applyFont="1" applyFill="1" applyAlignment="1">
      <alignment vertical="center"/>
    </xf>
    <xf numFmtId="0" fontId="11" fillId="4" borderId="0" xfId="0" applyFont="1" applyFill="1" applyAlignment="1">
      <alignment vertical="center"/>
    </xf>
    <xf numFmtId="14" fontId="6" fillId="4" borderId="0" xfId="0" applyNumberFormat="1" applyFont="1" applyFill="1" applyAlignment="1">
      <alignment vertical="center"/>
    </xf>
    <xf numFmtId="0" fontId="0" fillId="0" borderId="19" xfId="0" applyBorder="1" applyAlignment="1">
      <alignment vertical="center"/>
    </xf>
    <xf numFmtId="0" fontId="0" fillId="0" borderId="2" xfId="0" applyBorder="1" applyAlignment="1">
      <alignment vertical="center"/>
    </xf>
    <xf numFmtId="0" fontId="2" fillId="0" borderId="2" xfId="0" applyFont="1" applyBorder="1" applyAlignment="1">
      <alignment vertical="center"/>
    </xf>
    <xf numFmtId="14" fontId="0" fillId="0" borderId="12" xfId="0" applyNumberFormat="1" applyBorder="1" applyAlignment="1">
      <alignment vertical="center"/>
    </xf>
    <xf numFmtId="0" fontId="7" fillId="0" borderId="2" xfId="0" applyFont="1" applyBorder="1" applyAlignment="1">
      <alignment vertical="center"/>
    </xf>
    <xf numFmtId="0" fontId="8" fillId="0" borderId="2" xfId="0" applyFont="1" applyBorder="1" applyAlignment="1">
      <alignment vertical="center"/>
    </xf>
    <xf numFmtId="0" fontId="0" fillId="0" borderId="2" xfId="0" applyBorder="1" applyAlignment="1">
      <alignment horizontal="left" vertical="center"/>
    </xf>
    <xf numFmtId="0" fontId="0" fillId="0" borderId="9" xfId="0" applyBorder="1" applyAlignment="1">
      <alignment horizontal="left" vertical="center"/>
    </xf>
    <xf numFmtId="0" fontId="0" fillId="0" borderId="0" xfId="0" applyAlignment="1">
      <alignment horizontal="left" vertical="center"/>
    </xf>
    <xf numFmtId="0" fontId="6" fillId="4" borderId="11" xfId="0" applyFont="1" applyFill="1" applyBorder="1" applyAlignment="1">
      <alignment vertical="center"/>
    </xf>
    <xf numFmtId="0" fontId="11" fillId="4" borderId="11" xfId="0" applyFont="1" applyFill="1" applyBorder="1" applyAlignment="1">
      <alignment vertical="center"/>
    </xf>
    <xf numFmtId="14" fontId="6" fillId="4" borderId="11" xfId="0" applyNumberFormat="1" applyFont="1" applyFill="1" applyBorder="1" applyAlignment="1">
      <alignment vertical="center"/>
    </xf>
    <xf numFmtId="164" fontId="0" fillId="0" borderId="0" xfId="0" applyNumberFormat="1" applyAlignment="1">
      <alignment vertical="center"/>
    </xf>
    <xf numFmtId="14" fontId="3" fillId="2" borderId="20" xfId="0" applyNumberFormat="1" applyFont="1" applyFill="1" applyBorder="1" applyAlignment="1">
      <alignment horizontal="center" vertical="center"/>
    </xf>
    <xf numFmtId="0" fontId="0" fillId="0" borderId="14" xfId="0" applyBorder="1" applyAlignment="1">
      <alignment vertical="center"/>
    </xf>
    <xf numFmtId="164" fontId="0" fillId="0" borderId="9" xfId="0" applyNumberFormat="1" applyBorder="1" applyAlignment="1">
      <alignment horizontal="right" vertical="center"/>
    </xf>
    <xf numFmtId="164" fontId="0" fillId="0" borderId="2" xfId="0" applyNumberFormat="1" applyBorder="1" applyAlignment="1">
      <alignment horizontal="right" vertical="center"/>
    </xf>
    <xf numFmtId="0" fontId="0" fillId="0" borderId="14" xfId="0" applyBorder="1" applyAlignment="1">
      <alignment vertical="center" wrapText="1"/>
    </xf>
    <xf numFmtId="0" fontId="5" fillId="0" borderId="14" xfId="0" applyFont="1" applyBorder="1" applyAlignment="1">
      <alignment vertical="center"/>
    </xf>
    <xf numFmtId="0" fontId="0" fillId="0" borderId="15" xfId="0" applyBorder="1" applyAlignment="1">
      <alignment vertical="center"/>
    </xf>
    <xf numFmtId="0" fontId="10" fillId="0" borderId="9" xfId="0" applyFont="1" applyBorder="1"/>
    <xf numFmtId="0" fontId="9" fillId="0" borderId="14" xfId="0" applyFont="1" applyBorder="1" applyAlignment="1">
      <alignment vertical="center" wrapText="1"/>
    </xf>
    <xf numFmtId="0" fontId="5" fillId="0" borderId="10" xfId="0" applyFont="1" applyBorder="1" applyAlignment="1">
      <alignment vertical="center"/>
    </xf>
    <xf numFmtId="0" fontId="6" fillId="4" borderId="0" xfId="0" applyFont="1" applyFill="1" applyAlignment="1">
      <alignment horizontal="left" vertical="center"/>
    </xf>
    <xf numFmtId="14" fontId="0" fillId="0" borderId="9" xfId="0" applyNumberFormat="1" applyBorder="1" applyAlignment="1">
      <alignment horizontal="center" vertical="center"/>
    </xf>
    <xf numFmtId="164" fontId="0" fillId="0" borderId="9" xfId="0" applyNumberFormat="1" applyBorder="1" applyAlignment="1">
      <alignment horizontal="center" vertical="center"/>
    </xf>
    <xf numFmtId="14" fontId="3" fillId="2" borderId="9" xfId="0" applyNumberFormat="1" applyFont="1" applyFill="1" applyBorder="1" applyAlignment="1">
      <alignment horizontal="center" vertical="center" wrapText="1"/>
    </xf>
    <xf numFmtId="0" fontId="0" fillId="0" borderId="9" xfId="0" quotePrefix="1" applyBorder="1"/>
    <xf numFmtId="0" fontId="0" fillId="0" borderId="19" xfId="0" applyBorder="1"/>
    <xf numFmtId="0" fontId="0" fillId="0" borderId="9" xfId="0" quotePrefix="1" applyBorder="1" applyAlignment="1">
      <alignment vertical="center"/>
    </xf>
    <xf numFmtId="0" fontId="3" fillId="2" borderId="15" xfId="0" applyFont="1" applyFill="1" applyBorder="1" applyAlignment="1">
      <alignment horizontal="center" vertical="center"/>
    </xf>
    <xf numFmtId="0" fontId="14" fillId="5" borderId="2" xfId="0" applyFont="1" applyFill="1" applyBorder="1" applyAlignment="1">
      <alignment horizontal="center" vertical="center" wrapText="1"/>
    </xf>
    <xf numFmtId="0" fontId="0" fillId="4" borderId="4" xfId="0" applyFill="1" applyBorder="1" applyAlignment="1">
      <alignment vertical="center"/>
    </xf>
    <xf numFmtId="0" fontId="0" fillId="4" borderId="2" xfId="0" applyFill="1" applyBorder="1" applyAlignment="1">
      <alignment vertical="center"/>
    </xf>
    <xf numFmtId="0" fontId="0" fillId="4" borderId="2" xfId="0" applyFill="1" applyBorder="1" applyAlignment="1">
      <alignment horizontal="center" vertical="center"/>
    </xf>
    <xf numFmtId="0" fontId="0" fillId="5" borderId="2" xfId="0" applyFill="1" applyBorder="1" applyAlignment="1">
      <alignment vertical="center"/>
    </xf>
    <xf numFmtId="164" fontId="16" fillId="6" borderId="1" xfId="0" applyNumberFormat="1" applyFont="1" applyFill="1" applyBorder="1" applyAlignment="1">
      <alignment horizontal="right" vertical="center"/>
    </xf>
    <xf numFmtId="0" fontId="9" fillId="6" borderId="24" xfId="0" applyFont="1" applyFill="1" applyBorder="1" applyAlignment="1">
      <alignment horizontal="center" vertical="center"/>
    </xf>
    <xf numFmtId="164" fontId="16" fillId="7" borderId="1" xfId="0" applyNumberFormat="1" applyFont="1" applyFill="1" applyBorder="1" applyAlignment="1">
      <alignment horizontal="right" vertical="center"/>
    </xf>
    <xf numFmtId="0" fontId="9" fillId="7" borderId="24" xfId="0" applyFont="1" applyFill="1" applyBorder="1" applyAlignment="1">
      <alignment horizontal="center" vertical="center"/>
    </xf>
    <xf numFmtId="164" fontId="0" fillId="0" borderId="2" xfId="0" applyNumberFormat="1" applyBorder="1" applyAlignment="1">
      <alignment vertical="center"/>
    </xf>
    <xf numFmtId="0" fontId="18" fillId="0" borderId="9" xfId="0" applyFont="1" applyBorder="1" applyAlignment="1">
      <alignment vertical="center"/>
    </xf>
    <xf numFmtId="0" fontId="0" fillId="0" borderId="1" xfId="0" applyBorder="1" applyAlignment="1">
      <alignment vertical="center"/>
    </xf>
    <xf numFmtId="0" fontId="14" fillId="4" borderId="2" xfId="0" applyFont="1" applyFill="1" applyBorder="1" applyAlignment="1">
      <alignment horizontal="center" vertical="center" wrapText="1"/>
    </xf>
    <xf numFmtId="0" fontId="15" fillId="6" borderId="2" xfId="0" applyFont="1" applyFill="1" applyBorder="1" applyAlignment="1">
      <alignment horizontal="center" vertical="center" wrapText="1"/>
    </xf>
    <xf numFmtId="0" fontId="15" fillId="6" borderId="19" xfId="0" applyFont="1" applyFill="1" applyBorder="1" applyAlignment="1">
      <alignment horizontal="center" vertical="center" wrapText="1"/>
    </xf>
    <xf numFmtId="0" fontId="15" fillId="7" borderId="2" xfId="0" applyFont="1" applyFill="1" applyBorder="1" applyAlignment="1">
      <alignment horizontal="center" vertical="center" wrapText="1"/>
    </xf>
    <xf numFmtId="0" fontId="15" fillId="7" borderId="19" xfId="0" applyFont="1" applyFill="1" applyBorder="1" applyAlignment="1">
      <alignment horizontal="center" vertical="center" wrapText="1"/>
    </xf>
    <xf numFmtId="0" fontId="0" fillId="0" borderId="0" xfId="0" applyAlignment="1">
      <alignment wrapText="1"/>
    </xf>
    <xf numFmtId="164" fontId="16" fillId="8" borderId="1" xfId="0" applyNumberFormat="1" applyFont="1" applyFill="1" applyBorder="1" applyAlignment="1">
      <alignment horizontal="right" vertical="center"/>
    </xf>
    <xf numFmtId="0" fontId="9" fillId="8" borderId="24" xfId="0" applyFont="1" applyFill="1" applyBorder="1" applyAlignment="1">
      <alignment horizontal="center" vertical="center"/>
    </xf>
    <xf numFmtId="0" fontId="19" fillId="0" borderId="24" xfId="0" applyFont="1" applyBorder="1" applyAlignment="1">
      <alignment vertical="center"/>
    </xf>
    <xf numFmtId="2" fontId="19" fillId="0" borderId="24" xfId="0" applyNumberFormat="1" applyFont="1" applyBorder="1" applyAlignment="1">
      <alignment vertical="center"/>
    </xf>
    <xf numFmtId="0" fontId="3" fillId="0" borderId="0" xfId="0" applyFont="1" applyAlignment="1">
      <alignment vertical="center"/>
    </xf>
    <xf numFmtId="164" fontId="17" fillId="0" borderId="1" xfId="0" applyNumberFormat="1" applyFont="1" applyBorder="1" applyAlignment="1">
      <alignment vertical="center"/>
    </xf>
    <xf numFmtId="0" fontId="9" fillId="0" borderId="24" xfId="0" applyFont="1" applyBorder="1" applyAlignment="1">
      <alignment vertical="center"/>
    </xf>
    <xf numFmtId="2" fontId="9" fillId="0" borderId="24" xfId="0" applyNumberFormat="1" applyFont="1" applyBorder="1" applyAlignment="1">
      <alignment vertical="center"/>
    </xf>
    <xf numFmtId="164" fontId="19" fillId="0" borderId="1" xfId="0" applyNumberFormat="1" applyFont="1" applyBorder="1" applyAlignment="1">
      <alignment vertical="center"/>
    </xf>
    <xf numFmtId="0" fontId="0" fillId="0" borderId="20" xfId="0" applyBorder="1" applyAlignment="1">
      <alignment vertical="center"/>
    </xf>
    <xf numFmtId="0" fontId="5" fillId="0" borderId="15" xfId="1" applyFont="1" applyBorder="1" applyAlignment="1">
      <alignment vertical="center"/>
    </xf>
    <xf numFmtId="0" fontId="9" fillId="0" borderId="15" xfId="0" applyFont="1" applyBorder="1"/>
    <xf numFmtId="0" fontId="9" fillId="0" borderId="20" xfId="0" applyFont="1" applyBorder="1"/>
    <xf numFmtId="0" fontId="5" fillId="0" borderId="17" xfId="0" applyFont="1" applyBorder="1" applyAlignment="1">
      <alignment vertical="center"/>
    </xf>
    <xf numFmtId="14" fontId="0" fillId="0" borderId="13" xfId="0" applyNumberFormat="1" applyBorder="1"/>
    <xf numFmtId="14" fontId="0" fillId="3" borderId="9" xfId="0" applyNumberFormat="1" applyFill="1" applyBorder="1" applyAlignment="1">
      <alignment vertical="center"/>
    </xf>
    <xf numFmtId="0" fontId="9" fillId="6" borderId="24" xfId="0" applyFont="1" applyFill="1" applyBorder="1" applyAlignment="1">
      <alignment horizontal="center" vertical="center" wrapText="1"/>
    </xf>
    <xf numFmtId="0" fontId="19" fillId="0" borderId="24" xfId="0" applyFont="1" applyBorder="1" applyAlignment="1">
      <alignment vertical="center" wrapText="1"/>
    </xf>
    <xf numFmtId="0" fontId="9" fillId="0" borderId="24" xfId="0" applyFont="1" applyBorder="1" applyAlignment="1">
      <alignment vertical="center" wrapText="1"/>
    </xf>
    <xf numFmtId="0" fontId="0" fillId="4" borderId="2" xfId="0" applyFill="1" applyBorder="1" applyAlignment="1">
      <alignment horizontal="center" vertical="center" wrapText="1"/>
    </xf>
    <xf numFmtId="0" fontId="0" fillId="0" borderId="19" xfId="0" applyBorder="1" applyAlignment="1">
      <alignment vertical="center" wrapText="1"/>
    </xf>
    <xf numFmtId="0" fontId="0" fillId="4" borderId="2" xfId="0" applyFill="1" applyBorder="1" applyAlignment="1">
      <alignment vertical="center" wrapText="1"/>
    </xf>
    <xf numFmtId="0" fontId="18" fillId="0" borderId="0" xfId="0" applyFont="1" applyAlignment="1">
      <alignment vertical="center"/>
    </xf>
    <xf numFmtId="164" fontId="17" fillId="0" borderId="0" xfId="0" applyNumberFormat="1" applyFont="1" applyAlignment="1">
      <alignment vertical="center"/>
    </xf>
    <xf numFmtId="0" fontId="9" fillId="0" borderId="0" xfId="0" applyFont="1" applyAlignment="1">
      <alignment vertical="center" wrapText="1"/>
    </xf>
    <xf numFmtId="2" fontId="9" fillId="0" borderId="0" xfId="0" applyNumberFormat="1" applyFont="1" applyAlignment="1">
      <alignment vertical="center"/>
    </xf>
    <xf numFmtId="0" fontId="9" fillId="0" borderId="0" xfId="0" applyFont="1" applyAlignment="1">
      <alignment vertical="center"/>
    </xf>
    <xf numFmtId="0" fontId="20" fillId="0" borderId="9" xfId="0" applyFont="1" applyBorder="1"/>
    <xf numFmtId="0" fontId="21" fillId="0" borderId="24" xfId="0" applyFont="1" applyBorder="1" applyAlignment="1">
      <alignment vertical="center" wrapText="1"/>
    </xf>
    <xf numFmtId="0" fontId="3" fillId="2" borderId="2"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6" fillId="4" borderId="9" xfId="0" applyFont="1" applyFill="1"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xf>
    <xf numFmtId="0" fontId="0" fillId="4" borderId="0" xfId="0" applyFill="1" applyAlignment="1">
      <alignment horizontal="right" vertical="center"/>
    </xf>
    <xf numFmtId="0" fontId="15" fillId="6" borderId="19" xfId="0" applyFont="1" applyFill="1" applyBorder="1" applyAlignment="1">
      <alignment horizontal="right" vertical="center" wrapText="1"/>
    </xf>
    <xf numFmtId="0" fontId="9" fillId="6" borderId="24" xfId="0" applyFont="1" applyFill="1" applyBorder="1" applyAlignment="1">
      <alignment horizontal="right" vertical="center"/>
    </xf>
    <xf numFmtId="2" fontId="19" fillId="0" borderId="24" xfId="0" applyNumberFormat="1" applyFont="1" applyBorder="1" applyAlignment="1">
      <alignment horizontal="right" vertical="center"/>
    </xf>
    <xf numFmtId="2" fontId="9" fillId="0" borderId="24" xfId="0" applyNumberFormat="1" applyFont="1" applyBorder="1" applyAlignment="1">
      <alignment horizontal="right" vertical="center"/>
    </xf>
    <xf numFmtId="2" fontId="9" fillId="0" borderId="0" xfId="0" applyNumberFormat="1" applyFont="1" applyAlignment="1">
      <alignment horizontal="right" vertical="center"/>
    </xf>
    <xf numFmtId="0" fontId="0" fillId="0" borderId="0" xfId="0" applyAlignment="1">
      <alignment horizontal="right"/>
    </xf>
    <xf numFmtId="0" fontId="18" fillId="0" borderId="12" xfId="0" applyFont="1" applyBorder="1" applyAlignment="1">
      <alignment vertical="center"/>
    </xf>
    <xf numFmtId="0" fontId="0" fillId="0" borderId="4" xfId="0" applyBorder="1" applyAlignment="1">
      <alignment vertical="center"/>
    </xf>
    <xf numFmtId="0" fontId="0" fillId="0" borderId="25" xfId="0" applyBorder="1" applyAlignment="1">
      <alignment vertical="center"/>
    </xf>
    <xf numFmtId="0" fontId="0" fillId="0" borderId="24" xfId="0" applyBorder="1" applyAlignment="1">
      <alignment vertical="center"/>
    </xf>
    <xf numFmtId="0" fontId="3" fillId="0" borderId="12" xfId="0" applyFont="1" applyBorder="1" applyAlignment="1">
      <alignment vertical="center"/>
    </xf>
    <xf numFmtId="0" fontId="5" fillId="0" borderId="13" xfId="0" applyFont="1" applyBorder="1" applyAlignment="1">
      <alignment vertical="center"/>
    </xf>
    <xf numFmtId="0" fontId="5" fillId="0" borderId="18" xfId="0" applyFont="1" applyBorder="1" applyAlignment="1">
      <alignment vertical="center"/>
    </xf>
    <xf numFmtId="14" fontId="0" fillId="3" borderId="9" xfId="0" applyNumberFormat="1" applyFill="1" applyBorder="1"/>
    <xf numFmtId="0" fontId="0" fillId="9" borderId="14" xfId="0" applyFill="1" applyBorder="1" applyAlignment="1">
      <alignment vertical="center" wrapText="1"/>
    </xf>
    <xf numFmtId="0" fontId="5" fillId="9" borderId="9" xfId="0" applyFont="1" applyFill="1" applyBorder="1" applyAlignment="1">
      <alignment vertical="center" wrapText="1"/>
    </xf>
    <xf numFmtId="0" fontId="5" fillId="0" borderId="17" xfId="0" applyFont="1" applyBorder="1" applyAlignment="1">
      <alignment horizontal="left" vertical="center"/>
    </xf>
    <xf numFmtId="0" fontId="11" fillId="11" borderId="12" xfId="0" applyFont="1" applyFill="1" applyBorder="1" applyAlignment="1">
      <alignment horizontal="left" vertical="center"/>
    </xf>
    <xf numFmtId="0" fontId="3" fillId="12" borderId="11" xfId="0" applyFont="1" applyFill="1" applyBorder="1" applyAlignment="1">
      <alignment horizontal="left" vertical="center"/>
    </xf>
    <xf numFmtId="0" fontId="3" fillId="14" borderId="16" xfId="0" applyFont="1" applyFill="1" applyBorder="1" applyAlignment="1">
      <alignment horizontal="left" vertical="center"/>
    </xf>
    <xf numFmtId="0" fontId="11" fillId="13" borderId="16" xfId="0" applyFont="1" applyFill="1" applyBorder="1" applyAlignment="1">
      <alignment horizontal="left" vertical="center"/>
    </xf>
    <xf numFmtId="0" fontId="11" fillId="4" borderId="0" xfId="0" applyFont="1" applyFill="1"/>
    <xf numFmtId="0" fontId="5" fillId="0" borderId="2" xfId="0" applyFont="1" applyBorder="1"/>
    <xf numFmtId="0" fontId="5" fillId="0" borderId="0" xfId="0" applyFont="1"/>
    <xf numFmtId="0" fontId="11" fillId="10" borderId="14" xfId="0" applyFont="1" applyFill="1" applyBorder="1" applyAlignment="1">
      <alignment vertical="center"/>
    </xf>
    <xf numFmtId="0" fontId="11" fillId="2" borderId="14" xfId="0" applyFont="1" applyFill="1" applyBorder="1" applyAlignment="1">
      <alignment vertical="center"/>
    </xf>
    <xf numFmtId="0" fontId="11" fillId="11" borderId="14" xfId="0" applyFont="1" applyFill="1" applyBorder="1" applyAlignment="1">
      <alignment vertical="center"/>
    </xf>
    <xf numFmtId="0" fontId="3" fillId="12" borderId="14" xfId="0" applyFont="1" applyFill="1" applyBorder="1" applyAlignment="1">
      <alignment vertical="center"/>
    </xf>
    <xf numFmtId="0" fontId="11" fillId="13" borderId="14" xfId="0" applyFont="1" applyFill="1" applyBorder="1" applyAlignment="1">
      <alignment vertical="center"/>
    </xf>
    <xf numFmtId="0" fontId="3" fillId="14" borderId="18" xfId="0" applyFont="1" applyFill="1" applyBorder="1" applyAlignment="1">
      <alignment vertical="center"/>
    </xf>
    <xf numFmtId="0" fontId="3" fillId="0" borderId="21" xfId="0" applyFont="1" applyBorder="1" applyAlignment="1">
      <alignment vertical="center"/>
    </xf>
    <xf numFmtId="0" fontId="3" fillId="0" borderId="18" xfId="0" applyFont="1" applyBorder="1" applyAlignment="1">
      <alignment vertical="center"/>
    </xf>
    <xf numFmtId="0" fontId="11" fillId="13" borderId="10" xfId="0" applyFont="1" applyFill="1" applyBorder="1" applyAlignment="1">
      <alignment vertical="center"/>
    </xf>
    <xf numFmtId="0" fontId="11" fillId="14" borderId="18" xfId="0" applyFont="1" applyFill="1" applyBorder="1" applyAlignment="1">
      <alignment vertical="center"/>
    </xf>
    <xf numFmtId="0" fontId="11" fillId="15" borderId="22" xfId="0" applyFont="1" applyFill="1" applyBorder="1" applyAlignment="1">
      <alignment vertical="center"/>
    </xf>
    <xf numFmtId="0" fontId="3" fillId="16" borderId="12" xfId="0" applyFont="1" applyFill="1" applyBorder="1" applyAlignment="1">
      <alignment horizontal="left" vertical="center"/>
    </xf>
    <xf numFmtId="0" fontId="9" fillId="0" borderId="15" xfId="0" applyFont="1" applyBorder="1" applyAlignment="1">
      <alignment wrapText="1"/>
    </xf>
    <xf numFmtId="0" fontId="9" fillId="0" borderId="21" xfId="0" applyFont="1" applyBorder="1" applyAlignment="1">
      <alignment wrapText="1"/>
    </xf>
    <xf numFmtId="0" fontId="9" fillId="0" borderId="16" xfId="0" applyFont="1" applyBorder="1"/>
    <xf numFmtId="0" fontId="9" fillId="0" borderId="10" xfId="0" applyFont="1" applyBorder="1"/>
    <xf numFmtId="14" fontId="9" fillId="0" borderId="9" xfId="0" applyNumberFormat="1" applyFont="1" applyBorder="1"/>
    <xf numFmtId="0" fontId="9" fillId="0" borderId="14" xfId="0" applyFont="1" applyBorder="1"/>
    <xf numFmtId="0" fontId="9" fillId="0" borderId="21" xfId="0" applyFont="1" applyBorder="1"/>
    <xf numFmtId="0" fontId="9" fillId="0" borderId="11" xfId="0" applyFont="1" applyBorder="1"/>
    <xf numFmtId="0" fontId="9" fillId="0" borderId="18" xfId="0" applyFont="1" applyBorder="1"/>
    <xf numFmtId="0" fontId="9" fillId="0" borderId="22" xfId="0" applyFont="1" applyBorder="1"/>
    <xf numFmtId="0" fontId="9" fillId="0" borderId="22" xfId="0" applyFont="1" applyBorder="1" applyAlignment="1">
      <alignment wrapText="1"/>
    </xf>
    <xf numFmtId="0" fontId="9" fillId="0" borderId="0" xfId="0" applyFont="1"/>
    <xf numFmtId="0" fontId="9" fillId="0" borderId="27" xfId="0" applyFont="1" applyBorder="1"/>
    <xf numFmtId="0" fontId="9" fillId="0" borderId="2" xfId="0" applyFont="1" applyBorder="1"/>
    <xf numFmtId="0" fontId="9" fillId="0" borderId="19" xfId="0" applyFont="1" applyBorder="1"/>
    <xf numFmtId="0" fontId="9" fillId="0" borderId="19" xfId="0" applyFont="1" applyBorder="1" applyAlignment="1">
      <alignment wrapText="1"/>
    </xf>
    <xf numFmtId="0" fontId="9" fillId="0" borderId="1" xfId="0" applyFont="1" applyBorder="1"/>
    <xf numFmtId="0" fontId="9" fillId="0" borderId="24" xfId="0" applyFont="1" applyBorder="1"/>
    <xf numFmtId="0" fontId="9" fillId="0" borderId="24" xfId="0" applyFont="1" applyBorder="1" applyAlignment="1">
      <alignment wrapText="1"/>
    </xf>
    <xf numFmtId="164" fontId="0" fillId="3" borderId="9" xfId="0" applyNumberFormat="1" applyFill="1" applyBorder="1" applyAlignment="1">
      <alignment horizontal="right" vertical="center"/>
    </xf>
    <xf numFmtId="0" fontId="3" fillId="0" borderId="11" xfId="0" applyFont="1" applyBorder="1" applyAlignment="1">
      <alignment vertical="center"/>
    </xf>
    <xf numFmtId="0" fontId="3" fillId="16" borderId="26" xfId="0" applyFont="1" applyFill="1" applyBorder="1" applyAlignment="1">
      <alignment horizontal="left" vertical="center"/>
    </xf>
    <xf numFmtId="0" fontId="12" fillId="0" borderId="0" xfId="0" applyFont="1" applyAlignment="1">
      <alignment vertical="center"/>
    </xf>
    <xf numFmtId="0" fontId="6" fillId="0" borderId="0" xfId="0" applyFont="1" applyAlignment="1">
      <alignment horizontal="center" vertical="center"/>
    </xf>
    <xf numFmtId="0" fontId="0" fillId="0" borderId="9" xfId="0" quotePrefix="1" applyBorder="1" applyAlignment="1">
      <alignment horizontal="center" vertical="center"/>
    </xf>
    <xf numFmtId="0" fontId="23" fillId="0" borderId="9" xfId="0" applyFont="1" applyBorder="1" applyAlignment="1">
      <alignment horizontal="left" vertical="center"/>
    </xf>
    <xf numFmtId="0" fontId="22" fillId="0" borderId="9" xfId="0" applyFont="1" applyBorder="1" applyAlignment="1">
      <alignment vertical="center"/>
    </xf>
    <xf numFmtId="0" fontId="22" fillId="0" borderId="9" xfId="0" applyFont="1" applyBorder="1" applyAlignment="1">
      <alignment vertical="center" wrapText="1"/>
    </xf>
    <xf numFmtId="0" fontId="6" fillId="4" borderId="12" xfId="0" applyFont="1" applyFill="1" applyBorder="1" applyAlignment="1">
      <alignment vertical="center"/>
    </xf>
    <xf numFmtId="0" fontId="6" fillId="4" borderId="17" xfId="0" applyFont="1" applyFill="1" applyBorder="1" applyAlignment="1">
      <alignment vertical="center"/>
    </xf>
    <xf numFmtId="0" fontId="6" fillId="4" borderId="26" xfId="0" applyFont="1" applyFill="1" applyBorder="1" applyAlignment="1">
      <alignment vertical="center"/>
    </xf>
    <xf numFmtId="0" fontId="6" fillId="4" borderId="16" xfId="0" applyFont="1" applyFill="1" applyBorder="1" applyAlignment="1">
      <alignment vertical="center"/>
    </xf>
    <xf numFmtId="0" fontId="6" fillId="4" borderId="20" xfId="0" applyFont="1" applyFill="1" applyBorder="1" applyAlignment="1">
      <alignment vertical="center"/>
    </xf>
    <xf numFmtId="0" fontId="11" fillId="10" borderId="12" xfId="0" applyFont="1" applyFill="1" applyBorder="1" applyAlignment="1">
      <alignment vertical="center"/>
    </xf>
    <xf numFmtId="0" fontId="11" fillId="10" borderId="16" xfId="0" applyFont="1" applyFill="1" applyBorder="1" applyAlignment="1">
      <alignment vertical="center"/>
    </xf>
    <xf numFmtId="0" fontId="11" fillId="2" borderId="12" xfId="0" applyFont="1" applyFill="1" applyBorder="1" applyAlignment="1">
      <alignment vertical="center"/>
    </xf>
    <xf numFmtId="0" fontId="11" fillId="2" borderId="16" xfId="0" applyFont="1" applyFill="1" applyBorder="1" applyAlignment="1">
      <alignment vertical="center"/>
    </xf>
    <xf numFmtId="0" fontId="11" fillId="11" borderId="16" xfId="0" applyFont="1" applyFill="1" applyBorder="1" applyAlignment="1">
      <alignment vertical="center"/>
    </xf>
    <xf numFmtId="0" fontId="11" fillId="11" borderId="15" xfId="0" applyFont="1" applyFill="1" applyBorder="1" applyAlignment="1">
      <alignment vertical="center"/>
    </xf>
    <xf numFmtId="0" fontId="11" fillId="13" borderId="12" xfId="0" applyFont="1" applyFill="1" applyBorder="1" applyAlignment="1">
      <alignment horizontal="left" vertical="center"/>
    </xf>
    <xf numFmtId="0" fontId="11" fillId="13" borderId="15" xfId="0" applyFont="1" applyFill="1" applyBorder="1" applyAlignment="1">
      <alignment horizontal="left" vertical="center"/>
    </xf>
    <xf numFmtId="0" fontId="11" fillId="14" borderId="16" xfId="0" applyFont="1" applyFill="1" applyBorder="1" applyAlignment="1">
      <alignment horizontal="left" vertical="center"/>
    </xf>
    <xf numFmtId="0" fontId="6" fillId="14" borderId="16" xfId="0" applyFont="1" applyFill="1" applyBorder="1" applyAlignment="1">
      <alignment horizontal="left" vertical="center"/>
    </xf>
    <xf numFmtId="0" fontId="11" fillId="15" borderId="12" xfId="0" applyFont="1" applyFill="1" applyBorder="1" applyAlignment="1">
      <alignment horizontal="left" vertical="center"/>
    </xf>
    <xf numFmtId="0" fontId="11" fillId="15" borderId="15" xfId="0" applyFont="1" applyFill="1" applyBorder="1" applyAlignment="1">
      <alignment horizontal="left" vertical="center"/>
    </xf>
    <xf numFmtId="0" fontId="11" fillId="15" borderId="16" xfId="0" applyFont="1" applyFill="1" applyBorder="1" applyAlignment="1">
      <alignment horizontal="left" vertical="center"/>
    </xf>
    <xf numFmtId="0" fontId="6" fillId="16" borderId="16" xfId="0" applyFont="1" applyFill="1" applyBorder="1" applyAlignment="1">
      <alignment vertical="center"/>
    </xf>
    <xf numFmtId="0" fontId="6" fillId="16" borderId="15" xfId="0" applyFont="1" applyFill="1" applyBorder="1" applyAlignment="1">
      <alignment vertical="center"/>
    </xf>
    <xf numFmtId="0" fontId="0" fillId="0" borderId="16" xfId="0" applyBorder="1" applyAlignment="1">
      <alignment vertical="center"/>
    </xf>
    <xf numFmtId="0" fontId="2" fillId="0" borderId="28" xfId="0" applyFont="1" applyBorder="1" applyAlignment="1">
      <alignment vertical="center"/>
    </xf>
    <xf numFmtId="0" fontId="9" fillId="0" borderId="9" xfId="0" applyFont="1" applyBorder="1" applyAlignment="1">
      <alignment vertical="center"/>
    </xf>
    <xf numFmtId="0" fontId="7" fillId="0" borderId="28" xfId="0" applyFont="1" applyBorder="1" applyAlignment="1">
      <alignment vertical="center"/>
    </xf>
    <xf numFmtId="0" fontId="8" fillId="0" borderId="28" xfId="0" applyFont="1"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26" xfId="0" applyBorder="1" applyAlignment="1">
      <alignment vertical="center"/>
    </xf>
    <xf numFmtId="0" fontId="9" fillId="0" borderId="13" xfId="0" applyFont="1" applyBorder="1" applyAlignment="1">
      <alignment vertical="center"/>
    </xf>
    <xf numFmtId="0" fontId="22" fillId="0" borderId="14" xfId="0" applyFont="1" applyBorder="1" applyAlignment="1">
      <alignment vertical="center"/>
    </xf>
    <xf numFmtId="0" fontId="22" fillId="0" borderId="18" xfId="0" applyFont="1" applyBorder="1" applyAlignment="1">
      <alignment vertical="center"/>
    </xf>
    <xf numFmtId="0" fontId="22" fillId="0" borderId="13" xfId="0" applyFont="1" applyBorder="1" applyAlignment="1">
      <alignment vertical="center"/>
    </xf>
    <xf numFmtId="14" fontId="6" fillId="4" borderId="12" xfId="0" applyNumberFormat="1" applyFont="1" applyFill="1" applyBorder="1" applyAlignment="1">
      <alignment vertical="center"/>
    </xf>
    <xf numFmtId="14" fontId="3" fillId="2" borderId="12" xfId="0" applyNumberFormat="1" applyFont="1" applyFill="1" applyBorder="1" applyAlignment="1">
      <alignment horizontal="center" vertical="center"/>
    </xf>
    <xf numFmtId="14" fontId="0" fillId="3" borderId="12" xfId="0" applyNumberFormat="1" applyFill="1" applyBorder="1" applyAlignment="1">
      <alignment vertical="center"/>
    </xf>
    <xf numFmtId="14" fontId="0" fillId="0" borderId="17" xfId="0" applyNumberFormat="1" applyBorder="1" applyAlignment="1">
      <alignment vertical="center"/>
    </xf>
    <xf numFmtId="14" fontId="0" fillId="3" borderId="10" xfId="0" applyNumberFormat="1" applyFill="1" applyBorder="1" applyAlignment="1">
      <alignment vertical="center"/>
    </xf>
    <xf numFmtId="14" fontId="0" fillId="0" borderId="10" xfId="0" applyNumberFormat="1" applyBorder="1" applyAlignment="1">
      <alignment vertical="center"/>
    </xf>
    <xf numFmtId="14" fontId="0" fillId="0" borderId="16" xfId="0" applyNumberFormat="1" applyBorder="1" applyAlignment="1">
      <alignment vertical="center"/>
    </xf>
    <xf numFmtId="14" fontId="0" fillId="3" borderId="12" xfId="0" applyNumberFormat="1" applyFill="1" applyBorder="1"/>
    <xf numFmtId="14" fontId="9" fillId="0" borderId="12" xfId="0" applyNumberFormat="1" applyFont="1" applyBorder="1"/>
    <xf numFmtId="14" fontId="9" fillId="0" borderId="10" xfId="0" applyNumberFormat="1" applyFont="1" applyBorder="1"/>
    <xf numFmtId="14" fontId="9" fillId="0" borderId="27" xfId="0" applyNumberFormat="1" applyFont="1" applyBorder="1"/>
    <xf numFmtId="14" fontId="9" fillId="0" borderId="28" xfId="0" applyNumberFormat="1" applyFont="1" applyBorder="1"/>
    <xf numFmtId="14" fontId="9" fillId="0" borderId="23" xfId="0" applyNumberFormat="1" applyFont="1" applyBorder="1"/>
    <xf numFmtId="14" fontId="0" fillId="0" borderId="14" xfId="0" applyNumberFormat="1" applyBorder="1"/>
    <xf numFmtId="0" fontId="0" fillId="9" borderId="9" xfId="0" applyFill="1" applyBorder="1" applyAlignment="1">
      <alignment vertical="center"/>
    </xf>
    <xf numFmtId="0" fontId="10" fillId="0" borderId="0" xfId="0" applyFont="1"/>
    <xf numFmtId="164" fontId="17" fillId="0" borderId="8" xfId="0" applyNumberFormat="1" applyFont="1" applyBorder="1" applyAlignment="1">
      <alignment vertical="center"/>
    </xf>
    <xf numFmtId="0" fontId="24" fillId="0" borderId="24" xfId="0" applyFont="1" applyBorder="1" applyAlignment="1">
      <alignment vertical="center" wrapText="1"/>
    </xf>
    <xf numFmtId="0" fontId="9" fillId="0" borderId="29" xfId="0" applyFont="1" applyBorder="1" applyAlignment="1">
      <alignment vertical="center" wrapText="1"/>
    </xf>
    <xf numFmtId="0" fontId="10" fillId="0" borderId="9" xfId="0" applyFont="1" applyBorder="1" applyAlignment="1">
      <alignment wrapText="1"/>
    </xf>
    <xf numFmtId="2" fontId="9" fillId="0" borderId="9" xfId="0" applyNumberFormat="1" applyFont="1" applyBorder="1" applyAlignment="1">
      <alignment vertical="center"/>
    </xf>
    <xf numFmtId="164" fontId="17" fillId="0" borderId="24" xfId="0" applyNumberFormat="1" applyFont="1" applyBorder="1" applyAlignment="1">
      <alignment vertical="center"/>
    </xf>
    <xf numFmtId="0" fontId="10" fillId="0" borderId="13" xfId="0" applyFont="1" applyBorder="1" applyAlignment="1">
      <alignment wrapText="1"/>
    </xf>
    <xf numFmtId="2" fontId="9" fillId="0" borderId="29" xfId="0" applyNumberFormat="1" applyFont="1" applyBorder="1" applyAlignment="1">
      <alignment vertical="center"/>
    </xf>
    <xf numFmtId="0" fontId="14" fillId="4" borderId="23" xfId="0" applyFont="1" applyFill="1" applyBorder="1" applyAlignment="1">
      <alignment horizontal="center" vertical="center"/>
    </xf>
    <xf numFmtId="0" fontId="3" fillId="0" borderId="17" xfId="0" applyFont="1" applyBorder="1" applyAlignment="1">
      <alignment horizontal="center" vertical="center"/>
    </xf>
    <xf numFmtId="0" fontId="3" fillId="0" borderId="2" xfId="0" applyFont="1" applyBorder="1" applyAlignment="1">
      <alignment horizontal="left" vertical="center"/>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0" borderId="4" xfId="0" applyFont="1" applyBorder="1" applyAlignment="1">
      <alignment horizontal="left" vertical="center"/>
    </xf>
    <xf numFmtId="0" fontId="3" fillId="0" borderId="3" xfId="0" applyFont="1" applyBorder="1" applyAlignment="1">
      <alignment horizontal="left" vertical="center"/>
    </xf>
    <xf numFmtId="0" fontId="3" fillId="0" borderId="1" xfId="0" applyFont="1" applyBorder="1" applyAlignment="1">
      <alignment horizontal="left"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3" fillId="0" borderId="2" xfId="0" applyFont="1" applyBorder="1" applyAlignment="1">
      <alignment horizontal="center" vertical="center"/>
    </xf>
    <xf numFmtId="14" fontId="1" fillId="0" borderId="9" xfId="0" applyNumberFormat="1" applyFont="1" applyBorder="1" applyAlignment="1">
      <alignment horizontal="left" vertical="center" wrapText="1"/>
    </xf>
  </cellXfs>
  <cellStyles count="2">
    <cellStyle name="Bình thường" xfId="0" builtinId="0"/>
    <cellStyle name="Siêu kết nối" xfId="1" builtinId="8"/>
  </cellStyles>
  <dxfs count="181">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theme="5" tint="0.39997558519241921"/>
        </patternFill>
      </fill>
    </dxf>
    <dxf>
      <font>
        <color theme="1"/>
      </font>
      <fill>
        <patternFill patternType="solid">
          <bgColor rgb="FFFFFF00"/>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theme="5" tint="0.39997558519241921"/>
        </patternFill>
      </fill>
    </dxf>
    <dxf>
      <font>
        <color theme="1"/>
      </font>
      <fill>
        <patternFill patternType="solid">
          <bgColor rgb="FFFFFF00"/>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
      <font>
        <color theme="1"/>
      </font>
      <fill>
        <patternFill patternType="solid">
          <bgColor rgb="FFFFFF00"/>
        </patternFill>
      </fill>
    </dxf>
    <dxf>
      <fill>
        <patternFill>
          <bgColor rgb="FFFFE181"/>
        </patternFill>
      </fill>
    </dxf>
    <dxf>
      <fill>
        <patternFill>
          <bgColor rgb="FF00B0F0"/>
        </patternFill>
      </fill>
    </dxf>
    <dxf>
      <fill>
        <patternFill>
          <bgColor rgb="FF00B050"/>
        </patternFill>
      </fill>
    </dxf>
    <dxf>
      <fill>
        <patternFill>
          <bgColor theme="6" tint="0.59996337778862885"/>
        </patternFill>
      </fill>
    </dxf>
    <dxf>
      <font>
        <color theme="1"/>
      </font>
      <fill>
        <patternFill patternType="solid">
          <bgColor rgb="FFA063CF"/>
        </patternFill>
      </fill>
    </dxf>
    <dxf>
      <font>
        <color theme="1"/>
      </font>
      <fill>
        <patternFill patternType="solid">
          <bgColor theme="5" tint="0.39997558519241921"/>
        </patternFill>
      </fill>
    </dxf>
    <dxf>
      <font>
        <color theme="1"/>
      </font>
      <fill>
        <patternFill patternType="solid">
          <bgColor rgb="FFF23F3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4AB2FA-8B20-44EF-80D6-A59FE5E01968}">
  <we:reference id="WA200009404" version="1.0.0.8" store="en-us" storeType="omex"/>
  <we:alternateReferences>
    <we:reference id="WA200009404" version="1.0.0.8" store="en-us" storeType="omex"/>
  </we:alternateReferences>
  <we:properties>
    <we:property name="claude.fileId" value="&quot;6c1df6a2-364e-4c2f-9943-c37bd1f62e6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FB9CC-31F2-4C3A-B668-19397525DB10}">
  <dimension ref="A1:G9"/>
  <sheetViews>
    <sheetView workbookViewId="0">
      <selection activeCell="E14" sqref="E14"/>
    </sheetView>
  </sheetViews>
  <sheetFormatPr defaultRowHeight="15" customHeight="1"/>
  <cols>
    <col min="1" max="1" width="8.5703125" style="12" customWidth="1"/>
    <col min="2" max="2" width="20" customWidth="1"/>
    <col min="3" max="3" width="15.85546875" bestFit="1" customWidth="1"/>
    <col min="4" max="4" width="25.7109375" bestFit="1" customWidth="1"/>
    <col min="5" max="5" width="22.42578125" bestFit="1" customWidth="1"/>
    <col min="6" max="6" width="20.7109375" style="9" bestFit="1" customWidth="1"/>
    <col min="7" max="7" width="19.140625" style="9" bestFit="1" customWidth="1"/>
    <col min="8" max="8" width="20.5703125" customWidth="1"/>
  </cols>
  <sheetData>
    <row r="1" spans="1:7" s="12" customFormat="1" ht="19.899999999999999" customHeight="1">
      <c r="A1" s="49" t="s">
        <v>0</v>
      </c>
      <c r="B1" s="49"/>
      <c r="C1" s="49"/>
      <c r="D1" s="49"/>
      <c r="E1" s="49"/>
      <c r="F1" s="49"/>
      <c r="G1" s="49"/>
    </row>
    <row r="2" spans="1:7">
      <c r="A2" s="17" t="s">
        <v>1</v>
      </c>
      <c r="B2" s="17" t="s">
        <v>2</v>
      </c>
      <c r="C2" s="17" t="s">
        <v>3</v>
      </c>
      <c r="D2" s="17" t="s">
        <v>4</v>
      </c>
      <c r="E2" s="17" t="s">
        <v>5</v>
      </c>
      <c r="F2" s="17" t="s">
        <v>6</v>
      </c>
      <c r="G2" s="17" t="s">
        <v>7</v>
      </c>
    </row>
    <row r="3" spans="1:7">
      <c r="A3" s="35">
        <v>1</v>
      </c>
      <c r="B3" s="36" t="s">
        <v>8</v>
      </c>
      <c r="C3" s="35">
        <f>SUM(D3:G3)</f>
        <v>40</v>
      </c>
      <c r="D3" s="29">
        <v>10</v>
      </c>
      <c r="E3" s="29">
        <v>10</v>
      </c>
      <c r="F3" s="35">
        <v>10</v>
      </c>
      <c r="G3" s="35">
        <v>10</v>
      </c>
    </row>
    <row r="4" spans="1:7">
      <c r="A4" s="35">
        <v>2</v>
      </c>
      <c r="B4" s="36" t="s">
        <v>9</v>
      </c>
      <c r="C4" s="35">
        <f>SUM(D4:G4)</f>
        <v>44</v>
      </c>
      <c r="D4" s="29">
        <v>11</v>
      </c>
      <c r="E4" s="29">
        <v>11</v>
      </c>
      <c r="F4" s="35">
        <v>11</v>
      </c>
      <c r="G4" s="35">
        <v>11</v>
      </c>
    </row>
    <row r="5" spans="1:7">
      <c r="A5" s="35">
        <v>3</v>
      </c>
      <c r="B5" s="36" t="s">
        <v>10</v>
      </c>
      <c r="C5" s="35">
        <f>SUM(D5:G5)</f>
        <v>48</v>
      </c>
      <c r="D5" s="29">
        <v>12</v>
      </c>
      <c r="E5" s="29">
        <v>12</v>
      </c>
      <c r="F5" s="35">
        <v>12</v>
      </c>
      <c r="G5" s="35">
        <v>12</v>
      </c>
    </row>
    <row r="6" spans="1:7">
      <c r="A6" s="35">
        <v>4</v>
      </c>
      <c r="B6" s="34" t="s">
        <v>11</v>
      </c>
      <c r="C6" s="35">
        <f>SUM(D6:G6)</f>
        <v>52</v>
      </c>
      <c r="D6" s="29">
        <v>13</v>
      </c>
      <c r="E6" s="29">
        <v>13</v>
      </c>
      <c r="F6" s="35">
        <v>13</v>
      </c>
      <c r="G6" s="35">
        <v>13</v>
      </c>
    </row>
    <row r="7" spans="1:7">
      <c r="A7" s="35">
        <v>5</v>
      </c>
      <c r="B7" s="36" t="s">
        <v>12</v>
      </c>
      <c r="C7" s="35">
        <f>SUM(D7:G7)</f>
        <v>56</v>
      </c>
      <c r="D7" s="29">
        <v>14</v>
      </c>
      <c r="E7" s="29">
        <v>14</v>
      </c>
      <c r="F7" s="35">
        <v>14</v>
      </c>
      <c r="G7" s="35">
        <v>14</v>
      </c>
    </row>
    <row r="8" spans="1:7">
      <c r="A8" s="35">
        <v>6</v>
      </c>
      <c r="B8" s="36" t="s">
        <v>13</v>
      </c>
      <c r="C8" s="35">
        <f>SUM(D8:G8)</f>
        <v>60</v>
      </c>
      <c r="D8" s="29">
        <v>15</v>
      </c>
      <c r="E8" s="29">
        <v>15</v>
      </c>
      <c r="F8" s="35">
        <v>15</v>
      </c>
      <c r="G8" s="35">
        <v>15</v>
      </c>
    </row>
    <row r="9" spans="1:7" ht="15" customHeight="1">
      <c r="D9" s="56"/>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F1AAB-44C4-45AE-BD3C-9986E16851E9}">
  <dimension ref="A1:G8"/>
  <sheetViews>
    <sheetView workbookViewId="0">
      <selection activeCell="J11" sqref="J11"/>
    </sheetView>
  </sheetViews>
  <sheetFormatPr defaultRowHeight="15" customHeight="1"/>
  <cols>
    <col min="1" max="1" width="8.5703125" style="12" customWidth="1"/>
    <col min="2" max="2" width="20" customWidth="1"/>
    <col min="3" max="3" width="15.85546875" bestFit="1" customWidth="1"/>
    <col min="4" max="4" width="25.7109375" bestFit="1" customWidth="1"/>
    <col min="5" max="5" width="22.42578125" bestFit="1" customWidth="1"/>
    <col min="6" max="6" width="20.7109375" style="9" bestFit="1" customWidth="1"/>
    <col min="7" max="7" width="19.140625" style="9" bestFit="1" customWidth="1"/>
    <col min="8" max="8" width="20.5703125" customWidth="1"/>
  </cols>
  <sheetData>
    <row r="1" spans="1:7" s="12" customFormat="1" ht="19.899999999999999" customHeight="1">
      <c r="A1" s="49" t="s">
        <v>14</v>
      </c>
      <c r="B1" s="49"/>
      <c r="C1" s="49"/>
      <c r="D1" s="49"/>
      <c r="E1" s="49"/>
      <c r="F1" s="49"/>
      <c r="G1" s="49"/>
    </row>
    <row r="2" spans="1:7">
      <c r="A2" s="17" t="s">
        <v>1</v>
      </c>
      <c r="B2" s="17" t="s">
        <v>2</v>
      </c>
      <c r="C2" s="17" t="s">
        <v>3</v>
      </c>
      <c r="D2" s="17" t="s">
        <v>4</v>
      </c>
      <c r="E2" s="17" t="s">
        <v>5</v>
      </c>
      <c r="F2" s="17" t="s">
        <v>6</v>
      </c>
      <c r="G2" s="17" t="s">
        <v>7</v>
      </c>
    </row>
    <row r="3" spans="1:7">
      <c r="A3" s="35">
        <v>1</v>
      </c>
      <c r="B3" s="36" t="s">
        <v>8</v>
      </c>
      <c r="C3" s="35">
        <f>SUM(D3:G3)</f>
        <v>40</v>
      </c>
      <c r="D3" s="29">
        <v>10</v>
      </c>
      <c r="E3" s="29">
        <v>10</v>
      </c>
      <c r="F3" s="35">
        <v>10</v>
      </c>
      <c r="G3" s="35">
        <v>10</v>
      </c>
    </row>
    <row r="4" spans="1:7">
      <c r="A4" s="35">
        <v>2</v>
      </c>
      <c r="B4" s="36" t="s">
        <v>9</v>
      </c>
      <c r="C4" s="35">
        <f>SUM(D4:G4)</f>
        <v>44</v>
      </c>
      <c r="D4" s="29">
        <v>11</v>
      </c>
      <c r="E4" s="29">
        <v>11</v>
      </c>
      <c r="F4" s="35">
        <v>11</v>
      </c>
      <c r="G4" s="35">
        <v>11</v>
      </c>
    </row>
    <row r="5" spans="1:7">
      <c r="A5" s="35">
        <v>3</v>
      </c>
      <c r="B5" s="36" t="s">
        <v>10</v>
      </c>
      <c r="C5" s="35">
        <f>SUM(D5:G5)</f>
        <v>48</v>
      </c>
      <c r="D5" s="29">
        <v>12</v>
      </c>
      <c r="E5" s="29">
        <v>12</v>
      </c>
      <c r="F5" s="35">
        <v>12</v>
      </c>
      <c r="G5" s="35">
        <v>12</v>
      </c>
    </row>
    <row r="6" spans="1:7">
      <c r="A6" s="35">
        <v>4</v>
      </c>
      <c r="B6" s="34" t="s">
        <v>11</v>
      </c>
      <c r="C6" s="35">
        <f>SUM(D6:G6)</f>
        <v>52</v>
      </c>
      <c r="D6" s="29">
        <v>13</v>
      </c>
      <c r="E6" s="29">
        <v>13</v>
      </c>
      <c r="F6" s="35">
        <v>13</v>
      </c>
      <c r="G6" s="35">
        <v>13</v>
      </c>
    </row>
    <row r="7" spans="1:7">
      <c r="A7" s="35">
        <v>5</v>
      </c>
      <c r="B7" s="36" t="s">
        <v>12</v>
      </c>
      <c r="C7" s="35">
        <f>SUM(D7:G7)</f>
        <v>56</v>
      </c>
      <c r="D7" s="29">
        <v>14</v>
      </c>
      <c r="E7" s="29">
        <v>14</v>
      </c>
      <c r="F7" s="35">
        <v>14</v>
      </c>
      <c r="G7" s="35">
        <v>14</v>
      </c>
    </row>
    <row r="8" spans="1:7">
      <c r="A8" s="35">
        <v>6</v>
      </c>
      <c r="B8" s="36" t="s">
        <v>13</v>
      </c>
      <c r="C8" s="35">
        <f>SUM(D8:G8)</f>
        <v>60</v>
      </c>
      <c r="D8" s="29">
        <v>15</v>
      </c>
      <c r="E8" s="29">
        <v>15</v>
      </c>
      <c r="F8" s="35">
        <v>15</v>
      </c>
      <c r="G8" s="35">
        <v>15</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C15C8-DD69-418F-ADBA-26AFD264B164}">
  <dimension ref="A1:G27"/>
  <sheetViews>
    <sheetView workbookViewId="0">
      <selection activeCell="B3" sqref="B3:B9"/>
    </sheetView>
  </sheetViews>
  <sheetFormatPr defaultRowHeight="15" customHeight="1"/>
  <cols>
    <col min="1" max="1" width="8.5703125" style="12" customWidth="1"/>
    <col min="2" max="2" width="20" customWidth="1"/>
    <col min="3" max="3" width="15.85546875" bestFit="1" customWidth="1"/>
    <col min="4" max="4" width="25.7109375" bestFit="1" customWidth="1"/>
    <col min="5" max="5" width="22.42578125" bestFit="1" customWidth="1"/>
    <col min="6" max="6" width="20.7109375" style="9" bestFit="1" customWidth="1"/>
    <col min="7" max="7" width="19.140625" style="9" bestFit="1" customWidth="1"/>
    <col min="8" max="8" width="20.5703125" customWidth="1"/>
  </cols>
  <sheetData>
    <row r="1" spans="1:7" s="12" customFormat="1" ht="19.899999999999999" customHeight="1">
      <c r="A1" s="49" t="s">
        <v>15</v>
      </c>
      <c r="B1" s="49"/>
      <c r="C1" s="49"/>
      <c r="D1" s="49"/>
      <c r="E1" s="49"/>
      <c r="F1" s="49"/>
      <c r="G1" s="49"/>
    </row>
    <row r="2" spans="1:7">
      <c r="A2" s="17" t="s">
        <v>1</v>
      </c>
      <c r="B2" s="17" t="s">
        <v>16</v>
      </c>
      <c r="C2" s="17" t="s">
        <v>3</v>
      </c>
      <c r="D2" s="17" t="s">
        <v>4</v>
      </c>
      <c r="E2" s="17" t="s">
        <v>5</v>
      </c>
      <c r="F2" s="17" t="s">
        <v>6</v>
      </c>
      <c r="G2" s="17" t="s">
        <v>7</v>
      </c>
    </row>
    <row r="3" spans="1:7">
      <c r="A3" s="35">
        <v>1</v>
      </c>
      <c r="B3" s="36"/>
      <c r="C3" s="35">
        <f>SUM(D3:G3)</f>
        <v>40</v>
      </c>
      <c r="D3" s="29">
        <v>10</v>
      </c>
      <c r="E3" s="29">
        <v>10</v>
      </c>
      <c r="F3" s="35">
        <v>10</v>
      </c>
      <c r="G3" s="35">
        <v>10</v>
      </c>
    </row>
    <row r="4" spans="1:7">
      <c r="A4" s="35">
        <v>2</v>
      </c>
      <c r="B4" s="36"/>
      <c r="C4" s="35">
        <f>SUM(D4:G4)</f>
        <v>44</v>
      </c>
      <c r="D4" s="29">
        <v>11</v>
      </c>
      <c r="E4" s="29">
        <v>11</v>
      </c>
      <c r="F4" s="35">
        <v>11</v>
      </c>
      <c r="G4" s="35">
        <v>11</v>
      </c>
    </row>
    <row r="5" spans="1:7">
      <c r="A5" s="35">
        <v>3</v>
      </c>
      <c r="B5" s="36"/>
      <c r="C5" s="35">
        <f>SUM(D5:G5)</f>
        <v>48</v>
      </c>
      <c r="D5" s="29">
        <v>12</v>
      </c>
      <c r="E5" s="29">
        <v>12</v>
      </c>
      <c r="F5" s="35">
        <v>12</v>
      </c>
      <c r="G5" s="35">
        <v>12</v>
      </c>
    </row>
    <row r="6" spans="1:7">
      <c r="A6" s="35">
        <v>4</v>
      </c>
      <c r="B6" s="34"/>
      <c r="C6" s="35">
        <f>SUM(D6:G6)</f>
        <v>52</v>
      </c>
      <c r="D6" s="29">
        <v>13</v>
      </c>
      <c r="E6" s="29">
        <v>13</v>
      </c>
      <c r="F6" s="35">
        <v>13</v>
      </c>
      <c r="G6" s="35">
        <v>13</v>
      </c>
    </row>
    <row r="7" spans="1:7">
      <c r="A7" s="35">
        <v>5</v>
      </c>
      <c r="B7" s="36"/>
      <c r="C7" s="35">
        <f>SUM(D7:G7)</f>
        <v>56</v>
      </c>
      <c r="D7" s="29">
        <v>14</v>
      </c>
      <c r="E7" s="29">
        <v>14</v>
      </c>
      <c r="F7" s="35">
        <v>14</v>
      </c>
      <c r="G7" s="35">
        <v>14</v>
      </c>
    </row>
    <row r="8" spans="1:7">
      <c r="A8" s="35">
        <v>6</v>
      </c>
      <c r="B8" s="46"/>
      <c r="C8" s="47">
        <f>SUM(D8:G8)</f>
        <v>60</v>
      </c>
      <c r="D8" s="48">
        <v>15</v>
      </c>
      <c r="E8" s="48">
        <v>15</v>
      </c>
      <c r="F8" s="47">
        <v>15</v>
      </c>
      <c r="G8" s="47">
        <v>15</v>
      </c>
    </row>
    <row r="9" spans="1:7" ht="15" customHeight="1">
      <c r="A9" s="55">
        <v>7</v>
      </c>
      <c r="B9" s="18"/>
      <c r="C9" s="18"/>
      <c r="D9" s="18"/>
      <c r="E9" s="18"/>
      <c r="F9" s="35"/>
      <c r="G9" s="35"/>
    </row>
    <row r="10" spans="1:7" ht="15" customHeight="1">
      <c r="A10" s="55">
        <v>8</v>
      </c>
      <c r="B10" s="18"/>
      <c r="C10" s="18"/>
      <c r="D10" s="18"/>
      <c r="E10" s="18"/>
      <c r="F10" s="35"/>
      <c r="G10" s="35"/>
    </row>
    <row r="11" spans="1:7" ht="15" customHeight="1">
      <c r="A11" s="55">
        <v>9</v>
      </c>
      <c r="B11" s="18"/>
      <c r="C11" s="18"/>
      <c r="D11" s="18"/>
      <c r="E11" s="18"/>
      <c r="F11" s="35"/>
      <c r="G11" s="35"/>
    </row>
    <row r="12" spans="1:7" ht="15" customHeight="1">
      <c r="A12" s="55">
        <v>10</v>
      </c>
      <c r="B12" s="18"/>
      <c r="C12" s="18"/>
      <c r="D12" s="18"/>
      <c r="E12" s="18"/>
      <c r="F12" s="35"/>
      <c r="G12" s="35"/>
    </row>
    <row r="13" spans="1:7" ht="15" customHeight="1">
      <c r="A13" s="55">
        <v>11</v>
      </c>
      <c r="B13" s="18"/>
      <c r="C13" s="18"/>
      <c r="D13" s="18"/>
      <c r="E13" s="18"/>
      <c r="F13" s="35"/>
      <c r="G13" s="35"/>
    </row>
    <row r="14" spans="1:7" ht="15" customHeight="1">
      <c r="A14" s="55">
        <v>12</v>
      </c>
      <c r="B14" s="18"/>
      <c r="C14" s="18"/>
      <c r="D14" s="18"/>
      <c r="E14" s="18"/>
      <c r="F14" s="35"/>
      <c r="G14" s="35"/>
    </row>
    <row r="15" spans="1:7" ht="15" customHeight="1">
      <c r="A15" s="55">
        <v>13</v>
      </c>
      <c r="B15" s="18"/>
      <c r="C15" s="18"/>
      <c r="D15" s="18"/>
      <c r="E15" s="18"/>
      <c r="F15" s="35"/>
      <c r="G15" s="35"/>
    </row>
    <row r="16" spans="1:7" ht="15" customHeight="1">
      <c r="A16" s="55">
        <v>14</v>
      </c>
      <c r="B16" s="18"/>
      <c r="C16" s="18"/>
      <c r="D16" s="18"/>
      <c r="E16" s="18"/>
      <c r="F16" s="35"/>
      <c r="G16" s="35"/>
    </row>
    <row r="17" spans="1:7" ht="15" customHeight="1">
      <c r="A17" s="55">
        <v>15</v>
      </c>
      <c r="B17" s="18"/>
      <c r="C17" s="18"/>
      <c r="D17" s="18"/>
      <c r="E17" s="18"/>
      <c r="F17" s="35"/>
      <c r="G17" s="35"/>
    </row>
    <row r="18" spans="1:7" ht="15" customHeight="1">
      <c r="A18" s="55">
        <v>16</v>
      </c>
      <c r="B18" s="18"/>
      <c r="C18" s="18"/>
      <c r="D18" s="18"/>
      <c r="E18" s="18"/>
      <c r="F18" s="35"/>
      <c r="G18" s="35"/>
    </row>
    <row r="19" spans="1:7" ht="15" customHeight="1">
      <c r="A19" s="55">
        <v>17</v>
      </c>
      <c r="B19" s="18"/>
      <c r="C19" s="18"/>
      <c r="D19" s="18"/>
      <c r="E19" s="18"/>
      <c r="F19" s="35"/>
      <c r="G19" s="35"/>
    </row>
    <row r="20" spans="1:7" ht="15" customHeight="1">
      <c r="A20" s="55">
        <v>18</v>
      </c>
      <c r="B20" s="18"/>
      <c r="C20" s="18"/>
      <c r="D20" s="18"/>
      <c r="E20" s="18"/>
      <c r="F20" s="35"/>
      <c r="G20" s="35"/>
    </row>
    <row r="21" spans="1:7" ht="15" customHeight="1">
      <c r="A21" s="55">
        <v>19</v>
      </c>
      <c r="B21" s="18"/>
      <c r="C21" s="18"/>
      <c r="D21" s="18"/>
      <c r="E21" s="18"/>
      <c r="F21" s="35"/>
      <c r="G21" s="35"/>
    </row>
    <row r="22" spans="1:7" ht="15" customHeight="1">
      <c r="A22" s="55">
        <v>20</v>
      </c>
      <c r="B22" s="18"/>
      <c r="C22" s="18"/>
      <c r="D22" s="18"/>
      <c r="E22" s="18"/>
      <c r="F22" s="35"/>
      <c r="G22" s="35"/>
    </row>
    <row r="23" spans="1:7" ht="15" customHeight="1">
      <c r="A23" s="55">
        <v>21</v>
      </c>
      <c r="B23" s="18"/>
      <c r="C23" s="18"/>
      <c r="D23" s="18"/>
      <c r="E23" s="18"/>
      <c r="F23" s="35"/>
      <c r="G23" s="35"/>
    </row>
    <row r="24" spans="1:7" ht="15" customHeight="1">
      <c r="A24" s="55">
        <v>22</v>
      </c>
      <c r="B24" s="18"/>
      <c r="C24" s="18"/>
      <c r="D24" s="18"/>
      <c r="E24" s="18"/>
      <c r="F24" s="35"/>
      <c r="G24" s="35"/>
    </row>
    <row r="25" spans="1:7" ht="15" customHeight="1">
      <c r="A25" s="55">
        <v>23</v>
      </c>
      <c r="B25" s="18"/>
      <c r="C25" s="18"/>
      <c r="D25" s="18"/>
      <c r="E25" s="18"/>
      <c r="F25" s="35"/>
      <c r="G25" s="35"/>
    </row>
    <row r="26" spans="1:7" ht="15" customHeight="1">
      <c r="A26" s="55">
        <v>24</v>
      </c>
      <c r="B26" s="18"/>
      <c r="C26" s="18"/>
      <c r="D26" s="18"/>
      <c r="E26" s="18"/>
      <c r="F26" s="35"/>
      <c r="G26" s="35"/>
    </row>
    <row r="27" spans="1:7" ht="15" customHeight="1">
      <c r="A27" s="55">
        <v>25</v>
      </c>
      <c r="B27" s="18"/>
      <c r="C27" s="18"/>
      <c r="D27" s="18"/>
      <c r="E27" s="18"/>
      <c r="F27" s="35"/>
      <c r="G27" s="35"/>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6CCB-7397-432F-8231-0BC4783A65A8}">
  <dimension ref="A1:M27"/>
  <sheetViews>
    <sheetView workbookViewId="0">
      <pane xSplit="2" ySplit="2" topLeftCell="C3" activePane="bottomRight" state="frozen"/>
      <selection pane="bottomRight" activeCell="B35" sqref="B35"/>
      <selection pane="bottomLeft"/>
      <selection pane="topRight"/>
    </sheetView>
  </sheetViews>
  <sheetFormatPr defaultRowHeight="15" customHeight="1"/>
  <cols>
    <col min="1" max="1" width="8.5703125" style="12" customWidth="1"/>
    <col min="2" max="2" width="40.140625" customWidth="1"/>
    <col min="3" max="3" width="20.42578125" bestFit="1" customWidth="1"/>
    <col min="4" max="4" width="34.28515625" bestFit="1" customWidth="1"/>
    <col min="5" max="5" width="39.5703125" bestFit="1" customWidth="1"/>
    <col min="6" max="6" width="26.42578125" style="9" customWidth="1"/>
    <col min="7" max="7" width="19.140625" style="9" bestFit="1" customWidth="1"/>
    <col min="8" max="8" width="17.5703125" bestFit="1" customWidth="1"/>
    <col min="9" max="9" width="18.85546875" bestFit="1" customWidth="1"/>
    <col min="10" max="10" width="18.28515625" bestFit="1" customWidth="1"/>
    <col min="11" max="11" width="17.42578125" bestFit="1" customWidth="1"/>
    <col min="12" max="12" width="29.5703125" bestFit="1" customWidth="1"/>
    <col min="13" max="13" width="29.85546875" bestFit="1" customWidth="1"/>
  </cols>
  <sheetData>
    <row r="1" spans="1:13" s="12" customFormat="1" ht="19.899999999999999" customHeight="1">
      <c r="A1" s="49" t="s">
        <v>17</v>
      </c>
      <c r="B1" s="52"/>
      <c r="C1" s="49"/>
      <c r="D1" s="49"/>
      <c r="E1" s="49"/>
      <c r="F1" s="49"/>
      <c r="G1" s="49"/>
      <c r="H1" s="50"/>
      <c r="I1" s="50"/>
      <c r="J1" s="50"/>
      <c r="K1" s="50"/>
      <c r="L1" s="50"/>
      <c r="M1" s="50"/>
    </row>
    <row r="2" spans="1:13" s="32" customFormat="1">
      <c r="A2" s="17" t="s">
        <v>1</v>
      </c>
      <c r="B2" s="17" t="s">
        <v>16</v>
      </c>
      <c r="C2" s="51" t="s">
        <v>18</v>
      </c>
      <c r="D2" s="51" t="s">
        <v>19</v>
      </c>
      <c r="E2" s="51" t="s">
        <v>20</v>
      </c>
      <c r="F2" s="51" t="s">
        <v>21</v>
      </c>
      <c r="G2" s="51" t="s">
        <v>22</v>
      </c>
      <c r="H2" s="51" t="s">
        <v>23</v>
      </c>
      <c r="I2" s="51" t="s">
        <v>24</v>
      </c>
      <c r="J2" s="51" t="s">
        <v>25</v>
      </c>
      <c r="K2" s="51" t="s">
        <v>26</v>
      </c>
      <c r="L2" s="51" t="s">
        <v>27</v>
      </c>
      <c r="M2" s="51" t="s">
        <v>28</v>
      </c>
    </row>
    <row r="3" spans="1:13">
      <c r="A3" s="35">
        <v>1</v>
      </c>
      <c r="B3" s="53" t="s">
        <v>29</v>
      </c>
      <c r="C3" s="29">
        <v>10</v>
      </c>
      <c r="D3" s="29">
        <v>10</v>
      </c>
      <c r="E3" s="29">
        <v>10</v>
      </c>
      <c r="F3" s="29">
        <v>10</v>
      </c>
      <c r="G3" s="29">
        <v>10</v>
      </c>
      <c r="H3" s="29">
        <v>10</v>
      </c>
      <c r="I3" s="29">
        <v>10</v>
      </c>
      <c r="J3" s="29">
        <v>10</v>
      </c>
      <c r="K3" s="29">
        <v>10</v>
      </c>
      <c r="L3" s="29">
        <v>10</v>
      </c>
      <c r="M3" s="29">
        <v>10</v>
      </c>
    </row>
    <row r="4" spans="1:13">
      <c r="A4" s="35">
        <v>2</v>
      </c>
      <c r="B4" s="53" t="s">
        <v>30</v>
      </c>
      <c r="C4" s="29">
        <v>10</v>
      </c>
      <c r="D4" s="29">
        <v>10</v>
      </c>
      <c r="E4" s="29">
        <v>10</v>
      </c>
      <c r="F4" s="29">
        <v>10</v>
      </c>
      <c r="G4" s="29">
        <v>10</v>
      </c>
      <c r="H4" s="29">
        <v>10</v>
      </c>
      <c r="I4" s="29">
        <v>10</v>
      </c>
      <c r="J4" s="29">
        <v>10</v>
      </c>
      <c r="K4" s="29">
        <v>10</v>
      </c>
      <c r="L4" s="29">
        <v>10</v>
      </c>
      <c r="M4" s="29">
        <v>10</v>
      </c>
    </row>
    <row r="5" spans="1:13">
      <c r="A5" s="35">
        <v>3</v>
      </c>
      <c r="B5" s="53" t="s">
        <v>31</v>
      </c>
      <c r="C5" s="29">
        <v>10</v>
      </c>
      <c r="D5" s="29">
        <v>10</v>
      </c>
      <c r="E5" s="29">
        <v>10</v>
      </c>
      <c r="F5" s="29">
        <v>10</v>
      </c>
      <c r="G5" s="29">
        <v>10</v>
      </c>
      <c r="H5" s="29">
        <v>10</v>
      </c>
      <c r="I5" s="29">
        <v>10</v>
      </c>
      <c r="J5" s="29">
        <v>10</v>
      </c>
      <c r="K5" s="29">
        <v>10</v>
      </c>
      <c r="L5" s="29">
        <v>10</v>
      </c>
      <c r="M5" s="29">
        <v>10</v>
      </c>
    </row>
    <row r="6" spans="1:13">
      <c r="A6" s="35">
        <v>4</v>
      </c>
      <c r="B6" s="26" t="s">
        <v>32</v>
      </c>
      <c r="C6" s="29">
        <v>10</v>
      </c>
      <c r="D6" s="29">
        <v>10</v>
      </c>
      <c r="E6" s="29">
        <v>10</v>
      </c>
      <c r="F6" s="29">
        <v>10</v>
      </c>
      <c r="G6" s="29">
        <v>10</v>
      </c>
      <c r="H6" s="29">
        <v>10</v>
      </c>
      <c r="I6" s="29">
        <v>10</v>
      </c>
      <c r="J6" s="29">
        <v>10</v>
      </c>
      <c r="K6" s="29">
        <v>10</v>
      </c>
      <c r="L6" s="29">
        <v>10</v>
      </c>
      <c r="M6" s="29">
        <v>10</v>
      </c>
    </row>
    <row r="7" spans="1:13">
      <c r="A7" s="35">
        <v>5</v>
      </c>
      <c r="B7" s="53" t="s">
        <v>33</v>
      </c>
      <c r="C7" s="29">
        <v>10</v>
      </c>
      <c r="D7" s="29">
        <v>10</v>
      </c>
      <c r="E7" s="29">
        <v>10</v>
      </c>
      <c r="F7" s="29">
        <v>10</v>
      </c>
      <c r="G7" s="29">
        <v>10</v>
      </c>
      <c r="H7" s="29">
        <v>10</v>
      </c>
      <c r="I7" s="29">
        <v>10</v>
      </c>
      <c r="J7" s="29">
        <v>10</v>
      </c>
      <c r="K7" s="29">
        <v>10</v>
      </c>
      <c r="L7" s="29">
        <v>10</v>
      </c>
      <c r="M7" s="29">
        <v>10</v>
      </c>
    </row>
    <row r="8" spans="1:13">
      <c r="A8" s="35">
        <v>6</v>
      </c>
      <c r="B8" s="54" t="s">
        <v>34</v>
      </c>
      <c r="C8" s="29">
        <v>10</v>
      </c>
      <c r="D8" s="29">
        <v>10</v>
      </c>
      <c r="E8" s="29">
        <v>10</v>
      </c>
      <c r="F8" s="29">
        <v>10</v>
      </c>
      <c r="G8" s="29">
        <v>10</v>
      </c>
      <c r="H8" s="29">
        <v>10</v>
      </c>
      <c r="I8" s="29">
        <v>10</v>
      </c>
      <c r="J8" s="29">
        <v>10</v>
      </c>
      <c r="K8" s="29">
        <v>10</v>
      </c>
      <c r="L8" s="29">
        <v>10</v>
      </c>
      <c r="M8" s="29">
        <v>10</v>
      </c>
    </row>
    <row r="9" spans="1:13" ht="15" customHeight="1">
      <c r="A9" s="55">
        <v>7</v>
      </c>
      <c r="B9" s="26" t="s">
        <v>35</v>
      </c>
      <c r="C9" s="29">
        <v>10</v>
      </c>
      <c r="D9" s="29">
        <v>10</v>
      </c>
      <c r="E9" s="29">
        <v>10</v>
      </c>
      <c r="F9" s="29">
        <v>10</v>
      </c>
      <c r="G9" s="29">
        <v>10</v>
      </c>
      <c r="H9" s="29">
        <v>10</v>
      </c>
      <c r="I9" s="29">
        <v>10</v>
      </c>
      <c r="J9" s="29">
        <v>10</v>
      </c>
      <c r="K9" s="29">
        <v>10</v>
      </c>
      <c r="L9" s="29">
        <v>10</v>
      </c>
      <c r="M9" s="29">
        <v>10</v>
      </c>
    </row>
    <row r="10" spans="1:13" ht="15" customHeight="1">
      <c r="A10" s="55">
        <v>8</v>
      </c>
      <c r="B10" s="26" t="s">
        <v>36</v>
      </c>
      <c r="C10" s="29">
        <v>10</v>
      </c>
      <c r="D10" s="29">
        <v>10</v>
      </c>
      <c r="E10" s="29">
        <v>10</v>
      </c>
      <c r="F10" s="29">
        <v>10</v>
      </c>
      <c r="G10" s="29">
        <v>10</v>
      </c>
      <c r="H10" s="29">
        <v>10</v>
      </c>
      <c r="I10" s="29">
        <v>10</v>
      </c>
      <c r="J10" s="29">
        <v>10</v>
      </c>
      <c r="K10" s="29">
        <v>10</v>
      </c>
      <c r="L10" s="29">
        <v>10</v>
      </c>
      <c r="M10" s="29">
        <v>10</v>
      </c>
    </row>
    <row r="11" spans="1:13" ht="15" customHeight="1">
      <c r="A11" s="55">
        <v>9</v>
      </c>
      <c r="B11" s="26"/>
      <c r="C11" s="18"/>
      <c r="D11" s="18"/>
      <c r="E11" s="18"/>
      <c r="F11" s="35"/>
      <c r="G11" s="35"/>
      <c r="H11" s="18"/>
      <c r="I11" s="18"/>
      <c r="J11" s="18"/>
      <c r="K11" s="18"/>
      <c r="L11" s="18"/>
      <c r="M11" s="18"/>
    </row>
    <row r="12" spans="1:13" ht="15" customHeight="1">
      <c r="A12" s="55">
        <v>10</v>
      </c>
      <c r="B12" s="26"/>
      <c r="C12" s="18"/>
      <c r="D12" s="18"/>
      <c r="E12" s="18"/>
      <c r="F12" s="35"/>
      <c r="G12" s="35"/>
      <c r="H12" s="18"/>
      <c r="I12" s="18"/>
      <c r="J12" s="18"/>
      <c r="K12" s="18"/>
      <c r="L12" s="18"/>
      <c r="M12" s="18"/>
    </row>
    <row r="13" spans="1:13" ht="15" customHeight="1">
      <c r="A13" s="55">
        <v>11</v>
      </c>
      <c r="B13" s="26"/>
      <c r="C13" s="18"/>
      <c r="D13" s="18"/>
      <c r="E13" s="18"/>
      <c r="F13" s="35"/>
      <c r="G13" s="35"/>
      <c r="H13" s="18"/>
      <c r="I13" s="18"/>
      <c r="J13" s="18"/>
      <c r="K13" s="18"/>
      <c r="L13" s="18"/>
      <c r="M13" s="18"/>
    </row>
    <row r="14" spans="1:13" ht="15" customHeight="1">
      <c r="A14" s="55">
        <v>12</v>
      </c>
      <c r="B14" s="26"/>
      <c r="C14" s="18"/>
      <c r="D14" s="18"/>
      <c r="E14" s="18"/>
      <c r="F14" s="35"/>
      <c r="G14" s="35"/>
      <c r="H14" s="18"/>
      <c r="I14" s="18"/>
      <c r="J14" s="18"/>
      <c r="K14" s="18"/>
      <c r="L14" s="18"/>
      <c r="M14" s="18"/>
    </row>
    <row r="15" spans="1:13" ht="15" customHeight="1">
      <c r="A15" s="55">
        <v>13</v>
      </c>
      <c r="B15" s="26"/>
      <c r="C15" s="18"/>
      <c r="D15" s="18"/>
      <c r="E15" s="18"/>
      <c r="F15" s="35"/>
      <c r="G15" s="35"/>
      <c r="H15" s="18"/>
      <c r="I15" s="18"/>
      <c r="J15" s="18"/>
      <c r="K15" s="18"/>
      <c r="L15" s="18"/>
      <c r="M15" s="18"/>
    </row>
    <row r="16" spans="1:13" ht="15" customHeight="1">
      <c r="A16" s="55">
        <v>14</v>
      </c>
      <c r="B16" s="26"/>
      <c r="C16" s="18"/>
      <c r="D16" s="18"/>
      <c r="E16" s="18"/>
      <c r="F16" s="35"/>
      <c r="G16" s="35"/>
      <c r="H16" s="18"/>
      <c r="I16" s="18"/>
      <c r="J16" s="18"/>
      <c r="K16" s="18"/>
      <c r="L16" s="18"/>
      <c r="M16" s="18"/>
    </row>
    <row r="17" spans="1:13" ht="15" customHeight="1">
      <c r="A17" s="55">
        <v>15</v>
      </c>
      <c r="B17" s="26"/>
      <c r="C17" s="18"/>
      <c r="D17" s="18"/>
      <c r="E17" s="18"/>
      <c r="F17" s="35"/>
      <c r="G17" s="35"/>
      <c r="H17" s="18"/>
      <c r="I17" s="18"/>
      <c r="J17" s="18"/>
      <c r="K17" s="18"/>
      <c r="L17" s="18"/>
      <c r="M17" s="18"/>
    </row>
    <row r="18" spans="1:13" ht="15" customHeight="1">
      <c r="A18" s="55">
        <v>16</v>
      </c>
      <c r="B18" s="26"/>
      <c r="C18" s="18"/>
      <c r="D18" s="18"/>
      <c r="E18" s="18"/>
      <c r="F18" s="35"/>
      <c r="G18" s="35"/>
      <c r="H18" s="18"/>
      <c r="I18" s="18"/>
      <c r="J18" s="18"/>
      <c r="K18" s="18"/>
      <c r="L18" s="18"/>
      <c r="M18" s="18"/>
    </row>
    <row r="19" spans="1:13" ht="15" customHeight="1">
      <c r="A19" s="55">
        <v>17</v>
      </c>
      <c r="B19" s="26"/>
      <c r="C19" s="18"/>
      <c r="D19" s="18"/>
      <c r="E19" s="18"/>
      <c r="F19" s="35"/>
      <c r="G19" s="35"/>
      <c r="H19" s="18"/>
      <c r="I19" s="18"/>
      <c r="J19" s="18"/>
      <c r="K19" s="18"/>
      <c r="L19" s="18"/>
      <c r="M19" s="18"/>
    </row>
    <row r="20" spans="1:13" ht="15" customHeight="1">
      <c r="A20" s="55">
        <v>18</v>
      </c>
      <c r="B20" s="26"/>
      <c r="C20" s="18"/>
      <c r="D20" s="18"/>
      <c r="E20" s="18"/>
      <c r="F20" s="35"/>
      <c r="G20" s="35"/>
      <c r="H20" s="18"/>
      <c r="I20" s="18"/>
      <c r="J20" s="18"/>
      <c r="K20" s="18"/>
      <c r="L20" s="18"/>
      <c r="M20" s="18"/>
    </row>
    <row r="21" spans="1:13" ht="15" customHeight="1">
      <c r="A21" s="55">
        <v>19</v>
      </c>
      <c r="B21" s="26"/>
      <c r="C21" s="18"/>
      <c r="D21" s="18"/>
      <c r="E21" s="18"/>
      <c r="F21" s="35"/>
      <c r="G21" s="35"/>
      <c r="H21" s="18"/>
      <c r="I21" s="18"/>
      <c r="J21" s="18"/>
      <c r="K21" s="18"/>
      <c r="L21" s="18"/>
      <c r="M21" s="18"/>
    </row>
    <row r="22" spans="1:13" ht="15" customHeight="1">
      <c r="A22" s="55">
        <v>20</v>
      </c>
      <c r="B22" s="26"/>
      <c r="C22" s="18"/>
      <c r="D22" s="18"/>
      <c r="E22" s="18"/>
      <c r="F22" s="35"/>
      <c r="G22" s="35"/>
      <c r="H22" s="18"/>
      <c r="I22" s="18"/>
      <c r="J22" s="18"/>
      <c r="K22" s="18"/>
      <c r="L22" s="18"/>
      <c r="M22" s="18"/>
    </row>
    <row r="23" spans="1:13" ht="15" customHeight="1">
      <c r="A23" s="55">
        <v>21</v>
      </c>
      <c r="B23" s="26"/>
      <c r="C23" s="18"/>
      <c r="D23" s="18"/>
      <c r="E23" s="18"/>
      <c r="F23" s="35"/>
      <c r="G23" s="35"/>
      <c r="H23" s="18"/>
      <c r="I23" s="18"/>
      <c r="J23" s="18"/>
      <c r="K23" s="18"/>
      <c r="L23" s="18"/>
      <c r="M23" s="18"/>
    </row>
    <row r="24" spans="1:13" ht="15" customHeight="1">
      <c r="A24" s="55">
        <v>22</v>
      </c>
      <c r="B24" s="26"/>
      <c r="C24" s="18"/>
      <c r="D24" s="18"/>
      <c r="E24" s="18"/>
      <c r="F24" s="35"/>
      <c r="G24" s="35"/>
      <c r="H24" s="18"/>
      <c r="I24" s="18"/>
      <c r="J24" s="18"/>
      <c r="K24" s="18"/>
      <c r="L24" s="18"/>
      <c r="M24" s="18"/>
    </row>
    <row r="25" spans="1:13" ht="15" customHeight="1">
      <c r="A25" s="55">
        <v>23</v>
      </c>
      <c r="B25" s="26"/>
      <c r="C25" s="18"/>
      <c r="D25" s="18"/>
      <c r="E25" s="18"/>
      <c r="F25" s="35"/>
      <c r="G25" s="35"/>
      <c r="H25" s="18"/>
      <c r="I25" s="18"/>
      <c r="J25" s="18"/>
      <c r="K25" s="18"/>
      <c r="L25" s="18"/>
      <c r="M25" s="18"/>
    </row>
    <row r="26" spans="1:13" ht="15" customHeight="1">
      <c r="A26" s="55">
        <v>24</v>
      </c>
      <c r="B26" s="26"/>
      <c r="C26" s="18"/>
      <c r="D26" s="18"/>
      <c r="E26" s="18"/>
      <c r="F26" s="35"/>
      <c r="G26" s="35"/>
      <c r="H26" s="18"/>
      <c r="I26" s="18"/>
      <c r="J26" s="18"/>
      <c r="K26" s="18"/>
      <c r="L26" s="18"/>
      <c r="M26" s="18"/>
    </row>
    <row r="27" spans="1:13" ht="15" customHeight="1">
      <c r="A27" s="55">
        <v>25</v>
      </c>
      <c r="B27" s="26"/>
      <c r="C27" s="18"/>
      <c r="D27" s="18"/>
      <c r="E27" s="18"/>
      <c r="F27" s="35"/>
      <c r="G27" s="35"/>
      <c r="H27" s="18"/>
      <c r="I27" s="18"/>
      <c r="J27" s="18"/>
      <c r="K27" s="18"/>
      <c r="L27" s="18"/>
      <c r="M27" s="18"/>
    </row>
  </sheetData>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7ADFE39E-CB06-4763-941C-A3A0556C7E4B}">
          <x14:formula1>
            <xm:f>Data!$Y$4:$Y$33</xm:f>
          </x14:formula1>
          <xm:sqref>B1:B1048576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DEF33-E755-4686-B876-70DEAE893EDC}">
  <dimension ref="A1:Y226"/>
  <sheetViews>
    <sheetView workbookViewId="0">
      <selection activeCell="G37" sqref="G37"/>
    </sheetView>
  </sheetViews>
  <sheetFormatPr defaultRowHeight="15" outlineLevelCol="1"/>
  <cols>
    <col min="1" max="1" width="5.28515625" style="12" customWidth="1"/>
    <col min="2" max="2" width="29" style="12" customWidth="1"/>
    <col min="3" max="3" width="61.42578125" style="12" customWidth="1" outlineLevel="1"/>
    <col min="4" max="4" width="13.7109375" style="12" bestFit="1" customWidth="1" outlineLevel="1"/>
    <col min="5" max="5" width="24.85546875" style="12" customWidth="1"/>
    <col min="6" max="6" width="20.28515625" style="12" customWidth="1" outlineLevel="1"/>
    <col min="7" max="7" width="27.28515625" style="12" bestFit="1" customWidth="1" outlineLevel="1"/>
    <col min="8" max="8" width="19.7109375" style="12" bestFit="1" customWidth="1"/>
    <col min="9" max="9" width="48.85546875" style="12" bestFit="1" customWidth="1" outlineLevel="1"/>
    <col min="10" max="10" width="23.5703125" style="12" customWidth="1" outlineLevel="1"/>
    <col min="11" max="11" width="29.85546875" style="12" bestFit="1" customWidth="1" outlineLevel="1"/>
    <col min="12" max="12" width="25" style="12" customWidth="1"/>
    <col min="13" max="13" width="19.42578125" style="12" bestFit="1" customWidth="1"/>
    <col min="14" max="14" width="29.85546875" style="12" customWidth="1" outlineLevel="1"/>
    <col min="15" max="15" width="35.140625" style="12" customWidth="1" outlineLevel="1"/>
    <col min="16" max="16" width="35.140625" style="12" customWidth="1"/>
    <col min="17" max="17" width="35.140625" style="12" customWidth="1" outlineLevel="1"/>
    <col min="18" max="18" width="34.140625" style="12" bestFit="1" customWidth="1" outlineLevel="1"/>
    <col min="19" max="19" width="14.28515625" style="12" bestFit="1" customWidth="1"/>
    <col min="20" max="20" width="14.140625" style="12" bestFit="1" customWidth="1" outlineLevel="1"/>
    <col min="21" max="21" width="30.5703125" style="12" bestFit="1" customWidth="1" outlineLevel="1"/>
    <col min="22" max="23" width="14.85546875" style="12" customWidth="1"/>
    <col min="24" max="24" width="15.5703125" style="12" customWidth="1"/>
    <col min="25" max="25" width="21.42578125" style="12" customWidth="1"/>
    <col min="26" max="16384" width="9.140625" style="12"/>
  </cols>
  <sheetData>
    <row r="1" spans="1:25">
      <c r="A1" s="229" t="s">
        <v>37</v>
      </c>
      <c r="B1" s="230"/>
      <c r="C1" s="230"/>
      <c r="D1" s="230"/>
      <c r="E1" s="231"/>
      <c r="F1" s="231"/>
      <c r="G1" s="231"/>
      <c r="H1" s="231"/>
      <c r="I1" s="231"/>
      <c r="J1" s="231"/>
      <c r="K1" s="231"/>
      <c r="L1" s="232"/>
      <c r="M1" s="231"/>
      <c r="N1" s="231"/>
      <c r="O1" s="231"/>
      <c r="P1" s="231"/>
      <c r="Q1" s="231"/>
      <c r="R1" s="231"/>
      <c r="S1" s="231"/>
      <c r="T1" s="231"/>
      <c r="U1" s="231"/>
      <c r="V1" s="231"/>
      <c r="W1" s="231"/>
      <c r="X1" s="231"/>
      <c r="Y1" s="233"/>
    </row>
    <row r="2" spans="1:25">
      <c r="A2" s="286" t="s">
        <v>1</v>
      </c>
      <c r="B2" s="234" t="s">
        <v>8</v>
      </c>
      <c r="C2" s="235"/>
      <c r="D2" s="235"/>
      <c r="E2" s="236" t="s">
        <v>9</v>
      </c>
      <c r="F2" s="237"/>
      <c r="G2" s="237"/>
      <c r="H2" s="182" t="s">
        <v>10</v>
      </c>
      <c r="I2" s="238"/>
      <c r="J2" s="238"/>
      <c r="K2" s="239"/>
      <c r="L2" s="183" t="s">
        <v>11</v>
      </c>
      <c r="M2" s="240" t="s">
        <v>12</v>
      </c>
      <c r="N2" s="185"/>
      <c r="O2" s="241"/>
      <c r="P2" s="184" t="s">
        <v>13</v>
      </c>
      <c r="Q2" s="242"/>
      <c r="R2" s="243"/>
      <c r="S2" s="244" t="s">
        <v>38</v>
      </c>
      <c r="T2" s="245"/>
      <c r="U2" s="246"/>
      <c r="V2" s="200" t="s">
        <v>39</v>
      </c>
      <c r="W2" s="222"/>
      <c r="X2" s="247"/>
      <c r="Y2" s="248"/>
    </row>
    <row r="3" spans="1:25">
      <c r="A3" s="286"/>
      <c r="B3" s="189" t="s">
        <v>40</v>
      </c>
      <c r="C3" s="189" t="s">
        <v>41</v>
      </c>
      <c r="D3" s="189" t="s">
        <v>42</v>
      </c>
      <c r="E3" s="190" t="s">
        <v>40</v>
      </c>
      <c r="F3" s="190" t="s">
        <v>41</v>
      </c>
      <c r="G3" s="190" t="s">
        <v>42</v>
      </c>
      <c r="H3" s="191" t="s">
        <v>40</v>
      </c>
      <c r="I3" s="191" t="s">
        <v>41</v>
      </c>
      <c r="J3" s="191" t="s">
        <v>43</v>
      </c>
      <c r="K3" s="191" t="s">
        <v>42</v>
      </c>
      <c r="L3" s="192" t="s">
        <v>42</v>
      </c>
      <c r="M3" s="193" t="s">
        <v>40</v>
      </c>
      <c r="N3" s="193" t="s">
        <v>41</v>
      </c>
      <c r="O3" s="197" t="s">
        <v>42</v>
      </c>
      <c r="P3" s="198" t="s">
        <v>40</v>
      </c>
      <c r="Q3" s="198" t="s">
        <v>41</v>
      </c>
      <c r="R3" s="194" t="s">
        <v>42</v>
      </c>
      <c r="S3" s="199" t="s">
        <v>40</v>
      </c>
      <c r="T3" s="199" t="s">
        <v>41</v>
      </c>
      <c r="U3" s="199" t="s">
        <v>42</v>
      </c>
      <c r="V3" s="221" t="s">
        <v>44</v>
      </c>
      <c r="W3" s="36" t="s">
        <v>45</v>
      </c>
      <c r="X3" s="195" t="s">
        <v>46</v>
      </c>
      <c r="Y3" s="196" t="s">
        <v>16</v>
      </c>
    </row>
    <row r="4" spans="1:25">
      <c r="A4" s="28">
        <v>1</v>
      </c>
      <c r="B4" s="28" t="s">
        <v>47</v>
      </c>
      <c r="C4" s="28" t="s">
        <v>48</v>
      </c>
      <c r="D4" s="28" t="s">
        <v>49</v>
      </c>
      <c r="E4" s="28" t="s">
        <v>50</v>
      </c>
      <c r="F4" s="28" t="s">
        <v>50</v>
      </c>
      <c r="G4" s="28" t="s">
        <v>51</v>
      </c>
      <c r="H4" s="28" t="s">
        <v>52</v>
      </c>
      <c r="I4" s="28" t="s">
        <v>52</v>
      </c>
      <c r="J4" s="28" t="s">
        <v>53</v>
      </c>
      <c r="K4" s="28" t="s">
        <v>54</v>
      </c>
      <c r="L4" s="28" t="s">
        <v>55</v>
      </c>
      <c r="M4" s="28" t="s">
        <v>56</v>
      </c>
      <c r="N4" s="67" t="s">
        <v>57</v>
      </c>
      <c r="O4" s="53" t="s">
        <v>58</v>
      </c>
      <c r="P4" s="28"/>
      <c r="Q4" s="28"/>
      <c r="R4" s="28" t="s">
        <v>59</v>
      </c>
      <c r="S4" s="100" t="s">
        <v>38</v>
      </c>
      <c r="T4" s="100" t="s">
        <v>38</v>
      </c>
      <c r="U4" s="100" t="s">
        <v>60</v>
      </c>
      <c r="V4" s="249" t="s">
        <v>61</v>
      </c>
      <c r="W4" s="28" t="s">
        <v>62</v>
      </c>
      <c r="X4" s="250" t="s">
        <v>63</v>
      </c>
      <c r="Y4" s="251" t="s">
        <v>52</v>
      </c>
    </row>
    <row r="5" spans="1:25">
      <c r="A5" s="28">
        <v>2</v>
      </c>
      <c r="B5" s="28" t="s">
        <v>64</v>
      </c>
      <c r="C5" s="28" t="s">
        <v>65</v>
      </c>
      <c r="D5" s="28" t="s">
        <v>66</v>
      </c>
      <c r="E5" s="28" t="s">
        <v>67</v>
      </c>
      <c r="F5" s="28" t="s">
        <v>68</v>
      </c>
      <c r="G5" s="28" t="s">
        <v>69</v>
      </c>
      <c r="H5" s="28" t="s">
        <v>70</v>
      </c>
      <c r="I5" s="28" t="s">
        <v>71</v>
      </c>
      <c r="J5" s="275" t="s">
        <v>72</v>
      </c>
      <c r="K5" s="28" t="s">
        <v>73</v>
      </c>
      <c r="L5" s="28" t="s">
        <v>74</v>
      </c>
      <c r="M5" s="28" t="s">
        <v>56</v>
      </c>
      <c r="N5" s="67" t="s">
        <v>75</v>
      </c>
      <c r="O5" s="53" t="s">
        <v>76</v>
      </c>
      <c r="P5" s="28"/>
      <c r="Q5" s="28"/>
      <c r="R5" s="28" t="s">
        <v>77</v>
      </c>
      <c r="S5" s="100"/>
      <c r="T5" s="100"/>
      <c r="U5" s="100" t="s">
        <v>78</v>
      </c>
      <c r="V5" s="249" t="s">
        <v>79</v>
      </c>
      <c r="W5" s="28" t="s">
        <v>80</v>
      </c>
      <c r="X5" s="252" t="s">
        <v>81</v>
      </c>
      <c r="Y5" s="251" t="s">
        <v>29</v>
      </c>
    </row>
    <row r="6" spans="1:25">
      <c r="A6" s="28">
        <v>3</v>
      </c>
      <c r="B6" s="28" t="s">
        <v>64</v>
      </c>
      <c r="C6" s="28" t="s">
        <v>82</v>
      </c>
      <c r="D6" s="28"/>
      <c r="E6" s="28" t="s">
        <v>67</v>
      </c>
      <c r="F6" s="28" t="s">
        <v>83</v>
      </c>
      <c r="G6" s="28" t="s">
        <v>84</v>
      </c>
      <c r="H6" s="28" t="s">
        <v>70</v>
      </c>
      <c r="I6" s="28" t="s">
        <v>85</v>
      </c>
      <c r="J6" s="275" t="s">
        <v>72</v>
      </c>
      <c r="K6" s="28" t="s">
        <v>86</v>
      </c>
      <c r="L6" s="28" t="s">
        <v>87</v>
      </c>
      <c r="M6" s="28" t="s">
        <v>56</v>
      </c>
      <c r="N6" s="67" t="s">
        <v>88</v>
      </c>
      <c r="O6" s="53" t="s">
        <v>89</v>
      </c>
      <c r="P6" s="28"/>
      <c r="Q6" s="28"/>
      <c r="R6" s="28" t="s">
        <v>90</v>
      </c>
      <c r="S6" s="100"/>
      <c r="T6" s="100"/>
      <c r="U6" s="100" t="s">
        <v>91</v>
      </c>
      <c r="V6" s="249" t="s">
        <v>92</v>
      </c>
      <c r="W6" s="28" t="s">
        <v>93</v>
      </c>
      <c r="X6" s="253" t="s">
        <v>94</v>
      </c>
      <c r="Y6" s="251" t="s">
        <v>30</v>
      </c>
    </row>
    <row r="7" spans="1:25">
      <c r="A7" s="28">
        <v>4</v>
      </c>
      <c r="B7" s="28" t="s">
        <v>64</v>
      </c>
      <c r="C7" s="28" t="s">
        <v>95</v>
      </c>
      <c r="D7" s="28"/>
      <c r="E7" s="28" t="s">
        <v>67</v>
      </c>
      <c r="F7" s="28" t="s">
        <v>96</v>
      </c>
      <c r="G7" s="28" t="s">
        <v>97</v>
      </c>
      <c r="H7" s="28" t="s">
        <v>98</v>
      </c>
      <c r="I7" s="28" t="s">
        <v>99</v>
      </c>
      <c r="J7" s="275" t="s">
        <v>72</v>
      </c>
      <c r="K7" s="71" t="s">
        <v>100</v>
      </c>
      <c r="L7" s="71"/>
      <c r="M7" s="28" t="s">
        <v>56</v>
      </c>
      <c r="N7" s="67" t="s">
        <v>101</v>
      </c>
      <c r="O7" s="53" t="s">
        <v>102</v>
      </c>
      <c r="P7" s="28"/>
      <c r="Q7" s="28"/>
      <c r="R7" s="28" t="s">
        <v>103</v>
      </c>
      <c r="S7" s="100"/>
      <c r="T7" s="100"/>
      <c r="U7" s="100"/>
      <c r="V7" s="249" t="s">
        <v>104</v>
      </c>
      <c r="W7" s="28" t="s">
        <v>105</v>
      </c>
      <c r="X7" s="249"/>
      <c r="Y7" s="251" t="s">
        <v>31</v>
      </c>
    </row>
    <row r="8" spans="1:25">
      <c r="A8" s="28">
        <v>5</v>
      </c>
      <c r="B8" s="28" t="s">
        <v>64</v>
      </c>
      <c r="C8" s="28" t="s">
        <v>106</v>
      </c>
      <c r="D8" s="28"/>
      <c r="E8" s="28" t="s">
        <v>107</v>
      </c>
      <c r="F8" s="28" t="s">
        <v>108</v>
      </c>
      <c r="G8" s="28" t="s">
        <v>109</v>
      </c>
      <c r="H8" s="71" t="s">
        <v>98</v>
      </c>
      <c r="I8" s="71" t="s">
        <v>110</v>
      </c>
      <c r="J8" s="275" t="s">
        <v>72</v>
      </c>
      <c r="K8" s="28" t="s">
        <v>111</v>
      </c>
      <c r="L8" s="28"/>
      <c r="M8" s="28" t="s">
        <v>56</v>
      </c>
      <c r="N8" s="67" t="s">
        <v>112</v>
      </c>
      <c r="O8" s="53" t="s">
        <v>113</v>
      </c>
      <c r="P8" s="28"/>
      <c r="Q8" s="28"/>
      <c r="R8" s="28" t="s">
        <v>114</v>
      </c>
      <c r="S8" s="100"/>
      <c r="T8" s="100"/>
      <c r="U8" s="100"/>
      <c r="V8" s="249" t="s">
        <v>115</v>
      </c>
      <c r="W8" s="28" t="s">
        <v>116</v>
      </c>
      <c r="X8" s="249"/>
      <c r="Y8" s="251" t="s">
        <v>32</v>
      </c>
    </row>
    <row r="9" spans="1:25">
      <c r="A9" s="28">
        <v>6</v>
      </c>
      <c r="B9" s="28" t="s">
        <v>64</v>
      </c>
      <c r="C9" s="28" t="s">
        <v>117</v>
      </c>
      <c r="D9" s="28"/>
      <c r="E9" s="28" t="s">
        <v>107</v>
      </c>
      <c r="F9" s="28" t="s">
        <v>118</v>
      </c>
      <c r="G9" s="53"/>
      <c r="H9" s="28" t="s">
        <v>98</v>
      </c>
      <c r="I9" s="28" t="s">
        <v>119</v>
      </c>
      <c r="J9" s="275" t="s">
        <v>72</v>
      </c>
      <c r="K9" s="28" t="s">
        <v>18</v>
      </c>
      <c r="L9" s="28"/>
      <c r="M9" s="28" t="s">
        <v>56</v>
      </c>
      <c r="N9" s="67" t="s">
        <v>120</v>
      </c>
      <c r="O9" s="181" t="s">
        <v>121</v>
      </c>
      <c r="P9" s="19"/>
      <c r="Q9" s="19"/>
      <c r="R9" s="28" t="s">
        <v>122</v>
      </c>
      <c r="S9" s="100"/>
      <c r="T9" s="100"/>
      <c r="U9" s="100"/>
      <c r="V9" s="249" t="s">
        <v>123</v>
      </c>
      <c r="W9" s="28" t="s">
        <v>124</v>
      </c>
      <c r="X9" s="249"/>
      <c r="Y9" s="251" t="s">
        <v>33</v>
      </c>
    </row>
    <row r="10" spans="1:25">
      <c r="A10" s="28">
        <v>7</v>
      </c>
      <c r="B10" s="28" t="s">
        <v>64</v>
      </c>
      <c r="C10" s="28" t="s">
        <v>125</v>
      </c>
      <c r="D10" s="28"/>
      <c r="E10" s="71" t="s">
        <v>107</v>
      </c>
      <c r="F10" s="71" t="s">
        <v>126</v>
      </c>
      <c r="G10" s="53"/>
      <c r="H10" s="28" t="s">
        <v>98</v>
      </c>
      <c r="I10" s="28" t="s">
        <v>127</v>
      </c>
      <c r="J10" s="275" t="s">
        <v>72</v>
      </c>
      <c r="K10" s="28" t="s">
        <v>128</v>
      </c>
      <c r="L10" s="28"/>
      <c r="M10" s="28" t="s">
        <v>56</v>
      </c>
      <c r="N10" s="67" t="s">
        <v>129</v>
      </c>
      <c r="O10" s="53" t="s">
        <v>130</v>
      </c>
      <c r="P10" s="28"/>
      <c r="Q10" s="28"/>
      <c r="R10" s="28" t="s">
        <v>131</v>
      </c>
      <c r="S10" s="100"/>
      <c r="T10" s="100"/>
      <c r="U10" s="100"/>
      <c r="V10" s="249" t="s">
        <v>132</v>
      </c>
      <c r="W10" s="28" t="s">
        <v>133</v>
      </c>
      <c r="X10" s="249"/>
      <c r="Y10" s="251" t="s">
        <v>34</v>
      </c>
    </row>
    <row r="11" spans="1:25">
      <c r="A11" s="28">
        <v>8</v>
      </c>
      <c r="B11" s="28" t="s">
        <v>64</v>
      </c>
      <c r="C11" s="28" t="s">
        <v>134</v>
      </c>
      <c r="D11" s="53"/>
      <c r="E11" s="28" t="s">
        <v>135</v>
      </c>
      <c r="F11" s="28" t="s">
        <v>136</v>
      </c>
      <c r="G11" s="249"/>
      <c r="H11" s="28" t="s">
        <v>98</v>
      </c>
      <c r="I11" s="28" t="s">
        <v>137</v>
      </c>
      <c r="J11" s="275" t="s">
        <v>72</v>
      </c>
      <c r="K11" s="53" t="s">
        <v>22</v>
      </c>
      <c r="L11" s="28"/>
      <c r="M11" s="28" t="s">
        <v>56</v>
      </c>
      <c r="N11" s="67" t="s">
        <v>138</v>
      </c>
      <c r="O11" s="53"/>
      <c r="P11" s="28"/>
      <c r="Q11" s="28"/>
      <c r="R11" s="28" t="s">
        <v>139</v>
      </c>
      <c r="S11" s="100"/>
      <c r="T11" s="100"/>
      <c r="U11" s="100"/>
      <c r="V11" s="249" t="s">
        <v>140</v>
      </c>
      <c r="W11" s="28" t="s">
        <v>141</v>
      </c>
      <c r="X11" s="249"/>
      <c r="Y11" s="251" t="s">
        <v>35</v>
      </c>
    </row>
    <row r="12" spans="1:25">
      <c r="A12" s="28">
        <v>9</v>
      </c>
      <c r="B12" s="28" t="s">
        <v>64</v>
      </c>
      <c r="C12" s="28" t="s">
        <v>142</v>
      </c>
      <c r="D12" s="53"/>
      <c r="E12" s="28" t="s">
        <v>143</v>
      </c>
      <c r="F12" s="28" t="s">
        <v>143</v>
      </c>
      <c r="G12" s="249"/>
      <c r="H12" s="28" t="s">
        <v>144</v>
      </c>
      <c r="I12" s="28" t="s">
        <v>145</v>
      </c>
      <c r="J12" s="275" t="s">
        <v>72</v>
      </c>
      <c r="K12" s="53" t="s">
        <v>23</v>
      </c>
      <c r="L12" s="95"/>
      <c r="M12" s="28" t="s">
        <v>56</v>
      </c>
      <c r="N12" s="67" t="s">
        <v>146</v>
      </c>
      <c r="O12" s="53"/>
      <c r="P12" s="28"/>
      <c r="Q12" s="28"/>
      <c r="R12" s="28" t="s">
        <v>147</v>
      </c>
      <c r="S12" s="100"/>
      <c r="T12" s="100"/>
      <c r="U12" s="100"/>
      <c r="V12" s="249" t="s">
        <v>148</v>
      </c>
      <c r="W12" s="28"/>
      <c r="X12" s="249"/>
      <c r="Y12" s="251" t="s">
        <v>36</v>
      </c>
    </row>
    <row r="13" spans="1:25">
      <c r="A13" s="28">
        <v>10</v>
      </c>
      <c r="B13" s="28" t="s">
        <v>64</v>
      </c>
      <c r="C13" s="28" t="s">
        <v>149</v>
      </c>
      <c r="D13" s="28"/>
      <c r="E13" s="95"/>
      <c r="F13" s="95"/>
      <c r="G13" s="53"/>
      <c r="H13" s="254" t="s">
        <v>150</v>
      </c>
      <c r="I13" s="254" t="s">
        <v>151</v>
      </c>
      <c r="J13" s="275" t="s">
        <v>72</v>
      </c>
      <c r="K13" s="53" t="s">
        <v>152</v>
      </c>
      <c r="L13" s="28"/>
      <c r="M13" s="28" t="s">
        <v>56</v>
      </c>
      <c r="N13" s="67" t="s">
        <v>153</v>
      </c>
      <c r="O13" s="53"/>
      <c r="P13" s="28"/>
      <c r="Q13" s="28"/>
      <c r="R13" s="28"/>
      <c r="S13" s="100"/>
      <c r="T13" s="100"/>
      <c r="U13" s="100"/>
      <c r="V13" s="249" t="s">
        <v>154</v>
      </c>
      <c r="W13" s="28"/>
      <c r="X13" s="249"/>
      <c r="Y13" s="251" t="s">
        <v>155</v>
      </c>
    </row>
    <row r="14" spans="1:25">
      <c r="A14" s="28">
        <v>11</v>
      </c>
      <c r="B14" s="28" t="s">
        <v>64</v>
      </c>
      <c r="C14" s="28" t="s">
        <v>156</v>
      </c>
      <c r="D14" s="28"/>
      <c r="E14" s="28"/>
      <c r="F14" s="28"/>
      <c r="G14" s="53"/>
      <c r="H14" s="53" t="s">
        <v>150</v>
      </c>
      <c r="I14" s="53" t="s">
        <v>157</v>
      </c>
      <c r="J14" s="275" t="s">
        <v>72</v>
      </c>
      <c r="K14" s="53" t="s">
        <v>24</v>
      </c>
      <c r="L14" s="28"/>
      <c r="M14" s="28" t="s">
        <v>56</v>
      </c>
      <c r="N14" s="67" t="s">
        <v>158</v>
      </c>
      <c r="O14" s="53"/>
      <c r="P14" s="28"/>
      <c r="Q14" s="28"/>
      <c r="R14" s="28"/>
      <c r="S14" s="100"/>
      <c r="T14" s="100"/>
      <c r="U14" s="100"/>
      <c r="V14" s="249" t="s">
        <v>159</v>
      </c>
      <c r="W14" s="28"/>
      <c r="X14" s="249"/>
      <c r="Y14" s="251" t="s">
        <v>160</v>
      </c>
    </row>
    <row r="15" spans="1:25">
      <c r="A15" s="28">
        <v>12</v>
      </c>
      <c r="B15" s="28" t="s">
        <v>64</v>
      </c>
      <c r="C15" s="28" t="s">
        <v>161</v>
      </c>
      <c r="D15" s="28"/>
      <c r="E15" s="28"/>
      <c r="F15" s="28"/>
      <c r="G15" s="53"/>
      <c r="H15" s="53" t="s">
        <v>150</v>
      </c>
      <c r="I15" s="53" t="s">
        <v>162</v>
      </c>
      <c r="J15" s="275" t="s">
        <v>72</v>
      </c>
      <c r="K15" s="53" t="s">
        <v>25</v>
      </c>
      <c r="L15" s="28"/>
      <c r="M15" s="28" t="s">
        <v>56</v>
      </c>
      <c r="N15" s="67" t="s">
        <v>163</v>
      </c>
      <c r="O15" s="53"/>
      <c r="P15" s="28"/>
      <c r="Q15" s="28"/>
      <c r="R15" s="28"/>
      <c r="S15" s="100"/>
      <c r="T15" s="100"/>
      <c r="U15" s="100"/>
      <c r="V15" s="249" t="s">
        <v>164</v>
      </c>
      <c r="W15" s="28"/>
      <c r="X15" s="249"/>
      <c r="Y15" s="251" t="s">
        <v>165</v>
      </c>
    </row>
    <row r="16" spans="1:25">
      <c r="A16" s="28">
        <v>13</v>
      </c>
      <c r="B16" s="28" t="s">
        <v>64</v>
      </c>
      <c r="C16" s="28" t="s">
        <v>166</v>
      </c>
      <c r="D16" s="28"/>
      <c r="E16" s="28"/>
      <c r="F16" s="28"/>
      <c r="G16" s="53"/>
      <c r="H16" s="53" t="s">
        <v>150</v>
      </c>
      <c r="I16" s="53" t="s">
        <v>167</v>
      </c>
      <c r="J16" s="275" t="s">
        <v>72</v>
      </c>
      <c r="K16" s="53" t="s">
        <v>26</v>
      </c>
      <c r="L16" s="28"/>
      <c r="M16" s="28" t="s">
        <v>56</v>
      </c>
      <c r="N16" s="67" t="s">
        <v>168</v>
      </c>
      <c r="O16" s="53"/>
      <c r="P16" s="28"/>
      <c r="Q16" s="28"/>
      <c r="R16" s="28"/>
      <c r="S16" s="100"/>
      <c r="T16" s="100"/>
      <c r="U16" s="100"/>
      <c r="V16" s="249" t="s">
        <v>169</v>
      </c>
      <c r="W16" s="28"/>
      <c r="X16" s="249"/>
      <c r="Y16" s="251" t="s">
        <v>170</v>
      </c>
    </row>
    <row r="17" spans="1:25">
      <c r="A17" s="28">
        <v>14</v>
      </c>
      <c r="B17" s="28" t="s">
        <v>64</v>
      </c>
      <c r="C17" s="28" t="s">
        <v>171</v>
      </c>
      <c r="D17" s="28"/>
      <c r="E17" s="28"/>
      <c r="F17" s="28"/>
      <c r="G17" s="53"/>
      <c r="H17" s="53" t="s">
        <v>150</v>
      </c>
      <c r="I17" s="53" t="s">
        <v>172</v>
      </c>
      <c r="J17" s="275" t="s">
        <v>72</v>
      </c>
      <c r="K17" s="53" t="s">
        <v>27</v>
      </c>
      <c r="L17" s="28"/>
      <c r="M17" s="28" t="s">
        <v>56</v>
      </c>
      <c r="N17" s="67" t="s">
        <v>173</v>
      </c>
      <c r="O17" s="53"/>
      <c r="P17" s="28"/>
      <c r="Q17" s="28"/>
      <c r="R17" s="28"/>
      <c r="S17" s="100"/>
      <c r="T17" s="100"/>
      <c r="U17" s="100"/>
      <c r="V17" s="249" t="s">
        <v>174</v>
      </c>
      <c r="W17" s="28"/>
      <c r="X17" s="249"/>
      <c r="Y17" s="251" t="s">
        <v>175</v>
      </c>
    </row>
    <row r="18" spans="1:25">
      <c r="A18" s="28">
        <v>15</v>
      </c>
      <c r="B18" s="28" t="s">
        <v>64</v>
      </c>
      <c r="C18" s="28" t="s">
        <v>176</v>
      </c>
      <c r="D18" s="28"/>
      <c r="E18" s="28"/>
      <c r="F18" s="28"/>
      <c r="G18" s="53"/>
      <c r="H18" s="53" t="s">
        <v>177</v>
      </c>
      <c r="I18" s="53" t="s">
        <v>178</v>
      </c>
      <c r="J18" s="275" t="s">
        <v>72</v>
      </c>
      <c r="K18" s="54" t="s">
        <v>28</v>
      </c>
      <c r="L18" s="28"/>
      <c r="M18" s="28" t="s">
        <v>56</v>
      </c>
      <c r="N18" s="67" t="s">
        <v>179</v>
      </c>
      <c r="O18" s="53"/>
      <c r="P18" s="28"/>
      <c r="Q18" s="28"/>
      <c r="R18" s="28"/>
      <c r="S18" s="100"/>
      <c r="T18" s="100"/>
      <c r="U18" s="100"/>
      <c r="V18" s="249"/>
      <c r="W18" s="28"/>
      <c r="X18" s="249"/>
      <c r="Y18" s="251" t="s">
        <v>180</v>
      </c>
    </row>
    <row r="19" spans="1:25">
      <c r="A19" s="28">
        <v>16</v>
      </c>
      <c r="B19" s="28" t="s">
        <v>64</v>
      </c>
      <c r="C19" s="28" t="s">
        <v>181</v>
      </c>
      <c r="D19" s="28"/>
      <c r="E19" s="28"/>
      <c r="F19" s="28"/>
      <c r="G19" s="53"/>
      <c r="H19" s="53" t="s">
        <v>182</v>
      </c>
      <c r="I19" s="53" t="s">
        <v>183</v>
      </c>
      <c r="J19" s="275" t="s">
        <v>72</v>
      </c>
      <c r="K19" s="28"/>
      <c r="L19" s="100"/>
      <c r="M19" s="28" t="s">
        <v>56</v>
      </c>
      <c r="N19" s="67" t="s">
        <v>184</v>
      </c>
      <c r="O19" s="53"/>
      <c r="P19" s="28"/>
      <c r="Q19" s="28"/>
      <c r="R19" s="28"/>
      <c r="S19" s="100"/>
      <c r="T19" s="100"/>
      <c r="U19" s="100"/>
      <c r="V19" s="249"/>
      <c r="W19" s="28"/>
      <c r="X19" s="249"/>
      <c r="Y19" s="251" t="s">
        <v>185</v>
      </c>
    </row>
    <row r="20" spans="1:25">
      <c r="A20" s="28">
        <v>17</v>
      </c>
      <c r="B20" s="28" t="s">
        <v>64</v>
      </c>
      <c r="C20" s="28" t="s">
        <v>186</v>
      </c>
      <c r="D20" s="28"/>
      <c r="E20" s="28"/>
      <c r="F20" s="28"/>
      <c r="G20" s="53"/>
      <c r="H20" s="53" t="s">
        <v>187</v>
      </c>
      <c r="I20" s="53" t="s">
        <v>188</v>
      </c>
      <c r="J20" s="275" t="s">
        <v>72</v>
      </c>
      <c r="K20" s="28"/>
      <c r="L20" s="100"/>
      <c r="M20" s="28" t="s">
        <v>56</v>
      </c>
      <c r="N20" s="67" t="s">
        <v>189</v>
      </c>
      <c r="O20" s="53"/>
      <c r="P20" s="28"/>
      <c r="Q20" s="28"/>
      <c r="R20" s="28"/>
      <c r="S20" s="100"/>
      <c r="T20" s="100"/>
      <c r="U20" s="100"/>
      <c r="V20" s="100"/>
      <c r="W20" s="255"/>
      <c r="X20" s="53"/>
      <c r="Y20" s="251" t="s">
        <v>190</v>
      </c>
    </row>
    <row r="21" spans="1:25">
      <c r="A21" s="28">
        <v>18</v>
      </c>
      <c r="B21" s="28" t="s">
        <v>64</v>
      </c>
      <c r="C21" s="28" t="s">
        <v>191</v>
      </c>
      <c r="D21" s="28"/>
      <c r="E21" s="28"/>
      <c r="F21" s="28"/>
      <c r="G21" s="53"/>
      <c r="H21" s="53" t="s">
        <v>192</v>
      </c>
      <c r="I21" s="53" t="s">
        <v>193</v>
      </c>
      <c r="J21" s="275" t="s">
        <v>72</v>
      </c>
      <c r="K21" s="28"/>
      <c r="L21" s="100"/>
      <c r="M21" s="28" t="s">
        <v>56</v>
      </c>
      <c r="N21" s="67" t="s">
        <v>194</v>
      </c>
      <c r="O21" s="53"/>
      <c r="P21" s="28"/>
      <c r="Q21" s="28"/>
      <c r="R21" s="28"/>
      <c r="S21" s="100"/>
      <c r="T21" s="100"/>
      <c r="U21" s="100"/>
      <c r="V21" s="100"/>
      <c r="W21" s="249"/>
      <c r="X21" s="53"/>
      <c r="Y21" s="251" t="s">
        <v>195</v>
      </c>
    </row>
    <row r="22" spans="1:25">
      <c r="A22" s="28">
        <v>19</v>
      </c>
      <c r="B22" s="71" t="s">
        <v>64</v>
      </c>
      <c r="C22" s="71" t="s">
        <v>196</v>
      </c>
      <c r="D22" s="28"/>
      <c r="E22" s="28"/>
      <c r="F22" s="28"/>
      <c r="G22" s="53"/>
      <c r="H22" s="53" t="s">
        <v>197</v>
      </c>
      <c r="I22" s="53" t="s">
        <v>198</v>
      </c>
      <c r="J22" s="275" t="s">
        <v>72</v>
      </c>
      <c r="K22" s="28"/>
      <c r="L22" s="100"/>
      <c r="M22" s="28" t="s">
        <v>56</v>
      </c>
      <c r="N22" s="67" t="s">
        <v>199</v>
      </c>
      <c r="O22" s="53"/>
      <c r="P22" s="28"/>
      <c r="Q22" s="28"/>
      <c r="R22" s="28"/>
      <c r="S22" s="100"/>
      <c r="T22" s="100"/>
      <c r="U22" s="100"/>
      <c r="V22" s="100"/>
      <c r="W22" s="249"/>
      <c r="X22" s="53"/>
      <c r="Y22" s="251" t="s">
        <v>200</v>
      </c>
    </row>
    <row r="23" spans="1:25">
      <c r="A23" s="28">
        <v>20</v>
      </c>
      <c r="B23" s="53" t="s">
        <v>64</v>
      </c>
      <c r="C23" s="53" t="s">
        <v>201</v>
      </c>
      <c r="D23" s="71"/>
      <c r="E23" s="71"/>
      <c r="F23" s="71"/>
      <c r="G23" s="54"/>
      <c r="H23" s="54" t="s">
        <v>202</v>
      </c>
      <c r="I23" s="54" t="s">
        <v>203</v>
      </c>
      <c r="J23" s="275" t="s">
        <v>72</v>
      </c>
      <c r="K23" s="28"/>
      <c r="L23" s="100"/>
      <c r="M23" s="28" t="s">
        <v>56</v>
      </c>
      <c r="N23" s="67" t="s">
        <v>204</v>
      </c>
      <c r="O23" s="53"/>
      <c r="P23" s="28"/>
      <c r="Q23" s="28"/>
      <c r="R23" s="28"/>
      <c r="S23" s="139"/>
      <c r="T23" s="139"/>
      <c r="U23" s="139"/>
      <c r="V23" s="139"/>
      <c r="W23" s="256"/>
      <c r="X23" s="54"/>
      <c r="Y23" s="251" t="s">
        <v>205</v>
      </c>
    </row>
    <row r="24" spans="1:25">
      <c r="A24" s="53">
        <v>21</v>
      </c>
      <c r="B24" s="53" t="s">
        <v>206</v>
      </c>
      <c r="C24" s="53" t="s">
        <v>207</v>
      </c>
      <c r="D24" s="28"/>
      <c r="E24" s="28"/>
      <c r="F24" s="28"/>
      <c r="G24" s="53"/>
      <c r="H24" s="28" t="s">
        <v>202</v>
      </c>
      <c r="I24" s="53" t="s">
        <v>208</v>
      </c>
      <c r="J24" s="275" t="s">
        <v>72</v>
      </c>
      <c r="K24" s="28"/>
      <c r="L24" s="100"/>
      <c r="M24" s="28" t="s">
        <v>56</v>
      </c>
      <c r="N24" s="67" t="s">
        <v>209</v>
      </c>
      <c r="O24" s="53"/>
      <c r="P24" s="28"/>
      <c r="Q24" s="28"/>
      <c r="R24" s="28"/>
      <c r="S24" s="100"/>
      <c r="T24" s="100"/>
      <c r="U24" s="100"/>
      <c r="V24" s="100"/>
      <c r="W24" s="249"/>
      <c r="X24" s="53"/>
      <c r="Y24" s="251" t="s">
        <v>210</v>
      </c>
    </row>
    <row r="25" spans="1:25">
      <c r="A25" s="53">
        <v>22</v>
      </c>
      <c r="B25" s="53" t="s">
        <v>206</v>
      </c>
      <c r="C25" s="53" t="s">
        <v>211</v>
      </c>
      <c r="D25" s="28"/>
      <c r="E25" s="28"/>
      <c r="F25" s="28"/>
      <c r="G25" s="28"/>
      <c r="H25" s="28" t="s">
        <v>202</v>
      </c>
      <c r="I25" s="53" t="s">
        <v>212</v>
      </c>
      <c r="J25" s="275" t="s">
        <v>72</v>
      </c>
      <c r="K25" s="254"/>
      <c r="L25" s="28"/>
      <c r="M25" s="28" t="s">
        <v>56</v>
      </c>
      <c r="N25" s="67" t="s">
        <v>213</v>
      </c>
      <c r="O25" s="53"/>
      <c r="P25" s="28"/>
      <c r="Q25" s="28"/>
      <c r="R25" s="28"/>
      <c r="S25" s="100"/>
      <c r="T25" s="100"/>
      <c r="U25" s="100"/>
      <c r="V25" s="100"/>
      <c r="W25" s="249"/>
      <c r="X25" s="53"/>
      <c r="Y25" s="251" t="s">
        <v>214</v>
      </c>
    </row>
    <row r="26" spans="1:25">
      <c r="A26" s="53">
        <v>23</v>
      </c>
      <c r="B26" s="53" t="s">
        <v>206</v>
      </c>
      <c r="C26" s="53" t="s">
        <v>215</v>
      </c>
      <c r="D26" s="28"/>
      <c r="E26" s="28"/>
      <c r="F26" s="28"/>
      <c r="G26" s="28"/>
      <c r="H26" s="95" t="s">
        <v>202</v>
      </c>
      <c r="I26" s="95" t="s">
        <v>216</v>
      </c>
      <c r="J26" s="275" t="s">
        <v>72</v>
      </c>
      <c r="K26" s="53"/>
      <c r="L26" s="28"/>
      <c r="M26" s="28" t="s">
        <v>56</v>
      </c>
      <c r="N26" s="67" t="s">
        <v>217</v>
      </c>
      <c r="O26" s="53"/>
      <c r="P26" s="28"/>
      <c r="Q26" s="28"/>
      <c r="R26" s="28"/>
      <c r="S26" s="100"/>
      <c r="T26" s="100"/>
      <c r="U26" s="100"/>
      <c r="V26" s="100"/>
      <c r="W26" s="249"/>
      <c r="X26" s="53"/>
      <c r="Y26" s="257" t="s">
        <v>218</v>
      </c>
    </row>
    <row r="27" spans="1:25">
      <c r="A27" s="53">
        <v>24</v>
      </c>
      <c r="B27" s="53" t="s">
        <v>206</v>
      </c>
      <c r="C27" s="53" t="s">
        <v>219</v>
      </c>
      <c r="D27" s="28"/>
      <c r="E27" s="28"/>
      <c r="F27" s="28"/>
      <c r="G27" s="28"/>
      <c r="H27" s="28" t="s">
        <v>220</v>
      </c>
      <c r="I27" s="28" t="s">
        <v>221</v>
      </c>
      <c r="J27" s="275" t="s">
        <v>72</v>
      </c>
      <c r="K27" s="53"/>
      <c r="L27" s="28"/>
      <c r="M27" s="28" t="s">
        <v>56</v>
      </c>
      <c r="N27" s="67" t="s">
        <v>222</v>
      </c>
      <c r="O27" s="53"/>
      <c r="P27" s="28"/>
      <c r="Q27" s="28"/>
      <c r="R27" s="28"/>
      <c r="S27" s="100"/>
      <c r="T27" s="100"/>
      <c r="U27" s="100"/>
      <c r="V27" s="100"/>
      <c r="W27" s="249"/>
      <c r="X27" s="53"/>
      <c r="Y27" s="251" t="s">
        <v>223</v>
      </c>
    </row>
    <row r="28" spans="1:25">
      <c r="A28" s="53">
        <v>25</v>
      </c>
      <c r="B28" s="53" t="s">
        <v>206</v>
      </c>
      <c r="C28" s="53" t="s">
        <v>224</v>
      </c>
      <c r="D28" s="28"/>
      <c r="E28" s="28"/>
      <c r="F28" s="28"/>
      <c r="G28" s="28"/>
      <c r="H28" s="28" t="s">
        <v>220</v>
      </c>
      <c r="I28" s="28" t="s">
        <v>225</v>
      </c>
      <c r="J28" s="275" t="s">
        <v>72</v>
      </c>
      <c r="K28" s="53"/>
      <c r="L28" s="28"/>
      <c r="M28" s="28" t="s">
        <v>56</v>
      </c>
      <c r="N28" s="67" t="s">
        <v>226</v>
      </c>
      <c r="O28" s="53" t="s">
        <v>227</v>
      </c>
      <c r="P28" s="28"/>
      <c r="Q28" s="28"/>
      <c r="R28" s="28"/>
      <c r="S28" s="100"/>
      <c r="T28" s="100"/>
      <c r="U28" s="100"/>
      <c r="V28" s="100"/>
      <c r="W28" s="249"/>
      <c r="X28" s="53"/>
      <c r="Y28" s="251" t="s">
        <v>228</v>
      </c>
    </row>
    <row r="29" spans="1:25">
      <c r="A29" s="53">
        <v>26</v>
      </c>
      <c r="B29" s="53" t="s">
        <v>206</v>
      </c>
      <c r="C29" s="53" t="s">
        <v>229</v>
      </c>
      <c r="D29" s="28"/>
      <c r="E29" s="28"/>
      <c r="F29" s="28"/>
      <c r="G29" s="28"/>
      <c r="H29" s="28" t="s">
        <v>230</v>
      </c>
      <c r="I29" s="28" t="s">
        <v>231</v>
      </c>
      <c r="J29" s="275" t="s">
        <v>72</v>
      </c>
      <c r="K29" s="28"/>
      <c r="L29" s="95"/>
      <c r="M29" s="28" t="s">
        <v>56</v>
      </c>
      <c r="N29" s="67" t="s">
        <v>232</v>
      </c>
      <c r="O29" s="95"/>
      <c r="P29" s="95"/>
      <c r="Q29" s="95"/>
      <c r="R29" s="95"/>
      <c r="S29" s="95"/>
      <c r="T29" s="95"/>
      <c r="U29" s="95"/>
      <c r="V29" s="28"/>
      <c r="W29" s="53"/>
      <c r="X29" s="53"/>
      <c r="Y29" s="28"/>
    </row>
    <row r="30" spans="1:25">
      <c r="A30" s="53">
        <v>27</v>
      </c>
      <c r="B30" s="53" t="s">
        <v>206</v>
      </c>
      <c r="C30" s="53" t="s">
        <v>233</v>
      </c>
      <c r="D30" s="28"/>
      <c r="E30" s="28"/>
      <c r="F30" s="28"/>
      <c r="G30" s="28"/>
      <c r="H30" s="28" t="s">
        <v>230</v>
      </c>
      <c r="I30" s="28" t="s">
        <v>234</v>
      </c>
      <c r="J30" s="275" t="s">
        <v>72</v>
      </c>
      <c r="K30" s="28"/>
      <c r="L30" s="28"/>
      <c r="M30" s="28" t="s">
        <v>56</v>
      </c>
      <c r="N30" s="67" t="s">
        <v>235</v>
      </c>
      <c r="O30" s="28"/>
      <c r="P30" s="28"/>
      <c r="Q30" s="28"/>
      <c r="R30" s="28"/>
      <c r="S30" s="28"/>
      <c r="T30" s="28"/>
      <c r="U30" s="28"/>
      <c r="V30" s="28"/>
      <c r="W30" s="28"/>
      <c r="X30" s="28"/>
      <c r="Y30" s="95"/>
    </row>
    <row r="31" spans="1:25">
      <c r="A31" s="53">
        <v>28</v>
      </c>
      <c r="B31" s="54" t="s">
        <v>206</v>
      </c>
      <c r="C31" s="54" t="s">
        <v>236</v>
      </c>
      <c r="D31" s="28"/>
      <c r="E31" s="28"/>
      <c r="F31" s="28"/>
      <c r="G31" s="28"/>
      <c r="H31" s="28" t="s">
        <v>237</v>
      </c>
      <c r="I31" s="28" t="s">
        <v>238</v>
      </c>
      <c r="J31" s="275" t="s">
        <v>72</v>
      </c>
      <c r="K31" s="28"/>
      <c r="L31" s="28"/>
      <c r="M31" s="28" t="s">
        <v>56</v>
      </c>
      <c r="N31" s="67" t="s">
        <v>239</v>
      </c>
      <c r="O31" s="28"/>
      <c r="P31" s="28"/>
      <c r="Q31" s="28"/>
      <c r="R31" s="28"/>
      <c r="S31" s="28"/>
      <c r="T31" s="28"/>
      <c r="U31" s="28"/>
      <c r="V31" s="28"/>
      <c r="W31" s="28"/>
      <c r="X31" s="28"/>
      <c r="Y31" s="28"/>
    </row>
    <row r="32" spans="1:25">
      <c r="A32" s="54">
        <v>29</v>
      </c>
      <c r="B32" s="71" t="s">
        <v>206</v>
      </c>
      <c r="C32" s="71" t="s">
        <v>240</v>
      </c>
      <c r="D32" s="71"/>
      <c r="E32" s="71"/>
      <c r="F32" s="71"/>
      <c r="G32" s="71"/>
      <c r="H32" s="28" t="s">
        <v>237</v>
      </c>
      <c r="I32" s="28" t="s">
        <v>241</v>
      </c>
      <c r="J32" s="275" t="s">
        <v>72</v>
      </c>
      <c r="K32" s="71"/>
      <c r="L32" s="71"/>
      <c r="M32" s="28" t="s">
        <v>56</v>
      </c>
      <c r="N32" s="67" t="s">
        <v>242</v>
      </c>
      <c r="O32" s="71"/>
      <c r="P32" s="71"/>
      <c r="Q32" s="71"/>
      <c r="R32" s="71"/>
      <c r="S32" s="71"/>
      <c r="T32" s="71"/>
      <c r="U32" s="71"/>
      <c r="V32" s="71"/>
      <c r="W32" s="71"/>
      <c r="X32" s="71"/>
      <c r="Y32" s="71"/>
    </row>
    <row r="33" spans="1:25">
      <c r="A33" s="53">
        <v>30</v>
      </c>
      <c r="B33" s="28" t="s">
        <v>206</v>
      </c>
      <c r="C33" s="28" t="s">
        <v>243</v>
      </c>
      <c r="D33" s="28"/>
      <c r="E33" s="28"/>
      <c r="F33" s="100"/>
      <c r="G33" s="28"/>
      <c r="H33" s="71" t="s">
        <v>237</v>
      </c>
      <c r="I33" s="71" t="s">
        <v>244</v>
      </c>
      <c r="J33" s="275" t="s">
        <v>72</v>
      </c>
      <c r="L33" s="28"/>
      <c r="M33" s="28" t="s">
        <v>56</v>
      </c>
      <c r="N33" s="67" t="s">
        <v>245</v>
      </c>
      <c r="O33" s="28"/>
      <c r="P33" s="28"/>
      <c r="Q33" s="28"/>
      <c r="R33" s="28"/>
      <c r="S33" s="28"/>
      <c r="T33" s="28"/>
      <c r="U33" s="28"/>
      <c r="V33" s="28"/>
      <c r="W33" s="28"/>
      <c r="X33" s="28"/>
      <c r="Y33" s="28"/>
    </row>
    <row r="34" spans="1:25">
      <c r="A34" s="53">
        <v>31</v>
      </c>
      <c r="B34" s="28" t="s">
        <v>206</v>
      </c>
      <c r="C34" s="28" t="s">
        <v>246</v>
      </c>
      <c r="D34" s="28"/>
      <c r="E34" s="28"/>
      <c r="F34" s="100"/>
      <c r="G34" s="28"/>
      <c r="H34" s="28" t="s">
        <v>237</v>
      </c>
      <c r="I34" s="28" t="s">
        <v>247</v>
      </c>
      <c r="J34" s="275" t="s">
        <v>72</v>
      </c>
      <c r="K34" s="28"/>
      <c r="L34" s="28"/>
      <c r="M34" s="28" t="s">
        <v>56</v>
      </c>
      <c r="N34" s="67" t="s">
        <v>248</v>
      </c>
      <c r="O34" s="28"/>
      <c r="P34" s="28"/>
      <c r="Q34" s="28"/>
      <c r="R34" s="28"/>
      <c r="S34" s="28"/>
      <c r="T34" s="28"/>
      <c r="U34" s="28"/>
      <c r="V34" s="28"/>
      <c r="W34" s="28"/>
      <c r="X34" s="28"/>
      <c r="Y34" s="28"/>
    </row>
    <row r="35" spans="1:25">
      <c r="A35" s="53">
        <v>32</v>
      </c>
      <c r="B35" s="28" t="s">
        <v>249</v>
      </c>
      <c r="C35" s="28" t="s">
        <v>249</v>
      </c>
      <c r="D35" s="28"/>
      <c r="E35" s="28"/>
      <c r="F35" s="100"/>
      <c r="G35" s="28"/>
      <c r="H35" s="28" t="s">
        <v>237</v>
      </c>
      <c r="I35" s="28" t="s">
        <v>250</v>
      </c>
      <c r="J35" s="275" t="s">
        <v>72</v>
      </c>
      <c r="K35" s="28"/>
      <c r="L35" s="28"/>
      <c r="M35" s="28" t="s">
        <v>56</v>
      </c>
      <c r="N35" s="67" t="s">
        <v>251</v>
      </c>
      <c r="O35" s="28"/>
      <c r="P35" s="28"/>
      <c r="Q35" s="28"/>
      <c r="R35" s="28"/>
      <c r="S35" s="28"/>
      <c r="T35" s="28"/>
      <c r="U35" s="28"/>
      <c r="V35" s="28"/>
      <c r="W35" s="28"/>
      <c r="X35" s="28"/>
      <c r="Y35" s="28"/>
    </row>
    <row r="36" spans="1:25">
      <c r="A36" s="53">
        <v>33</v>
      </c>
      <c r="B36" s="28"/>
      <c r="C36" s="28"/>
      <c r="D36" s="28"/>
      <c r="E36" s="28"/>
      <c r="F36" s="100"/>
      <c r="G36" s="28"/>
      <c r="H36" s="28" t="s">
        <v>237</v>
      </c>
      <c r="I36" s="28" t="s">
        <v>252</v>
      </c>
      <c r="J36" s="275" t="s">
        <v>72</v>
      </c>
      <c r="K36" s="28"/>
      <c r="L36" s="28"/>
      <c r="M36" s="28" t="s">
        <v>56</v>
      </c>
      <c r="N36" s="67" t="s">
        <v>253</v>
      </c>
      <c r="O36" s="28"/>
      <c r="P36" s="28"/>
      <c r="Q36" s="28"/>
      <c r="R36" s="28"/>
      <c r="S36" s="28"/>
      <c r="T36" s="28"/>
      <c r="U36" s="28"/>
      <c r="V36" s="28"/>
      <c r="W36" s="28"/>
      <c r="X36" s="28"/>
      <c r="Y36" s="28"/>
    </row>
    <row r="37" spans="1:25">
      <c r="A37" s="28">
        <v>34</v>
      </c>
      <c r="B37" s="95"/>
      <c r="C37" s="95"/>
      <c r="D37" s="95"/>
      <c r="E37" s="95"/>
      <c r="F37" s="28"/>
      <c r="G37" s="28"/>
      <c r="H37" s="28" t="s">
        <v>237</v>
      </c>
      <c r="I37" s="28" t="s">
        <v>254</v>
      </c>
      <c r="J37" s="275" t="s">
        <v>72</v>
      </c>
      <c r="K37" s="28"/>
      <c r="L37" s="28"/>
      <c r="M37" s="28" t="s">
        <v>56</v>
      </c>
      <c r="N37" s="67" t="s">
        <v>255</v>
      </c>
      <c r="O37" s="28"/>
      <c r="P37" s="28"/>
      <c r="Q37" s="28"/>
      <c r="R37" s="28"/>
      <c r="S37" s="28"/>
      <c r="T37" s="28"/>
      <c r="U37" s="28"/>
      <c r="V37" s="28"/>
      <c r="W37" s="28"/>
      <c r="X37" s="28"/>
      <c r="Y37" s="28"/>
    </row>
    <row r="38" spans="1:25">
      <c r="A38" s="28">
        <v>35</v>
      </c>
      <c r="B38" s="28"/>
      <c r="C38" s="28"/>
      <c r="D38" s="28"/>
      <c r="E38" s="28"/>
      <c r="F38" s="28"/>
      <c r="G38" s="28"/>
      <c r="H38" s="28" t="s">
        <v>256</v>
      </c>
      <c r="I38" s="28" t="s">
        <v>257</v>
      </c>
      <c r="J38" s="275" t="s">
        <v>72</v>
      </c>
      <c r="K38" s="28"/>
      <c r="L38" s="28"/>
      <c r="M38" s="28" t="s">
        <v>56</v>
      </c>
      <c r="N38" s="67" t="s">
        <v>258</v>
      </c>
      <c r="O38" s="28"/>
      <c r="P38" s="28"/>
      <c r="Q38" s="28"/>
      <c r="R38" s="28"/>
      <c r="S38" s="28"/>
      <c r="T38" s="28"/>
      <c r="U38" s="28"/>
      <c r="V38" s="28"/>
      <c r="W38" s="28"/>
      <c r="X38" s="28"/>
      <c r="Y38" s="28"/>
    </row>
    <row r="39" spans="1:25">
      <c r="A39" s="28">
        <v>36</v>
      </c>
      <c r="B39" s="28"/>
      <c r="C39" s="28"/>
      <c r="D39" s="28"/>
      <c r="E39" s="28"/>
      <c r="F39" s="28"/>
      <c r="G39" s="28"/>
      <c r="H39" s="28" t="s">
        <v>259</v>
      </c>
      <c r="I39" s="28" t="s">
        <v>260</v>
      </c>
      <c r="J39" s="275" t="s">
        <v>72</v>
      </c>
      <c r="K39" s="28"/>
      <c r="L39" s="28"/>
      <c r="M39" s="28" t="s">
        <v>56</v>
      </c>
      <c r="N39" s="67" t="s">
        <v>261</v>
      </c>
      <c r="O39" s="28"/>
      <c r="P39" s="28"/>
      <c r="Q39" s="28"/>
      <c r="R39" s="28"/>
      <c r="S39" s="28"/>
      <c r="T39" s="28"/>
      <c r="U39" s="28"/>
      <c r="V39" s="28"/>
      <c r="W39" s="28"/>
      <c r="X39" s="28"/>
      <c r="Y39" s="28"/>
    </row>
    <row r="40" spans="1:25">
      <c r="A40" s="28">
        <v>37</v>
      </c>
      <c r="B40" s="28"/>
      <c r="C40" s="28"/>
      <c r="D40" s="28"/>
      <c r="E40" s="28"/>
      <c r="F40" s="28"/>
      <c r="G40" s="28"/>
      <c r="H40" s="28" t="s">
        <v>262</v>
      </c>
      <c r="I40" s="28" t="s">
        <v>263</v>
      </c>
      <c r="J40" s="275" t="s">
        <v>72</v>
      </c>
      <c r="K40" s="28"/>
      <c r="L40" s="28"/>
      <c r="M40" s="28" t="s">
        <v>56</v>
      </c>
      <c r="N40" s="67" t="s">
        <v>264</v>
      </c>
      <c r="O40" s="28"/>
      <c r="P40" s="28"/>
      <c r="Q40" s="28"/>
      <c r="R40" s="28"/>
      <c r="S40" s="28"/>
      <c r="T40" s="28"/>
      <c r="U40" s="28"/>
      <c r="V40" s="28"/>
      <c r="W40" s="28"/>
      <c r="X40" s="28"/>
      <c r="Y40" s="28"/>
    </row>
    <row r="41" spans="1:25">
      <c r="A41" s="28">
        <v>38</v>
      </c>
      <c r="B41" s="28"/>
      <c r="C41" s="28"/>
      <c r="D41" s="28"/>
      <c r="E41" s="28"/>
      <c r="F41" s="28"/>
      <c r="G41" s="28"/>
      <c r="H41" s="28" t="s">
        <v>262</v>
      </c>
      <c r="I41" s="28" t="s">
        <v>265</v>
      </c>
      <c r="J41" s="275" t="s">
        <v>72</v>
      </c>
      <c r="K41" s="28"/>
      <c r="L41" s="28"/>
      <c r="M41" s="28" t="s">
        <v>56</v>
      </c>
      <c r="N41" s="67" t="s">
        <v>266</v>
      </c>
      <c r="O41" s="28"/>
      <c r="P41" s="28"/>
      <c r="Q41" s="28"/>
      <c r="R41" s="28"/>
      <c r="S41" s="28"/>
      <c r="T41" s="28"/>
      <c r="U41" s="28"/>
      <c r="V41" s="28"/>
      <c r="W41" s="28"/>
      <c r="X41" s="28"/>
      <c r="Y41" s="28"/>
    </row>
    <row r="42" spans="1:25">
      <c r="A42" s="28">
        <v>39</v>
      </c>
      <c r="B42" s="28"/>
      <c r="C42" s="28"/>
      <c r="D42" s="28"/>
      <c r="E42" s="28"/>
      <c r="F42" s="28"/>
      <c r="G42" s="28"/>
      <c r="H42" s="28" t="s">
        <v>267</v>
      </c>
      <c r="I42" s="28" t="s">
        <v>268</v>
      </c>
      <c r="J42" s="275" t="s">
        <v>72</v>
      </c>
      <c r="K42" s="28"/>
      <c r="L42" s="28"/>
      <c r="M42" s="28" t="s">
        <v>56</v>
      </c>
      <c r="N42" s="67" t="s">
        <v>269</v>
      </c>
      <c r="O42" s="28"/>
      <c r="P42" s="28"/>
      <c r="Q42" s="28"/>
      <c r="R42" s="28"/>
      <c r="S42" s="28"/>
      <c r="T42" s="28"/>
      <c r="U42" s="28"/>
      <c r="V42" s="28"/>
      <c r="W42" s="28"/>
      <c r="X42" s="28"/>
      <c r="Y42" s="28"/>
    </row>
    <row r="43" spans="1:25">
      <c r="A43" s="28">
        <v>40</v>
      </c>
      <c r="B43" s="28"/>
      <c r="C43" s="28"/>
      <c r="D43" s="28"/>
      <c r="E43" s="28"/>
      <c r="F43" s="28"/>
      <c r="G43" s="28"/>
      <c r="H43" s="28" t="s">
        <v>270</v>
      </c>
      <c r="I43" s="28" t="s">
        <v>271</v>
      </c>
      <c r="J43" s="275" t="s">
        <v>72</v>
      </c>
      <c r="K43" s="28"/>
      <c r="L43" s="28"/>
      <c r="M43" s="28" t="s">
        <v>56</v>
      </c>
      <c r="N43" s="67" t="s">
        <v>272</v>
      </c>
      <c r="O43" s="71"/>
      <c r="P43" s="71"/>
      <c r="Q43" s="71"/>
      <c r="R43" s="71"/>
      <c r="S43" s="71"/>
      <c r="T43" s="71"/>
      <c r="U43" s="71"/>
      <c r="V43" s="71"/>
      <c r="W43" s="71"/>
      <c r="X43" s="71"/>
      <c r="Y43" s="71"/>
    </row>
    <row r="44" spans="1:25">
      <c r="A44" s="71">
        <v>41</v>
      </c>
      <c r="B44" s="71"/>
      <c r="C44" s="71"/>
      <c r="D44" s="71"/>
      <c r="E44" s="71"/>
      <c r="F44" s="71"/>
      <c r="G44" s="71"/>
      <c r="H44" s="28" t="s">
        <v>273</v>
      </c>
      <c r="I44" s="28" t="s">
        <v>274</v>
      </c>
      <c r="J44" s="275" t="s">
        <v>72</v>
      </c>
      <c r="K44" s="71"/>
      <c r="L44" s="54"/>
      <c r="M44" s="28" t="s">
        <v>56</v>
      </c>
      <c r="N44" s="67" t="s">
        <v>275</v>
      </c>
      <c r="O44" s="28"/>
      <c r="P44" s="28"/>
      <c r="Q44" s="28"/>
      <c r="R44" s="28"/>
      <c r="S44" s="28"/>
      <c r="T44" s="28"/>
      <c r="U44" s="28"/>
      <c r="V44" s="28"/>
      <c r="W44" s="28"/>
      <c r="X44" s="28"/>
      <c r="Y44" s="28"/>
    </row>
    <row r="45" spans="1:25">
      <c r="A45" s="28">
        <v>42</v>
      </c>
      <c r="B45" s="28"/>
      <c r="C45" s="28"/>
      <c r="D45" s="28"/>
      <c r="E45" s="28"/>
      <c r="F45" s="28"/>
      <c r="G45" s="28"/>
      <c r="H45" s="71" t="s">
        <v>273</v>
      </c>
      <c r="I45" s="71" t="s">
        <v>276</v>
      </c>
      <c r="J45" s="275" t="s">
        <v>72</v>
      </c>
      <c r="K45" s="28"/>
      <c r="L45" s="53"/>
      <c r="M45" s="28" t="s">
        <v>56</v>
      </c>
      <c r="N45" s="67" t="s">
        <v>277</v>
      </c>
      <c r="O45" s="28"/>
      <c r="P45" s="28"/>
      <c r="Q45" s="28"/>
      <c r="R45" s="28"/>
      <c r="S45" s="28"/>
      <c r="T45" s="28"/>
      <c r="U45" s="28"/>
      <c r="V45" s="28"/>
      <c r="W45" s="28"/>
      <c r="X45" s="28"/>
      <c r="Y45" s="28"/>
    </row>
    <row r="46" spans="1:25">
      <c r="A46" s="28">
        <v>43</v>
      </c>
      <c r="B46" s="28"/>
      <c r="C46" s="28"/>
      <c r="D46" s="28"/>
      <c r="E46" s="28"/>
      <c r="F46" s="28"/>
      <c r="G46" s="28"/>
      <c r="H46" s="28" t="s">
        <v>278</v>
      </c>
      <c r="I46" s="28" t="s">
        <v>279</v>
      </c>
      <c r="J46" s="275" t="s">
        <v>72</v>
      </c>
      <c r="K46" s="28"/>
      <c r="L46" s="53"/>
      <c r="M46" s="28" t="s">
        <v>56</v>
      </c>
      <c r="N46" s="67" t="s">
        <v>280</v>
      </c>
      <c r="O46" s="28"/>
      <c r="P46" s="28"/>
      <c r="Q46" s="28"/>
      <c r="R46" s="28"/>
      <c r="S46" s="28"/>
      <c r="T46" s="28"/>
      <c r="U46" s="28"/>
      <c r="V46" s="28"/>
      <c r="W46" s="28"/>
      <c r="X46" s="28"/>
      <c r="Y46" s="28"/>
    </row>
    <row r="47" spans="1:25">
      <c r="A47" s="28">
        <v>44</v>
      </c>
      <c r="B47" s="28"/>
      <c r="C47" s="28"/>
      <c r="D47" s="28"/>
      <c r="E47" s="28"/>
      <c r="F47" s="28"/>
      <c r="G47" s="28"/>
      <c r="H47" s="28" t="s">
        <v>278</v>
      </c>
      <c r="I47" s="28" t="s">
        <v>281</v>
      </c>
      <c r="J47" s="275" t="s">
        <v>72</v>
      </c>
      <c r="K47" s="28"/>
      <c r="L47" s="53"/>
      <c r="M47" s="28" t="s">
        <v>56</v>
      </c>
      <c r="N47" s="67" t="s">
        <v>282</v>
      </c>
      <c r="O47" s="28"/>
      <c r="P47" s="28"/>
      <c r="Q47" s="28"/>
      <c r="R47" s="28"/>
      <c r="S47" s="28"/>
      <c r="T47" s="28"/>
      <c r="U47" s="28"/>
      <c r="V47" s="28"/>
      <c r="W47" s="28"/>
      <c r="X47" s="28"/>
      <c r="Y47" s="28"/>
    </row>
    <row r="48" spans="1:25">
      <c r="A48" s="28">
        <v>45</v>
      </c>
      <c r="B48" s="28"/>
      <c r="C48" s="28"/>
      <c r="D48" s="28"/>
      <c r="E48" s="28"/>
      <c r="F48" s="28"/>
      <c r="G48" s="28"/>
      <c r="H48" s="28" t="s">
        <v>278</v>
      </c>
      <c r="I48" s="28" t="s">
        <v>283</v>
      </c>
      <c r="J48" s="275" t="s">
        <v>72</v>
      </c>
      <c r="K48" s="28"/>
      <c r="L48" s="53"/>
      <c r="M48" s="28" t="s">
        <v>56</v>
      </c>
      <c r="N48" s="67" t="s">
        <v>284</v>
      </c>
      <c r="O48" s="28"/>
      <c r="P48" s="28"/>
      <c r="Q48" s="28"/>
      <c r="R48" s="28"/>
      <c r="S48" s="28"/>
      <c r="T48" s="28"/>
      <c r="U48" s="28"/>
      <c r="V48" s="28"/>
      <c r="W48" s="28"/>
      <c r="X48" s="28"/>
      <c r="Y48" s="28"/>
    </row>
    <row r="49" spans="1:25">
      <c r="A49" s="28">
        <v>46</v>
      </c>
      <c r="B49" s="28"/>
      <c r="C49" s="28"/>
      <c r="D49" s="28"/>
      <c r="E49" s="28"/>
      <c r="F49" s="28"/>
      <c r="G49" s="28"/>
      <c r="H49" s="28" t="s">
        <v>278</v>
      </c>
      <c r="I49" s="28" t="s">
        <v>285</v>
      </c>
      <c r="J49" s="275" t="s">
        <v>72</v>
      </c>
      <c r="K49" s="28"/>
      <c r="L49" s="53"/>
      <c r="M49" s="28" t="s">
        <v>56</v>
      </c>
      <c r="N49" s="67" t="s">
        <v>286</v>
      </c>
      <c r="O49" s="28"/>
      <c r="P49" s="28"/>
      <c r="Q49" s="28"/>
      <c r="R49" s="28"/>
      <c r="S49" s="28"/>
      <c r="T49" s="28"/>
      <c r="U49" s="28"/>
      <c r="V49" s="28"/>
      <c r="W49" s="28"/>
      <c r="X49" s="28"/>
      <c r="Y49" s="28"/>
    </row>
    <row r="50" spans="1:25">
      <c r="A50" s="28">
        <v>47</v>
      </c>
      <c r="B50" s="28"/>
      <c r="C50" s="28"/>
      <c r="D50" s="28"/>
      <c r="E50" s="28"/>
      <c r="F50" s="28"/>
      <c r="G50" s="28"/>
      <c r="H50" s="28" t="s">
        <v>287</v>
      </c>
      <c r="I50" s="28" t="s">
        <v>288</v>
      </c>
      <c r="J50" s="275" t="s">
        <v>72</v>
      </c>
      <c r="K50" s="28"/>
      <c r="L50" s="53"/>
      <c r="M50" s="28" t="s">
        <v>56</v>
      </c>
      <c r="N50" s="67" t="s">
        <v>289</v>
      </c>
      <c r="O50" s="28"/>
      <c r="P50" s="28"/>
      <c r="Q50" s="28"/>
      <c r="R50" s="28"/>
      <c r="S50" s="28"/>
      <c r="T50" s="28"/>
      <c r="U50" s="28"/>
      <c r="V50" s="28"/>
      <c r="W50" s="28"/>
      <c r="X50" s="28"/>
      <c r="Y50" s="28"/>
    </row>
    <row r="51" spans="1:25">
      <c r="A51" s="28">
        <v>48</v>
      </c>
      <c r="B51" s="28"/>
      <c r="C51" s="28"/>
      <c r="D51" s="28"/>
      <c r="E51" s="28"/>
      <c r="F51" s="28"/>
      <c r="G51" s="28"/>
      <c r="H51" s="28" t="s">
        <v>287</v>
      </c>
      <c r="I51" s="28" t="s">
        <v>290</v>
      </c>
      <c r="J51" s="275" t="s">
        <v>72</v>
      </c>
      <c r="K51" s="28"/>
      <c r="L51" s="53"/>
      <c r="M51" s="28" t="s">
        <v>56</v>
      </c>
      <c r="N51" s="67" t="s">
        <v>291</v>
      </c>
      <c r="O51" s="28"/>
      <c r="P51" s="28"/>
      <c r="Q51" s="28"/>
      <c r="R51" s="28"/>
      <c r="S51" s="28"/>
      <c r="T51" s="28"/>
      <c r="U51" s="28"/>
      <c r="V51" s="28"/>
      <c r="W51" s="28"/>
      <c r="X51" s="28"/>
      <c r="Y51" s="28"/>
    </row>
    <row r="52" spans="1:25">
      <c r="A52" s="28">
        <v>49</v>
      </c>
      <c r="B52" s="28"/>
      <c r="C52" s="28"/>
      <c r="D52" s="28"/>
      <c r="E52" s="28"/>
      <c r="F52" s="28"/>
      <c r="G52" s="28"/>
      <c r="H52" s="28" t="s">
        <v>287</v>
      </c>
      <c r="I52" s="28" t="s">
        <v>292</v>
      </c>
      <c r="J52" s="275" t="s">
        <v>72</v>
      </c>
      <c r="K52" s="28"/>
      <c r="L52" s="53"/>
      <c r="M52" s="28" t="s">
        <v>56</v>
      </c>
      <c r="N52" s="67" t="s">
        <v>293</v>
      </c>
      <c r="O52" s="28"/>
      <c r="P52" s="28"/>
      <c r="Q52" s="28"/>
      <c r="R52" s="28"/>
      <c r="S52" s="28"/>
      <c r="T52" s="28"/>
      <c r="U52" s="28"/>
      <c r="V52" s="28"/>
      <c r="W52" s="28"/>
      <c r="X52" s="28"/>
      <c r="Y52" s="28"/>
    </row>
    <row r="53" spans="1:25">
      <c r="A53" s="28">
        <v>50</v>
      </c>
      <c r="B53" s="28"/>
      <c r="C53" s="28"/>
      <c r="D53" s="28"/>
      <c r="E53" s="28"/>
      <c r="F53" s="28"/>
      <c r="G53" s="28"/>
      <c r="H53" s="28" t="s">
        <v>294</v>
      </c>
      <c r="I53" s="28" t="s">
        <v>295</v>
      </c>
      <c r="J53" s="275" t="s">
        <v>72</v>
      </c>
      <c r="K53" s="28"/>
      <c r="L53" s="53"/>
      <c r="M53" s="28" t="s">
        <v>56</v>
      </c>
      <c r="N53" s="67" t="s">
        <v>296</v>
      </c>
      <c r="O53" s="28"/>
      <c r="P53" s="28"/>
      <c r="Q53" s="28"/>
      <c r="R53" s="28"/>
      <c r="S53" s="28"/>
      <c r="T53" s="28"/>
      <c r="U53" s="28"/>
      <c r="V53" s="28"/>
      <c r="W53" s="28"/>
      <c r="X53" s="28"/>
      <c r="Y53" s="28"/>
    </row>
    <row r="54" spans="1:25">
      <c r="A54" s="28">
        <v>51</v>
      </c>
      <c r="B54" s="28"/>
      <c r="C54" s="28"/>
      <c r="D54" s="28"/>
      <c r="E54" s="28"/>
      <c r="F54" s="28"/>
      <c r="G54" s="28"/>
      <c r="H54" s="28" t="s">
        <v>297</v>
      </c>
      <c r="I54" s="28" t="s">
        <v>298</v>
      </c>
      <c r="J54" s="275" t="s">
        <v>72</v>
      </c>
      <c r="K54" s="28"/>
      <c r="L54" s="53"/>
      <c r="M54" s="28" t="s">
        <v>56</v>
      </c>
      <c r="N54" s="67" t="s">
        <v>299</v>
      </c>
      <c r="O54" s="28"/>
      <c r="P54" s="28"/>
      <c r="Q54" s="28"/>
      <c r="R54" s="28"/>
      <c r="S54" s="28"/>
      <c r="T54" s="28"/>
      <c r="U54" s="28"/>
      <c r="V54" s="28"/>
      <c r="W54" s="28"/>
      <c r="X54" s="28"/>
      <c r="Y54" s="28"/>
    </row>
    <row r="55" spans="1:25">
      <c r="A55" s="28">
        <v>52</v>
      </c>
      <c r="B55" s="28"/>
      <c r="C55" s="28"/>
      <c r="D55" s="28"/>
      <c r="E55" s="28"/>
      <c r="F55" s="28"/>
      <c r="G55" s="28"/>
      <c r="H55" s="28" t="s">
        <v>300</v>
      </c>
      <c r="I55" s="28" t="s">
        <v>301</v>
      </c>
      <c r="J55" s="275" t="s">
        <v>72</v>
      </c>
      <c r="K55" s="28"/>
      <c r="L55" s="53"/>
      <c r="M55" s="28" t="s">
        <v>56</v>
      </c>
      <c r="N55" s="67" t="s">
        <v>302</v>
      </c>
      <c r="O55" s="28"/>
      <c r="P55" s="28"/>
      <c r="Q55" s="28"/>
      <c r="R55" s="28"/>
      <c r="S55" s="28"/>
      <c r="T55" s="28"/>
      <c r="U55" s="28"/>
      <c r="V55" s="28"/>
      <c r="W55" s="28"/>
      <c r="X55" s="28"/>
      <c r="Y55" s="28"/>
    </row>
    <row r="56" spans="1:25">
      <c r="A56" s="28">
        <v>53</v>
      </c>
      <c r="B56" s="28"/>
      <c r="C56" s="28"/>
      <c r="D56" s="28"/>
      <c r="E56" s="28"/>
      <c r="F56" s="28"/>
      <c r="G56" s="28"/>
      <c r="H56" s="28" t="s">
        <v>300</v>
      </c>
      <c r="I56" s="28" t="s">
        <v>303</v>
      </c>
      <c r="J56" s="275" t="s">
        <v>72</v>
      </c>
      <c r="K56" s="28"/>
      <c r="L56" s="53"/>
      <c r="M56" s="28" t="s">
        <v>56</v>
      </c>
      <c r="N56" s="67" t="s">
        <v>304</v>
      </c>
      <c r="O56" s="28"/>
      <c r="P56" s="28"/>
      <c r="Q56" s="28"/>
      <c r="R56" s="28"/>
      <c r="S56" s="28"/>
      <c r="T56" s="28"/>
      <c r="U56" s="28"/>
      <c r="V56" s="28"/>
      <c r="W56" s="28"/>
      <c r="X56" s="28"/>
      <c r="Y56" s="28"/>
    </row>
    <row r="57" spans="1:25">
      <c r="A57" s="28">
        <v>54</v>
      </c>
      <c r="B57" s="28"/>
      <c r="C57" s="28"/>
      <c r="D57" s="28"/>
      <c r="E57" s="28"/>
      <c r="F57" s="28"/>
      <c r="G57" s="28"/>
      <c r="H57" s="28" t="s">
        <v>300</v>
      </c>
      <c r="I57" s="28" t="s">
        <v>305</v>
      </c>
      <c r="J57" s="275" t="s">
        <v>72</v>
      </c>
      <c r="K57" s="28"/>
      <c r="L57" s="53"/>
      <c r="M57" s="28" t="s">
        <v>56</v>
      </c>
      <c r="N57" s="67" t="s">
        <v>306</v>
      </c>
      <c r="O57" s="28"/>
      <c r="P57" s="28"/>
      <c r="Q57" s="28"/>
      <c r="R57" s="28"/>
      <c r="S57" s="28"/>
      <c r="T57" s="28"/>
      <c r="U57" s="28"/>
      <c r="V57" s="28"/>
      <c r="W57" s="28"/>
      <c r="X57" s="28"/>
      <c r="Y57" s="28"/>
    </row>
    <row r="58" spans="1:25">
      <c r="A58" s="28">
        <v>55</v>
      </c>
      <c r="B58" s="28"/>
      <c r="C58" s="28"/>
      <c r="D58" s="28"/>
      <c r="E58" s="28"/>
      <c r="F58" s="28"/>
      <c r="G58" s="28"/>
      <c r="H58" s="28" t="s">
        <v>300</v>
      </c>
      <c r="I58" s="28" t="s">
        <v>307</v>
      </c>
      <c r="J58" s="275" t="s">
        <v>72</v>
      </c>
      <c r="K58" s="28"/>
      <c r="L58" s="53"/>
      <c r="M58" s="28" t="s">
        <v>56</v>
      </c>
      <c r="N58" s="67" t="s">
        <v>302</v>
      </c>
      <c r="O58" s="28"/>
      <c r="P58" s="28"/>
      <c r="Q58" s="28"/>
      <c r="R58" s="28"/>
      <c r="S58" s="28"/>
      <c r="T58" s="28"/>
      <c r="U58" s="28"/>
      <c r="V58" s="28"/>
      <c r="W58" s="28"/>
      <c r="X58" s="28"/>
      <c r="Y58" s="28"/>
    </row>
    <row r="59" spans="1:25">
      <c r="A59" s="28">
        <v>56</v>
      </c>
      <c r="B59" s="28"/>
      <c r="C59" s="28"/>
      <c r="D59" s="28"/>
      <c r="E59" s="28"/>
      <c r="F59" s="28"/>
      <c r="G59" s="28"/>
      <c r="H59" s="28" t="s">
        <v>308</v>
      </c>
      <c r="I59" s="28" t="s">
        <v>309</v>
      </c>
      <c r="J59" s="275" t="s">
        <v>72</v>
      </c>
      <c r="K59" s="28"/>
      <c r="L59" s="53"/>
      <c r="M59" s="28" t="s">
        <v>56</v>
      </c>
      <c r="N59" s="67" t="s">
        <v>310</v>
      </c>
      <c r="O59" s="28"/>
      <c r="P59" s="28"/>
      <c r="Q59" s="28"/>
      <c r="R59" s="28"/>
      <c r="S59" s="28"/>
      <c r="T59" s="28"/>
      <c r="U59" s="28"/>
      <c r="V59" s="28"/>
      <c r="W59" s="28"/>
      <c r="X59" s="28"/>
      <c r="Y59" s="28"/>
    </row>
    <row r="60" spans="1:25">
      <c r="A60" s="28">
        <v>57</v>
      </c>
      <c r="B60" s="28"/>
      <c r="C60" s="28"/>
      <c r="D60" s="28"/>
      <c r="E60" s="28"/>
      <c r="F60" s="28"/>
      <c r="G60" s="28"/>
      <c r="H60" s="28" t="s">
        <v>311</v>
      </c>
      <c r="I60" s="28" t="s">
        <v>312</v>
      </c>
      <c r="J60" s="275" t="s">
        <v>72</v>
      </c>
      <c r="K60" s="28"/>
      <c r="L60" s="53"/>
      <c r="M60" s="28" t="s">
        <v>56</v>
      </c>
      <c r="N60" s="67" t="s">
        <v>313</v>
      </c>
      <c r="O60" s="28"/>
      <c r="P60" s="28"/>
      <c r="Q60" s="28"/>
      <c r="R60" s="28"/>
      <c r="S60" s="28"/>
      <c r="T60" s="28"/>
      <c r="U60" s="28"/>
      <c r="V60" s="28"/>
      <c r="W60" s="28"/>
      <c r="X60" s="28"/>
      <c r="Y60" s="28"/>
    </row>
    <row r="61" spans="1:25">
      <c r="A61" s="28">
        <v>58</v>
      </c>
      <c r="B61" s="28"/>
      <c r="C61" s="28"/>
      <c r="D61" s="28"/>
      <c r="E61" s="28"/>
      <c r="F61" s="28"/>
      <c r="G61" s="28"/>
      <c r="H61" s="28" t="s">
        <v>314</v>
      </c>
      <c r="I61" s="28" t="s">
        <v>315</v>
      </c>
      <c r="J61" s="275" t="s">
        <v>72</v>
      </c>
      <c r="K61" s="28"/>
      <c r="L61" s="53"/>
      <c r="M61" s="28" t="s">
        <v>56</v>
      </c>
      <c r="N61" s="227" t="s">
        <v>316</v>
      </c>
      <c r="O61" s="28"/>
      <c r="P61" s="28"/>
      <c r="Q61" s="28"/>
      <c r="R61" s="28"/>
      <c r="S61" s="28"/>
      <c r="T61" s="28"/>
      <c r="U61" s="28"/>
      <c r="V61" s="28"/>
      <c r="W61" s="28"/>
      <c r="X61" s="28"/>
      <c r="Y61" s="28"/>
    </row>
    <row r="62" spans="1:25">
      <c r="A62" s="28">
        <v>59</v>
      </c>
      <c r="B62" s="28"/>
      <c r="C62" s="28"/>
      <c r="D62" s="28"/>
      <c r="E62" s="28"/>
      <c r="F62" s="28"/>
      <c r="G62" s="28"/>
      <c r="H62" s="28" t="s">
        <v>317</v>
      </c>
      <c r="I62" s="28" t="s">
        <v>318</v>
      </c>
      <c r="J62" s="275" t="s">
        <v>72</v>
      </c>
      <c r="K62" s="28"/>
      <c r="L62" s="53"/>
      <c r="M62" s="28" t="s">
        <v>56</v>
      </c>
      <c r="N62" s="258" t="s">
        <v>319</v>
      </c>
      <c r="O62" s="28"/>
      <c r="P62" s="28"/>
      <c r="Q62" s="28"/>
      <c r="R62" s="28"/>
      <c r="S62" s="28"/>
      <c r="T62" s="28"/>
      <c r="U62" s="28"/>
      <c r="V62" s="28"/>
      <c r="W62" s="28"/>
      <c r="X62" s="28"/>
      <c r="Y62" s="28"/>
    </row>
    <row r="63" spans="1:25">
      <c r="A63" s="28">
        <v>60</v>
      </c>
      <c r="B63" s="28"/>
      <c r="C63" s="28"/>
      <c r="D63" s="28"/>
      <c r="E63" s="28"/>
      <c r="F63" s="28"/>
      <c r="G63" s="28"/>
      <c r="H63" s="28" t="s">
        <v>320</v>
      </c>
      <c r="I63" s="28" t="s">
        <v>321</v>
      </c>
      <c r="J63" s="275" t="s">
        <v>72</v>
      </c>
      <c r="K63" s="28"/>
      <c r="L63" s="53"/>
      <c r="M63" s="28" t="s">
        <v>56</v>
      </c>
      <c r="N63" s="258" t="s">
        <v>322</v>
      </c>
      <c r="O63" s="28"/>
      <c r="P63" s="28"/>
      <c r="Q63" s="28"/>
      <c r="R63" s="28"/>
      <c r="S63" s="28"/>
      <c r="T63" s="28"/>
      <c r="U63" s="28"/>
      <c r="V63" s="28"/>
      <c r="W63" s="28"/>
      <c r="X63" s="28"/>
      <c r="Y63" s="28"/>
    </row>
    <row r="64" spans="1:25">
      <c r="A64" s="28">
        <v>61</v>
      </c>
      <c r="B64" s="28"/>
      <c r="C64" s="28"/>
      <c r="D64" s="28"/>
      <c r="E64" s="28"/>
      <c r="F64" s="28"/>
      <c r="G64" s="28"/>
      <c r="H64" s="28" t="s">
        <v>320</v>
      </c>
      <c r="I64" s="28" t="s">
        <v>323</v>
      </c>
      <c r="J64" s="275" t="s">
        <v>72</v>
      </c>
      <c r="K64" s="28"/>
      <c r="L64" s="53"/>
      <c r="M64" s="28" t="s">
        <v>56</v>
      </c>
      <c r="N64" s="258" t="s">
        <v>324</v>
      </c>
      <c r="O64" s="28"/>
      <c r="P64" s="28"/>
      <c r="Q64" s="28"/>
      <c r="R64" s="28"/>
      <c r="S64" s="28"/>
      <c r="T64" s="28"/>
      <c r="U64" s="28"/>
      <c r="V64" s="28"/>
      <c r="W64" s="28"/>
      <c r="X64" s="28"/>
      <c r="Y64" s="28"/>
    </row>
    <row r="65" spans="1:25">
      <c r="A65" s="28">
        <v>62</v>
      </c>
      <c r="B65" s="28"/>
      <c r="C65" s="28"/>
      <c r="D65" s="28"/>
      <c r="E65" s="28"/>
      <c r="F65" s="28"/>
      <c r="G65" s="28"/>
      <c r="H65" s="28" t="s">
        <v>325</v>
      </c>
      <c r="I65" s="28" t="s">
        <v>326</v>
      </c>
      <c r="J65" s="275" t="s">
        <v>72</v>
      </c>
      <c r="K65" s="28"/>
      <c r="L65" s="53"/>
      <c r="M65" s="28" t="s">
        <v>56</v>
      </c>
      <c r="N65" s="258" t="s">
        <v>327</v>
      </c>
      <c r="O65" s="28"/>
      <c r="P65" s="28"/>
      <c r="Q65" s="28"/>
      <c r="R65" s="28"/>
      <c r="S65" s="28"/>
      <c r="T65" s="28"/>
      <c r="U65" s="28"/>
      <c r="V65" s="28"/>
      <c r="W65" s="28"/>
      <c r="X65" s="28"/>
      <c r="Y65" s="28"/>
    </row>
    <row r="66" spans="1:25">
      <c r="A66" s="28">
        <v>63</v>
      </c>
      <c r="B66" s="28"/>
      <c r="C66" s="28"/>
      <c r="D66" s="28"/>
      <c r="E66" s="28"/>
      <c r="F66" s="28"/>
      <c r="G66" s="28"/>
      <c r="H66" s="28" t="s">
        <v>325</v>
      </c>
      <c r="I66" s="28" t="s">
        <v>328</v>
      </c>
      <c r="J66" s="275" t="s">
        <v>72</v>
      </c>
      <c r="K66" s="28"/>
      <c r="L66" s="53"/>
      <c r="M66" s="28" t="s">
        <v>56</v>
      </c>
      <c r="N66" s="258" t="s">
        <v>329</v>
      </c>
      <c r="O66" s="28"/>
      <c r="P66" s="28"/>
      <c r="Q66" s="28"/>
      <c r="R66" s="28"/>
      <c r="S66" s="28"/>
      <c r="T66" s="28"/>
      <c r="U66" s="28"/>
      <c r="V66" s="28"/>
      <c r="W66" s="28"/>
      <c r="X66" s="28"/>
      <c r="Y66" s="28"/>
    </row>
    <row r="67" spans="1:25">
      <c r="A67" s="28">
        <v>64</v>
      </c>
      <c r="B67" s="28"/>
      <c r="C67" s="28"/>
      <c r="D67" s="28"/>
      <c r="E67" s="28"/>
      <c r="F67" s="28"/>
      <c r="G67" s="28"/>
      <c r="H67" s="28" t="s">
        <v>325</v>
      </c>
      <c r="I67" s="28" t="s">
        <v>330</v>
      </c>
      <c r="J67" s="275" t="s">
        <v>72</v>
      </c>
      <c r="K67" s="28"/>
      <c r="L67" s="53"/>
      <c r="M67" s="28" t="s">
        <v>56</v>
      </c>
      <c r="N67" s="258" t="s">
        <v>331</v>
      </c>
      <c r="O67" s="28"/>
      <c r="P67" s="28"/>
      <c r="Q67" s="28"/>
      <c r="R67" s="28"/>
      <c r="S67" s="28"/>
      <c r="T67" s="28"/>
      <c r="U67" s="28"/>
      <c r="V67" s="28"/>
      <c r="W67" s="28"/>
      <c r="X67" s="28"/>
      <c r="Y67" s="28"/>
    </row>
    <row r="68" spans="1:25">
      <c r="A68" s="28">
        <v>65</v>
      </c>
      <c r="B68" s="28"/>
      <c r="C68" s="28"/>
      <c r="D68" s="28"/>
      <c r="E68" s="28"/>
      <c r="F68" s="28"/>
      <c r="G68" s="28"/>
      <c r="H68" s="28" t="s">
        <v>325</v>
      </c>
      <c r="I68" s="28" t="s">
        <v>332</v>
      </c>
      <c r="J68" s="275" t="s">
        <v>72</v>
      </c>
      <c r="K68" s="28"/>
      <c r="L68" s="53"/>
      <c r="M68" s="28" t="s">
        <v>56</v>
      </c>
      <c r="N68" s="258" t="s">
        <v>333</v>
      </c>
      <c r="O68" s="28"/>
      <c r="P68" s="28"/>
      <c r="Q68" s="28"/>
      <c r="R68" s="28"/>
      <c r="S68" s="28"/>
      <c r="T68" s="28"/>
      <c r="U68" s="28"/>
      <c r="V68" s="28"/>
      <c r="W68" s="28"/>
      <c r="X68" s="28"/>
      <c r="Y68" s="28"/>
    </row>
    <row r="69" spans="1:25">
      <c r="A69" s="28">
        <v>66</v>
      </c>
      <c r="B69" s="28"/>
      <c r="C69" s="28"/>
      <c r="D69" s="28"/>
      <c r="E69" s="28"/>
      <c r="F69" s="28"/>
      <c r="G69" s="28"/>
      <c r="H69" s="28" t="s">
        <v>325</v>
      </c>
      <c r="I69" s="28" t="s">
        <v>334</v>
      </c>
      <c r="J69" s="275" t="s">
        <v>72</v>
      </c>
      <c r="K69" s="28"/>
      <c r="L69" s="53"/>
      <c r="M69" s="28" t="s">
        <v>56</v>
      </c>
      <c r="N69" s="258" t="s">
        <v>335</v>
      </c>
      <c r="O69" s="28"/>
      <c r="P69" s="28"/>
      <c r="Q69" s="28"/>
      <c r="R69" s="28"/>
      <c r="S69" s="28"/>
      <c r="T69" s="28"/>
      <c r="U69" s="28"/>
      <c r="V69" s="28"/>
      <c r="W69" s="28"/>
      <c r="X69" s="28"/>
      <c r="Y69" s="28"/>
    </row>
    <row r="70" spans="1:25">
      <c r="A70" s="28">
        <v>67</v>
      </c>
      <c r="B70" s="28"/>
      <c r="C70" s="28"/>
      <c r="D70" s="28"/>
      <c r="E70" s="28"/>
      <c r="F70" s="28"/>
      <c r="G70" s="28"/>
      <c r="H70" s="28" t="s">
        <v>325</v>
      </c>
      <c r="I70" s="28" t="s">
        <v>336</v>
      </c>
      <c r="J70" s="275" t="s">
        <v>72</v>
      </c>
      <c r="K70" s="28"/>
      <c r="L70" s="53"/>
      <c r="M70" s="28" t="s">
        <v>56</v>
      </c>
      <c r="N70" s="258" t="s">
        <v>337</v>
      </c>
      <c r="O70" s="28"/>
      <c r="P70" s="28"/>
      <c r="Q70" s="28"/>
      <c r="R70" s="28"/>
      <c r="S70" s="28"/>
      <c r="T70" s="28"/>
      <c r="U70" s="28"/>
      <c r="V70" s="28"/>
      <c r="W70" s="28"/>
      <c r="X70" s="28"/>
      <c r="Y70" s="28"/>
    </row>
    <row r="71" spans="1:25">
      <c r="A71" s="28">
        <v>68</v>
      </c>
      <c r="B71" s="28"/>
      <c r="C71" s="28"/>
      <c r="D71" s="28"/>
      <c r="E71" s="28"/>
      <c r="F71" s="28"/>
      <c r="G71" s="28"/>
      <c r="H71" s="28"/>
      <c r="I71" s="28"/>
      <c r="J71" s="28"/>
      <c r="K71" s="28"/>
      <c r="L71" s="53"/>
      <c r="M71" s="28" t="s">
        <v>56</v>
      </c>
      <c r="N71" s="258" t="s">
        <v>338</v>
      </c>
      <c r="O71" s="28"/>
      <c r="P71" s="28"/>
      <c r="Q71" s="28"/>
      <c r="R71" s="28"/>
      <c r="S71" s="28"/>
      <c r="T71" s="28"/>
      <c r="U71" s="28"/>
      <c r="V71" s="28"/>
      <c r="W71" s="28"/>
      <c r="X71" s="28"/>
      <c r="Y71" s="28"/>
    </row>
    <row r="72" spans="1:25">
      <c r="A72" s="28">
        <v>69</v>
      </c>
      <c r="B72" s="28"/>
      <c r="C72" s="28"/>
      <c r="D72" s="28"/>
      <c r="E72" s="28"/>
      <c r="F72" s="28"/>
      <c r="G72" s="28"/>
      <c r="H72" s="28"/>
      <c r="I72" s="28"/>
      <c r="J72" s="28"/>
      <c r="K72" s="28"/>
      <c r="L72" s="53"/>
      <c r="M72" s="28" t="s">
        <v>56</v>
      </c>
      <c r="N72" s="258" t="s">
        <v>339</v>
      </c>
      <c r="O72" s="28"/>
      <c r="P72" s="28"/>
      <c r="Q72" s="28"/>
      <c r="R72" s="28"/>
      <c r="S72" s="28"/>
      <c r="T72" s="28"/>
      <c r="U72" s="28"/>
      <c r="V72" s="28"/>
      <c r="W72" s="28"/>
      <c r="X72" s="28"/>
      <c r="Y72" s="28"/>
    </row>
    <row r="73" spans="1:25">
      <c r="A73" s="28">
        <v>70</v>
      </c>
      <c r="B73" s="28"/>
      <c r="C73" s="28"/>
      <c r="D73" s="28"/>
      <c r="E73" s="28"/>
      <c r="F73" s="28"/>
      <c r="G73" s="28"/>
      <c r="H73" s="28"/>
      <c r="I73" s="28"/>
      <c r="J73" s="28"/>
      <c r="K73" s="28"/>
      <c r="L73" s="53"/>
      <c r="M73" s="28" t="s">
        <v>56</v>
      </c>
      <c r="N73" s="258" t="s">
        <v>340</v>
      </c>
      <c r="O73" s="28"/>
      <c r="P73" s="28"/>
      <c r="Q73" s="28"/>
      <c r="R73" s="28"/>
      <c r="S73" s="28"/>
      <c r="T73" s="28"/>
      <c r="U73" s="28"/>
      <c r="V73" s="28"/>
      <c r="W73" s="28"/>
      <c r="X73" s="28"/>
      <c r="Y73" s="28"/>
    </row>
    <row r="74" spans="1:25">
      <c r="A74" s="28">
        <v>71</v>
      </c>
      <c r="B74" s="28"/>
      <c r="C74" s="28"/>
      <c r="D74" s="28"/>
      <c r="E74" s="28"/>
      <c r="F74" s="28"/>
      <c r="G74" s="28"/>
      <c r="H74" s="28"/>
      <c r="I74" s="28"/>
      <c r="J74" s="28"/>
      <c r="K74" s="28"/>
      <c r="L74" s="53"/>
      <c r="M74" s="28" t="s">
        <v>56</v>
      </c>
      <c r="N74" s="258" t="s">
        <v>341</v>
      </c>
      <c r="O74" s="28"/>
      <c r="P74" s="28"/>
      <c r="Q74" s="28"/>
      <c r="R74" s="28"/>
      <c r="S74" s="28"/>
      <c r="T74" s="28"/>
      <c r="U74" s="28"/>
      <c r="V74" s="28"/>
      <c r="W74" s="28"/>
      <c r="X74" s="28"/>
      <c r="Y74" s="28"/>
    </row>
    <row r="75" spans="1:25">
      <c r="A75" s="28">
        <v>72</v>
      </c>
      <c r="B75" s="28"/>
      <c r="C75" s="28"/>
      <c r="D75" s="28"/>
      <c r="E75" s="28"/>
      <c r="F75" s="28"/>
      <c r="G75" s="28"/>
      <c r="H75" s="28"/>
      <c r="I75" s="28"/>
      <c r="J75" s="28"/>
      <c r="K75" s="28"/>
      <c r="L75" s="53"/>
      <c r="M75" s="28" t="s">
        <v>56</v>
      </c>
      <c r="N75" s="258" t="s">
        <v>342</v>
      </c>
      <c r="O75" s="28"/>
      <c r="P75" s="28"/>
      <c r="Q75" s="28"/>
      <c r="R75" s="28"/>
      <c r="S75" s="28"/>
      <c r="T75" s="28"/>
      <c r="U75" s="28"/>
      <c r="V75" s="28"/>
      <c r="W75" s="28"/>
      <c r="X75" s="28"/>
      <c r="Y75" s="28"/>
    </row>
    <row r="76" spans="1:25">
      <c r="A76" s="28">
        <v>73</v>
      </c>
      <c r="B76" s="28"/>
      <c r="C76" s="28"/>
      <c r="D76" s="28"/>
      <c r="E76" s="28"/>
      <c r="F76" s="28"/>
      <c r="G76" s="28"/>
      <c r="H76" s="28"/>
      <c r="I76" s="28"/>
      <c r="J76" s="28"/>
      <c r="K76" s="28"/>
      <c r="L76" s="53"/>
      <c r="M76" s="28" t="s">
        <v>56</v>
      </c>
      <c r="N76" s="258" t="s">
        <v>343</v>
      </c>
      <c r="O76" s="28"/>
      <c r="P76" s="28"/>
      <c r="Q76" s="28"/>
      <c r="R76" s="28"/>
      <c r="S76" s="28"/>
      <c r="T76" s="28"/>
      <c r="U76" s="28"/>
      <c r="V76" s="28"/>
      <c r="W76" s="28"/>
      <c r="X76" s="28"/>
      <c r="Y76" s="28"/>
    </row>
    <row r="77" spans="1:25">
      <c r="A77" s="28">
        <v>74</v>
      </c>
      <c r="B77" s="28"/>
      <c r="C77" s="28"/>
      <c r="D77" s="28"/>
      <c r="E77" s="28"/>
      <c r="F77" s="28"/>
      <c r="G77" s="28"/>
      <c r="H77" s="28"/>
      <c r="I77" s="28"/>
      <c r="J77" s="28"/>
      <c r="K77" s="28"/>
      <c r="L77" s="53"/>
      <c r="M77" s="28" t="s">
        <v>56</v>
      </c>
      <c r="N77" s="258" t="s">
        <v>344</v>
      </c>
      <c r="O77" s="28"/>
      <c r="P77" s="28"/>
      <c r="Q77" s="28"/>
      <c r="R77" s="28"/>
      <c r="S77" s="28"/>
      <c r="T77" s="28"/>
      <c r="U77" s="28"/>
      <c r="V77" s="28"/>
      <c r="W77" s="28"/>
      <c r="X77" s="28"/>
      <c r="Y77" s="28"/>
    </row>
    <row r="78" spans="1:25">
      <c r="A78" s="28">
        <v>75</v>
      </c>
      <c r="B78" s="28"/>
      <c r="C78" s="28"/>
      <c r="D78" s="28"/>
      <c r="E78" s="28"/>
      <c r="F78" s="28"/>
      <c r="G78" s="28"/>
      <c r="H78" s="28"/>
      <c r="I78" s="28"/>
      <c r="J78" s="28"/>
      <c r="K78" s="28"/>
      <c r="L78" s="53"/>
      <c r="M78" s="28" t="s">
        <v>56</v>
      </c>
      <c r="N78" s="258" t="s">
        <v>345</v>
      </c>
      <c r="O78" s="28"/>
      <c r="P78" s="28"/>
      <c r="Q78" s="28"/>
      <c r="R78" s="28"/>
      <c r="S78" s="28"/>
      <c r="T78" s="28"/>
      <c r="U78" s="28"/>
      <c r="V78" s="28"/>
      <c r="W78" s="28"/>
      <c r="X78" s="28"/>
      <c r="Y78" s="28"/>
    </row>
    <row r="79" spans="1:25">
      <c r="A79" s="28">
        <v>76</v>
      </c>
      <c r="B79" s="28"/>
      <c r="C79" s="28"/>
      <c r="D79" s="28"/>
      <c r="E79" s="28"/>
      <c r="F79" s="28"/>
      <c r="G79" s="28"/>
      <c r="H79" s="28"/>
      <c r="I79" s="28"/>
      <c r="J79" s="28"/>
      <c r="K79" s="28"/>
      <c r="L79" s="53"/>
      <c r="M79" s="28" t="s">
        <v>56</v>
      </c>
      <c r="N79" s="258" t="s">
        <v>346</v>
      </c>
      <c r="O79" s="28"/>
      <c r="P79" s="28"/>
      <c r="Q79" s="28"/>
      <c r="R79" s="28"/>
      <c r="S79" s="28"/>
      <c r="T79" s="28"/>
      <c r="U79" s="28"/>
      <c r="V79" s="28"/>
      <c r="W79" s="28"/>
      <c r="X79" s="28"/>
      <c r="Y79" s="28"/>
    </row>
    <row r="80" spans="1:25">
      <c r="A80" s="28">
        <v>77</v>
      </c>
      <c r="B80" s="28"/>
      <c r="C80" s="28"/>
      <c r="D80" s="28"/>
      <c r="E80" s="28"/>
      <c r="F80" s="28"/>
      <c r="G80" s="28"/>
      <c r="H80" s="28"/>
      <c r="I80" s="28"/>
      <c r="J80" s="28"/>
      <c r="K80" s="28"/>
      <c r="L80" s="53"/>
      <c r="M80" s="28" t="s">
        <v>56</v>
      </c>
      <c r="N80" s="258" t="s">
        <v>347</v>
      </c>
      <c r="O80" s="28"/>
      <c r="P80" s="28"/>
      <c r="Q80" s="28"/>
      <c r="R80" s="28"/>
      <c r="S80" s="28"/>
      <c r="T80" s="28"/>
      <c r="U80" s="28"/>
      <c r="V80" s="28"/>
      <c r="W80" s="28"/>
      <c r="X80" s="28"/>
      <c r="Y80" s="28"/>
    </row>
    <row r="81" spans="1:25">
      <c r="A81" s="28">
        <v>78</v>
      </c>
      <c r="B81" s="28"/>
      <c r="C81" s="28"/>
      <c r="D81" s="28"/>
      <c r="E81" s="28"/>
      <c r="F81" s="28"/>
      <c r="G81" s="28"/>
      <c r="H81" s="28"/>
      <c r="I81" s="28"/>
      <c r="J81" s="28"/>
      <c r="K81" s="28"/>
      <c r="L81" s="53"/>
      <c r="M81" s="28" t="s">
        <v>56</v>
      </c>
      <c r="N81" s="258" t="s">
        <v>348</v>
      </c>
      <c r="O81" s="28"/>
      <c r="P81" s="28"/>
      <c r="Q81" s="28"/>
      <c r="R81" s="28"/>
      <c r="S81" s="28"/>
      <c r="T81" s="28"/>
      <c r="U81" s="28"/>
      <c r="V81" s="28"/>
      <c r="W81" s="28"/>
      <c r="X81" s="28"/>
      <c r="Y81" s="28"/>
    </row>
    <row r="82" spans="1:25">
      <c r="A82" s="28"/>
      <c r="B82" s="28"/>
      <c r="C82" s="28"/>
      <c r="D82" s="28"/>
      <c r="E82" s="28"/>
      <c r="F82" s="28"/>
      <c r="G82" s="28"/>
      <c r="H82" s="28"/>
      <c r="I82" s="28"/>
      <c r="J82" s="28"/>
      <c r="K82" s="28"/>
      <c r="L82" s="53"/>
      <c r="M82" s="28" t="s">
        <v>56</v>
      </c>
      <c r="N82" s="258" t="s">
        <v>349</v>
      </c>
      <c r="O82" s="28"/>
      <c r="P82" s="28"/>
      <c r="Q82" s="28"/>
      <c r="R82" s="28"/>
      <c r="S82" s="28"/>
      <c r="T82" s="28"/>
      <c r="U82" s="28"/>
      <c r="V82" s="28"/>
      <c r="W82" s="28"/>
      <c r="X82" s="28"/>
      <c r="Y82" s="28"/>
    </row>
    <row r="83" spans="1:25">
      <c r="A83" s="28"/>
      <c r="B83" s="28"/>
      <c r="C83" s="28"/>
      <c r="D83" s="28"/>
      <c r="E83" s="28"/>
      <c r="F83" s="28"/>
      <c r="G83" s="28"/>
      <c r="H83" s="28"/>
      <c r="I83" s="28"/>
      <c r="J83" s="28"/>
      <c r="K83" s="28"/>
      <c r="L83" s="53"/>
      <c r="M83" s="28" t="s">
        <v>56</v>
      </c>
      <c r="N83" s="258" t="s">
        <v>350</v>
      </c>
      <c r="O83" s="28"/>
      <c r="P83" s="28"/>
      <c r="Q83" s="28"/>
      <c r="R83" s="28"/>
      <c r="S83" s="28"/>
      <c r="T83" s="28"/>
      <c r="U83" s="28"/>
      <c r="V83" s="28"/>
      <c r="W83" s="28"/>
      <c r="X83" s="28"/>
      <c r="Y83" s="28"/>
    </row>
    <row r="84" spans="1:25">
      <c r="A84" s="28"/>
      <c r="B84" s="28"/>
      <c r="C84" s="28"/>
      <c r="D84" s="28"/>
      <c r="E84" s="28"/>
      <c r="F84" s="28"/>
      <c r="G84" s="28"/>
      <c r="H84" s="28"/>
      <c r="I84" s="28"/>
      <c r="J84" s="28"/>
      <c r="K84" s="28"/>
      <c r="L84" s="53"/>
      <c r="M84" s="28" t="s">
        <v>56</v>
      </c>
      <c r="N84" s="258" t="s">
        <v>351</v>
      </c>
      <c r="O84" s="28"/>
      <c r="P84" s="28"/>
      <c r="Q84" s="28"/>
      <c r="R84" s="28"/>
      <c r="S84" s="28"/>
      <c r="T84" s="28"/>
      <c r="U84" s="28"/>
      <c r="V84" s="28"/>
      <c r="W84" s="28"/>
      <c r="X84" s="28"/>
      <c r="Y84" s="28"/>
    </row>
    <row r="85" spans="1:25">
      <c r="A85" s="28"/>
      <c r="B85" s="28"/>
      <c r="C85" s="28"/>
      <c r="D85" s="28"/>
      <c r="E85" s="28"/>
      <c r="F85" s="28"/>
      <c r="G85" s="28"/>
      <c r="H85" s="28"/>
      <c r="I85" s="28"/>
      <c r="J85" s="28"/>
      <c r="K85" s="28"/>
      <c r="L85" s="53"/>
      <c r="M85" s="28" t="s">
        <v>56</v>
      </c>
      <c r="N85" s="258" t="s">
        <v>352</v>
      </c>
      <c r="O85" s="28"/>
      <c r="P85" s="28"/>
      <c r="Q85" s="28"/>
      <c r="R85" s="28"/>
      <c r="S85" s="28"/>
      <c r="T85" s="28"/>
      <c r="U85" s="28"/>
      <c r="V85" s="28"/>
      <c r="W85" s="28"/>
      <c r="X85" s="28"/>
      <c r="Y85" s="28"/>
    </row>
    <row r="86" spans="1:25">
      <c r="A86" s="28"/>
      <c r="B86" s="28"/>
      <c r="C86" s="28"/>
      <c r="D86" s="28"/>
      <c r="E86" s="28"/>
      <c r="F86" s="28"/>
      <c r="G86" s="28"/>
      <c r="H86" s="28"/>
      <c r="I86" s="28"/>
      <c r="J86" s="28"/>
      <c r="K86" s="28"/>
      <c r="L86" s="53"/>
      <c r="M86" s="28" t="s">
        <v>56</v>
      </c>
      <c r="N86" s="258" t="s">
        <v>353</v>
      </c>
      <c r="O86" s="28"/>
      <c r="P86" s="28"/>
      <c r="Q86" s="28"/>
      <c r="R86" s="28"/>
      <c r="S86" s="28"/>
      <c r="T86" s="28"/>
      <c r="U86" s="28"/>
      <c r="V86" s="28"/>
      <c r="W86" s="28"/>
      <c r="X86" s="28"/>
      <c r="Y86" s="28"/>
    </row>
    <row r="87" spans="1:25">
      <c r="A87" s="28"/>
      <c r="B87" s="28"/>
      <c r="C87" s="28"/>
      <c r="D87" s="28"/>
      <c r="E87" s="28"/>
      <c r="F87" s="28"/>
      <c r="G87" s="28"/>
      <c r="H87" s="28"/>
      <c r="I87" s="28"/>
      <c r="J87" s="28"/>
      <c r="K87" s="28"/>
      <c r="L87" s="53"/>
      <c r="M87" s="28" t="s">
        <v>56</v>
      </c>
      <c r="N87" s="258" t="s">
        <v>354</v>
      </c>
      <c r="O87" s="28"/>
      <c r="P87" s="28"/>
      <c r="Q87" s="28"/>
      <c r="R87" s="28"/>
      <c r="S87" s="28"/>
      <c r="T87" s="28"/>
      <c r="U87" s="28"/>
      <c r="V87" s="28"/>
      <c r="W87" s="28"/>
      <c r="X87" s="28"/>
      <c r="Y87" s="28"/>
    </row>
    <row r="88" spans="1:25">
      <c r="A88" s="28"/>
      <c r="B88" s="28"/>
      <c r="C88" s="28"/>
      <c r="D88" s="28"/>
      <c r="E88" s="28"/>
      <c r="F88" s="28"/>
      <c r="G88" s="28"/>
      <c r="H88" s="28"/>
      <c r="I88" s="28"/>
      <c r="J88" s="28"/>
      <c r="K88" s="28"/>
      <c r="L88" s="53"/>
      <c r="M88" s="28" t="s">
        <v>56</v>
      </c>
      <c r="N88" s="258" t="s">
        <v>355</v>
      </c>
      <c r="O88" s="28"/>
      <c r="P88" s="28"/>
      <c r="Q88" s="28"/>
      <c r="R88" s="28"/>
      <c r="S88" s="28"/>
      <c r="T88" s="28"/>
      <c r="U88" s="28"/>
      <c r="V88" s="28"/>
      <c r="W88" s="28"/>
      <c r="X88" s="28"/>
      <c r="Y88" s="28"/>
    </row>
    <row r="89" spans="1:25">
      <c r="A89" s="28"/>
      <c r="B89" s="28"/>
      <c r="C89" s="28"/>
      <c r="D89" s="28"/>
      <c r="E89" s="28"/>
      <c r="F89" s="28"/>
      <c r="G89" s="28"/>
      <c r="H89" s="28"/>
      <c r="I89" s="28"/>
      <c r="J89" s="28"/>
      <c r="K89" s="28"/>
      <c r="L89" s="53"/>
      <c r="M89" s="28" t="s">
        <v>56</v>
      </c>
      <c r="N89" s="258" t="s">
        <v>356</v>
      </c>
      <c r="O89" s="28"/>
      <c r="P89" s="28"/>
      <c r="Q89" s="28"/>
      <c r="R89" s="28"/>
      <c r="S89" s="28"/>
      <c r="T89" s="28"/>
      <c r="U89" s="28"/>
      <c r="V89" s="28"/>
      <c r="W89" s="28"/>
      <c r="X89" s="28"/>
      <c r="Y89" s="28"/>
    </row>
    <row r="90" spans="1:25">
      <c r="A90" s="28"/>
      <c r="B90" s="28"/>
      <c r="C90" s="28"/>
      <c r="D90" s="28"/>
      <c r="E90" s="28"/>
      <c r="F90" s="28"/>
      <c r="G90" s="28"/>
      <c r="H90" s="28"/>
      <c r="I90" s="28"/>
      <c r="J90" s="28"/>
      <c r="K90" s="28"/>
      <c r="L90" s="53"/>
      <c r="M90" s="28" t="s">
        <v>56</v>
      </c>
      <c r="N90" s="258" t="s">
        <v>357</v>
      </c>
      <c r="O90" s="28"/>
      <c r="P90" s="28"/>
      <c r="Q90" s="28"/>
      <c r="R90" s="28"/>
      <c r="S90" s="28"/>
      <c r="T90" s="28"/>
      <c r="U90" s="28"/>
      <c r="V90" s="28"/>
      <c r="W90" s="28"/>
      <c r="X90" s="28"/>
      <c r="Y90" s="28"/>
    </row>
    <row r="91" spans="1:25">
      <c r="A91" s="28"/>
      <c r="B91" s="28"/>
      <c r="C91" s="28"/>
      <c r="D91" s="28"/>
      <c r="E91" s="28"/>
      <c r="F91" s="28"/>
      <c r="G91" s="28"/>
      <c r="H91" s="28"/>
      <c r="I91" s="28"/>
      <c r="J91" s="28"/>
      <c r="K91" s="28"/>
      <c r="L91" s="53"/>
      <c r="M91" s="28" t="s">
        <v>56</v>
      </c>
      <c r="N91" s="258" t="s">
        <v>358</v>
      </c>
      <c r="O91" s="28"/>
      <c r="P91" s="28"/>
      <c r="Q91" s="28"/>
      <c r="R91" s="28"/>
      <c r="S91" s="28"/>
      <c r="T91" s="28"/>
      <c r="U91" s="28"/>
      <c r="V91" s="28"/>
      <c r="W91" s="28"/>
      <c r="X91" s="28"/>
      <c r="Y91" s="28"/>
    </row>
    <row r="92" spans="1:25">
      <c r="A92" s="28"/>
      <c r="B92" s="28"/>
      <c r="C92" s="28"/>
      <c r="D92" s="28"/>
      <c r="E92" s="28"/>
      <c r="F92" s="28"/>
      <c r="G92" s="28"/>
      <c r="H92" s="28"/>
      <c r="I92" s="28"/>
      <c r="J92" s="28"/>
      <c r="K92" s="28"/>
      <c r="L92" s="53"/>
      <c r="M92" s="28" t="s">
        <v>56</v>
      </c>
      <c r="N92" s="258" t="s">
        <v>359</v>
      </c>
      <c r="O92" s="28"/>
      <c r="P92" s="28"/>
      <c r="Q92" s="28"/>
      <c r="R92" s="28"/>
      <c r="S92" s="28"/>
      <c r="T92" s="28"/>
      <c r="U92" s="28"/>
      <c r="V92" s="28"/>
      <c r="W92" s="28"/>
      <c r="X92" s="28"/>
      <c r="Y92" s="28"/>
    </row>
    <row r="93" spans="1:25">
      <c r="A93" s="28"/>
      <c r="B93" s="28"/>
      <c r="C93" s="28"/>
      <c r="D93" s="28"/>
      <c r="E93" s="28"/>
      <c r="F93" s="28"/>
      <c r="G93" s="28"/>
      <c r="H93" s="28"/>
      <c r="I93" s="28"/>
      <c r="J93" s="28"/>
      <c r="K93" s="28"/>
      <c r="L93" s="53"/>
      <c r="M93" s="28" t="s">
        <v>56</v>
      </c>
      <c r="N93" s="258" t="s">
        <v>360</v>
      </c>
      <c r="O93" s="28"/>
      <c r="P93" s="28"/>
      <c r="Q93" s="28"/>
      <c r="R93" s="28"/>
      <c r="S93" s="28"/>
      <c r="T93" s="28"/>
      <c r="U93" s="28"/>
      <c r="V93" s="28"/>
      <c r="W93" s="28"/>
      <c r="X93" s="28"/>
      <c r="Y93" s="28"/>
    </row>
    <row r="94" spans="1:25">
      <c r="A94" s="28"/>
      <c r="B94" s="28"/>
      <c r="C94" s="28"/>
      <c r="D94" s="28"/>
      <c r="E94" s="28"/>
      <c r="F94" s="28"/>
      <c r="G94" s="28"/>
      <c r="H94" s="28"/>
      <c r="I94" s="28"/>
      <c r="J94" s="28"/>
      <c r="K94" s="28"/>
      <c r="L94" s="53"/>
      <c r="M94" s="28" t="s">
        <v>56</v>
      </c>
      <c r="N94" s="258" t="s">
        <v>361</v>
      </c>
      <c r="O94" s="28"/>
      <c r="P94" s="28"/>
      <c r="Q94" s="28"/>
      <c r="R94" s="28"/>
      <c r="S94" s="28"/>
      <c r="T94" s="28"/>
      <c r="U94" s="28"/>
      <c r="V94" s="28"/>
      <c r="W94" s="28"/>
      <c r="X94" s="28"/>
      <c r="Y94" s="28"/>
    </row>
    <row r="95" spans="1:25">
      <c r="A95" s="28"/>
      <c r="B95" s="28"/>
      <c r="C95" s="28"/>
      <c r="D95" s="28"/>
      <c r="E95" s="28"/>
      <c r="F95" s="28"/>
      <c r="G95" s="28"/>
      <c r="H95" s="28"/>
      <c r="I95" s="28"/>
      <c r="J95" s="28"/>
      <c r="K95" s="28"/>
      <c r="L95" s="53"/>
      <c r="M95" s="28" t="s">
        <v>56</v>
      </c>
      <c r="N95" s="258" t="s">
        <v>362</v>
      </c>
      <c r="O95" s="28"/>
      <c r="P95" s="28"/>
      <c r="Q95" s="28"/>
      <c r="R95" s="28"/>
      <c r="S95" s="28"/>
      <c r="T95" s="28"/>
      <c r="U95" s="28"/>
      <c r="V95" s="28"/>
      <c r="W95" s="28"/>
      <c r="X95" s="28"/>
      <c r="Y95" s="28"/>
    </row>
    <row r="96" spans="1:25">
      <c r="A96" s="28"/>
      <c r="B96" s="28"/>
      <c r="C96" s="28"/>
      <c r="D96" s="28"/>
      <c r="E96" s="28"/>
      <c r="F96" s="28"/>
      <c r="G96" s="28"/>
      <c r="H96" s="28"/>
      <c r="I96" s="28"/>
      <c r="J96" s="28"/>
      <c r="K96" s="28"/>
      <c r="L96" s="53"/>
      <c r="M96" s="28" t="s">
        <v>56</v>
      </c>
      <c r="N96" s="258" t="s">
        <v>363</v>
      </c>
      <c r="O96" s="28"/>
      <c r="P96" s="28"/>
      <c r="Q96" s="28"/>
      <c r="R96" s="28"/>
      <c r="S96" s="28"/>
      <c r="T96" s="28"/>
      <c r="U96" s="28"/>
      <c r="V96" s="28"/>
      <c r="W96" s="28"/>
      <c r="X96" s="28"/>
      <c r="Y96" s="28"/>
    </row>
    <row r="97" spans="1:25">
      <c r="A97" s="28"/>
      <c r="B97" s="28"/>
      <c r="C97" s="28"/>
      <c r="D97" s="28"/>
      <c r="E97" s="28"/>
      <c r="F97" s="28"/>
      <c r="G97" s="28"/>
      <c r="H97" s="28"/>
      <c r="I97" s="28"/>
      <c r="J97" s="28"/>
      <c r="K97" s="28"/>
      <c r="L97" s="53"/>
      <c r="M97" s="28" t="s">
        <v>56</v>
      </c>
      <c r="N97" s="259" t="s">
        <v>364</v>
      </c>
      <c r="O97" s="28"/>
      <c r="P97" s="28"/>
      <c r="Q97" s="28"/>
      <c r="R97" s="28"/>
      <c r="S97" s="28"/>
      <c r="T97" s="28"/>
      <c r="U97" s="28"/>
      <c r="V97" s="28"/>
      <c r="W97" s="28"/>
      <c r="X97" s="28"/>
      <c r="Y97" s="28"/>
    </row>
    <row r="98" spans="1:25">
      <c r="A98" s="28"/>
      <c r="B98" s="28"/>
      <c r="C98" s="28"/>
      <c r="D98" s="28"/>
      <c r="E98" s="28"/>
      <c r="F98" s="28"/>
      <c r="G98" s="28"/>
      <c r="H98" s="28"/>
      <c r="I98" s="28"/>
      <c r="J98" s="28"/>
      <c r="K98" s="28"/>
      <c r="L98" s="53"/>
      <c r="M98" s="28" t="s">
        <v>365</v>
      </c>
      <c r="N98" s="226" t="s">
        <v>366</v>
      </c>
      <c r="O98" s="100"/>
      <c r="P98" s="28"/>
      <c r="Q98" s="28"/>
      <c r="R98" s="28"/>
      <c r="S98" s="28"/>
      <c r="T98" s="28"/>
      <c r="U98" s="28"/>
      <c r="V98" s="28"/>
      <c r="W98" s="28"/>
      <c r="X98" s="28"/>
      <c r="Y98" s="28"/>
    </row>
    <row r="99" spans="1:25">
      <c r="A99" s="28"/>
      <c r="B99" s="28"/>
      <c r="C99" s="28"/>
      <c r="D99" s="28"/>
      <c r="E99" s="28"/>
      <c r="F99" s="28"/>
      <c r="G99" s="28"/>
      <c r="H99" s="28"/>
      <c r="I99" s="28"/>
      <c r="J99" s="28"/>
      <c r="K99" s="28"/>
      <c r="L99" s="53"/>
      <c r="M99" s="28" t="s">
        <v>365</v>
      </c>
      <c r="N99" s="226" t="s">
        <v>367</v>
      </c>
      <c r="O99" s="100"/>
      <c r="P99" s="28"/>
      <c r="Q99" s="28"/>
      <c r="R99" s="28"/>
      <c r="S99" s="28"/>
      <c r="T99" s="28"/>
      <c r="U99" s="28"/>
      <c r="V99" s="28"/>
      <c r="W99" s="28"/>
      <c r="X99" s="28"/>
      <c r="Y99" s="28"/>
    </row>
    <row r="100" spans="1:25">
      <c r="A100" s="28"/>
      <c r="B100" s="28"/>
      <c r="C100" s="28"/>
      <c r="D100" s="28"/>
      <c r="E100" s="28"/>
      <c r="F100" s="28"/>
      <c r="G100" s="28"/>
      <c r="H100" s="28"/>
      <c r="I100" s="28"/>
      <c r="J100" s="28"/>
      <c r="K100" s="28"/>
      <c r="L100" s="53"/>
      <c r="M100" s="28" t="s">
        <v>365</v>
      </c>
      <c r="N100" s="226" t="s">
        <v>368</v>
      </c>
      <c r="O100" s="100"/>
      <c r="P100" s="28"/>
      <c r="Q100" s="28"/>
      <c r="R100" s="28"/>
      <c r="S100" s="28"/>
      <c r="T100" s="28"/>
      <c r="U100" s="28"/>
      <c r="V100" s="28"/>
      <c r="W100" s="28"/>
      <c r="X100" s="28"/>
      <c r="Y100" s="28"/>
    </row>
    <row r="101" spans="1:25">
      <c r="A101" s="28"/>
      <c r="B101" s="28"/>
      <c r="C101" s="28"/>
      <c r="D101" s="28"/>
      <c r="E101" s="28"/>
      <c r="F101" s="28"/>
      <c r="G101" s="28"/>
      <c r="H101" s="28"/>
      <c r="I101" s="28"/>
      <c r="J101" s="28"/>
      <c r="K101" s="28"/>
      <c r="L101" s="53"/>
      <c r="M101" s="28" t="s">
        <v>369</v>
      </c>
      <c r="N101" s="227" t="s">
        <v>370</v>
      </c>
      <c r="O101" s="100"/>
      <c r="P101" s="28"/>
      <c r="Q101" s="28"/>
      <c r="R101" s="28"/>
      <c r="S101" s="28"/>
      <c r="T101" s="28"/>
      <c r="U101" s="28"/>
      <c r="V101" s="28"/>
      <c r="W101" s="28"/>
      <c r="X101" s="28"/>
      <c r="Y101" s="28"/>
    </row>
    <row r="102" spans="1:25">
      <c r="A102" s="28"/>
      <c r="B102" s="28"/>
      <c r="C102" s="28"/>
      <c r="D102" s="28"/>
      <c r="E102" s="28"/>
      <c r="F102" s="28"/>
      <c r="G102" s="28"/>
      <c r="H102" s="28"/>
      <c r="I102" s="28"/>
      <c r="J102" s="28"/>
      <c r="K102" s="28"/>
      <c r="L102" s="53"/>
      <c r="M102" s="28" t="s">
        <v>371</v>
      </c>
      <c r="N102" s="227" t="s">
        <v>372</v>
      </c>
      <c r="O102" s="100"/>
      <c r="P102" s="28"/>
      <c r="Q102" s="28"/>
      <c r="R102" s="28"/>
      <c r="S102" s="28"/>
      <c r="T102" s="28"/>
      <c r="U102" s="28"/>
      <c r="V102" s="28"/>
      <c r="W102" s="28"/>
      <c r="X102" s="28"/>
      <c r="Y102" s="28"/>
    </row>
    <row r="103" spans="1:25">
      <c r="A103" s="28"/>
      <c r="B103" s="28"/>
      <c r="C103" s="28"/>
      <c r="D103" s="28"/>
      <c r="E103" s="28"/>
      <c r="F103" s="28"/>
      <c r="G103" s="28"/>
      <c r="H103" s="28"/>
      <c r="I103" s="28"/>
      <c r="J103" s="28"/>
      <c r="K103" s="28"/>
      <c r="L103" s="53"/>
      <c r="M103" s="28" t="s">
        <v>371</v>
      </c>
      <c r="N103" s="227" t="s">
        <v>373</v>
      </c>
      <c r="O103" s="100"/>
      <c r="P103" s="28"/>
      <c r="Q103" s="28"/>
      <c r="R103" s="28"/>
      <c r="S103" s="28"/>
      <c r="T103" s="28"/>
      <c r="U103" s="28"/>
      <c r="V103" s="28"/>
      <c r="W103" s="28"/>
      <c r="X103" s="28"/>
      <c r="Y103" s="28"/>
    </row>
    <row r="104" spans="1:25">
      <c r="A104" s="28"/>
      <c r="B104" s="28"/>
      <c r="C104" s="28"/>
      <c r="D104" s="28"/>
      <c r="E104" s="28"/>
      <c r="F104" s="28"/>
      <c r="G104" s="28"/>
      <c r="H104" s="28"/>
      <c r="I104" s="28"/>
      <c r="J104" s="28"/>
      <c r="K104" s="28"/>
      <c r="L104" s="53"/>
      <c r="M104" s="28" t="s">
        <v>371</v>
      </c>
      <c r="N104" s="227" t="s">
        <v>374</v>
      </c>
      <c r="O104" s="100"/>
      <c r="P104" s="28"/>
      <c r="Q104" s="28"/>
      <c r="R104" s="28"/>
      <c r="S104" s="28"/>
      <c r="T104" s="28"/>
      <c r="U104" s="28"/>
      <c r="V104" s="28"/>
      <c r="W104" s="28"/>
      <c r="X104" s="28"/>
      <c r="Y104" s="28"/>
    </row>
    <row r="105" spans="1:25">
      <c r="A105" s="28"/>
      <c r="B105" s="28"/>
      <c r="C105" s="28"/>
      <c r="D105" s="28"/>
      <c r="E105" s="28"/>
      <c r="F105" s="28"/>
      <c r="G105" s="28"/>
      <c r="H105" s="28"/>
      <c r="I105" s="28"/>
      <c r="J105" s="28"/>
      <c r="K105" s="28"/>
      <c r="L105" s="53"/>
      <c r="M105" s="28" t="s">
        <v>371</v>
      </c>
      <c r="N105" s="227" t="s">
        <v>375</v>
      </c>
      <c r="O105" s="100"/>
      <c r="P105" s="28"/>
      <c r="Q105" s="28"/>
      <c r="R105" s="28"/>
      <c r="S105" s="28"/>
      <c r="T105" s="28"/>
      <c r="U105" s="28"/>
      <c r="V105" s="28"/>
      <c r="W105" s="28"/>
      <c r="X105" s="28"/>
      <c r="Y105" s="28"/>
    </row>
    <row r="106" spans="1:25">
      <c r="A106" s="28"/>
      <c r="B106" s="28"/>
      <c r="C106" s="28"/>
      <c r="D106" s="28"/>
      <c r="E106" s="28"/>
      <c r="F106" s="28"/>
      <c r="G106" s="28"/>
      <c r="H106" s="28"/>
      <c r="I106" s="28"/>
      <c r="J106" s="28"/>
      <c r="K106" s="28"/>
      <c r="L106" s="53"/>
      <c r="M106" s="28" t="s">
        <v>371</v>
      </c>
      <c r="N106" s="227" t="s">
        <v>376</v>
      </c>
      <c r="O106" s="100"/>
      <c r="P106" s="28"/>
      <c r="Q106" s="28"/>
      <c r="R106" s="28"/>
      <c r="S106" s="28"/>
      <c r="T106" s="28"/>
      <c r="U106" s="28"/>
      <c r="V106" s="28"/>
      <c r="W106" s="28"/>
      <c r="X106" s="28"/>
      <c r="Y106" s="28"/>
    </row>
    <row r="107" spans="1:25">
      <c r="A107" s="28"/>
      <c r="B107" s="28"/>
      <c r="C107" s="28"/>
      <c r="D107" s="28"/>
      <c r="E107" s="28"/>
      <c r="F107" s="28"/>
      <c r="G107" s="28"/>
      <c r="H107" s="28"/>
      <c r="I107" s="28"/>
      <c r="J107" s="28"/>
      <c r="K107" s="28"/>
      <c r="L107" s="53"/>
      <c r="M107" s="28" t="s">
        <v>371</v>
      </c>
      <c r="N107" s="227" t="s">
        <v>377</v>
      </c>
      <c r="O107" s="100"/>
      <c r="P107" s="28"/>
      <c r="Q107" s="28"/>
      <c r="R107" s="28"/>
      <c r="S107" s="28"/>
      <c r="T107" s="28"/>
      <c r="U107" s="28"/>
      <c r="V107" s="28"/>
      <c r="W107" s="28"/>
      <c r="X107" s="28"/>
      <c r="Y107" s="28"/>
    </row>
    <row r="108" spans="1:25">
      <c r="A108" s="28"/>
      <c r="B108" s="28"/>
      <c r="C108" s="28"/>
      <c r="D108" s="28"/>
      <c r="E108" s="28"/>
      <c r="F108" s="28"/>
      <c r="G108" s="28"/>
      <c r="H108" s="28"/>
      <c r="I108" s="28"/>
      <c r="J108" s="28"/>
      <c r="K108" s="28"/>
      <c r="L108" s="53"/>
      <c r="M108" s="28" t="s">
        <v>371</v>
      </c>
      <c r="N108" s="227" t="s">
        <v>378</v>
      </c>
      <c r="O108" s="100"/>
      <c r="P108" s="28"/>
      <c r="Q108" s="28"/>
      <c r="R108" s="28"/>
      <c r="S108" s="28"/>
      <c r="T108" s="28"/>
      <c r="U108" s="28"/>
      <c r="V108" s="28"/>
      <c r="W108" s="28"/>
      <c r="X108" s="28"/>
      <c r="Y108" s="28"/>
    </row>
    <row r="109" spans="1:25">
      <c r="A109" s="28"/>
      <c r="B109" s="28"/>
      <c r="C109" s="28"/>
      <c r="D109" s="28"/>
      <c r="E109" s="28"/>
      <c r="F109" s="28"/>
      <c r="G109" s="28"/>
      <c r="H109" s="28"/>
      <c r="I109" s="28"/>
      <c r="J109" s="28"/>
      <c r="K109" s="28"/>
      <c r="L109" s="53"/>
      <c r="M109" s="28" t="s">
        <v>371</v>
      </c>
      <c r="N109" s="227" t="s">
        <v>379</v>
      </c>
      <c r="O109" s="100"/>
      <c r="P109" s="28"/>
      <c r="Q109" s="28"/>
      <c r="R109" s="28"/>
      <c r="S109" s="28"/>
      <c r="T109" s="28"/>
      <c r="U109" s="28"/>
      <c r="V109" s="28"/>
      <c r="W109" s="28"/>
      <c r="X109" s="28"/>
      <c r="Y109" s="28"/>
    </row>
    <row r="110" spans="1:25">
      <c r="A110" s="28"/>
      <c r="B110" s="28"/>
      <c r="C110" s="28"/>
      <c r="D110" s="28"/>
      <c r="E110" s="28"/>
      <c r="F110" s="28"/>
      <c r="G110" s="28"/>
      <c r="H110" s="28"/>
      <c r="I110" s="28"/>
      <c r="J110" s="28"/>
      <c r="K110" s="28"/>
      <c r="L110" s="53"/>
      <c r="M110" s="28" t="s">
        <v>371</v>
      </c>
      <c r="N110" s="227" t="s">
        <v>380</v>
      </c>
      <c r="O110" s="100"/>
      <c r="P110" s="28"/>
      <c r="Q110" s="28"/>
      <c r="R110" s="28"/>
      <c r="S110" s="28"/>
      <c r="T110" s="28"/>
      <c r="U110" s="28"/>
      <c r="V110" s="28"/>
      <c r="W110" s="28"/>
      <c r="X110" s="28"/>
      <c r="Y110" s="28"/>
    </row>
    <row r="111" spans="1:25">
      <c r="A111" s="28"/>
      <c r="B111" s="28"/>
      <c r="C111" s="28"/>
      <c r="D111" s="28"/>
      <c r="E111" s="28"/>
      <c r="F111" s="28"/>
      <c r="G111" s="28"/>
      <c r="H111" s="28"/>
      <c r="I111" s="28"/>
      <c r="J111" s="28"/>
      <c r="K111" s="28"/>
      <c r="L111" s="53"/>
      <c r="M111" s="28" t="s">
        <v>371</v>
      </c>
      <c r="N111" s="227" t="s">
        <v>381</v>
      </c>
      <c r="O111" s="100"/>
      <c r="P111" s="28"/>
      <c r="Q111" s="28"/>
      <c r="R111" s="28"/>
      <c r="S111" s="28"/>
      <c r="T111" s="28"/>
      <c r="U111" s="28"/>
      <c r="V111" s="28"/>
      <c r="W111" s="28"/>
      <c r="X111" s="28"/>
      <c r="Y111" s="28"/>
    </row>
    <row r="112" spans="1:25">
      <c r="A112" s="28"/>
      <c r="B112" s="28"/>
      <c r="C112" s="28"/>
      <c r="D112" s="28"/>
      <c r="E112" s="28"/>
      <c r="F112" s="28"/>
      <c r="G112" s="28"/>
      <c r="H112" s="28"/>
      <c r="I112" s="28"/>
      <c r="J112" s="28"/>
      <c r="K112" s="28"/>
      <c r="L112" s="53"/>
      <c r="M112" s="28" t="s">
        <v>371</v>
      </c>
      <c r="N112" s="227" t="s">
        <v>382</v>
      </c>
      <c r="O112" s="100"/>
      <c r="P112" s="28"/>
      <c r="Q112" s="28"/>
      <c r="R112" s="28"/>
      <c r="S112" s="28"/>
      <c r="T112" s="28"/>
      <c r="U112" s="28"/>
      <c r="V112" s="28"/>
      <c r="W112" s="28"/>
      <c r="X112" s="28"/>
      <c r="Y112" s="28"/>
    </row>
    <row r="113" spans="1:25">
      <c r="A113" s="28"/>
      <c r="B113" s="28"/>
      <c r="C113" s="28"/>
      <c r="D113" s="28"/>
      <c r="E113" s="28"/>
      <c r="F113" s="28"/>
      <c r="G113" s="28"/>
      <c r="H113" s="28"/>
      <c r="I113" s="28"/>
      <c r="J113" s="28"/>
      <c r="K113" s="28"/>
      <c r="L113" s="53"/>
      <c r="M113" s="71" t="s">
        <v>371</v>
      </c>
      <c r="N113" s="260" t="s">
        <v>383</v>
      </c>
      <c r="O113" s="100"/>
      <c r="P113" s="28"/>
      <c r="Q113" s="28"/>
      <c r="R113" s="28"/>
      <c r="S113" s="28"/>
      <c r="T113" s="28"/>
      <c r="U113" s="28"/>
      <c r="V113" s="28"/>
      <c r="W113" s="28"/>
      <c r="X113" s="28"/>
      <c r="Y113" s="28"/>
    </row>
    <row r="114" spans="1:25">
      <c r="A114" s="28"/>
      <c r="B114" s="28"/>
      <c r="C114" s="28"/>
      <c r="D114" s="28"/>
      <c r="E114" s="28"/>
      <c r="F114" s="28"/>
      <c r="G114" s="28"/>
      <c r="H114" s="28"/>
      <c r="I114" s="28"/>
      <c r="J114" s="28"/>
      <c r="K114" s="28"/>
      <c r="L114" s="53"/>
      <c r="M114" s="28" t="s">
        <v>384</v>
      </c>
      <c r="N114" s="228" t="s">
        <v>385</v>
      </c>
      <c r="O114" s="100"/>
      <c r="P114" s="28"/>
      <c r="Q114" s="28"/>
      <c r="R114" s="28"/>
      <c r="S114" s="28"/>
      <c r="T114" s="28"/>
      <c r="U114" s="28"/>
      <c r="V114" s="28"/>
      <c r="W114" s="28"/>
      <c r="X114" s="28"/>
      <c r="Y114" s="28"/>
    </row>
    <row r="115" spans="1:25">
      <c r="A115" s="28"/>
      <c r="B115" s="28"/>
      <c r="C115" s="28"/>
      <c r="D115" s="28"/>
      <c r="E115" s="28"/>
      <c r="F115" s="28"/>
      <c r="G115" s="28"/>
      <c r="H115" s="28"/>
      <c r="I115" s="28"/>
      <c r="J115" s="28"/>
      <c r="K115" s="28"/>
      <c r="L115" s="53"/>
      <c r="M115" s="28" t="s">
        <v>56</v>
      </c>
      <c r="N115" s="227" t="s">
        <v>24</v>
      </c>
      <c r="O115" s="100"/>
      <c r="P115" s="28"/>
      <c r="Q115" s="28"/>
      <c r="R115" s="28"/>
      <c r="S115" s="28"/>
      <c r="T115" s="28"/>
      <c r="U115" s="28"/>
      <c r="V115" s="28"/>
      <c r="W115" s="28"/>
      <c r="X115" s="28"/>
      <c r="Y115" s="28"/>
    </row>
    <row r="116" spans="1:25">
      <c r="A116" s="71"/>
      <c r="B116" s="71"/>
      <c r="C116" s="71"/>
      <c r="D116" s="71"/>
      <c r="E116" s="71"/>
      <c r="F116" s="71"/>
      <c r="G116" s="71"/>
      <c r="H116" s="71"/>
      <c r="I116" s="71"/>
      <c r="J116" s="71"/>
      <c r="K116" s="71"/>
      <c r="L116" s="54"/>
      <c r="M116" s="28" t="s">
        <v>56</v>
      </c>
      <c r="N116" s="227" t="s">
        <v>386</v>
      </c>
      <c r="O116" s="139"/>
      <c r="P116" s="71"/>
      <c r="Q116" s="71"/>
      <c r="R116" s="71"/>
      <c r="S116" s="71"/>
      <c r="T116" s="71"/>
      <c r="U116" s="71"/>
      <c r="V116" s="71"/>
      <c r="W116" s="71"/>
      <c r="X116" s="71"/>
      <c r="Y116" s="71"/>
    </row>
    <row r="117" spans="1:25">
      <c r="A117" s="28"/>
      <c r="B117" s="28"/>
      <c r="C117" s="28"/>
      <c r="D117" s="28"/>
      <c r="E117" s="28"/>
      <c r="F117" s="28"/>
      <c r="G117" s="28"/>
      <c r="H117" s="28"/>
      <c r="I117" s="28"/>
      <c r="J117" s="28"/>
      <c r="K117" s="28"/>
      <c r="L117" s="28"/>
      <c r="M117" s="28" t="s">
        <v>369</v>
      </c>
      <c r="N117" s="68" t="s">
        <v>387</v>
      </c>
      <c r="O117" s="28"/>
      <c r="P117" s="28"/>
      <c r="Q117" s="28"/>
      <c r="R117" s="28"/>
      <c r="S117" s="28"/>
      <c r="T117" s="28"/>
      <c r="U117" s="28"/>
      <c r="V117" s="28"/>
      <c r="W117" s="28"/>
      <c r="X117" s="28"/>
      <c r="Y117" s="28"/>
    </row>
    <row r="118" spans="1:25">
      <c r="A118" s="28"/>
      <c r="B118" s="28"/>
      <c r="C118" s="28"/>
      <c r="D118" s="28"/>
      <c r="E118" s="28"/>
      <c r="F118" s="28"/>
      <c r="G118" s="28"/>
      <c r="H118" s="28"/>
      <c r="I118" s="28"/>
      <c r="J118" s="28"/>
      <c r="K118" s="28"/>
      <c r="L118" s="28"/>
      <c r="M118" s="28" t="s">
        <v>56</v>
      </c>
      <c r="N118" s="73" t="s">
        <v>388</v>
      </c>
      <c r="O118" s="28"/>
      <c r="P118" s="28"/>
      <c r="Q118" s="28"/>
      <c r="R118" s="28"/>
      <c r="S118" s="28"/>
      <c r="T118" s="28"/>
      <c r="U118" s="28"/>
      <c r="V118" s="28"/>
      <c r="W118" s="28"/>
      <c r="X118" s="28"/>
      <c r="Y118" s="28"/>
    </row>
    <row r="119" spans="1:25">
      <c r="A119" s="28"/>
      <c r="B119" s="28"/>
      <c r="C119" s="28"/>
      <c r="D119" s="28"/>
      <c r="E119" s="28"/>
      <c r="F119" s="28"/>
      <c r="G119" s="28"/>
      <c r="H119" s="28"/>
      <c r="I119" s="28"/>
      <c r="J119" s="28"/>
      <c r="K119" s="28"/>
      <c r="L119" s="28"/>
      <c r="M119" s="28" t="s">
        <v>56</v>
      </c>
      <c r="N119" s="74" t="s">
        <v>389</v>
      </c>
      <c r="O119" s="28"/>
      <c r="P119" s="28"/>
      <c r="Q119" s="28"/>
      <c r="R119" s="28"/>
      <c r="S119" s="28"/>
      <c r="T119" s="28"/>
      <c r="U119" s="28"/>
      <c r="V119" s="28"/>
      <c r="W119" s="28"/>
      <c r="X119" s="28"/>
      <c r="Y119" s="28"/>
    </row>
    <row r="120" spans="1:25">
      <c r="A120" s="28"/>
      <c r="B120" s="28"/>
      <c r="C120" s="28"/>
      <c r="D120" s="28"/>
      <c r="E120" s="28"/>
      <c r="F120" s="28"/>
      <c r="G120" s="28"/>
      <c r="H120" s="28"/>
      <c r="I120" s="28"/>
      <c r="J120" s="28"/>
      <c r="K120" s="28"/>
      <c r="L120" s="28"/>
      <c r="M120" s="53" t="s">
        <v>56</v>
      </c>
      <c r="N120" s="101" t="s">
        <v>390</v>
      </c>
      <c r="O120" s="28"/>
      <c r="P120" s="28"/>
      <c r="Q120" s="28"/>
      <c r="R120" s="28"/>
      <c r="S120" s="28"/>
      <c r="T120" s="28"/>
      <c r="U120" s="28"/>
      <c r="V120" s="28"/>
      <c r="W120" s="28"/>
      <c r="X120" s="28"/>
      <c r="Y120" s="28"/>
    </row>
    <row r="121" spans="1:25">
      <c r="A121" s="28"/>
      <c r="B121" s="28"/>
      <c r="C121" s="28"/>
      <c r="D121" s="28"/>
      <c r="E121" s="28"/>
      <c r="F121" s="28"/>
      <c r="G121" s="28"/>
      <c r="H121" s="28"/>
      <c r="I121" s="28"/>
      <c r="J121" s="28"/>
      <c r="K121" s="28"/>
      <c r="L121" s="28"/>
      <c r="M121" s="53" t="s">
        <v>391</v>
      </c>
      <c r="N121" s="101" t="s">
        <v>392</v>
      </c>
      <c r="O121" s="28"/>
      <c r="P121" s="28"/>
      <c r="Q121" s="28"/>
      <c r="R121" s="28"/>
      <c r="S121" s="28"/>
      <c r="T121" s="28"/>
      <c r="U121" s="28"/>
      <c r="V121" s="28"/>
      <c r="W121" s="28"/>
      <c r="X121" s="28"/>
      <c r="Y121" s="28"/>
    </row>
    <row r="122" spans="1:25">
      <c r="A122" s="28"/>
      <c r="B122" s="28"/>
      <c r="C122" s="28"/>
      <c r="D122" s="28"/>
      <c r="E122" s="28"/>
      <c r="F122" s="28"/>
      <c r="G122" s="28"/>
      <c r="H122" s="28"/>
      <c r="I122" s="28"/>
      <c r="J122" s="28"/>
      <c r="K122" s="28"/>
      <c r="L122" s="28"/>
      <c r="M122" s="53" t="s">
        <v>56</v>
      </c>
      <c r="N122" s="102" t="s">
        <v>393</v>
      </c>
      <c r="O122" s="28"/>
      <c r="P122" s="28"/>
      <c r="Q122" s="28"/>
      <c r="R122" s="28"/>
      <c r="S122" s="28"/>
      <c r="T122" s="28"/>
      <c r="U122" s="28"/>
      <c r="V122" s="28"/>
      <c r="W122" s="28"/>
      <c r="X122" s="28"/>
      <c r="Y122" s="28"/>
    </row>
    <row r="123" spans="1:25">
      <c r="A123" s="28"/>
      <c r="B123" s="28"/>
      <c r="C123" s="28"/>
      <c r="D123" s="28"/>
      <c r="E123" s="28"/>
      <c r="F123" s="28"/>
      <c r="G123" s="28"/>
      <c r="H123" s="28"/>
      <c r="I123" s="28"/>
      <c r="J123" s="28"/>
      <c r="K123" s="28"/>
      <c r="L123" s="28"/>
      <c r="M123" s="53"/>
      <c r="N123" s="101"/>
      <c r="O123" s="100"/>
      <c r="P123" s="28"/>
      <c r="Q123" s="28"/>
      <c r="R123" s="28"/>
      <c r="S123" s="28"/>
      <c r="T123" s="28"/>
      <c r="U123" s="28"/>
      <c r="V123" s="28"/>
      <c r="W123" s="28"/>
      <c r="X123" s="28"/>
      <c r="Y123" s="28"/>
    </row>
    <row r="124" spans="1:25">
      <c r="A124" s="28"/>
      <c r="B124" s="28"/>
      <c r="C124" s="28"/>
      <c r="D124" s="28"/>
      <c r="E124" s="28"/>
      <c r="F124" s="28"/>
      <c r="G124" s="28"/>
      <c r="H124" s="28"/>
      <c r="I124" s="28"/>
      <c r="J124" s="28"/>
      <c r="K124" s="28"/>
      <c r="L124" s="28"/>
      <c r="M124" s="53"/>
      <c r="N124" s="101"/>
      <c r="O124" s="100"/>
      <c r="P124" s="28"/>
      <c r="Q124" s="28"/>
      <c r="R124" s="28"/>
      <c r="S124" s="28"/>
      <c r="T124" s="28"/>
      <c r="U124" s="28"/>
      <c r="V124" s="28"/>
      <c r="W124" s="28"/>
      <c r="X124" s="28"/>
      <c r="Y124" s="28"/>
    </row>
    <row r="221" spans="13:13">
      <c r="M221" s="28" t="s">
        <v>394</v>
      </c>
    </row>
    <row r="222" spans="13:13">
      <c r="M222" s="28" t="s">
        <v>56</v>
      </c>
    </row>
    <row r="223" spans="13:13">
      <c r="M223" s="28" t="s">
        <v>371</v>
      </c>
    </row>
    <row r="224" spans="13:13">
      <c r="M224" s="28" t="s">
        <v>365</v>
      </c>
    </row>
    <row r="225" spans="13:13">
      <c r="M225" s="28" t="s">
        <v>384</v>
      </c>
    </row>
    <row r="226" spans="13:13">
      <c r="M226" s="28" t="s">
        <v>391</v>
      </c>
    </row>
  </sheetData>
  <mergeCells count="1">
    <mergeCell ref="A2:A3"/>
  </mergeCells>
  <dataValidations count="2">
    <dataValidation allowBlank="1" showInputMessage="1" showErrorMessage="1" sqref="O1:Y81 M221:M226 H82:K1048576 M1:N3 R82:W1048576 A1:L81" xr:uid="{10E4A33A-280C-4C91-89FC-4563C8E8A4C6}"/>
    <dataValidation type="list" allowBlank="1" showInputMessage="1" showErrorMessage="1" sqref="M4:M124" xr:uid="{CFE5A95A-9AF6-4E05-AA3E-B3D6D54C0F48}">
      <formula1>"Revit, Cad, Civil3D, NavisWorks, Desktop App, Web App"</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74F48-0C3B-4782-9B79-25887B04E6DF}">
  <dimension ref="A1:M34"/>
  <sheetViews>
    <sheetView zoomScale="115" zoomScaleNormal="115" workbookViewId="0">
      <pane ySplit="2" topLeftCell="A3" activePane="bottomLeft" state="frozen"/>
      <selection pane="bottomLeft" activeCell="D41" sqref="D41"/>
    </sheetView>
  </sheetViews>
  <sheetFormatPr defaultRowHeight="15" customHeight="1"/>
  <cols>
    <col min="1" max="1" width="35.7109375" bestFit="1" customWidth="1"/>
    <col min="2" max="2" width="6.85546875" customWidth="1"/>
    <col min="3" max="3" width="36.140625" bestFit="1" customWidth="1"/>
    <col min="4" max="4" width="30.140625" bestFit="1" customWidth="1"/>
    <col min="5" max="5" width="63.85546875" bestFit="1" customWidth="1"/>
    <col min="6" max="6" width="7.28515625" bestFit="1" customWidth="1"/>
    <col min="7" max="7" width="7.5703125" bestFit="1" customWidth="1"/>
    <col min="8" max="8" width="15.28515625" style="188" bestFit="1" customWidth="1"/>
    <col min="9" max="11" width="20.5703125" bestFit="1" customWidth="1"/>
    <col min="12" max="12" width="9.28515625" style="44" bestFit="1" customWidth="1"/>
    <col min="13" max="13" width="10.42578125" style="44" bestFit="1" customWidth="1"/>
  </cols>
  <sheetData>
    <row r="1" spans="1:13">
      <c r="A1" s="27"/>
      <c r="B1" s="27"/>
      <c r="C1" s="37" t="s">
        <v>395</v>
      </c>
      <c r="D1" s="27"/>
      <c r="E1" s="27"/>
      <c r="F1" s="27"/>
      <c r="G1" s="27"/>
      <c r="H1" s="186"/>
      <c r="I1" s="27"/>
      <c r="J1" s="27"/>
      <c r="K1" s="27"/>
      <c r="L1" s="42"/>
      <c r="M1" s="42"/>
    </row>
    <row r="2" spans="1:13" s="2" customFormat="1">
      <c r="A2" s="3" t="s">
        <v>396</v>
      </c>
      <c r="B2" s="3" t="s">
        <v>397</v>
      </c>
      <c r="C2" s="3" t="s">
        <v>398</v>
      </c>
      <c r="D2" s="3" t="s">
        <v>40</v>
      </c>
      <c r="E2" s="3" t="s">
        <v>41</v>
      </c>
      <c r="F2" s="3" t="s">
        <v>399</v>
      </c>
      <c r="G2" s="3" t="s">
        <v>42</v>
      </c>
      <c r="H2" s="41" t="s">
        <v>46</v>
      </c>
      <c r="I2" s="13" t="s">
        <v>400</v>
      </c>
      <c r="J2" s="13" t="s">
        <v>401</v>
      </c>
      <c r="K2" s="13" t="s">
        <v>402</v>
      </c>
      <c r="L2" s="43" t="s">
        <v>403</v>
      </c>
      <c r="M2" s="43" t="s">
        <v>404</v>
      </c>
    </row>
    <row r="3" spans="1:13">
      <c r="A3" s="28" t="str">
        <f>"1."&amp;D3&amp;"."&amp;B3</f>
        <v>1.Quy định.001</v>
      </c>
      <c r="B3" s="108" t="s">
        <v>405</v>
      </c>
      <c r="C3" s="109" t="s">
        <v>8</v>
      </c>
      <c r="D3" s="4" t="s">
        <v>47</v>
      </c>
      <c r="E3" s="4" t="s">
        <v>48</v>
      </c>
      <c r="F3" s="4" t="s">
        <v>61</v>
      </c>
      <c r="G3" s="4" t="s">
        <v>49</v>
      </c>
      <c r="H3" s="187" t="s">
        <v>94</v>
      </c>
      <c r="I3" s="21" t="s">
        <v>52</v>
      </c>
      <c r="J3" s="21"/>
      <c r="K3" s="21"/>
      <c r="L3" s="30">
        <v>46174</v>
      </c>
      <c r="M3" s="178">
        <v>46280</v>
      </c>
    </row>
    <row r="4" spans="1:13">
      <c r="A4" s="28" t="str">
        <f>"1."&amp;D4&amp;"."&amp;B4</f>
        <v>1.Các phụ lục.002</v>
      </c>
      <c r="B4" s="108" t="s">
        <v>406</v>
      </c>
      <c r="C4" s="109" t="s">
        <v>8</v>
      </c>
      <c r="D4" s="4" t="s">
        <v>64</v>
      </c>
      <c r="E4" s="1" t="s">
        <v>65</v>
      </c>
      <c r="F4" s="4" t="s">
        <v>61</v>
      </c>
      <c r="G4" s="4" t="s">
        <v>49</v>
      </c>
      <c r="H4" s="187" t="s">
        <v>94</v>
      </c>
      <c r="I4" s="21" t="s">
        <v>52</v>
      </c>
      <c r="J4" s="21"/>
      <c r="K4" s="21"/>
      <c r="L4" s="30">
        <v>46174</v>
      </c>
      <c r="M4" s="178">
        <v>46280</v>
      </c>
    </row>
    <row r="5" spans="1:13">
      <c r="A5" s="28" t="str">
        <f>"1."&amp;D5&amp;"."&amp;B5</f>
        <v>1.Các phụ lục.003</v>
      </c>
      <c r="B5" s="108" t="s">
        <v>407</v>
      </c>
      <c r="C5" s="109" t="s">
        <v>8</v>
      </c>
      <c r="D5" s="4" t="s">
        <v>64</v>
      </c>
      <c r="E5" s="1" t="s">
        <v>82</v>
      </c>
      <c r="F5" s="4" t="s">
        <v>61</v>
      </c>
      <c r="G5" s="4" t="s">
        <v>49</v>
      </c>
      <c r="H5" s="187" t="s">
        <v>94</v>
      </c>
      <c r="I5" s="21" t="s">
        <v>52</v>
      </c>
      <c r="J5" s="21"/>
      <c r="K5" s="21"/>
      <c r="L5" s="30">
        <v>46174</v>
      </c>
      <c r="M5" s="178">
        <v>46280</v>
      </c>
    </row>
    <row r="6" spans="1:13">
      <c r="A6" s="28" t="str">
        <f>"1."&amp;D6&amp;"."&amp;B6</f>
        <v>1.Các phụ lục.004</v>
      </c>
      <c r="B6" s="108" t="s">
        <v>408</v>
      </c>
      <c r="C6" s="109" t="s">
        <v>8</v>
      </c>
      <c r="D6" s="4" t="s">
        <v>64</v>
      </c>
      <c r="E6" s="1" t="s">
        <v>95</v>
      </c>
      <c r="F6" s="4" t="s">
        <v>61</v>
      </c>
      <c r="G6" s="4" t="s">
        <v>49</v>
      </c>
      <c r="H6" s="187" t="s">
        <v>94</v>
      </c>
      <c r="I6" s="21" t="s">
        <v>52</v>
      </c>
      <c r="J6" s="21"/>
      <c r="K6" s="21"/>
      <c r="L6" s="30">
        <v>46174</v>
      </c>
      <c r="M6" s="178">
        <v>46280</v>
      </c>
    </row>
    <row r="7" spans="1:13">
      <c r="A7" s="28" t="str">
        <f>"1."&amp;D7&amp;"."&amp;B7</f>
        <v>1.Các phụ lục.005</v>
      </c>
      <c r="B7" s="108" t="s">
        <v>409</v>
      </c>
      <c r="C7" s="109" t="s">
        <v>8</v>
      </c>
      <c r="D7" s="4" t="s">
        <v>64</v>
      </c>
      <c r="E7" s="1" t="s">
        <v>106</v>
      </c>
      <c r="F7" s="4" t="s">
        <v>61</v>
      </c>
      <c r="G7" s="4" t="s">
        <v>49</v>
      </c>
      <c r="H7" s="187" t="s">
        <v>94</v>
      </c>
      <c r="I7" s="21" t="s">
        <v>52</v>
      </c>
      <c r="J7" s="21"/>
      <c r="K7" s="21"/>
      <c r="L7" s="30">
        <v>46174</v>
      </c>
      <c r="M7" s="178">
        <v>46280</v>
      </c>
    </row>
    <row r="8" spans="1:13">
      <c r="A8" s="28" t="str">
        <f>"1."&amp;D8&amp;"."&amp;B8</f>
        <v>1.Các phụ lục.006</v>
      </c>
      <c r="B8" s="108" t="s">
        <v>410</v>
      </c>
      <c r="C8" s="109" t="s">
        <v>8</v>
      </c>
      <c r="D8" s="4" t="s">
        <v>64</v>
      </c>
      <c r="E8" s="1" t="s">
        <v>117</v>
      </c>
      <c r="F8" s="4" t="s">
        <v>61</v>
      </c>
      <c r="G8" s="4" t="s">
        <v>49</v>
      </c>
      <c r="H8" s="187" t="s">
        <v>94</v>
      </c>
      <c r="I8" s="21" t="s">
        <v>52</v>
      </c>
      <c r="J8" s="21"/>
      <c r="K8" s="21"/>
      <c r="L8" s="30">
        <v>46174</v>
      </c>
      <c r="M8" s="178">
        <v>46280</v>
      </c>
    </row>
    <row r="9" spans="1:13">
      <c r="A9" s="28" t="str">
        <f>"1."&amp;D9&amp;"."&amp;B9</f>
        <v>1.Các phụ lục.007</v>
      </c>
      <c r="B9" s="108" t="s">
        <v>411</v>
      </c>
      <c r="C9" s="109" t="s">
        <v>8</v>
      </c>
      <c r="D9" s="4" t="s">
        <v>64</v>
      </c>
      <c r="E9" s="1" t="s">
        <v>125</v>
      </c>
      <c r="F9" s="4" t="s">
        <v>61</v>
      </c>
      <c r="G9" s="4" t="s">
        <v>49</v>
      </c>
      <c r="H9" s="187" t="s">
        <v>94</v>
      </c>
      <c r="I9" s="21" t="s">
        <v>52</v>
      </c>
      <c r="J9" s="21"/>
      <c r="K9" s="21"/>
      <c r="L9" s="30">
        <v>46174</v>
      </c>
      <c r="M9" s="178">
        <v>46280</v>
      </c>
    </row>
    <row r="10" spans="1:13">
      <c r="A10" s="28" t="str">
        <f>"1."&amp;D10&amp;"."&amp;B10</f>
        <v>1.Các phụ lục.008</v>
      </c>
      <c r="B10" s="108" t="s">
        <v>412</v>
      </c>
      <c r="C10" s="109" t="s">
        <v>8</v>
      </c>
      <c r="D10" s="4" t="s">
        <v>64</v>
      </c>
      <c r="E10" s="1" t="s">
        <v>134</v>
      </c>
      <c r="F10" s="4" t="s">
        <v>61</v>
      </c>
      <c r="G10" s="4" t="s">
        <v>49</v>
      </c>
      <c r="H10" s="187" t="s">
        <v>94</v>
      </c>
      <c r="I10" s="21" t="s">
        <v>52</v>
      </c>
      <c r="J10" s="21"/>
      <c r="K10" s="21"/>
      <c r="L10" s="30">
        <v>46174</v>
      </c>
      <c r="M10" s="178">
        <v>46280</v>
      </c>
    </row>
    <row r="11" spans="1:13">
      <c r="A11" s="28" t="str">
        <f>"1."&amp;D11&amp;"."&amp;B11</f>
        <v>1.Các phụ lục.009</v>
      </c>
      <c r="B11" s="108" t="s">
        <v>413</v>
      </c>
      <c r="C11" s="109" t="s">
        <v>8</v>
      </c>
      <c r="D11" s="4" t="s">
        <v>64</v>
      </c>
      <c r="E11" s="1" t="s">
        <v>142</v>
      </c>
      <c r="F11" s="4" t="s">
        <v>61</v>
      </c>
      <c r="G11" s="4" t="s">
        <v>49</v>
      </c>
      <c r="H11" s="187" t="s">
        <v>94</v>
      </c>
      <c r="I11" s="21" t="s">
        <v>52</v>
      </c>
      <c r="J11" s="21"/>
      <c r="K11" s="21"/>
      <c r="L11" s="30">
        <v>46174</v>
      </c>
      <c r="M11" s="178">
        <v>46280</v>
      </c>
    </row>
    <row r="12" spans="1:13">
      <c r="A12" s="28" t="str">
        <f>"1."&amp;D12&amp;"."&amp;B12</f>
        <v>1.Các phụ lục.010</v>
      </c>
      <c r="B12" s="108" t="s">
        <v>414</v>
      </c>
      <c r="C12" s="109" t="s">
        <v>8</v>
      </c>
      <c r="D12" s="4" t="s">
        <v>64</v>
      </c>
      <c r="E12" s="1" t="s">
        <v>149</v>
      </c>
      <c r="F12" s="4" t="s">
        <v>61</v>
      </c>
      <c r="G12" s="4" t="s">
        <v>49</v>
      </c>
      <c r="H12" s="187" t="s">
        <v>94</v>
      </c>
      <c r="I12" s="21" t="s">
        <v>52</v>
      </c>
      <c r="J12" s="21"/>
      <c r="K12" s="21"/>
      <c r="L12" s="30">
        <v>46174</v>
      </c>
      <c r="M12" s="178">
        <v>46280</v>
      </c>
    </row>
    <row r="13" spans="1:13">
      <c r="A13" s="28" t="str">
        <f>"1."&amp;D13&amp;"."&amp;B13</f>
        <v>1.Các phụ lục.011</v>
      </c>
      <c r="B13" s="108" t="s">
        <v>415</v>
      </c>
      <c r="C13" s="109" t="s">
        <v>8</v>
      </c>
      <c r="D13" s="4" t="s">
        <v>64</v>
      </c>
      <c r="E13" s="1" t="s">
        <v>156</v>
      </c>
      <c r="F13" s="4" t="s">
        <v>61</v>
      </c>
      <c r="G13" s="4" t="s">
        <v>49</v>
      </c>
      <c r="H13" s="187" t="s">
        <v>94</v>
      </c>
      <c r="I13" s="21" t="s">
        <v>52</v>
      </c>
      <c r="J13" s="21"/>
      <c r="K13" s="21"/>
      <c r="L13" s="30">
        <v>46174</v>
      </c>
      <c r="M13" s="178">
        <v>46280</v>
      </c>
    </row>
    <row r="14" spans="1:13">
      <c r="A14" s="28" t="str">
        <f>"1."&amp;D14&amp;"."&amp;B14</f>
        <v>1.Các phụ lục.012</v>
      </c>
      <c r="B14" s="108" t="s">
        <v>416</v>
      </c>
      <c r="C14" s="109" t="s">
        <v>8</v>
      </c>
      <c r="D14" s="4" t="s">
        <v>64</v>
      </c>
      <c r="E14" s="1" t="s">
        <v>161</v>
      </c>
      <c r="F14" s="4" t="s">
        <v>61</v>
      </c>
      <c r="G14" s="4" t="s">
        <v>49</v>
      </c>
      <c r="H14" s="187" t="s">
        <v>94</v>
      </c>
      <c r="I14" s="21" t="s">
        <v>52</v>
      </c>
      <c r="J14" s="21"/>
      <c r="K14" s="21"/>
      <c r="L14" s="30">
        <v>46174</v>
      </c>
      <c r="M14" s="178">
        <v>46280</v>
      </c>
    </row>
    <row r="15" spans="1:13">
      <c r="A15" s="28" t="str">
        <f>"1."&amp;D15&amp;"."&amp;B15</f>
        <v>1.Các phụ lục.013</v>
      </c>
      <c r="B15" s="108" t="s">
        <v>417</v>
      </c>
      <c r="C15" s="109" t="s">
        <v>8</v>
      </c>
      <c r="D15" s="4" t="s">
        <v>64</v>
      </c>
      <c r="E15" s="1" t="s">
        <v>166</v>
      </c>
      <c r="F15" s="4" t="s">
        <v>61</v>
      </c>
      <c r="G15" s="4" t="s">
        <v>49</v>
      </c>
      <c r="H15" s="187" t="s">
        <v>94</v>
      </c>
      <c r="I15" s="21" t="s">
        <v>52</v>
      </c>
      <c r="J15" s="21"/>
      <c r="K15" s="21"/>
      <c r="L15" s="30">
        <v>46174</v>
      </c>
      <c r="M15" s="178">
        <v>46280</v>
      </c>
    </row>
    <row r="16" spans="1:13">
      <c r="A16" s="28" t="str">
        <f>"1."&amp;D16&amp;"."&amp;B16</f>
        <v>1.Các phụ lục.014</v>
      </c>
      <c r="B16" s="108" t="s">
        <v>418</v>
      </c>
      <c r="C16" s="109" t="s">
        <v>8</v>
      </c>
      <c r="D16" s="4" t="s">
        <v>64</v>
      </c>
      <c r="E16" s="1" t="s">
        <v>171</v>
      </c>
      <c r="F16" s="4" t="s">
        <v>61</v>
      </c>
      <c r="G16" s="4" t="s">
        <v>49</v>
      </c>
      <c r="H16" s="187" t="s">
        <v>94</v>
      </c>
      <c r="I16" s="21" t="s">
        <v>52</v>
      </c>
      <c r="J16" s="21"/>
      <c r="K16" s="21"/>
      <c r="L16" s="30">
        <v>46174</v>
      </c>
      <c r="M16" s="178">
        <v>46280</v>
      </c>
    </row>
    <row r="17" spans="1:13">
      <c r="A17" s="28" t="str">
        <f>"1."&amp;D17&amp;"."&amp;B17</f>
        <v>1.Các phụ lục.015</v>
      </c>
      <c r="B17" s="108" t="s">
        <v>419</v>
      </c>
      <c r="C17" s="109" t="s">
        <v>8</v>
      </c>
      <c r="D17" s="4" t="s">
        <v>64</v>
      </c>
      <c r="E17" s="1" t="s">
        <v>176</v>
      </c>
      <c r="F17" s="4" t="s">
        <v>61</v>
      </c>
      <c r="G17" s="4" t="s">
        <v>49</v>
      </c>
      <c r="H17" s="187" t="s">
        <v>94</v>
      </c>
      <c r="I17" s="21" t="s">
        <v>52</v>
      </c>
      <c r="J17" s="21"/>
      <c r="K17" s="21"/>
      <c r="L17" s="30">
        <v>46174</v>
      </c>
      <c r="M17" s="178">
        <v>46280</v>
      </c>
    </row>
    <row r="18" spans="1:13">
      <c r="A18" s="28" t="str">
        <f>"1."&amp;D18&amp;"."&amp;B18</f>
        <v>1.Các phụ lục.016</v>
      </c>
      <c r="B18" s="108" t="s">
        <v>420</v>
      </c>
      <c r="C18" s="109" t="s">
        <v>8</v>
      </c>
      <c r="D18" s="4" t="s">
        <v>64</v>
      </c>
      <c r="E18" s="1" t="s">
        <v>181</v>
      </c>
      <c r="F18" s="4" t="s">
        <v>61</v>
      </c>
      <c r="G18" s="4" t="s">
        <v>49</v>
      </c>
      <c r="H18" s="187" t="s">
        <v>94</v>
      </c>
      <c r="I18" s="21" t="s">
        <v>52</v>
      </c>
      <c r="J18" s="21"/>
      <c r="K18" s="21"/>
      <c r="L18" s="30">
        <v>46174</v>
      </c>
      <c r="M18" s="178">
        <v>46280</v>
      </c>
    </row>
    <row r="19" spans="1:13">
      <c r="A19" s="28" t="str">
        <f>"1."&amp;D19&amp;"."&amp;B19</f>
        <v>1.Các phụ lục.017</v>
      </c>
      <c r="B19" s="108" t="s">
        <v>421</v>
      </c>
      <c r="C19" s="109" t="s">
        <v>8</v>
      </c>
      <c r="D19" s="4" t="s">
        <v>64</v>
      </c>
      <c r="E19" s="1" t="s">
        <v>186</v>
      </c>
      <c r="F19" s="4" t="s">
        <v>61</v>
      </c>
      <c r="G19" s="4" t="s">
        <v>49</v>
      </c>
      <c r="H19" s="187" t="s">
        <v>94</v>
      </c>
      <c r="I19" s="21" t="s">
        <v>52</v>
      </c>
      <c r="J19" s="21"/>
      <c r="K19" s="21"/>
      <c r="L19" s="30">
        <v>46174</v>
      </c>
      <c r="M19" s="178">
        <v>46280</v>
      </c>
    </row>
    <row r="20" spans="1:13">
      <c r="A20" s="28" t="str">
        <f>"1."&amp;D20&amp;"."&amp;B20</f>
        <v>1.Các phụ lục.018</v>
      </c>
      <c r="B20" s="108" t="s">
        <v>422</v>
      </c>
      <c r="C20" s="109" t="s">
        <v>8</v>
      </c>
      <c r="D20" s="4" t="s">
        <v>64</v>
      </c>
      <c r="E20" s="1" t="s">
        <v>191</v>
      </c>
      <c r="F20" s="4" t="s">
        <v>61</v>
      </c>
      <c r="G20" s="4" t="s">
        <v>49</v>
      </c>
      <c r="H20" s="187" t="s">
        <v>94</v>
      </c>
      <c r="I20" s="21" t="s">
        <v>52</v>
      </c>
      <c r="J20" s="21"/>
      <c r="K20" s="21"/>
      <c r="L20" s="30">
        <v>46174</v>
      </c>
      <c r="M20" s="178">
        <v>46280</v>
      </c>
    </row>
    <row r="21" spans="1:13">
      <c r="A21" s="28" t="str">
        <f>"1."&amp;D21&amp;"."&amp;B21</f>
        <v>1.Các phụ lục.019</v>
      </c>
      <c r="B21" s="108" t="s">
        <v>423</v>
      </c>
      <c r="C21" s="109" t="s">
        <v>8</v>
      </c>
      <c r="D21" s="4" t="s">
        <v>64</v>
      </c>
      <c r="E21" s="1" t="s">
        <v>196</v>
      </c>
      <c r="F21" s="4" t="s">
        <v>61</v>
      </c>
      <c r="G21" s="4" t="s">
        <v>49</v>
      </c>
      <c r="H21" s="187" t="s">
        <v>94</v>
      </c>
      <c r="I21" s="21" t="s">
        <v>52</v>
      </c>
      <c r="J21" s="21"/>
      <c r="K21" s="21"/>
      <c r="L21" s="30">
        <v>46174</v>
      </c>
      <c r="M21" s="178">
        <v>46280</v>
      </c>
    </row>
    <row r="22" spans="1:13">
      <c r="A22" s="28" t="str">
        <f>"1."&amp;D22&amp;"."&amp;B22</f>
        <v>1.Các phụ lục.020</v>
      </c>
      <c r="B22" s="108" t="s">
        <v>424</v>
      </c>
      <c r="C22" s="109" t="s">
        <v>8</v>
      </c>
      <c r="D22" s="4" t="s">
        <v>64</v>
      </c>
      <c r="E22" s="1" t="s">
        <v>201</v>
      </c>
      <c r="F22" s="4" t="s">
        <v>61</v>
      </c>
      <c r="G22" s="4" t="s">
        <v>49</v>
      </c>
      <c r="H22" s="187" t="s">
        <v>94</v>
      </c>
      <c r="I22" s="21" t="s">
        <v>52</v>
      </c>
      <c r="J22" s="21"/>
      <c r="K22" s="21"/>
      <c r="L22" s="30">
        <v>46174</v>
      </c>
      <c r="M22" s="178">
        <v>46280</v>
      </c>
    </row>
    <row r="23" spans="1:13">
      <c r="A23" s="28" t="str">
        <f>"1."&amp;D23&amp;"."&amp;B23</f>
        <v>1.Các biểu mẫu.021</v>
      </c>
      <c r="B23" s="108" t="s">
        <v>425</v>
      </c>
      <c r="C23" s="109" t="s">
        <v>8</v>
      </c>
      <c r="D23" s="4" t="s">
        <v>206</v>
      </c>
      <c r="E23" s="1" t="s">
        <v>207</v>
      </c>
      <c r="F23" s="4" t="s">
        <v>61</v>
      </c>
      <c r="G23" s="4" t="s">
        <v>49</v>
      </c>
      <c r="H23" s="187" t="s">
        <v>94</v>
      </c>
      <c r="I23" s="21" t="s">
        <v>52</v>
      </c>
      <c r="J23" s="21"/>
      <c r="K23" s="21"/>
      <c r="L23" s="30">
        <v>46174</v>
      </c>
      <c r="M23" s="178">
        <v>46280</v>
      </c>
    </row>
    <row r="24" spans="1:13">
      <c r="A24" s="28" t="str">
        <f>"1."&amp;D24&amp;"."&amp;B24</f>
        <v>1.Các biểu mẫu.022</v>
      </c>
      <c r="B24" s="108" t="s">
        <v>426</v>
      </c>
      <c r="C24" s="109" t="s">
        <v>8</v>
      </c>
      <c r="D24" s="4" t="s">
        <v>206</v>
      </c>
      <c r="E24" s="1" t="s">
        <v>211</v>
      </c>
      <c r="F24" s="4" t="s">
        <v>61</v>
      </c>
      <c r="G24" s="4" t="s">
        <v>49</v>
      </c>
      <c r="H24" s="187" t="s">
        <v>94</v>
      </c>
      <c r="I24" s="21" t="s">
        <v>52</v>
      </c>
      <c r="J24" s="21"/>
      <c r="K24" s="21"/>
      <c r="L24" s="30">
        <v>46174</v>
      </c>
      <c r="M24" s="178">
        <v>46280</v>
      </c>
    </row>
    <row r="25" spans="1:13">
      <c r="A25" s="28" t="str">
        <f>"1."&amp;D25&amp;"."&amp;B25</f>
        <v>1.Các biểu mẫu.023</v>
      </c>
      <c r="B25" s="108" t="s">
        <v>427</v>
      </c>
      <c r="C25" s="109" t="s">
        <v>8</v>
      </c>
      <c r="D25" s="4" t="s">
        <v>206</v>
      </c>
      <c r="E25" s="1" t="s">
        <v>215</v>
      </c>
      <c r="F25" s="4" t="s">
        <v>61</v>
      </c>
      <c r="G25" s="4" t="s">
        <v>49</v>
      </c>
      <c r="H25" s="187" t="s">
        <v>94</v>
      </c>
      <c r="I25" s="21" t="s">
        <v>52</v>
      </c>
      <c r="J25" s="21"/>
      <c r="K25" s="21"/>
      <c r="L25" s="30">
        <v>46174</v>
      </c>
      <c r="M25" s="178">
        <v>46280</v>
      </c>
    </row>
    <row r="26" spans="1:13">
      <c r="A26" s="28" t="str">
        <f>"1."&amp;D26&amp;"."&amp;B26</f>
        <v>1.Các biểu mẫu.024</v>
      </c>
      <c r="B26" s="108" t="s">
        <v>428</v>
      </c>
      <c r="C26" s="109" t="s">
        <v>8</v>
      </c>
      <c r="D26" s="4" t="s">
        <v>206</v>
      </c>
      <c r="E26" s="1" t="s">
        <v>219</v>
      </c>
      <c r="F26" s="4" t="s">
        <v>61</v>
      </c>
      <c r="G26" s="4" t="s">
        <v>49</v>
      </c>
      <c r="H26" s="187" t="s">
        <v>94</v>
      </c>
      <c r="I26" s="21" t="s">
        <v>52</v>
      </c>
      <c r="J26" s="21"/>
      <c r="K26" s="21"/>
      <c r="L26" s="30">
        <v>46174</v>
      </c>
      <c r="M26" s="178">
        <v>46280</v>
      </c>
    </row>
    <row r="27" spans="1:13">
      <c r="A27" s="28" t="str">
        <f>"1."&amp;D27&amp;"."&amp;B27</f>
        <v>1.Các biểu mẫu.025</v>
      </c>
      <c r="B27" s="108" t="s">
        <v>429</v>
      </c>
      <c r="C27" s="109" t="s">
        <v>8</v>
      </c>
      <c r="D27" s="4" t="s">
        <v>206</v>
      </c>
      <c r="E27" s="1" t="s">
        <v>224</v>
      </c>
      <c r="F27" s="4" t="s">
        <v>61</v>
      </c>
      <c r="G27" s="4" t="s">
        <v>49</v>
      </c>
      <c r="H27" s="187" t="s">
        <v>94</v>
      </c>
      <c r="I27" s="21" t="s">
        <v>52</v>
      </c>
      <c r="J27" s="21"/>
      <c r="K27" s="21"/>
      <c r="L27" s="30">
        <v>46174</v>
      </c>
      <c r="M27" s="178">
        <v>46280</v>
      </c>
    </row>
    <row r="28" spans="1:13">
      <c r="A28" s="28" t="str">
        <f>"1."&amp;D28&amp;"."&amp;B28</f>
        <v>1.Các biểu mẫu.026</v>
      </c>
      <c r="B28" s="108" t="s">
        <v>430</v>
      </c>
      <c r="C28" s="109" t="s">
        <v>8</v>
      </c>
      <c r="D28" s="4" t="s">
        <v>206</v>
      </c>
      <c r="E28" s="1" t="s">
        <v>229</v>
      </c>
      <c r="F28" s="4" t="s">
        <v>61</v>
      </c>
      <c r="G28" s="4" t="s">
        <v>49</v>
      </c>
      <c r="H28" s="187" t="s">
        <v>94</v>
      </c>
      <c r="I28" s="21" t="s">
        <v>52</v>
      </c>
      <c r="J28" s="21"/>
      <c r="K28" s="21"/>
      <c r="L28" s="30">
        <v>46174</v>
      </c>
      <c r="M28" s="178">
        <v>46280</v>
      </c>
    </row>
    <row r="29" spans="1:13">
      <c r="A29" s="28" t="str">
        <f>"1."&amp;D29&amp;"."&amp;B29</f>
        <v>1.Các biểu mẫu.027</v>
      </c>
      <c r="B29" s="108" t="s">
        <v>431</v>
      </c>
      <c r="C29" s="109" t="s">
        <v>8</v>
      </c>
      <c r="D29" s="4" t="s">
        <v>206</v>
      </c>
      <c r="E29" s="1" t="s">
        <v>233</v>
      </c>
      <c r="F29" s="4" t="s">
        <v>61</v>
      </c>
      <c r="G29" s="4" t="s">
        <v>49</v>
      </c>
      <c r="H29" s="187" t="s">
        <v>94</v>
      </c>
      <c r="I29" s="21" t="s">
        <v>52</v>
      </c>
      <c r="J29" s="21"/>
      <c r="K29" s="21"/>
      <c r="L29" s="30">
        <v>46174</v>
      </c>
      <c r="M29" s="178">
        <v>46280</v>
      </c>
    </row>
    <row r="30" spans="1:13">
      <c r="A30" s="28" t="str">
        <f>"1."&amp;D30&amp;"."&amp;B30</f>
        <v>1.Các biểu mẫu.028</v>
      </c>
      <c r="B30" s="108" t="s">
        <v>432</v>
      </c>
      <c r="C30" s="109" t="s">
        <v>8</v>
      </c>
      <c r="D30" s="4" t="s">
        <v>206</v>
      </c>
      <c r="E30" s="1" t="s">
        <v>236</v>
      </c>
      <c r="F30" s="4" t="s">
        <v>61</v>
      </c>
      <c r="G30" s="4" t="s">
        <v>49</v>
      </c>
      <c r="H30" s="187" t="s">
        <v>94</v>
      </c>
      <c r="I30" s="21" t="s">
        <v>52</v>
      </c>
      <c r="J30" s="21"/>
      <c r="K30" s="21"/>
      <c r="L30" s="30">
        <v>46174</v>
      </c>
      <c r="M30" s="178">
        <v>46280</v>
      </c>
    </row>
    <row r="31" spans="1:13">
      <c r="A31" s="28" t="str">
        <f>"1."&amp;D31&amp;"."&amp;B31</f>
        <v>1.Các biểu mẫu.029</v>
      </c>
      <c r="B31" s="108" t="s">
        <v>433</v>
      </c>
      <c r="C31" s="109" t="s">
        <v>8</v>
      </c>
      <c r="D31" s="4" t="s">
        <v>206</v>
      </c>
      <c r="E31" s="1" t="s">
        <v>240</v>
      </c>
      <c r="F31" s="4" t="s">
        <v>61</v>
      </c>
      <c r="G31" s="4" t="s">
        <v>49</v>
      </c>
      <c r="H31" s="187" t="s">
        <v>94</v>
      </c>
      <c r="I31" s="21" t="s">
        <v>52</v>
      </c>
      <c r="J31" s="21"/>
      <c r="K31" s="21"/>
      <c r="L31" s="30">
        <v>46174</v>
      </c>
      <c r="M31" s="178">
        <v>46280</v>
      </c>
    </row>
    <row r="32" spans="1:13">
      <c r="A32" s="28" t="str">
        <f>"1."&amp;D32&amp;"."&amp;B32</f>
        <v>1.Các biểu mẫu.030</v>
      </c>
      <c r="B32" s="108" t="s">
        <v>434</v>
      </c>
      <c r="C32" s="109" t="s">
        <v>8</v>
      </c>
      <c r="D32" s="4" t="s">
        <v>206</v>
      </c>
      <c r="E32" s="1" t="s">
        <v>243</v>
      </c>
      <c r="F32" s="4" t="s">
        <v>61</v>
      </c>
      <c r="G32" s="4" t="s">
        <v>49</v>
      </c>
      <c r="H32" s="187" t="s">
        <v>94</v>
      </c>
      <c r="I32" s="21" t="s">
        <v>52</v>
      </c>
      <c r="J32" s="21"/>
      <c r="K32" s="21"/>
      <c r="L32" s="30">
        <v>46174</v>
      </c>
      <c r="M32" s="178">
        <v>46280</v>
      </c>
    </row>
    <row r="33" spans="1:13">
      <c r="A33" s="28" t="str">
        <f>"1."&amp;D33&amp;"."&amp;B33</f>
        <v>1.Các biểu mẫu.031</v>
      </c>
      <c r="B33" s="108" t="s">
        <v>435</v>
      </c>
      <c r="C33" s="109" t="s">
        <v>8</v>
      </c>
      <c r="D33" s="4" t="s">
        <v>206</v>
      </c>
      <c r="E33" s="1" t="s">
        <v>246</v>
      </c>
      <c r="F33" s="4" t="s">
        <v>61</v>
      </c>
      <c r="G33" s="4" t="s">
        <v>49</v>
      </c>
      <c r="H33" s="187" t="s">
        <v>94</v>
      </c>
      <c r="I33" s="21" t="s">
        <v>52</v>
      </c>
      <c r="J33" s="21"/>
      <c r="K33" s="21"/>
      <c r="L33" s="30">
        <v>46174</v>
      </c>
      <c r="M33" s="178">
        <v>46280</v>
      </c>
    </row>
    <row r="34" spans="1:13">
      <c r="A34" s="28" t="str">
        <f>"1."&amp;D34&amp;"."&amp;B34</f>
        <v>1.Quy định công tác thanh tra BIM.032</v>
      </c>
      <c r="B34" s="108" t="s">
        <v>436</v>
      </c>
      <c r="C34" s="109" t="s">
        <v>8</v>
      </c>
      <c r="D34" s="1" t="s">
        <v>249</v>
      </c>
      <c r="E34" s="1" t="s">
        <v>249</v>
      </c>
      <c r="F34" s="4" t="s">
        <v>61</v>
      </c>
      <c r="G34" s="4" t="s">
        <v>49</v>
      </c>
      <c r="H34" s="187" t="s">
        <v>94</v>
      </c>
      <c r="I34" s="21" t="s">
        <v>52</v>
      </c>
      <c r="J34" s="21"/>
      <c r="K34" s="21"/>
      <c r="L34" s="30">
        <v>46174</v>
      </c>
      <c r="M34" s="178">
        <v>46280</v>
      </c>
    </row>
  </sheetData>
  <phoneticPr fontId="4" type="noConversion"/>
  <dataValidations count="1">
    <dataValidation allowBlank="1" showInputMessage="1" showErrorMessage="1" sqref="A1:XFD2" xr:uid="{E1F16FF5-A98F-4E09-86C4-B6D5B61961A9}"/>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FF65D692-719E-43E4-8A53-04BDBEC76B6E}">
          <x14:formula1>
            <xm:f>Data!$Y$4:$Y$33</xm:f>
          </x14:formula1>
          <xm:sqref>I3:K1048576</xm:sqref>
        </x14:dataValidation>
        <x14:dataValidation type="list" allowBlank="1" showInputMessage="1" showErrorMessage="1" xr:uid="{89857CC0-B209-411B-97A8-BE0231E3D8D4}">
          <x14:formula1>
            <xm:f>Data!$X$4:$X$33</xm:f>
          </x14:formula1>
          <xm:sqref>H3:H1048576</xm:sqref>
        </x14:dataValidation>
        <x14:dataValidation type="list" allowBlank="1" showInputMessage="1" showErrorMessage="1" xr:uid="{9DEEDCD9-FC3D-4C6B-A081-BD4C57BC133D}">
          <x14:formula1>
            <xm:f>Data!$D$4:$D$33</xm:f>
          </x14:formula1>
          <xm:sqref>G3:G1048576</xm:sqref>
        </x14:dataValidation>
        <x14:dataValidation type="list" allowBlank="1" showInputMessage="1" showErrorMessage="1" xr:uid="{3460024B-D370-48D6-B910-E2873E5997C0}">
          <x14:formula1>
            <xm:f>Data!$V$4:$V$33</xm:f>
          </x14:formula1>
          <xm:sqref>F3:F1048576</xm:sqref>
        </x14:dataValidation>
        <x14:dataValidation type="list" allowBlank="1" showInputMessage="1" showErrorMessage="1" xr:uid="{DD62B310-3198-4404-90A6-23BA442CE08E}">
          <x14:formula1>
            <xm:f>Data!$B$2</xm:f>
          </x14:formula1>
          <xm:sqref>C3:C1048576</xm:sqref>
        </x14:dataValidation>
        <x14:dataValidation type="list" allowBlank="1" showInputMessage="1" showErrorMessage="1" xr:uid="{9AF0FBE3-F2CF-4D7D-9B30-46EB1269E1F0}">
          <x14:formula1>
            <xm:f>Data!$B$4:$B$53</xm:f>
          </x14:formula1>
          <xm:sqref>D3:D1048576</xm:sqref>
        </x14:dataValidation>
        <x14:dataValidation type="list" allowBlank="1" showInputMessage="1" showErrorMessage="1" xr:uid="{F5473384-376D-4E5B-B9F7-65B464A6C1E0}">
          <x14:formula1>
            <xm:f>Data!$C$4:$C$53</xm:f>
          </x14:formula1>
          <xm:sqref>E3:E1048576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DFBC2-B9AA-4E22-BC49-316D9DB2746E}">
  <dimension ref="A1:M25"/>
  <sheetViews>
    <sheetView zoomScale="130" zoomScaleNormal="130" workbookViewId="0">
      <pane ySplit="2" topLeftCell="A3" activePane="bottomLeft" state="frozen"/>
      <selection pane="bottomLeft" activeCell="C22" sqref="C22"/>
    </sheetView>
  </sheetViews>
  <sheetFormatPr defaultRowHeight="15"/>
  <cols>
    <col min="1" max="1" width="28.7109375" style="12" customWidth="1"/>
    <col min="2" max="2" width="17.7109375" style="12" customWidth="1"/>
    <col min="3" max="3" width="15.42578125" style="12" customWidth="1"/>
    <col min="4" max="4" width="25.7109375" style="12" customWidth="1"/>
    <col min="5" max="5" width="29.28515625" style="12" customWidth="1"/>
    <col min="6" max="6" width="11.42578125" style="12" customWidth="1"/>
    <col min="7" max="7" width="31.7109375" style="12" customWidth="1"/>
    <col min="8" max="8" width="15.28515625" style="12" bestFit="1" customWidth="1"/>
    <col min="9" max="11" width="21.5703125" style="12" customWidth="1"/>
    <col min="12" max="13" width="11.140625" style="77" customWidth="1"/>
    <col min="14" max="16384" width="9.140625" style="12"/>
  </cols>
  <sheetData>
    <row r="1" spans="1:13">
      <c r="A1" s="78"/>
      <c r="B1" s="78"/>
      <c r="C1" s="78" t="s">
        <v>437</v>
      </c>
      <c r="D1" s="78"/>
      <c r="E1" s="78"/>
      <c r="F1" s="78"/>
      <c r="G1" s="78"/>
      <c r="H1" s="78"/>
      <c r="I1" s="78"/>
      <c r="J1" s="78"/>
      <c r="K1" s="78"/>
      <c r="L1" s="80"/>
      <c r="M1" s="80"/>
    </row>
    <row r="2" spans="1:13">
      <c r="A2" s="22" t="s">
        <v>396</v>
      </c>
      <c r="B2" s="22" t="s">
        <v>397</v>
      </c>
      <c r="C2" s="22" t="s">
        <v>398</v>
      </c>
      <c r="D2" s="22" t="s">
        <v>40</v>
      </c>
      <c r="E2" s="22" t="s">
        <v>41</v>
      </c>
      <c r="F2" s="22" t="s">
        <v>399</v>
      </c>
      <c r="G2" s="22" t="s">
        <v>42</v>
      </c>
      <c r="H2" s="39" t="s">
        <v>46</v>
      </c>
      <c r="I2" s="17" t="s">
        <v>400</v>
      </c>
      <c r="J2" s="17" t="s">
        <v>401</v>
      </c>
      <c r="K2" s="17" t="s">
        <v>402</v>
      </c>
      <c r="L2" s="94" t="s">
        <v>403</v>
      </c>
      <c r="M2" s="45" t="s">
        <v>404</v>
      </c>
    </row>
    <row r="3" spans="1:13">
      <c r="A3" s="28" t="str">
        <f>"2."&amp;D3&amp;"."&amp;B3</f>
        <v>2.Công cụ tạo lập mô hình.001</v>
      </c>
      <c r="B3" s="28" t="str">
        <f>TEXT(COUNTIFS($C$3:C3,C3,$D$3:D3,D3),"000")</f>
        <v>001</v>
      </c>
      <c r="C3" s="100" t="s">
        <v>9</v>
      </c>
      <c r="D3" s="28" t="s">
        <v>107</v>
      </c>
      <c r="E3" s="28" t="s">
        <v>108</v>
      </c>
      <c r="F3" s="28" t="s">
        <v>123</v>
      </c>
      <c r="G3" s="28" t="s">
        <v>69</v>
      </c>
      <c r="H3" s="28" t="s">
        <v>63</v>
      </c>
      <c r="I3" s="28" t="s">
        <v>32</v>
      </c>
      <c r="J3" s="28" t="s">
        <v>34</v>
      </c>
      <c r="K3" s="28"/>
      <c r="L3" s="70">
        <v>46185</v>
      </c>
      <c r="M3" s="70">
        <v>46192</v>
      </c>
    </row>
    <row r="4" spans="1:13">
      <c r="A4" s="28" t="str">
        <f>"2."&amp;D4&amp;"."&amp;B4</f>
        <v>2.Công cụ tạo lập mô hình.002</v>
      </c>
      <c r="B4" s="28" t="str">
        <f>TEXT(COUNTIFS($C$3:C4,C4,$D$3:D4,D4),"000")</f>
        <v>002</v>
      </c>
      <c r="C4" s="100" t="s">
        <v>9</v>
      </c>
      <c r="D4" s="28" t="s">
        <v>107</v>
      </c>
      <c r="E4" s="28" t="s">
        <v>108</v>
      </c>
      <c r="F4" s="28" t="s">
        <v>123</v>
      </c>
      <c r="G4" s="28" t="s">
        <v>84</v>
      </c>
      <c r="H4" s="28" t="s">
        <v>63</v>
      </c>
      <c r="I4" s="28" t="s">
        <v>32</v>
      </c>
      <c r="J4" s="28" t="s">
        <v>34</v>
      </c>
      <c r="K4" s="28"/>
      <c r="L4" s="70"/>
      <c r="M4" s="70"/>
    </row>
    <row r="5" spans="1:13">
      <c r="A5" s="28" t="str">
        <f>"2."&amp;D5&amp;"."&amp;B5</f>
        <v>2.Công cụ tạo lập mô hình.003</v>
      </c>
      <c r="B5" s="28" t="str">
        <f>TEXT(COUNTIFS($C$3:C5,C5,$D$3:D5,D5),"000")</f>
        <v>003</v>
      </c>
      <c r="C5" s="100" t="s">
        <v>9</v>
      </c>
      <c r="D5" s="28" t="s">
        <v>107</v>
      </c>
      <c r="E5" s="28" t="s">
        <v>108</v>
      </c>
      <c r="F5" s="28" t="s">
        <v>123</v>
      </c>
      <c r="G5" s="28" t="s">
        <v>97</v>
      </c>
      <c r="H5" s="28" t="s">
        <v>63</v>
      </c>
      <c r="I5" s="28" t="s">
        <v>32</v>
      </c>
      <c r="J5" s="28" t="s">
        <v>34</v>
      </c>
      <c r="K5" s="28"/>
      <c r="L5" s="70"/>
      <c r="M5" s="70"/>
    </row>
    <row r="6" spans="1:13">
      <c r="A6" s="28" t="str">
        <f>"2."&amp;D6&amp;"."&amp;B6</f>
        <v>2.Công cụ tạo lập mô hình.004</v>
      </c>
      <c r="B6" s="28" t="str">
        <f>TEXT(COUNTIFS($C$3:C6,C6,$D$3:D6,D6),"000")</f>
        <v>004</v>
      </c>
      <c r="C6" s="100" t="s">
        <v>9</v>
      </c>
      <c r="D6" s="28" t="s">
        <v>107</v>
      </c>
      <c r="E6" s="28" t="s">
        <v>108</v>
      </c>
      <c r="F6" s="28" t="s">
        <v>123</v>
      </c>
      <c r="G6" s="28" t="s">
        <v>109</v>
      </c>
      <c r="H6" s="28" t="s">
        <v>63</v>
      </c>
      <c r="I6" s="28" t="s">
        <v>32</v>
      </c>
      <c r="J6" s="28" t="s">
        <v>34</v>
      </c>
      <c r="K6" s="28"/>
      <c r="L6" s="70"/>
      <c r="M6" s="70"/>
    </row>
    <row r="7" spans="1:13">
      <c r="A7" s="28" t="str">
        <f>"2."&amp;D7&amp;"."&amp;B7</f>
        <v>2.Công cụ tạo lập mô hình.005</v>
      </c>
      <c r="B7" s="28" t="str">
        <f>TEXT(COUNTIFS($C$3:C7,C7,$D$3:D7,D7),"000")</f>
        <v>005</v>
      </c>
      <c r="C7" s="100" t="s">
        <v>9</v>
      </c>
      <c r="D7" s="28" t="s">
        <v>107</v>
      </c>
      <c r="E7" s="28" t="s">
        <v>108</v>
      </c>
      <c r="F7" s="28" t="s">
        <v>92</v>
      </c>
      <c r="G7" s="28" t="s">
        <v>97</v>
      </c>
      <c r="H7" s="28" t="s">
        <v>63</v>
      </c>
      <c r="I7" s="28" t="s">
        <v>180</v>
      </c>
      <c r="J7" s="28"/>
      <c r="K7" s="28"/>
      <c r="L7" s="70">
        <v>46178</v>
      </c>
      <c r="M7" s="70">
        <v>46185</v>
      </c>
    </row>
    <row r="8" spans="1:13">
      <c r="A8" s="28" t="str">
        <f>"2."&amp;D8&amp;"."&amp;B8</f>
        <v>2.Công cụ tạo lập mô hình.006</v>
      </c>
      <c r="B8" s="28" t="str">
        <f>TEXT(COUNTIFS($C$3:C8,C8,$D$3:D8,D8),"000")</f>
        <v>006</v>
      </c>
      <c r="C8" s="100" t="s">
        <v>9</v>
      </c>
      <c r="D8" s="28" t="s">
        <v>107</v>
      </c>
      <c r="E8" s="28" t="s">
        <v>108</v>
      </c>
      <c r="F8" s="28" t="s">
        <v>92</v>
      </c>
      <c r="G8" s="28" t="s">
        <v>51</v>
      </c>
      <c r="H8" s="28" t="s">
        <v>63</v>
      </c>
      <c r="I8" s="28" t="s">
        <v>180</v>
      </c>
      <c r="J8" s="28"/>
      <c r="K8" s="28"/>
      <c r="L8" s="70">
        <v>46188</v>
      </c>
      <c r="M8" s="70">
        <v>46188</v>
      </c>
    </row>
    <row r="9" spans="1:13">
      <c r="A9" s="28" t="str">
        <f>"2."&amp;D9&amp;"."&amp;B9</f>
        <v>2.Công cụ tạo lập mô hình.007</v>
      </c>
      <c r="B9" s="28" t="str">
        <f>TEXT(COUNTIFS($C$3:C9,C9,$D$3:D9,D9),"000")</f>
        <v>007</v>
      </c>
      <c r="C9" s="100" t="s">
        <v>9</v>
      </c>
      <c r="D9" s="28" t="s">
        <v>107</v>
      </c>
      <c r="E9" s="28" t="s">
        <v>108</v>
      </c>
      <c r="F9" s="28" t="s">
        <v>92</v>
      </c>
      <c r="G9" s="28" t="s">
        <v>109</v>
      </c>
      <c r="H9" s="28" t="s">
        <v>63</v>
      </c>
      <c r="I9" s="28" t="s">
        <v>160</v>
      </c>
      <c r="J9" s="28"/>
      <c r="K9" s="28"/>
      <c r="L9" s="70">
        <v>46188</v>
      </c>
      <c r="M9" s="70">
        <v>46188</v>
      </c>
    </row>
    <row r="10" spans="1:13">
      <c r="A10" s="28" t="str">
        <f>"2."&amp;D10&amp;"."&amp;B10</f>
        <v>2.CDE.001</v>
      </c>
      <c r="B10" s="28" t="str">
        <f>TEXT(COUNTIFS($C$3:C10,C10,$D$3:D10,D10),"000")</f>
        <v>001</v>
      </c>
      <c r="C10" s="100" t="s">
        <v>9</v>
      </c>
      <c r="D10" s="28" t="s">
        <v>67</v>
      </c>
      <c r="E10" s="28" t="s">
        <v>68</v>
      </c>
      <c r="F10" s="28" t="s">
        <v>61</v>
      </c>
      <c r="G10" s="28" t="s">
        <v>51</v>
      </c>
      <c r="H10" s="28" t="s">
        <v>81</v>
      </c>
      <c r="I10" s="28" t="s">
        <v>31</v>
      </c>
      <c r="J10" s="28" t="s">
        <v>160</v>
      </c>
      <c r="K10" s="28"/>
      <c r="L10" s="70">
        <v>46174</v>
      </c>
      <c r="M10" s="145">
        <v>46179</v>
      </c>
    </row>
    <row r="11" spans="1:13">
      <c r="A11" s="28" t="str">
        <f>"2."&amp;D11&amp;"."&amp;B11</f>
        <v>2.CDE.002</v>
      </c>
      <c r="B11" s="28" t="str">
        <f>TEXT(COUNTIFS($C$3:C11,C11,$D$3:D11,D11),"000")</f>
        <v>002</v>
      </c>
      <c r="C11" s="100" t="s">
        <v>9</v>
      </c>
      <c r="D11" s="28" t="s">
        <v>67</v>
      </c>
      <c r="E11" s="28" t="s">
        <v>83</v>
      </c>
      <c r="F11" s="28" t="s">
        <v>61</v>
      </c>
      <c r="G11" s="28" t="s">
        <v>51</v>
      </c>
      <c r="H11" s="28" t="s">
        <v>81</v>
      </c>
      <c r="I11" s="28" t="s">
        <v>31</v>
      </c>
      <c r="J11" s="28" t="s">
        <v>160</v>
      </c>
      <c r="K11" s="28"/>
      <c r="L11" s="70">
        <v>46174</v>
      </c>
      <c r="M11" s="145">
        <v>46179</v>
      </c>
    </row>
    <row r="12" spans="1:13">
      <c r="A12" s="28" t="str">
        <f>"2."&amp;D12&amp;"."&amp;B12</f>
        <v>2.Công cụ tạo lập mô hình.008</v>
      </c>
      <c r="B12" s="28" t="str">
        <f>TEXT(COUNTIFS($C$3:C12,C12,$D$3:D12,D12),"000")</f>
        <v>008</v>
      </c>
      <c r="C12" s="100" t="s">
        <v>9</v>
      </c>
      <c r="D12" s="28" t="s">
        <v>107</v>
      </c>
      <c r="E12" s="28" t="s">
        <v>108</v>
      </c>
      <c r="F12" s="28" t="s">
        <v>61</v>
      </c>
      <c r="G12" s="28" t="s">
        <v>51</v>
      </c>
      <c r="H12" s="28" t="s">
        <v>81</v>
      </c>
      <c r="I12" s="28" t="s">
        <v>31</v>
      </c>
      <c r="J12" s="28" t="s">
        <v>160</v>
      </c>
      <c r="K12" s="28"/>
      <c r="L12" s="70">
        <v>46174</v>
      </c>
      <c r="M12" s="145">
        <v>46179</v>
      </c>
    </row>
    <row r="13" spans="1:13">
      <c r="A13" s="28" t="str">
        <f>"2."&amp;D13&amp;"."&amp;B13</f>
        <v>2.Công cụ tạo lập mô hình.009</v>
      </c>
      <c r="B13" s="28" t="str">
        <f>TEXT(COUNTIFS($C$3:C13,C13,$D$3:D13,D13),"000")</f>
        <v>009</v>
      </c>
      <c r="C13" s="100" t="s">
        <v>9</v>
      </c>
      <c r="D13" s="28" t="s">
        <v>107</v>
      </c>
      <c r="E13" s="28" t="s">
        <v>118</v>
      </c>
      <c r="F13" s="28" t="s">
        <v>61</v>
      </c>
      <c r="G13" s="28" t="s">
        <v>51</v>
      </c>
      <c r="H13" s="28" t="s">
        <v>81</v>
      </c>
      <c r="I13" s="28" t="s">
        <v>31</v>
      </c>
      <c r="J13" s="28"/>
      <c r="K13" s="28"/>
      <c r="L13" s="70">
        <v>46174</v>
      </c>
      <c r="M13" s="145">
        <v>46179</v>
      </c>
    </row>
    <row r="14" spans="1:13">
      <c r="A14" s="28" t="str">
        <f>"2."&amp;D14&amp;"."&amp;B14</f>
        <v>2.Công cụ phối hợp mô hình.001</v>
      </c>
      <c r="B14" s="28" t="str">
        <f>TEXT(COUNTIFS($C$3:C14,C14,$D$3:D14,D14),"000")</f>
        <v>001</v>
      </c>
      <c r="C14" s="100" t="s">
        <v>9</v>
      </c>
      <c r="D14" s="28" t="s">
        <v>135</v>
      </c>
      <c r="E14" s="28" t="s">
        <v>136</v>
      </c>
      <c r="F14" s="28" t="s">
        <v>61</v>
      </c>
      <c r="G14" s="28" t="s">
        <v>51</v>
      </c>
      <c r="H14" s="28" t="s">
        <v>81</v>
      </c>
      <c r="I14" s="28" t="s">
        <v>31</v>
      </c>
      <c r="J14" s="28" t="s">
        <v>160</v>
      </c>
      <c r="K14" s="28"/>
      <c r="L14" s="70">
        <v>46174</v>
      </c>
      <c r="M14" s="145">
        <v>46179</v>
      </c>
    </row>
    <row r="15" spans="1:13">
      <c r="A15" s="28" t="str">
        <f>"2."&amp;D15&amp;"."&amp;B15</f>
        <v>2.BIM Tools.001</v>
      </c>
      <c r="B15" s="28" t="str">
        <f>TEXT(COUNTIFS($C$3:C15,C15,$D$3:D15,D15),"000")</f>
        <v>001</v>
      </c>
      <c r="C15" s="100" t="s">
        <v>9</v>
      </c>
      <c r="D15" s="28" t="s">
        <v>143</v>
      </c>
      <c r="E15" s="28" t="s">
        <v>143</v>
      </c>
      <c r="F15" s="28" t="s">
        <v>61</v>
      </c>
      <c r="G15" s="28" t="s">
        <v>51</v>
      </c>
      <c r="H15" s="28" t="s">
        <v>81</v>
      </c>
      <c r="I15" s="28" t="s">
        <v>228</v>
      </c>
      <c r="J15" s="28" t="s">
        <v>170</v>
      </c>
      <c r="K15" s="28"/>
      <c r="L15" s="70">
        <v>46174</v>
      </c>
      <c r="M15" s="145">
        <v>46179</v>
      </c>
    </row>
    <row r="16" spans="1:13">
      <c r="A16" s="28"/>
      <c r="B16" s="108"/>
      <c r="C16" s="100"/>
      <c r="D16" s="28"/>
      <c r="E16" s="28"/>
      <c r="F16" s="28"/>
      <c r="G16" s="28"/>
      <c r="H16" s="28"/>
      <c r="I16" s="28"/>
      <c r="J16" s="28"/>
      <c r="K16" s="28"/>
      <c r="L16" s="70"/>
      <c r="M16" s="70"/>
    </row>
    <row r="17" spans="1:13">
      <c r="A17" s="28"/>
      <c r="B17" s="108"/>
      <c r="C17" s="100"/>
      <c r="D17" s="28"/>
      <c r="E17" s="28"/>
      <c r="F17" s="28"/>
      <c r="G17" s="28"/>
      <c r="H17" s="28"/>
      <c r="I17" s="28"/>
      <c r="J17" s="28"/>
      <c r="K17" s="28"/>
      <c r="L17" s="70"/>
      <c r="M17" s="70"/>
    </row>
    <row r="18" spans="1:13">
      <c r="A18" s="28"/>
      <c r="B18" s="108"/>
      <c r="C18" s="100"/>
      <c r="D18" s="28"/>
      <c r="E18" s="28"/>
      <c r="F18" s="28"/>
      <c r="G18" s="28"/>
      <c r="H18" s="28"/>
      <c r="I18" s="28"/>
      <c r="J18" s="28"/>
      <c r="K18" s="28"/>
      <c r="L18" s="70"/>
      <c r="M18" s="70"/>
    </row>
    <row r="19" spans="1:13">
      <c r="A19" s="28"/>
      <c r="B19" s="108"/>
      <c r="C19" s="100"/>
      <c r="D19" s="28"/>
      <c r="E19" s="28"/>
      <c r="F19" s="28"/>
      <c r="G19" s="28"/>
      <c r="H19" s="28"/>
      <c r="I19" s="28"/>
      <c r="J19" s="28"/>
      <c r="K19" s="28"/>
      <c r="L19" s="70"/>
      <c r="M19" s="70"/>
    </row>
    <row r="20" spans="1:13">
      <c r="A20" s="28"/>
      <c r="B20" s="108"/>
      <c r="C20" s="100"/>
      <c r="D20" s="28"/>
      <c r="E20" s="28"/>
      <c r="F20" s="28"/>
      <c r="G20" s="28"/>
      <c r="H20" s="28"/>
      <c r="I20" s="28"/>
      <c r="J20" s="28"/>
      <c r="K20" s="28"/>
      <c r="L20" s="70"/>
      <c r="M20" s="70"/>
    </row>
    <row r="21" spans="1:13">
      <c r="A21" s="28"/>
      <c r="B21" s="108"/>
      <c r="C21" s="100"/>
      <c r="D21" s="28"/>
      <c r="E21" s="28"/>
      <c r="F21" s="28"/>
      <c r="G21" s="28"/>
      <c r="H21" s="28"/>
      <c r="I21" s="28"/>
      <c r="J21" s="28"/>
      <c r="K21" s="28"/>
      <c r="L21" s="70"/>
      <c r="M21" s="70"/>
    </row>
    <row r="22" spans="1:13">
      <c r="A22" s="28"/>
      <c r="B22" s="108"/>
      <c r="C22" s="100"/>
      <c r="D22" s="28"/>
      <c r="E22" s="28"/>
      <c r="F22" s="28"/>
      <c r="G22" s="28"/>
      <c r="H22" s="28"/>
      <c r="I22" s="28"/>
      <c r="J22" s="28"/>
      <c r="K22" s="28"/>
      <c r="L22" s="70"/>
      <c r="M22" s="70"/>
    </row>
    <row r="23" spans="1:13">
      <c r="A23" s="28"/>
      <c r="B23" s="108"/>
      <c r="C23" s="100"/>
      <c r="D23" s="28"/>
      <c r="E23" s="28"/>
      <c r="F23" s="28"/>
      <c r="G23" s="28"/>
      <c r="H23" s="28"/>
      <c r="I23" s="28"/>
      <c r="J23" s="28"/>
      <c r="K23" s="28"/>
      <c r="L23" s="70"/>
      <c r="M23" s="70"/>
    </row>
    <row r="24" spans="1:13">
      <c r="A24" s="28"/>
      <c r="B24" s="108"/>
      <c r="C24" s="100"/>
      <c r="D24" s="28"/>
      <c r="E24" s="28"/>
      <c r="F24" s="28"/>
      <c r="G24" s="28"/>
      <c r="H24" s="28"/>
      <c r="I24" s="28"/>
      <c r="J24" s="28"/>
      <c r="K24" s="28"/>
      <c r="L24" s="70"/>
      <c r="M24" s="70"/>
    </row>
    <row r="25" spans="1:13">
      <c r="A25" s="28"/>
      <c r="B25" s="108"/>
      <c r="C25" s="100"/>
      <c r="D25" s="28"/>
      <c r="E25" s="28"/>
      <c r="F25" s="28"/>
      <c r="G25" s="28"/>
      <c r="H25" s="28"/>
      <c r="I25" s="28"/>
      <c r="J25" s="28"/>
      <c r="K25" s="28"/>
      <c r="L25" s="70"/>
      <c r="M25" s="70"/>
    </row>
  </sheetData>
  <dataValidations count="1">
    <dataValidation allowBlank="1" showInputMessage="1" showErrorMessage="1" sqref="A1:XFD2" xr:uid="{F55D223E-58D3-41D2-A3A5-3DCBD4353505}"/>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C586D730-BB5E-472A-8B54-F9DB0F72377A}">
          <x14:formula1>
            <xm:f>Data!$Y$4:$Y$33</xm:f>
          </x14:formula1>
          <xm:sqref>K38 I3:K37 I38 I39:K1048576 G41</xm:sqref>
        </x14:dataValidation>
        <x14:dataValidation type="list" allowBlank="1" showInputMessage="1" showErrorMessage="1" xr:uid="{44EA38EC-F2A9-4238-89E9-53DDFB2811A6}">
          <x14:formula1>
            <xm:f>Data!$X$4:$X$33</xm:f>
          </x14:formula1>
          <xm:sqref>H3:H1048576</xm:sqref>
        </x14:dataValidation>
        <x14:dataValidation type="list" allowBlank="1" showInputMessage="1" showErrorMessage="1" xr:uid="{B60DF5B6-9C72-4900-9CEB-09BE82305A88}">
          <x14:formula1>
            <xm:f>Data!$V$4:$V$33</xm:f>
          </x14:formula1>
          <xm:sqref>F3:F1048576</xm:sqref>
        </x14:dataValidation>
        <x14:dataValidation type="list" allowBlank="1" showInputMessage="1" showErrorMessage="1" xr:uid="{4E7E7A3C-1854-4F86-A7A1-8734E2C70462}">
          <x14:formula1>
            <xm:f>Data!$G$4:$G$33</xm:f>
          </x14:formula1>
          <xm:sqref>G3:G1048576</xm:sqref>
        </x14:dataValidation>
        <x14:dataValidation type="list" allowBlank="1" showInputMessage="1" showErrorMessage="1" xr:uid="{DB8F737A-E824-40DB-9FD6-A9A975844799}">
          <x14:formula1>
            <xm:f>Data!$F$4:$F$53</xm:f>
          </x14:formula1>
          <xm:sqref>E3:E1048576</xm:sqref>
        </x14:dataValidation>
        <x14:dataValidation type="list" allowBlank="1" showInputMessage="1" showErrorMessage="1" xr:uid="{553DAF51-299F-4359-AD81-2F3490D6FD32}">
          <x14:formula1>
            <xm:f>Data!$E$2</xm:f>
          </x14:formula1>
          <xm:sqref>C3:C1048576</xm:sqref>
        </x14:dataValidation>
        <x14:dataValidation type="list" allowBlank="1" showInputMessage="1" showErrorMessage="1" xr:uid="{CA62998E-00AE-4D5C-B10A-299A2B32FFDC}">
          <x14:formula1>
            <xm:f>Data!$E$4:$E$53</xm:f>
          </x14:formula1>
          <xm:sqref>D3:D1048576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FA83D-2A5A-4C49-B9F4-6D373B3FB318}">
  <dimension ref="A1:O504"/>
  <sheetViews>
    <sheetView zoomScale="115" zoomScaleNormal="115" workbookViewId="0">
      <pane ySplit="2" topLeftCell="A110" activePane="bottomLeft" state="frozen"/>
      <selection pane="bottomLeft" activeCell="A142" sqref="A142:N142"/>
    </sheetView>
  </sheetViews>
  <sheetFormatPr defaultRowHeight="15"/>
  <cols>
    <col min="1" max="1" width="25.7109375" style="12" customWidth="1"/>
    <col min="2" max="2" width="9.140625" style="12" bestFit="1" customWidth="1"/>
    <col min="3" max="3" width="13.28515625" style="12" bestFit="1" customWidth="1"/>
    <col min="4" max="4" width="19.7109375" style="12" bestFit="1" customWidth="1"/>
    <col min="5" max="5" width="48.85546875" style="12" bestFit="1" customWidth="1"/>
    <col min="6" max="6" width="14" style="89" customWidth="1"/>
    <col min="7" max="7" width="34.28515625" style="12" bestFit="1" customWidth="1"/>
    <col min="8" max="8" width="18.7109375" style="12" customWidth="1"/>
    <col min="9" max="9" width="11.7109375" style="12" customWidth="1"/>
    <col min="10" max="12" width="21.28515625" style="76" customWidth="1"/>
    <col min="13" max="14" width="11.5703125" style="77" customWidth="1"/>
    <col min="15" max="15" width="54.140625" style="223" customWidth="1"/>
    <col min="16" max="16384" width="9.140625" style="12"/>
  </cols>
  <sheetData>
    <row r="1" spans="1:15">
      <c r="A1" s="78"/>
      <c r="B1" s="78"/>
      <c r="C1" s="78" t="s">
        <v>438</v>
      </c>
      <c r="D1" s="78"/>
      <c r="E1" s="78"/>
      <c r="F1" s="104"/>
      <c r="G1" s="78"/>
      <c r="H1" s="78"/>
      <c r="I1" s="78"/>
      <c r="J1" s="79"/>
      <c r="K1" s="79"/>
      <c r="L1" s="79"/>
      <c r="M1" s="80"/>
      <c r="N1" s="80"/>
    </row>
    <row r="2" spans="1:15" s="2" customFormat="1" ht="30.75">
      <c r="A2" s="22" t="s">
        <v>396</v>
      </c>
      <c r="B2" s="22" t="s">
        <v>397</v>
      </c>
      <c r="C2" s="22" t="s">
        <v>398</v>
      </c>
      <c r="D2" s="3" t="s">
        <v>40</v>
      </c>
      <c r="E2" s="3" t="s">
        <v>41</v>
      </c>
      <c r="F2" s="3" t="s">
        <v>399</v>
      </c>
      <c r="G2" s="3" t="s">
        <v>42</v>
      </c>
      <c r="H2" s="3" t="s">
        <v>45</v>
      </c>
      <c r="I2" s="159" t="s">
        <v>439</v>
      </c>
      <c r="J2" s="160" t="s">
        <v>440</v>
      </c>
      <c r="K2" s="160" t="s">
        <v>441</v>
      </c>
      <c r="L2" s="160" t="s">
        <v>442</v>
      </c>
      <c r="M2" s="43" t="s">
        <v>403</v>
      </c>
      <c r="N2" s="43" t="s">
        <v>404</v>
      </c>
      <c r="O2" s="224" t="s">
        <v>443</v>
      </c>
    </row>
    <row r="3" spans="1:15">
      <c r="A3" s="28" t="str">
        <f>"3."&amp;D3&amp;"."&amp;B3</f>
        <v>3.B.DSHNQN.DMF.101</v>
      </c>
      <c r="B3" s="28" t="str">
        <f>TEXT(
COUNTIFS($C$3:C3,C3,$D$3:D3,D3,$F$3:F3,F3)
+
IF(F3="KT",100,
IF(F3="KC",200,
IF(F3="BIM MEPF",300,0))),"000")</f>
        <v>101</v>
      </c>
      <c r="C3" s="28" t="s">
        <v>10</v>
      </c>
      <c r="D3" s="81" t="s">
        <v>70</v>
      </c>
      <c r="E3" s="82" t="s">
        <v>71</v>
      </c>
      <c r="F3" s="87" t="s">
        <v>123</v>
      </c>
      <c r="G3" s="6" t="s">
        <v>128</v>
      </c>
      <c r="H3" s="6" t="s">
        <v>116</v>
      </c>
      <c r="I3" s="82" t="s">
        <v>63</v>
      </c>
      <c r="J3" s="20" t="s">
        <v>34</v>
      </c>
      <c r="K3" s="20" t="s">
        <v>35</v>
      </c>
      <c r="L3" s="20"/>
      <c r="M3" s="220"/>
      <c r="N3" s="220"/>
      <c r="O3" s="223" t="str">
        <f>J3&amp;", "&amp;K3&amp;", "&amp;L3</f>
        <v xml:space="preserve">Trần Văn Diện, Đặng Minh Quang, </v>
      </c>
    </row>
    <row r="4" spans="1:15">
      <c r="A4" s="28" t="str">
        <f>"3."&amp;D4&amp;"."&amp;B4</f>
        <v>3.B.DSHNQN.DMF.201</v>
      </c>
      <c r="B4" s="28" t="str">
        <f>TEXT(COUNTIFS($C$3:C4,C4,$D$3:D4,D4,$F$3:F4,F4)+IF(F4="KT",100,IF(F4="KC",200,IF(F4="DI",300,IF(F4="DN",400,IF(F4="NU",500,IF(F4="DH",600,IF(F4="PC",700,0))))))),"000")</f>
        <v>201</v>
      </c>
      <c r="C4" s="28" t="s">
        <v>10</v>
      </c>
      <c r="D4" s="81" t="s">
        <v>70</v>
      </c>
      <c r="E4" s="82" t="s">
        <v>71</v>
      </c>
      <c r="F4" s="87" t="s">
        <v>132</v>
      </c>
      <c r="G4" s="6" t="s">
        <v>128</v>
      </c>
      <c r="H4" s="6" t="s">
        <v>116</v>
      </c>
      <c r="I4" s="82" t="s">
        <v>63</v>
      </c>
      <c r="J4" s="60" t="s">
        <v>34</v>
      </c>
      <c r="K4" s="60" t="s">
        <v>35</v>
      </c>
      <c r="L4" s="60"/>
      <c r="M4" s="220"/>
      <c r="N4" s="220"/>
      <c r="O4" s="223" t="str">
        <f t="shared" ref="O4:O67" si="0">J4&amp;", "&amp;K4&amp;", "&amp;L4</f>
        <v xml:space="preserve">Trần Văn Diện, Đặng Minh Quang, </v>
      </c>
    </row>
    <row r="5" spans="1:15">
      <c r="A5" s="28" t="str">
        <f>"3."&amp;D5&amp;"."&amp;B5</f>
        <v>3.B.DSHNQN.DMF.301</v>
      </c>
      <c r="B5" s="28" t="str">
        <f>TEXT(COUNTIFS($C$3:C5,C5,$D$3:D5,D5,$F$3:F5,F5)+IF(F5="KT",100,IF(F5="KC",200,IF(F5="DI",300,IF(F5="DN",400,IF(F5="NU",500,IF(F5="DH",600,IF(F5="PC",700,0))))))),"000")</f>
        <v>301</v>
      </c>
      <c r="C5" s="28" t="s">
        <v>10</v>
      </c>
      <c r="D5" s="81" t="s">
        <v>70</v>
      </c>
      <c r="E5" s="82" t="s">
        <v>71</v>
      </c>
      <c r="F5" s="87" t="s">
        <v>140</v>
      </c>
      <c r="G5" s="6" t="s">
        <v>23</v>
      </c>
      <c r="H5" s="6" t="s">
        <v>116</v>
      </c>
      <c r="I5" s="82" t="s">
        <v>63</v>
      </c>
      <c r="J5" s="60" t="s">
        <v>175</v>
      </c>
      <c r="K5" s="60"/>
      <c r="L5" s="60"/>
      <c r="M5" s="96">
        <v>46198</v>
      </c>
      <c r="N5" s="96">
        <v>46230</v>
      </c>
      <c r="O5" s="223" t="str">
        <f t="shared" si="0"/>
        <v xml:space="preserve">Đặng Thái Sơn, , </v>
      </c>
    </row>
    <row r="6" spans="1:15">
      <c r="A6" s="28" t="str">
        <f>"3."&amp;D6&amp;"."&amp;B6</f>
        <v>3.B.DSHNQN.DMF.401</v>
      </c>
      <c r="B6" s="28" t="str">
        <f>TEXT(COUNTIFS($C$3:C6,C6,$D$3:D6,D6,$F$3:F6,F6)+IF(F6="KT",100,IF(F6="KC",200,IF(F6="DI",300,IF(F6="DN",400,IF(F6="NU",500,IF(F6="DH",600,IF(F6="PC",700,0))))))),"000")</f>
        <v>401</v>
      </c>
      <c r="C6" s="28" t="s">
        <v>10</v>
      </c>
      <c r="D6" s="81" t="s">
        <v>70</v>
      </c>
      <c r="E6" s="82" t="s">
        <v>71</v>
      </c>
      <c r="F6" s="87" t="s">
        <v>148</v>
      </c>
      <c r="G6" s="6" t="s">
        <v>23</v>
      </c>
      <c r="H6" s="6" t="s">
        <v>116</v>
      </c>
      <c r="I6" s="82" t="s">
        <v>63</v>
      </c>
      <c r="J6" s="60" t="s">
        <v>175</v>
      </c>
      <c r="K6" s="60"/>
      <c r="L6" s="60"/>
      <c r="M6" s="96">
        <v>46198</v>
      </c>
      <c r="N6" s="96">
        <v>46230</v>
      </c>
      <c r="O6" s="223" t="str">
        <f t="shared" si="0"/>
        <v xml:space="preserve">Đặng Thái Sơn, , </v>
      </c>
    </row>
    <row r="7" spans="1:15">
      <c r="A7" s="28" t="str">
        <f>"3."&amp;D7&amp;"."&amp;B7</f>
        <v>3.B.DSHNQN.DMF.501</v>
      </c>
      <c r="B7" s="28" t="str">
        <f>TEXT(COUNTIFS($C$3:C7,C7,$D$3:D7,D7,$F$3:F7,F7)+IF(F7="KT",100,IF(F7="KC",200,IF(F7="DI",300,IF(F7="DN",400,IF(F7="NU",500,IF(F7="DH",600,IF(F7="PC",700,0))))))),"000")</f>
        <v>501</v>
      </c>
      <c r="C7" s="28" t="s">
        <v>10</v>
      </c>
      <c r="D7" s="81" t="s">
        <v>70</v>
      </c>
      <c r="E7" s="82" t="s">
        <v>71</v>
      </c>
      <c r="F7" s="87" t="s">
        <v>154</v>
      </c>
      <c r="G7" s="6" t="s">
        <v>23</v>
      </c>
      <c r="H7" s="6" t="s">
        <v>116</v>
      </c>
      <c r="I7" s="82" t="s">
        <v>63</v>
      </c>
      <c r="J7" s="60" t="s">
        <v>175</v>
      </c>
      <c r="K7" s="60"/>
      <c r="L7" s="60"/>
      <c r="M7" s="96">
        <v>46198</v>
      </c>
      <c r="N7" s="96">
        <v>46230</v>
      </c>
      <c r="O7" s="223" t="str">
        <f t="shared" si="0"/>
        <v xml:space="preserve">Đặng Thái Sơn, , </v>
      </c>
    </row>
    <row r="8" spans="1:15">
      <c r="A8" s="28" t="str">
        <f>"3."&amp;D8&amp;"."&amp;B8</f>
        <v>3.B.DSHNQN.DMF.601</v>
      </c>
      <c r="B8" s="28" t="str">
        <f>TEXT(COUNTIFS($C$3:C8,C8,$D$3:D8,D8,$F$3:F8,F8)+IF(F8="KT",100,IF(F8="KC",200,IF(F8="DI",300,IF(F8="DN",400,IF(F8="NU",500,IF(F8="DH",600,IF(F8="PC",700,0))))))),"000")</f>
        <v>601</v>
      </c>
      <c r="C8" s="28" t="s">
        <v>10</v>
      </c>
      <c r="D8" s="81" t="s">
        <v>70</v>
      </c>
      <c r="E8" s="82" t="s">
        <v>71</v>
      </c>
      <c r="F8" s="87" t="s">
        <v>164</v>
      </c>
      <c r="G8" s="6" t="s">
        <v>23</v>
      </c>
      <c r="H8" s="6" t="s">
        <v>116</v>
      </c>
      <c r="I8" s="82" t="s">
        <v>63</v>
      </c>
      <c r="J8" s="60" t="s">
        <v>175</v>
      </c>
      <c r="K8" s="60"/>
      <c r="L8" s="60"/>
      <c r="M8" s="96">
        <v>46198</v>
      </c>
      <c r="N8" s="96">
        <v>46230</v>
      </c>
      <c r="O8" s="223" t="str">
        <f t="shared" si="0"/>
        <v xml:space="preserve">Đặng Thái Sơn, , </v>
      </c>
    </row>
    <row r="9" spans="1:15">
      <c r="A9" s="28" t="str">
        <f>"3."&amp;D9&amp;"."&amp;B9</f>
        <v>3.B.DSHNQN.DMF.701</v>
      </c>
      <c r="B9" s="28" t="str">
        <f>TEXT(COUNTIFS($C$3:C9,C9,$D$3:D9,D9,$F$3:F9,F9)+IF(F9="KT",100,IF(F9="KC",200,IF(F9="DI",300,IF(F9="DN",400,IF(F9="NU",500,IF(F9="DH",600,IF(F9="PC",700,0))))))),"000")</f>
        <v>701</v>
      </c>
      <c r="C9" s="28" t="s">
        <v>10</v>
      </c>
      <c r="D9" s="81" t="s">
        <v>70</v>
      </c>
      <c r="E9" s="82" t="s">
        <v>71</v>
      </c>
      <c r="F9" s="87" t="s">
        <v>159</v>
      </c>
      <c r="G9" s="6" t="s">
        <v>23</v>
      </c>
      <c r="H9" s="6" t="s">
        <v>116</v>
      </c>
      <c r="I9" s="82" t="s">
        <v>63</v>
      </c>
      <c r="J9" s="60" t="s">
        <v>175</v>
      </c>
      <c r="K9" s="60"/>
      <c r="L9" s="60"/>
      <c r="M9" s="96">
        <v>46198</v>
      </c>
      <c r="N9" s="96">
        <v>46230</v>
      </c>
      <c r="O9" s="223" t="str">
        <f t="shared" si="0"/>
        <v xml:space="preserve">Đặng Thái Sơn, , </v>
      </c>
    </row>
    <row r="10" spans="1:15">
      <c r="A10" s="28" t="str">
        <f>"3."&amp;D10&amp;"."&amp;B10</f>
        <v>3.B.DSHNQN.DMF.102</v>
      </c>
      <c r="B10" s="28" t="str">
        <f>TEXT(COUNTIFS($C$3:C10,C10,$D$3:D10,D10,$F$3:F10,F10)+IF(F10="KT",100,IF(F10="KC",200,IF(F10="DI",300,IF(F10="DN",400,IF(F10="NU",500,IF(F10="DH",600,IF(F10="PC",700,0))))))),"000")</f>
        <v>102</v>
      </c>
      <c r="C10" s="28" t="s">
        <v>10</v>
      </c>
      <c r="D10" s="81" t="s">
        <v>70</v>
      </c>
      <c r="E10" s="82" t="s">
        <v>85</v>
      </c>
      <c r="F10" s="87" t="s">
        <v>123</v>
      </c>
      <c r="G10" s="6" t="s">
        <v>128</v>
      </c>
      <c r="H10" s="6" t="s">
        <v>116</v>
      </c>
      <c r="I10" s="82" t="s">
        <v>63</v>
      </c>
      <c r="J10" s="60" t="s">
        <v>36</v>
      </c>
      <c r="K10" s="60" t="s">
        <v>34</v>
      </c>
      <c r="L10" s="60"/>
      <c r="M10" s="96">
        <v>46114</v>
      </c>
      <c r="N10" s="96">
        <v>46248</v>
      </c>
      <c r="O10" s="223" t="str">
        <f t="shared" si="0"/>
        <v xml:space="preserve">Trần Văn Toản, Trần Văn Diện, </v>
      </c>
    </row>
    <row r="11" spans="1:15">
      <c r="A11" s="28" t="str">
        <f>"3."&amp;D11&amp;"."&amp;B11</f>
        <v>3.B.DSHNQN.DMF.202</v>
      </c>
      <c r="B11" s="28" t="str">
        <f>TEXT(COUNTIFS($C$3:C11,C11,$D$3:D11,D11,$F$3:F11,F11)+IF(F11="KT",100,IF(F11="KC",200,IF(F11="DI",300,IF(F11="DN",400,IF(F11="NU",500,IF(F11="DH",600,IF(F11="PC",700,0))))))),"000")</f>
        <v>202</v>
      </c>
      <c r="C11" s="28" t="s">
        <v>10</v>
      </c>
      <c r="D11" s="100" t="s">
        <v>70</v>
      </c>
      <c r="E11" s="82" t="s">
        <v>85</v>
      </c>
      <c r="F11" s="87" t="s">
        <v>132</v>
      </c>
      <c r="G11" s="6" t="s">
        <v>128</v>
      </c>
      <c r="H11" s="6" t="s">
        <v>116</v>
      </c>
      <c r="I11" s="82" t="s">
        <v>63</v>
      </c>
      <c r="J11" s="60" t="s">
        <v>36</v>
      </c>
      <c r="K11" s="60" t="s">
        <v>34</v>
      </c>
      <c r="L11" s="60"/>
      <c r="M11" s="96">
        <v>46154</v>
      </c>
      <c r="N11" s="96">
        <v>46330</v>
      </c>
      <c r="O11" s="223" t="str">
        <f t="shared" si="0"/>
        <v xml:space="preserve">Trần Văn Toản, Trần Văn Diện, </v>
      </c>
    </row>
    <row r="12" spans="1:15">
      <c r="A12" s="28" t="str">
        <f>"3."&amp;D12&amp;"."&amp;B12</f>
        <v>3.B.DSHNQN.DMF.302</v>
      </c>
      <c r="B12" s="28" t="str">
        <f>TEXT(COUNTIFS($C$3:C12,C12,$D$3:D12,D12,$F$3:F12,F12)+IF(F12="KT",100,IF(F12="KC",200,IF(F12="DI",300,IF(F12="DN",400,IF(F12="NU",500,IF(F12="DH",600,IF(F12="PC",700,0))))))),"000")</f>
        <v>302</v>
      </c>
      <c r="C12" s="28" t="s">
        <v>10</v>
      </c>
      <c r="D12" s="100" t="s">
        <v>70</v>
      </c>
      <c r="E12" s="82" t="s">
        <v>85</v>
      </c>
      <c r="F12" s="87" t="s">
        <v>140</v>
      </c>
      <c r="G12" s="6" t="s">
        <v>23</v>
      </c>
      <c r="H12" s="6" t="s">
        <v>116</v>
      </c>
      <c r="I12" s="82" t="s">
        <v>63</v>
      </c>
      <c r="J12" s="60" t="s">
        <v>180</v>
      </c>
      <c r="K12" s="60"/>
      <c r="L12" s="60"/>
      <c r="M12" s="96">
        <v>46186</v>
      </c>
      <c r="N12" s="96">
        <v>46230</v>
      </c>
      <c r="O12" s="223" t="str">
        <f t="shared" si="0"/>
        <v xml:space="preserve">Phan Trường Giang, , </v>
      </c>
    </row>
    <row r="13" spans="1:15">
      <c r="A13" s="28" t="str">
        <f>"3."&amp;D13&amp;"."&amp;B13</f>
        <v>3.B.DSHNQN.DMF.402</v>
      </c>
      <c r="B13" s="28" t="str">
        <f>TEXT(COUNTIFS($C$3:C13,C13,$D$3:D13,D13,$F$3:F13,F13)+IF(F13="KT",100,IF(F13="KC",200,IF(F13="DI",300,IF(F13="DN",400,IF(F13="NU",500,IF(F13="DH",600,IF(F13="PC",700,0))))))),"000")</f>
        <v>402</v>
      </c>
      <c r="C13" s="28" t="s">
        <v>10</v>
      </c>
      <c r="D13" s="100" t="s">
        <v>70</v>
      </c>
      <c r="E13" s="82" t="s">
        <v>85</v>
      </c>
      <c r="F13" s="87" t="s">
        <v>148</v>
      </c>
      <c r="G13" s="6" t="s">
        <v>23</v>
      </c>
      <c r="H13" s="6" t="s">
        <v>116</v>
      </c>
      <c r="I13" s="82" t="s">
        <v>63</v>
      </c>
      <c r="J13" s="60" t="s">
        <v>180</v>
      </c>
      <c r="K13" s="60"/>
      <c r="L13" s="60"/>
      <c r="M13" s="96">
        <v>46186</v>
      </c>
      <c r="N13" s="96">
        <v>46230</v>
      </c>
      <c r="O13" s="223" t="str">
        <f t="shared" si="0"/>
        <v xml:space="preserve">Phan Trường Giang, , </v>
      </c>
    </row>
    <row r="14" spans="1:15">
      <c r="A14" s="28" t="str">
        <f t="shared" ref="A14:A16" si="1">"3."&amp;D14&amp;"."&amp;B14</f>
        <v>3.B.DSHNQN.DMF.502</v>
      </c>
      <c r="B14" s="28" t="str">
        <f>TEXT(COUNTIFS($C$3:C14,C14,$D$3:D14,D14,$F$3:F14,F14)+IF(F14="KT",100,IF(F14="KC",200,IF(F14="DI",300,IF(F14="DN",400,IF(F14="NU",500,IF(F14="DH",600,IF(F14="PC",700,0))))))),"000")</f>
        <v>502</v>
      </c>
      <c r="C14" s="28" t="s">
        <v>10</v>
      </c>
      <c r="D14" s="100" t="s">
        <v>70</v>
      </c>
      <c r="E14" s="82" t="s">
        <v>85</v>
      </c>
      <c r="F14" s="87" t="s">
        <v>154</v>
      </c>
      <c r="G14" s="6" t="s">
        <v>23</v>
      </c>
      <c r="H14" s="6" t="s">
        <v>116</v>
      </c>
      <c r="I14" s="82" t="s">
        <v>63</v>
      </c>
      <c r="J14" s="60" t="s">
        <v>180</v>
      </c>
      <c r="K14" s="60"/>
      <c r="L14" s="60"/>
      <c r="M14" s="96">
        <v>46186</v>
      </c>
      <c r="N14" s="96">
        <v>46230</v>
      </c>
      <c r="O14" s="223" t="str">
        <f t="shared" si="0"/>
        <v xml:space="preserve">Phan Trường Giang, , </v>
      </c>
    </row>
    <row r="15" spans="1:15">
      <c r="A15" s="28" t="str">
        <f t="shared" si="1"/>
        <v>3.B.DSHNQN.DMF.602</v>
      </c>
      <c r="B15" s="28" t="str">
        <f>TEXT(COUNTIFS($C$3:C15,C15,$D$3:D15,D15,$F$3:F15,F15)+IF(F15="KT",100,IF(F15="KC",200,IF(F15="DI",300,IF(F15="DN",400,IF(F15="NU",500,IF(F15="DH",600,IF(F15="PC",700,0))))))),"000")</f>
        <v>602</v>
      </c>
      <c r="C15" s="28" t="s">
        <v>10</v>
      </c>
      <c r="D15" s="100" t="s">
        <v>70</v>
      </c>
      <c r="E15" s="82" t="s">
        <v>85</v>
      </c>
      <c r="F15" s="87" t="s">
        <v>164</v>
      </c>
      <c r="G15" s="6" t="s">
        <v>23</v>
      </c>
      <c r="H15" s="6" t="s">
        <v>116</v>
      </c>
      <c r="I15" s="82" t="s">
        <v>63</v>
      </c>
      <c r="J15" s="60" t="s">
        <v>180</v>
      </c>
      <c r="K15" s="60"/>
      <c r="L15" s="60"/>
      <c r="M15" s="96">
        <v>46186</v>
      </c>
      <c r="N15" s="96">
        <v>46230</v>
      </c>
      <c r="O15" s="223" t="str">
        <f t="shared" si="0"/>
        <v xml:space="preserve">Phan Trường Giang, , </v>
      </c>
    </row>
    <row r="16" spans="1:15">
      <c r="A16" s="28" t="str">
        <f t="shared" si="1"/>
        <v>3.B.DSHNQN.DMF.702</v>
      </c>
      <c r="B16" s="28" t="str">
        <f>TEXT(COUNTIFS($C$3:C16,C16,$D$3:D16,D16,$F$3:F16,F16)+IF(F16="KT",100,IF(F16="KC",200,IF(F16="DI",300,IF(F16="DN",400,IF(F16="NU",500,IF(F16="DH",600,IF(F16="PC",700,0))))))),"000")</f>
        <v>702</v>
      </c>
      <c r="C16" s="28" t="s">
        <v>10</v>
      </c>
      <c r="D16" s="100" t="s">
        <v>70</v>
      </c>
      <c r="E16" s="82" t="s">
        <v>85</v>
      </c>
      <c r="F16" s="87" t="s">
        <v>159</v>
      </c>
      <c r="G16" s="6" t="s">
        <v>23</v>
      </c>
      <c r="H16" s="6" t="s">
        <v>116</v>
      </c>
      <c r="I16" s="82" t="s">
        <v>63</v>
      </c>
      <c r="J16" s="60" t="s">
        <v>180</v>
      </c>
      <c r="K16" s="60"/>
      <c r="L16" s="60"/>
      <c r="M16" s="96">
        <v>46186</v>
      </c>
      <c r="N16" s="96">
        <v>46230</v>
      </c>
      <c r="O16" s="223" t="str">
        <f t="shared" si="0"/>
        <v xml:space="preserve">Phan Trường Giang, , </v>
      </c>
    </row>
    <row r="17" spans="1:15">
      <c r="A17" s="28" t="str">
        <f>"3."&amp;D17&amp;"."&amp;B17</f>
        <v>3.B.DSHNQN.STA.101</v>
      </c>
      <c r="B17" s="28" t="str">
        <f>TEXT(COUNTIFS($C$3:C17,C17,$D$3:D17,D17,$F$3:F17,F17)+IF(F17="KT",100,IF(F17="KC",200,IF(F17="DI",300,IF(F17="DN",400,IF(F17="NU",500,IF(F17="DH",600,IF(F17="PC",700,0))))))),"000")</f>
        <v>101</v>
      </c>
      <c r="C17" s="28" t="s">
        <v>10</v>
      </c>
      <c r="D17" s="100" t="s">
        <v>98</v>
      </c>
      <c r="E17" s="82" t="s">
        <v>99</v>
      </c>
      <c r="F17" s="87" t="s">
        <v>123</v>
      </c>
      <c r="G17" s="6" t="s">
        <v>128</v>
      </c>
      <c r="H17" s="6" t="s">
        <v>116</v>
      </c>
      <c r="I17" s="82" t="s">
        <v>63</v>
      </c>
      <c r="J17" s="60" t="s">
        <v>34</v>
      </c>
      <c r="K17" s="60"/>
      <c r="L17" s="60"/>
      <c r="M17" s="96">
        <v>46170</v>
      </c>
      <c r="N17" s="96">
        <v>46230</v>
      </c>
      <c r="O17" s="223" t="str">
        <f t="shared" si="0"/>
        <v xml:space="preserve">Trần Văn Diện, , </v>
      </c>
    </row>
    <row r="18" spans="1:15">
      <c r="A18" s="28" t="str">
        <f>"3."&amp;D18&amp;"."&amp;B18</f>
        <v>3.B.DSHNQN.STA.301</v>
      </c>
      <c r="B18" s="28" t="str">
        <f>TEXT(COUNTIFS($C$3:C18,C18,$D$3:D18,D18,$F$3:F18,F18)+IF(F18="KT",100,IF(F18="KC",200,IF(F18="DI",300,IF(F18="DN",400,IF(F18="NU",500,IF(F18="DH",600,IF(F18="PC",700,0))))))),"000")</f>
        <v>301</v>
      </c>
      <c r="C18" s="28" t="s">
        <v>10</v>
      </c>
      <c r="D18" s="139" t="s">
        <v>98</v>
      </c>
      <c r="E18" s="54" t="s">
        <v>99</v>
      </c>
      <c r="F18" s="87" t="s">
        <v>140</v>
      </c>
      <c r="G18" s="6" t="s">
        <v>23</v>
      </c>
      <c r="H18" s="6" t="s">
        <v>116</v>
      </c>
      <c r="I18" s="82" t="s">
        <v>63</v>
      </c>
      <c r="J18" s="20" t="s">
        <v>165</v>
      </c>
      <c r="K18" s="20"/>
      <c r="L18" s="20"/>
      <c r="M18" s="96">
        <v>46170</v>
      </c>
      <c r="N18" s="96">
        <v>46230</v>
      </c>
      <c r="O18" s="223" t="str">
        <f t="shared" si="0"/>
        <v xml:space="preserve">Nguyễn Văn Hải, , </v>
      </c>
    </row>
    <row r="19" spans="1:15">
      <c r="A19" s="28" t="str">
        <f>"3."&amp;D19&amp;"."&amp;B19</f>
        <v>3.B.DSHNQN.STA.401</v>
      </c>
      <c r="B19" s="28" t="str">
        <f>TEXT(COUNTIFS($C$3:C19,C19,$D$3:D19,D19,$F$3:F19,F19)+IF(F19="KT",100,IF(F19="KC",200,IF(F19="DI",300,IF(F19="DN",400,IF(F19="NU",500,IF(F19="DH",600,IF(F19="PC",700,0))))))),"000")</f>
        <v>401</v>
      </c>
      <c r="C19" s="28" t="s">
        <v>10</v>
      </c>
      <c r="D19" s="139" t="s">
        <v>98</v>
      </c>
      <c r="E19" s="54" t="s">
        <v>99</v>
      </c>
      <c r="F19" s="87" t="s">
        <v>148</v>
      </c>
      <c r="G19" s="6" t="s">
        <v>23</v>
      </c>
      <c r="H19" s="6" t="s">
        <v>116</v>
      </c>
      <c r="I19" s="82" t="s">
        <v>63</v>
      </c>
      <c r="J19" s="20" t="s">
        <v>165</v>
      </c>
      <c r="K19" s="20"/>
      <c r="L19" s="20"/>
      <c r="M19" s="96">
        <v>46170</v>
      </c>
      <c r="N19" s="96">
        <v>46230</v>
      </c>
      <c r="O19" s="223" t="str">
        <f t="shared" si="0"/>
        <v xml:space="preserve">Nguyễn Văn Hải, , </v>
      </c>
    </row>
    <row r="20" spans="1:15">
      <c r="A20" s="28" t="str">
        <f>"3."&amp;D20&amp;"."&amp;B20</f>
        <v>3.B.DSHNQN.STA.501</v>
      </c>
      <c r="B20" s="28" t="str">
        <f>TEXT(COUNTIFS($C$3:C20,C20,$D$3:D20,D20,$F$3:F20,F20)+IF(F20="KT",100,IF(F20="KC",200,IF(F20="DI",300,IF(F20="DN",400,IF(F20="NU",500,IF(F20="DH",600,IF(F20="PC",700,0))))))),"000")</f>
        <v>501</v>
      </c>
      <c r="C20" s="28" t="s">
        <v>10</v>
      </c>
      <c r="D20" s="139" t="s">
        <v>98</v>
      </c>
      <c r="E20" s="54" t="s">
        <v>99</v>
      </c>
      <c r="F20" s="87" t="s">
        <v>154</v>
      </c>
      <c r="G20" s="6" t="s">
        <v>23</v>
      </c>
      <c r="H20" s="6" t="s">
        <v>116</v>
      </c>
      <c r="I20" s="82" t="s">
        <v>63</v>
      </c>
      <c r="J20" s="20" t="s">
        <v>165</v>
      </c>
      <c r="K20" s="20"/>
      <c r="L20" s="20"/>
      <c r="M20" s="96">
        <v>46170</v>
      </c>
      <c r="N20" s="96">
        <v>46230</v>
      </c>
      <c r="O20" s="223" t="str">
        <f t="shared" si="0"/>
        <v xml:space="preserve">Nguyễn Văn Hải, , </v>
      </c>
    </row>
    <row r="21" spans="1:15">
      <c r="A21" s="28" t="str">
        <f>"3."&amp;D21&amp;"."&amp;B21</f>
        <v>3.B.DSHNQN.STA.601</v>
      </c>
      <c r="B21" s="28" t="str">
        <f>TEXT(COUNTIFS($C$3:C21,C21,$D$3:D21,D21,$F$3:F21,F21)+IF(F21="KT",100,IF(F21="KC",200,IF(F21="DI",300,IF(F21="DN",400,IF(F21="NU",500,IF(F21="DH",600,IF(F21="PC",700,0))))))),"000")</f>
        <v>601</v>
      </c>
      <c r="C21" s="28" t="s">
        <v>10</v>
      </c>
      <c r="D21" s="139" t="s">
        <v>98</v>
      </c>
      <c r="E21" s="54" t="s">
        <v>99</v>
      </c>
      <c r="F21" s="87" t="s">
        <v>164</v>
      </c>
      <c r="G21" s="6" t="s">
        <v>23</v>
      </c>
      <c r="H21" s="6" t="s">
        <v>116</v>
      </c>
      <c r="I21" s="82" t="s">
        <v>63</v>
      </c>
      <c r="J21" s="20" t="s">
        <v>165</v>
      </c>
      <c r="K21" s="20"/>
      <c r="L21" s="20"/>
      <c r="M21" s="96">
        <v>46170</v>
      </c>
      <c r="N21" s="96">
        <v>46230</v>
      </c>
      <c r="O21" s="223" t="str">
        <f t="shared" si="0"/>
        <v xml:space="preserve">Nguyễn Văn Hải, , </v>
      </c>
    </row>
    <row r="22" spans="1:15">
      <c r="A22" s="28" t="str">
        <f>"3."&amp;D22&amp;"."&amp;B22</f>
        <v>3.B.DSHNQN.STA.701</v>
      </c>
      <c r="B22" s="28" t="str">
        <f>TEXT(COUNTIFS($C$3:C22,C22,$D$3:D22,D22,$F$3:F22,F22)+IF(F22="KT",100,IF(F22="KC",200,IF(F22="DI",300,IF(F22="DN",400,IF(F22="NU",500,IF(F22="DH",600,IF(F22="PC",700,0))))))),"000")</f>
        <v>701</v>
      </c>
      <c r="C22" s="28" t="s">
        <v>10</v>
      </c>
      <c r="D22" s="139" t="s">
        <v>98</v>
      </c>
      <c r="E22" s="54" t="s">
        <v>99</v>
      </c>
      <c r="F22" s="87" t="s">
        <v>159</v>
      </c>
      <c r="G22" s="6" t="s">
        <v>23</v>
      </c>
      <c r="H22" s="6" t="s">
        <v>116</v>
      </c>
      <c r="I22" s="82" t="s">
        <v>63</v>
      </c>
      <c r="J22" s="20" t="s">
        <v>165</v>
      </c>
      <c r="K22" s="20"/>
      <c r="L22" s="20"/>
      <c r="M22" s="96">
        <v>46170</v>
      </c>
      <c r="N22" s="96">
        <v>46230</v>
      </c>
      <c r="O22" s="223" t="str">
        <f t="shared" si="0"/>
        <v xml:space="preserve">Nguyễn Văn Hải, , </v>
      </c>
    </row>
    <row r="23" spans="1:15">
      <c r="A23" s="28" t="str">
        <f>"3."&amp;D23&amp;"."&amp;B23</f>
        <v>3.B.DSHNQN.STA.102</v>
      </c>
      <c r="B23" s="28" t="str">
        <f>TEXT(COUNTIFS($C$3:C23,C23,$D$3:D23,D23,$F$3:F23,F23)+IF(F23="KT",100,IF(F23="KC",200,IF(F23="DI",300,IF(F23="DN",400,IF(F23="NU",500,IF(F23="DH",600,IF(F23="PC",700,0))))))),"000")</f>
        <v>102</v>
      </c>
      <c r="C23" s="28" t="s">
        <v>10</v>
      </c>
      <c r="D23" s="139" t="s">
        <v>98</v>
      </c>
      <c r="E23" s="28" t="s">
        <v>110</v>
      </c>
      <c r="F23" s="87" t="s">
        <v>123</v>
      </c>
      <c r="G23" s="6" t="s">
        <v>128</v>
      </c>
      <c r="H23" s="6" t="s">
        <v>116</v>
      </c>
      <c r="I23" s="82" t="s">
        <v>63</v>
      </c>
      <c r="J23" s="60" t="s">
        <v>34</v>
      </c>
      <c r="K23" s="60"/>
      <c r="L23" s="60"/>
      <c r="M23" s="96">
        <v>46212</v>
      </c>
      <c r="N23" s="96">
        <v>46230</v>
      </c>
      <c r="O23" s="223" t="str">
        <f t="shared" si="0"/>
        <v xml:space="preserve">Trần Văn Diện, , </v>
      </c>
    </row>
    <row r="24" spans="1:15">
      <c r="A24" s="28" t="str">
        <f>"3."&amp;D24&amp;"."&amp;B24</f>
        <v>3.B.DSHNQN.STA.302</v>
      </c>
      <c r="B24" s="28" t="str">
        <f>TEXT(COUNTIFS($C$3:C24,C24,$D$3:D24,D24,$F$3:F24,F24)+IF(F24="KT",100,IF(F24="KC",200,IF(F24="DI",300,IF(F24="DN",400,IF(F24="NU",500,IF(F24="DH",600,IF(F24="PC",700,0))))))),"000")</f>
        <v>302</v>
      </c>
      <c r="C24" s="28" t="s">
        <v>10</v>
      </c>
      <c r="D24" s="81" t="s">
        <v>98</v>
      </c>
      <c r="E24" s="82" t="s">
        <v>110</v>
      </c>
      <c r="F24" s="87" t="s">
        <v>140</v>
      </c>
      <c r="G24" s="6" t="s">
        <v>23</v>
      </c>
      <c r="H24" s="6" t="s">
        <v>116</v>
      </c>
      <c r="I24" s="82" t="s">
        <v>63</v>
      </c>
      <c r="J24" s="60" t="s">
        <v>165</v>
      </c>
      <c r="K24" s="60"/>
      <c r="L24" s="60"/>
      <c r="M24" s="96">
        <v>46212</v>
      </c>
      <c r="N24" s="96">
        <v>46230</v>
      </c>
      <c r="O24" s="223" t="str">
        <f t="shared" si="0"/>
        <v xml:space="preserve">Nguyễn Văn Hải, , </v>
      </c>
    </row>
    <row r="25" spans="1:15">
      <c r="A25" s="28" t="str">
        <f>"3."&amp;D25&amp;"."&amp;B25</f>
        <v>3.B.DSHNQN.STA.402</v>
      </c>
      <c r="B25" s="28" t="str">
        <f>TEXT(COUNTIFS($C$3:C25,C25,$D$3:D25,D25,$F$3:F25,F25)+IF(F25="KT",100,IF(F25="KC",200,IF(F25="DI",300,IF(F25="DN",400,IF(F25="NU",500,IF(F25="DH",600,IF(F25="PC",700,0))))))),"000")</f>
        <v>402</v>
      </c>
      <c r="C25" s="28" t="s">
        <v>10</v>
      </c>
      <c r="D25" s="81" t="s">
        <v>98</v>
      </c>
      <c r="E25" s="82" t="s">
        <v>110</v>
      </c>
      <c r="F25" s="87" t="s">
        <v>148</v>
      </c>
      <c r="G25" s="6" t="s">
        <v>23</v>
      </c>
      <c r="H25" s="6" t="s">
        <v>116</v>
      </c>
      <c r="I25" s="82" t="s">
        <v>63</v>
      </c>
      <c r="J25" s="60" t="s">
        <v>165</v>
      </c>
      <c r="K25" s="60"/>
      <c r="L25" s="60"/>
      <c r="M25" s="96">
        <v>46212</v>
      </c>
      <c r="N25" s="96">
        <v>46230</v>
      </c>
      <c r="O25" s="223" t="str">
        <f t="shared" si="0"/>
        <v xml:space="preserve">Nguyễn Văn Hải, , </v>
      </c>
    </row>
    <row r="26" spans="1:15">
      <c r="A26" s="28" t="str">
        <f>"3."&amp;D26&amp;"."&amp;B26</f>
        <v>3.B.DSHNQN.STA.502</v>
      </c>
      <c r="B26" s="28" t="str">
        <f>TEXT(COUNTIFS($C$3:C26,C26,$D$3:D26,D26,$F$3:F26,F26)+IF(F26="KT",100,IF(F26="KC",200,IF(F26="DI",300,IF(F26="DN",400,IF(F26="NU",500,IF(F26="DH",600,IF(F26="PC",700,0))))))),"000")</f>
        <v>502</v>
      </c>
      <c r="C26" s="28" t="s">
        <v>10</v>
      </c>
      <c r="D26" s="81" t="s">
        <v>98</v>
      </c>
      <c r="E26" s="82" t="s">
        <v>110</v>
      </c>
      <c r="F26" s="87" t="s">
        <v>154</v>
      </c>
      <c r="G26" s="6" t="s">
        <v>23</v>
      </c>
      <c r="H26" s="6" t="s">
        <v>116</v>
      </c>
      <c r="I26" s="82" t="s">
        <v>63</v>
      </c>
      <c r="J26" s="60" t="s">
        <v>165</v>
      </c>
      <c r="K26" s="60"/>
      <c r="L26" s="60"/>
      <c r="M26" s="96">
        <v>46212</v>
      </c>
      <c r="N26" s="96">
        <v>46230</v>
      </c>
      <c r="O26" s="223" t="str">
        <f t="shared" si="0"/>
        <v xml:space="preserve">Nguyễn Văn Hải, , </v>
      </c>
    </row>
    <row r="27" spans="1:15">
      <c r="A27" s="28" t="str">
        <f>"3."&amp;D27&amp;"."&amp;B27</f>
        <v>3.B.DSHNQN.STA.602</v>
      </c>
      <c r="B27" s="28" t="str">
        <f>TEXT(COUNTIFS($C$3:C27,C27,$D$3:D27,D27,$F$3:F27,F27)+IF(F27="KT",100,IF(F27="KC",200,IF(F27="DI",300,IF(F27="DN",400,IF(F27="NU",500,IF(F27="DH",600,IF(F27="PC",700,0))))))),"000")</f>
        <v>602</v>
      </c>
      <c r="C27" s="28" t="s">
        <v>10</v>
      </c>
      <c r="D27" s="81" t="s">
        <v>98</v>
      </c>
      <c r="E27" s="82" t="s">
        <v>110</v>
      </c>
      <c r="F27" s="87" t="s">
        <v>164</v>
      </c>
      <c r="G27" s="6" t="s">
        <v>23</v>
      </c>
      <c r="H27" s="6" t="s">
        <v>116</v>
      </c>
      <c r="I27" s="82" t="s">
        <v>63</v>
      </c>
      <c r="J27" s="60" t="s">
        <v>165</v>
      </c>
      <c r="K27" s="60"/>
      <c r="L27" s="60"/>
      <c r="M27" s="96">
        <v>46212</v>
      </c>
      <c r="N27" s="96">
        <v>46230</v>
      </c>
      <c r="O27" s="223" t="str">
        <f t="shared" si="0"/>
        <v xml:space="preserve">Nguyễn Văn Hải, , </v>
      </c>
    </row>
    <row r="28" spans="1:15">
      <c r="A28" s="28" t="str">
        <f>"3."&amp;D28&amp;"."&amp;B28</f>
        <v>3.B.DSHNQN.STA.702</v>
      </c>
      <c r="B28" s="28" t="str">
        <f>TEXT(COUNTIFS($C$3:C28,C28,$D$3:D28,D28,$F$3:F28,F28)+IF(F28="KT",100,IF(F28="KC",200,IF(F28="DI",300,IF(F28="DN",400,IF(F28="NU",500,IF(F28="DH",600,IF(F28="PC",700,0))))))),"000")</f>
        <v>702</v>
      </c>
      <c r="C28" s="28" t="s">
        <v>10</v>
      </c>
      <c r="D28" s="81" t="s">
        <v>98</v>
      </c>
      <c r="E28" s="82" t="s">
        <v>110</v>
      </c>
      <c r="F28" s="87" t="s">
        <v>159</v>
      </c>
      <c r="G28" s="6" t="s">
        <v>23</v>
      </c>
      <c r="H28" s="6" t="s">
        <v>116</v>
      </c>
      <c r="I28" s="82" t="s">
        <v>63</v>
      </c>
      <c r="J28" s="60" t="s">
        <v>165</v>
      </c>
      <c r="K28" s="60"/>
      <c r="L28" s="60"/>
      <c r="M28" s="96">
        <v>46212</v>
      </c>
      <c r="N28" s="96">
        <v>46230</v>
      </c>
      <c r="O28" s="223" t="str">
        <f t="shared" si="0"/>
        <v xml:space="preserve">Nguyễn Văn Hải, , </v>
      </c>
    </row>
    <row r="29" spans="1:15">
      <c r="A29" s="28" t="str">
        <f>"3."&amp;D29&amp;"."&amp;B29</f>
        <v>3.B.DSHNQN.STA.103</v>
      </c>
      <c r="B29" s="28" t="str">
        <f>TEXT(COUNTIFS($C$3:C29,C29,$D$3:D29,D29,$F$3:F29,F29)+IF(F29="KT",100,IF(F29="KC",200,IF(F29="DI",300,IF(F29="DN",400,IF(F29="NU",500,IF(F29="DH",600,IF(F29="PC",700,0))))))),"000")</f>
        <v>103</v>
      </c>
      <c r="C29" s="28" t="s">
        <v>10</v>
      </c>
      <c r="D29" s="100" t="s">
        <v>98</v>
      </c>
      <c r="E29" s="28" t="s">
        <v>119</v>
      </c>
      <c r="F29" s="88" t="s">
        <v>123</v>
      </c>
      <c r="G29" s="6" t="s">
        <v>128</v>
      </c>
      <c r="H29" s="6" t="s">
        <v>116</v>
      </c>
      <c r="I29" s="82" t="s">
        <v>63</v>
      </c>
      <c r="J29" s="20" t="s">
        <v>36</v>
      </c>
      <c r="K29" s="20" t="s">
        <v>155</v>
      </c>
      <c r="L29" s="20"/>
      <c r="M29" s="96">
        <v>46114</v>
      </c>
      <c r="N29" s="96">
        <v>46212</v>
      </c>
      <c r="O29" s="223" t="str">
        <f t="shared" si="0"/>
        <v xml:space="preserve">Trần Văn Toản, Vũ Thị Thêu, </v>
      </c>
    </row>
    <row r="30" spans="1:15">
      <c r="A30" s="28" t="str">
        <f>"3."&amp;D30&amp;"."&amp;B30</f>
        <v>3.B.DSHNQN.STA.201</v>
      </c>
      <c r="B30" s="28" t="str">
        <f>TEXT(COUNTIFS($C$3:C30,C30,$D$3:D30,D30,$F$3:F30,F30)+IF(F30="KT",100,IF(F30="KC",200,IF(F30="DI",300,IF(F30="DN",400,IF(F30="NU",500,IF(F30="DH",600,IF(F30="PC",700,0))))))),"000")</f>
        <v>201</v>
      </c>
      <c r="C30" s="28" t="s">
        <v>10</v>
      </c>
      <c r="D30" s="100" t="s">
        <v>98</v>
      </c>
      <c r="E30" s="28" t="s">
        <v>119</v>
      </c>
      <c r="F30" s="88" t="s">
        <v>132</v>
      </c>
      <c r="G30" s="6" t="s">
        <v>23</v>
      </c>
      <c r="H30" s="6" t="s">
        <v>116</v>
      </c>
      <c r="I30" s="82" t="s">
        <v>63</v>
      </c>
      <c r="J30" s="20" t="s">
        <v>36</v>
      </c>
      <c r="K30" s="20" t="s">
        <v>155</v>
      </c>
      <c r="L30" s="20"/>
      <c r="M30" s="96">
        <v>46154</v>
      </c>
      <c r="N30" s="96">
        <v>46330</v>
      </c>
      <c r="O30" s="223" t="str">
        <f t="shared" si="0"/>
        <v xml:space="preserve">Trần Văn Toản, Vũ Thị Thêu, </v>
      </c>
    </row>
    <row r="31" spans="1:15">
      <c r="A31" s="28" t="str">
        <f>"3."&amp;D31&amp;"."&amp;B31</f>
        <v>3.B.DSHNQN.STA.303</v>
      </c>
      <c r="B31" s="28" t="str">
        <f>TEXT(COUNTIFS($C$3:C31,C31,$D$3:D31,D31,$F$3:F31,F31)+IF(F31="KT",100,IF(F31="KC",200,IF(F31="DI",300,IF(F31="DN",400,IF(F31="NU",500,IF(F31="DH",600,IF(F31="PC",700,0))))))),"000")</f>
        <v>303</v>
      </c>
      <c r="C31" s="28" t="s">
        <v>10</v>
      </c>
      <c r="D31" s="100" t="s">
        <v>98</v>
      </c>
      <c r="E31" s="28" t="s">
        <v>119</v>
      </c>
      <c r="F31" s="87" t="s">
        <v>140</v>
      </c>
      <c r="G31" s="6" t="s">
        <v>23</v>
      </c>
      <c r="H31" s="6" t="s">
        <v>116</v>
      </c>
      <c r="I31" s="82" t="s">
        <v>63</v>
      </c>
      <c r="J31" s="20" t="s">
        <v>165</v>
      </c>
      <c r="K31" s="20"/>
      <c r="L31" s="20"/>
      <c r="M31" s="96">
        <v>46186</v>
      </c>
      <c r="N31" s="96">
        <v>46230</v>
      </c>
      <c r="O31" s="223" t="str">
        <f t="shared" si="0"/>
        <v xml:space="preserve">Nguyễn Văn Hải, , </v>
      </c>
    </row>
    <row r="32" spans="1:15">
      <c r="A32" s="28" t="str">
        <f>"3."&amp;D32&amp;"."&amp;B32</f>
        <v>3.B.DSHNQN.STA.403</v>
      </c>
      <c r="B32" s="28" t="str">
        <f>TEXT(COUNTIFS($C$3:C32,C32,$D$3:D32,D32,$F$3:F32,F32)+IF(F32="KT",100,IF(F32="KC",200,IF(F32="DI",300,IF(F32="DN",400,IF(F32="NU",500,IF(F32="DH",600,IF(F32="PC",700,0))))))),"000")</f>
        <v>403</v>
      </c>
      <c r="C32" s="28" t="s">
        <v>10</v>
      </c>
      <c r="D32" s="100" t="s">
        <v>98</v>
      </c>
      <c r="E32" s="28" t="s">
        <v>119</v>
      </c>
      <c r="F32" s="87" t="s">
        <v>148</v>
      </c>
      <c r="G32" s="6" t="s">
        <v>23</v>
      </c>
      <c r="H32" s="6" t="s">
        <v>116</v>
      </c>
      <c r="I32" s="82" t="s">
        <v>63</v>
      </c>
      <c r="J32" s="20" t="s">
        <v>165</v>
      </c>
      <c r="K32" s="20"/>
      <c r="L32" s="20"/>
      <c r="M32" s="96">
        <v>46186</v>
      </c>
      <c r="N32" s="96">
        <v>46230</v>
      </c>
      <c r="O32" s="223" t="str">
        <f t="shared" si="0"/>
        <v xml:space="preserve">Nguyễn Văn Hải, , </v>
      </c>
    </row>
    <row r="33" spans="1:15">
      <c r="A33" s="28" t="str">
        <f>"3."&amp;D33&amp;"."&amp;B33</f>
        <v>3.B.DSHNQN.STA.503</v>
      </c>
      <c r="B33" s="28" t="str">
        <f>TEXT(COUNTIFS($C$3:C33,C33,$D$3:D33,D33,$F$3:F33,F33)+IF(F33="KT",100,IF(F33="KC",200,IF(F33="DI",300,IF(F33="DN",400,IF(F33="NU",500,IF(F33="DH",600,IF(F33="PC",700,0))))))),"000")</f>
        <v>503</v>
      </c>
      <c r="C33" s="28" t="s">
        <v>10</v>
      </c>
      <c r="D33" s="100" t="s">
        <v>98</v>
      </c>
      <c r="E33" s="28" t="s">
        <v>119</v>
      </c>
      <c r="F33" s="87" t="s">
        <v>154</v>
      </c>
      <c r="G33" s="6" t="s">
        <v>23</v>
      </c>
      <c r="H33" s="6" t="s">
        <v>116</v>
      </c>
      <c r="I33" s="82" t="s">
        <v>63</v>
      </c>
      <c r="J33" s="20" t="s">
        <v>165</v>
      </c>
      <c r="K33" s="20"/>
      <c r="L33" s="20"/>
      <c r="M33" s="96">
        <v>46186</v>
      </c>
      <c r="N33" s="96">
        <v>46230</v>
      </c>
      <c r="O33" s="223" t="str">
        <f t="shared" si="0"/>
        <v xml:space="preserve">Nguyễn Văn Hải, , </v>
      </c>
    </row>
    <row r="34" spans="1:15">
      <c r="A34" s="28" t="str">
        <f>"3."&amp;D34&amp;"."&amp;B34</f>
        <v>3.B.DSHNQN.STA.603</v>
      </c>
      <c r="B34" s="28" t="str">
        <f>TEXT(COUNTIFS($C$3:C34,C34,$D$3:D34,D34,$F$3:F34,F34)+IF(F34="KT",100,IF(F34="KC",200,IF(F34="DI",300,IF(F34="DN",400,IF(F34="NU",500,IF(F34="DH",600,IF(F34="PC",700,0))))))),"000")</f>
        <v>603</v>
      </c>
      <c r="C34" s="28" t="s">
        <v>10</v>
      </c>
      <c r="D34" s="100" t="s">
        <v>98</v>
      </c>
      <c r="E34" s="28" t="s">
        <v>119</v>
      </c>
      <c r="F34" s="87" t="s">
        <v>164</v>
      </c>
      <c r="G34" s="6" t="s">
        <v>23</v>
      </c>
      <c r="H34" s="6" t="s">
        <v>116</v>
      </c>
      <c r="I34" s="82" t="s">
        <v>63</v>
      </c>
      <c r="J34" s="20" t="s">
        <v>165</v>
      </c>
      <c r="K34" s="20"/>
      <c r="L34" s="20"/>
      <c r="M34" s="96">
        <v>46186</v>
      </c>
      <c r="N34" s="96">
        <v>46230</v>
      </c>
      <c r="O34" s="223" t="str">
        <f t="shared" si="0"/>
        <v xml:space="preserve">Nguyễn Văn Hải, , </v>
      </c>
    </row>
    <row r="35" spans="1:15">
      <c r="A35" s="28" t="str">
        <f>"3."&amp;D35&amp;"."&amp;B35</f>
        <v>3.B.DSHNQN.STA.703</v>
      </c>
      <c r="B35" s="28" t="str">
        <f>TEXT(COUNTIFS($C$3:C35,C35,$D$3:D35,D35,$F$3:F35,F35)+IF(F35="KT",100,IF(F35="KC",200,IF(F35="DI",300,IF(F35="DN",400,IF(F35="NU",500,IF(F35="DH",600,IF(F35="PC",700,0))))))),"000")</f>
        <v>703</v>
      </c>
      <c r="C35" s="28" t="s">
        <v>10</v>
      </c>
      <c r="D35" s="100" t="s">
        <v>98</v>
      </c>
      <c r="E35" s="28" t="s">
        <v>119</v>
      </c>
      <c r="F35" s="87" t="s">
        <v>159</v>
      </c>
      <c r="G35" s="6" t="s">
        <v>23</v>
      </c>
      <c r="H35" s="6" t="s">
        <v>116</v>
      </c>
      <c r="I35" s="82" t="s">
        <v>63</v>
      </c>
      <c r="J35" s="20" t="s">
        <v>165</v>
      </c>
      <c r="K35" s="20"/>
      <c r="L35" s="20"/>
      <c r="M35" s="96">
        <v>46186</v>
      </c>
      <c r="N35" s="96">
        <v>46230</v>
      </c>
      <c r="O35" s="223" t="str">
        <f t="shared" si="0"/>
        <v xml:space="preserve">Nguyễn Văn Hải, , </v>
      </c>
    </row>
    <row r="36" spans="1:15">
      <c r="A36" s="28" t="str">
        <f>"3."&amp;D36&amp;"."&amp;B36</f>
        <v>3.B.DSHNQN.STA.104</v>
      </c>
      <c r="B36" s="28" t="str">
        <f>TEXT(COUNTIFS($C$3:C36,C36,$D$3:D36,D36,$F$3:F36,F36)+IF(F36="KT",100,IF(F36="KC",200,IF(F36="DI",300,IF(F36="DN",400,IF(F36="NU",500,IF(F36="DH",600,IF(F36="PC",700,0))))))),"000")</f>
        <v>104</v>
      </c>
      <c r="C36" s="28" t="s">
        <v>10</v>
      </c>
      <c r="D36" s="100" t="s">
        <v>98</v>
      </c>
      <c r="E36" s="28" t="s">
        <v>127</v>
      </c>
      <c r="F36" s="88" t="s">
        <v>123</v>
      </c>
      <c r="G36" s="6" t="s">
        <v>128</v>
      </c>
      <c r="H36" s="6" t="s">
        <v>116</v>
      </c>
      <c r="I36" s="82" t="s">
        <v>63</v>
      </c>
      <c r="J36" s="28" t="s">
        <v>36</v>
      </c>
      <c r="K36" s="28" t="s">
        <v>155</v>
      </c>
      <c r="L36" s="28"/>
      <c r="M36" s="96">
        <v>46128</v>
      </c>
      <c r="N36" s="96">
        <v>46206</v>
      </c>
      <c r="O36" s="223" t="str">
        <f t="shared" si="0"/>
        <v xml:space="preserve">Trần Văn Toản, Vũ Thị Thêu, </v>
      </c>
    </row>
    <row r="37" spans="1:15">
      <c r="A37" s="28" t="str">
        <f>"3."&amp;D37&amp;"."&amp;B37</f>
        <v>3.B.DSHNQN.STA.202</v>
      </c>
      <c r="B37" s="28" t="str">
        <f>TEXT(COUNTIFS($C$3:C37,C37,$D$3:D37,D37,$F$3:F37,F37)+IF(F37="KT",100,IF(F37="KC",200,IF(F37="DI",300,IF(F37="DN",400,IF(F37="NU",500,IF(F37="DH",600,IF(F37="PC",700,0))))))),"000")</f>
        <v>202</v>
      </c>
      <c r="C37" s="28" t="s">
        <v>10</v>
      </c>
      <c r="D37" s="100" t="s">
        <v>98</v>
      </c>
      <c r="E37" s="28" t="s">
        <v>127</v>
      </c>
      <c r="F37" s="88" t="s">
        <v>132</v>
      </c>
      <c r="G37" s="6" t="s">
        <v>23</v>
      </c>
      <c r="H37" s="6" t="s">
        <v>116</v>
      </c>
      <c r="I37" s="82" t="s">
        <v>63</v>
      </c>
      <c r="J37" s="28" t="s">
        <v>36</v>
      </c>
      <c r="K37" s="28" t="s">
        <v>155</v>
      </c>
      <c r="L37" s="28"/>
      <c r="M37" s="96">
        <v>46163</v>
      </c>
      <c r="N37" s="96">
        <v>46330</v>
      </c>
      <c r="O37" s="223" t="str">
        <f t="shared" si="0"/>
        <v xml:space="preserve">Trần Văn Toản, Vũ Thị Thêu, </v>
      </c>
    </row>
    <row r="38" spans="1:15">
      <c r="A38" s="28" t="str">
        <f>"3."&amp;D38&amp;"."&amp;B38</f>
        <v>3.B.DSHNQN.STA.304</v>
      </c>
      <c r="B38" s="28" t="str">
        <f>TEXT(COUNTIFS($C$3:C38,C38,$D$3:D38,D38,$F$3:F38,F38)+IF(F38="KT",100,IF(F38="KC",200,IF(F38="DI",300,IF(F38="DN",400,IF(F38="NU",500,IF(F38="DH",600,IF(F38="PC",700,0))))))),"000")</f>
        <v>304</v>
      </c>
      <c r="C38" s="28" t="s">
        <v>10</v>
      </c>
      <c r="D38" s="100" t="s">
        <v>98</v>
      </c>
      <c r="E38" s="28" t="s">
        <v>127</v>
      </c>
      <c r="F38" s="87" t="s">
        <v>140</v>
      </c>
      <c r="G38" s="6" t="s">
        <v>23</v>
      </c>
      <c r="H38" s="6" t="s">
        <v>116</v>
      </c>
      <c r="I38" s="82" t="s">
        <v>63</v>
      </c>
      <c r="J38" s="20" t="s">
        <v>175</v>
      </c>
      <c r="K38" s="20"/>
      <c r="L38" s="20"/>
      <c r="M38" s="96">
        <v>46212</v>
      </c>
      <c r="N38" s="96">
        <v>46230</v>
      </c>
      <c r="O38" s="223" t="str">
        <f t="shared" si="0"/>
        <v xml:space="preserve">Đặng Thái Sơn, , </v>
      </c>
    </row>
    <row r="39" spans="1:15">
      <c r="A39" s="28" t="str">
        <f>"3."&amp;D39&amp;"."&amp;B39</f>
        <v>3.B.DSHNQN.STA.404</v>
      </c>
      <c r="B39" s="28" t="str">
        <f>TEXT(COUNTIFS($C$3:C39,C39,$D$3:D39,D39,$F$3:F39,F39)+IF(F39="KT",100,IF(F39="KC",200,IF(F39="DI",300,IF(F39="DN",400,IF(F39="NU",500,IF(F39="DH",600,IF(F39="PC",700,0))))))),"000")</f>
        <v>404</v>
      </c>
      <c r="C39" s="28" t="s">
        <v>10</v>
      </c>
      <c r="D39" s="100" t="s">
        <v>98</v>
      </c>
      <c r="E39" s="28" t="s">
        <v>127</v>
      </c>
      <c r="F39" s="87" t="s">
        <v>148</v>
      </c>
      <c r="G39" s="6" t="s">
        <v>23</v>
      </c>
      <c r="H39" s="6" t="s">
        <v>116</v>
      </c>
      <c r="I39" s="82" t="s">
        <v>63</v>
      </c>
      <c r="J39" s="20" t="s">
        <v>175</v>
      </c>
      <c r="K39" s="20"/>
      <c r="L39" s="20"/>
      <c r="M39" s="96">
        <v>46212</v>
      </c>
      <c r="N39" s="96">
        <v>46230</v>
      </c>
      <c r="O39" s="223" t="str">
        <f t="shared" si="0"/>
        <v xml:space="preserve">Đặng Thái Sơn, , </v>
      </c>
    </row>
    <row r="40" spans="1:15">
      <c r="A40" s="28" t="str">
        <f>"3."&amp;D40&amp;"."&amp;B40</f>
        <v>3.B.DSHNQN.STA.504</v>
      </c>
      <c r="B40" s="28" t="str">
        <f>TEXT(COUNTIFS($C$3:C40,C40,$D$3:D40,D40,$F$3:F40,F40)+IF(F40="KT",100,IF(F40="KC",200,IF(F40="DI",300,IF(F40="DN",400,IF(F40="NU",500,IF(F40="DH",600,IF(F40="PC",700,0))))))),"000")</f>
        <v>504</v>
      </c>
      <c r="C40" s="28" t="s">
        <v>10</v>
      </c>
      <c r="D40" s="100" t="s">
        <v>98</v>
      </c>
      <c r="E40" s="28" t="s">
        <v>127</v>
      </c>
      <c r="F40" s="87" t="s">
        <v>154</v>
      </c>
      <c r="G40" s="6" t="s">
        <v>23</v>
      </c>
      <c r="H40" s="6" t="s">
        <v>116</v>
      </c>
      <c r="I40" s="82" t="s">
        <v>63</v>
      </c>
      <c r="J40" s="20" t="s">
        <v>175</v>
      </c>
      <c r="K40" s="20"/>
      <c r="L40" s="20"/>
      <c r="M40" s="96">
        <v>46212</v>
      </c>
      <c r="N40" s="96">
        <v>46230</v>
      </c>
      <c r="O40" s="223" t="str">
        <f t="shared" si="0"/>
        <v xml:space="preserve">Đặng Thái Sơn, , </v>
      </c>
    </row>
    <row r="41" spans="1:15">
      <c r="A41" s="28" t="str">
        <f>"3."&amp;D41&amp;"."&amp;B41</f>
        <v>3.B.DSHNQN.STA.604</v>
      </c>
      <c r="B41" s="28" t="str">
        <f>TEXT(COUNTIFS($C$3:C41,C41,$D$3:D41,D41,$F$3:F41,F41)+IF(F41="KT",100,IF(F41="KC",200,IF(F41="DI",300,IF(F41="DN",400,IF(F41="NU",500,IF(F41="DH",600,IF(F41="PC",700,0))))))),"000")</f>
        <v>604</v>
      </c>
      <c r="C41" s="28" t="s">
        <v>10</v>
      </c>
      <c r="D41" s="100" t="s">
        <v>98</v>
      </c>
      <c r="E41" s="28" t="s">
        <v>127</v>
      </c>
      <c r="F41" s="87" t="s">
        <v>164</v>
      </c>
      <c r="G41" s="6" t="s">
        <v>23</v>
      </c>
      <c r="H41" s="6" t="s">
        <v>116</v>
      </c>
      <c r="I41" s="82" t="s">
        <v>63</v>
      </c>
      <c r="J41" s="20" t="s">
        <v>175</v>
      </c>
      <c r="K41" s="20"/>
      <c r="L41" s="20"/>
      <c r="M41" s="96">
        <v>46212</v>
      </c>
      <c r="N41" s="96">
        <v>46230</v>
      </c>
      <c r="O41" s="223" t="str">
        <f t="shared" si="0"/>
        <v xml:space="preserve">Đặng Thái Sơn, , </v>
      </c>
    </row>
    <row r="42" spans="1:15">
      <c r="A42" s="28" t="str">
        <f>"3."&amp;D42&amp;"."&amp;B42</f>
        <v>3.B.DSHNQN.STA.704</v>
      </c>
      <c r="B42" s="28" t="str">
        <f>TEXT(COUNTIFS($C$3:C42,C42,$D$3:D42,D42,$F$3:F42,F42)+IF(F42="KT",100,IF(F42="KC",200,IF(F42="DI",300,IF(F42="DN",400,IF(F42="NU",500,IF(F42="DH",600,IF(F42="PC",700,0))))))),"000")</f>
        <v>704</v>
      </c>
      <c r="C42" s="28" t="s">
        <v>10</v>
      </c>
      <c r="D42" s="100" t="s">
        <v>98</v>
      </c>
      <c r="E42" s="28" t="s">
        <v>127</v>
      </c>
      <c r="F42" s="87" t="s">
        <v>159</v>
      </c>
      <c r="G42" s="6" t="s">
        <v>23</v>
      </c>
      <c r="H42" s="6" t="s">
        <v>116</v>
      </c>
      <c r="I42" s="82" t="s">
        <v>63</v>
      </c>
      <c r="J42" s="20" t="s">
        <v>175</v>
      </c>
      <c r="K42" s="20"/>
      <c r="L42" s="20"/>
      <c r="M42" s="96">
        <v>46212</v>
      </c>
      <c r="N42" s="96">
        <v>46230</v>
      </c>
      <c r="O42" s="223" t="str">
        <f t="shared" si="0"/>
        <v xml:space="preserve">Đặng Thái Sơn, , </v>
      </c>
    </row>
    <row r="43" spans="1:15">
      <c r="A43" s="28" t="str">
        <f>"3."&amp;D43&amp;"."&amp;B43</f>
        <v>3.B.DSHNQN.STA.105</v>
      </c>
      <c r="B43" s="28" t="str">
        <f>TEXT(COUNTIFS($C$3:C43,C43,$D$3:D43,D43,$F$3:F43,F43)+IF(F43="KT",100,IF(F43="KC",200,IF(F43="DI",300,IF(F43="DN",400,IF(F43="NU",500,IF(F43="DH",600,IF(F43="PC",700,0))))))),"000")</f>
        <v>105</v>
      </c>
      <c r="C43" s="28" t="s">
        <v>10</v>
      </c>
      <c r="D43" s="100" t="s">
        <v>98</v>
      </c>
      <c r="E43" s="28" t="s">
        <v>137</v>
      </c>
      <c r="F43" s="88" t="s">
        <v>123</v>
      </c>
      <c r="G43" s="6" t="s">
        <v>128</v>
      </c>
      <c r="H43" s="6" t="s">
        <v>116</v>
      </c>
      <c r="I43" s="82" t="s">
        <v>63</v>
      </c>
      <c r="J43" s="20" t="s">
        <v>32</v>
      </c>
      <c r="K43" s="20" t="s">
        <v>33</v>
      </c>
      <c r="L43" s="20"/>
      <c r="M43" s="106">
        <v>46146</v>
      </c>
      <c r="N43" s="106">
        <v>46317</v>
      </c>
      <c r="O43" s="223" t="str">
        <f t="shared" si="0"/>
        <v xml:space="preserve">Nguyễn Hải Nam, Đỗ Minh Ngọc, </v>
      </c>
    </row>
    <row r="44" spans="1:15">
      <c r="A44" s="28" t="str">
        <f>"3."&amp;D44&amp;"."&amp;B44</f>
        <v>3.B.DSHNQN.STA.203</v>
      </c>
      <c r="B44" s="28" t="str">
        <f>TEXT(COUNTIFS($C$3:C44,C44,$D$3:D44,D44,$F$3:F44,F44)+IF(F44="KT",100,IF(F44="KC",200,IF(F44="DI",300,IF(F44="DN",400,IF(F44="NU",500,IF(F44="DH",600,IF(F44="PC",700,0))))))),"000")</f>
        <v>203</v>
      </c>
      <c r="C44" s="28" t="s">
        <v>10</v>
      </c>
      <c r="D44" s="100" t="s">
        <v>98</v>
      </c>
      <c r="E44" s="28" t="s">
        <v>137</v>
      </c>
      <c r="F44" s="88" t="s">
        <v>132</v>
      </c>
      <c r="G44" s="6" t="s">
        <v>23</v>
      </c>
      <c r="H44" s="6" t="s">
        <v>116</v>
      </c>
      <c r="I44" s="82" t="s">
        <v>63</v>
      </c>
      <c r="J44" s="20" t="s">
        <v>32</v>
      </c>
      <c r="K44" s="20" t="s">
        <v>33</v>
      </c>
      <c r="L44" s="20"/>
      <c r="M44" s="106">
        <v>46162</v>
      </c>
      <c r="N44" s="106">
        <v>46317</v>
      </c>
      <c r="O44" s="223" t="str">
        <f t="shared" si="0"/>
        <v xml:space="preserve">Nguyễn Hải Nam, Đỗ Minh Ngọc, </v>
      </c>
    </row>
    <row r="45" spans="1:15">
      <c r="A45" s="28" t="str">
        <f>"3."&amp;D45&amp;"."&amp;B45</f>
        <v>3.B.DSHNQN.STA.305</v>
      </c>
      <c r="B45" s="28" t="str">
        <f>TEXT(COUNTIFS($C$3:C45,C45,$D$3:D45,D45,$F$3:F45,F45)+IF(F45="KT",100,IF(F45="KC",200,IF(F45="DI",300,IF(F45="DN",400,IF(F45="NU",500,IF(F45="DH",600,IF(F45="PC",700,0))))))),"000")</f>
        <v>305</v>
      </c>
      <c r="C45" s="28" t="s">
        <v>10</v>
      </c>
      <c r="D45" s="100" t="s">
        <v>98</v>
      </c>
      <c r="E45" s="28" t="s">
        <v>137</v>
      </c>
      <c r="F45" s="87" t="s">
        <v>140</v>
      </c>
      <c r="G45" s="6" t="s">
        <v>23</v>
      </c>
      <c r="H45" s="6" t="s">
        <v>116</v>
      </c>
      <c r="I45" s="82" t="s">
        <v>63</v>
      </c>
      <c r="J45" s="20" t="s">
        <v>180</v>
      </c>
      <c r="K45" s="20"/>
      <c r="L45" s="20"/>
      <c r="M45" s="96">
        <v>46212</v>
      </c>
      <c r="N45" s="96">
        <v>46230</v>
      </c>
      <c r="O45" s="223" t="str">
        <f t="shared" si="0"/>
        <v xml:space="preserve">Phan Trường Giang, , </v>
      </c>
    </row>
    <row r="46" spans="1:15">
      <c r="A46" s="28" t="str">
        <f>"3."&amp;D46&amp;"."&amp;B46</f>
        <v>3.B.DSHNQN.STA.405</v>
      </c>
      <c r="B46" s="28" t="str">
        <f>TEXT(COUNTIFS($C$3:C46,C46,$D$3:D46,D46,$F$3:F46,F46)+IF(F46="KT",100,IF(F46="KC",200,IF(F46="DI",300,IF(F46="DN",400,IF(F46="NU",500,IF(F46="DH",600,IF(F46="PC",700,0))))))),"000")</f>
        <v>405</v>
      </c>
      <c r="C46" s="28" t="s">
        <v>10</v>
      </c>
      <c r="D46" s="100" t="s">
        <v>98</v>
      </c>
      <c r="E46" s="28" t="s">
        <v>137</v>
      </c>
      <c r="F46" s="87" t="s">
        <v>148</v>
      </c>
      <c r="G46" s="6" t="s">
        <v>23</v>
      </c>
      <c r="H46" s="6" t="s">
        <v>116</v>
      </c>
      <c r="I46" s="82" t="s">
        <v>63</v>
      </c>
      <c r="J46" s="20" t="s">
        <v>180</v>
      </c>
      <c r="K46" s="20"/>
      <c r="L46" s="20"/>
      <c r="M46" s="96">
        <v>46212</v>
      </c>
      <c r="N46" s="96">
        <v>46230</v>
      </c>
      <c r="O46" s="223" t="str">
        <f t="shared" si="0"/>
        <v xml:space="preserve">Phan Trường Giang, , </v>
      </c>
    </row>
    <row r="47" spans="1:15">
      <c r="A47" s="28" t="str">
        <f>"3."&amp;D47&amp;"."&amp;B47</f>
        <v>3.B.DSHNQN.STA.505</v>
      </c>
      <c r="B47" s="28" t="str">
        <f>TEXT(COUNTIFS($C$3:C47,C47,$D$3:D47,D47,$F$3:F47,F47)+IF(F47="KT",100,IF(F47="KC",200,IF(F47="DI",300,IF(F47="DN",400,IF(F47="NU",500,IF(F47="DH",600,IF(F47="PC",700,0))))))),"000")</f>
        <v>505</v>
      </c>
      <c r="C47" s="28" t="s">
        <v>10</v>
      </c>
      <c r="D47" s="100" t="s">
        <v>98</v>
      </c>
      <c r="E47" s="28" t="s">
        <v>137</v>
      </c>
      <c r="F47" s="87" t="s">
        <v>154</v>
      </c>
      <c r="G47" s="6" t="s">
        <v>23</v>
      </c>
      <c r="H47" s="6" t="s">
        <v>116</v>
      </c>
      <c r="I47" s="82" t="s">
        <v>63</v>
      </c>
      <c r="J47" s="20" t="s">
        <v>180</v>
      </c>
      <c r="K47" s="20"/>
      <c r="L47" s="20"/>
      <c r="M47" s="96">
        <v>46212</v>
      </c>
      <c r="N47" s="96">
        <v>46230</v>
      </c>
      <c r="O47" s="223" t="str">
        <f t="shared" si="0"/>
        <v xml:space="preserve">Phan Trường Giang, , </v>
      </c>
    </row>
    <row r="48" spans="1:15">
      <c r="A48" s="28" t="str">
        <f>"3."&amp;D48&amp;"."&amp;B48</f>
        <v>3.B.DSHNQN.STA.605</v>
      </c>
      <c r="B48" s="28" t="str">
        <f>TEXT(COUNTIFS($C$3:C48,C48,$D$3:D48,D48,$F$3:F48,F48)+IF(F48="KT",100,IF(F48="KC",200,IF(F48="DI",300,IF(F48="DN",400,IF(F48="NU",500,IF(F48="DH",600,IF(F48="PC",700,0))))))),"000")</f>
        <v>605</v>
      </c>
      <c r="C48" s="28" t="s">
        <v>10</v>
      </c>
      <c r="D48" s="100" t="s">
        <v>98</v>
      </c>
      <c r="E48" s="28" t="s">
        <v>137</v>
      </c>
      <c r="F48" s="87" t="s">
        <v>164</v>
      </c>
      <c r="G48" s="6" t="s">
        <v>23</v>
      </c>
      <c r="H48" s="6" t="s">
        <v>116</v>
      </c>
      <c r="I48" s="82" t="s">
        <v>63</v>
      </c>
      <c r="J48" s="20" t="s">
        <v>180</v>
      </c>
      <c r="K48" s="20"/>
      <c r="L48" s="20"/>
      <c r="M48" s="96">
        <v>46212</v>
      </c>
      <c r="N48" s="96">
        <v>46230</v>
      </c>
      <c r="O48" s="223" t="str">
        <f t="shared" si="0"/>
        <v xml:space="preserve">Phan Trường Giang, , </v>
      </c>
    </row>
    <row r="49" spans="1:15">
      <c r="A49" s="28" t="str">
        <f>"3."&amp;D49&amp;"."&amp;B49</f>
        <v>3.B.DSHNQN.STA.705</v>
      </c>
      <c r="B49" s="28" t="str">
        <f>TEXT(COUNTIFS($C$3:C49,C49,$D$3:D49,D49,$F$3:F49,F49)+IF(F49="KT",100,IF(F49="KC",200,IF(F49="DI",300,IF(F49="DN",400,IF(F49="NU",500,IF(F49="DH",600,IF(F49="PC",700,0))))))),"000")</f>
        <v>705</v>
      </c>
      <c r="C49" s="28" t="s">
        <v>10</v>
      </c>
      <c r="D49" s="100" t="s">
        <v>98</v>
      </c>
      <c r="E49" s="28" t="s">
        <v>137</v>
      </c>
      <c r="F49" s="87" t="s">
        <v>159</v>
      </c>
      <c r="G49" s="6" t="s">
        <v>23</v>
      </c>
      <c r="H49" s="6" t="s">
        <v>116</v>
      </c>
      <c r="I49" s="82" t="s">
        <v>63</v>
      </c>
      <c r="J49" s="20" t="s">
        <v>180</v>
      </c>
      <c r="K49" s="20"/>
      <c r="L49" s="20"/>
      <c r="M49" s="96">
        <v>46212</v>
      </c>
      <c r="N49" s="96">
        <v>46230</v>
      </c>
      <c r="O49" s="223" t="str">
        <f t="shared" si="0"/>
        <v xml:space="preserve">Phan Trường Giang, , </v>
      </c>
    </row>
    <row r="50" spans="1:15">
      <c r="A50" s="28" t="str">
        <f>"3."&amp;D50&amp;"."&amp;B50</f>
        <v>3.B.HNO.GL.VSC.101</v>
      </c>
      <c r="B50" s="28" t="str">
        <f>TEXT(COUNTIFS($C$3:C50,C50,$D$3:D50,D50,$F$3:F50,F50)+IF(F50="KT",100,IF(F50="KC",200,IF(F50="DI",300,IF(F50="DN",400,IF(F50="NU",500,IF(F50="DH",600,IF(F50="PC",700,0))))))),"000")</f>
        <v>101</v>
      </c>
      <c r="C50" s="28" t="s">
        <v>10</v>
      </c>
      <c r="D50" s="100" t="s">
        <v>144</v>
      </c>
      <c r="E50" s="28" t="s">
        <v>145</v>
      </c>
      <c r="F50" s="88" t="s">
        <v>123</v>
      </c>
      <c r="G50" s="6" t="s">
        <v>23</v>
      </c>
      <c r="H50" s="6" t="s">
        <v>116</v>
      </c>
      <c r="I50" s="82" t="s">
        <v>63</v>
      </c>
      <c r="J50" s="28" t="s">
        <v>36</v>
      </c>
      <c r="K50" s="28"/>
      <c r="L50" s="28"/>
      <c r="M50" s="96">
        <v>46006</v>
      </c>
      <c r="N50" s="96">
        <v>46183</v>
      </c>
      <c r="O50" s="223" t="str">
        <f t="shared" si="0"/>
        <v xml:space="preserve">Trần Văn Toản, , </v>
      </c>
    </row>
    <row r="51" spans="1:15">
      <c r="A51" s="28" t="str">
        <f>"3."&amp;D51&amp;"."&amp;B51</f>
        <v>3.B.HNO.GL.VSC.201</v>
      </c>
      <c r="B51" s="28" t="str">
        <f>TEXT(COUNTIFS($C$3:C51,C51,$D$3:D51,D51,$F$3:F51,F51)+IF(F51="KT",100,IF(F51="KC",200,IF(F51="DI",300,IF(F51="DN",400,IF(F51="NU",500,IF(F51="DH",600,IF(F51="PC",700,0))))))),"000")</f>
        <v>201</v>
      </c>
      <c r="C51" s="28" t="s">
        <v>10</v>
      </c>
      <c r="D51" s="100" t="s">
        <v>144</v>
      </c>
      <c r="E51" s="28" t="s">
        <v>145</v>
      </c>
      <c r="F51" s="88" t="s">
        <v>132</v>
      </c>
      <c r="G51" s="6" t="s">
        <v>23</v>
      </c>
      <c r="H51" s="6" t="s">
        <v>116</v>
      </c>
      <c r="I51" s="82" t="s">
        <v>63</v>
      </c>
      <c r="J51" s="28" t="s">
        <v>36</v>
      </c>
      <c r="K51" s="28"/>
      <c r="L51" s="28"/>
      <c r="M51" s="96">
        <v>46006</v>
      </c>
      <c r="N51" s="96">
        <v>46183</v>
      </c>
      <c r="O51" s="223" t="str">
        <f t="shared" si="0"/>
        <v xml:space="preserve">Trần Văn Toản, , </v>
      </c>
    </row>
    <row r="52" spans="1:15">
      <c r="A52" s="28" t="str">
        <f>"3."&amp;D52&amp;"."&amp;B52</f>
        <v>3.B.HNO.GL.VSC.301</v>
      </c>
      <c r="B52" s="28" t="str">
        <f>TEXT(COUNTIFS($C$3:C52,C52,$D$3:D52,D52,$F$3:F52,F52)+IF(F52="KT",100,IF(F52="KC",200,IF(F52="DI",300,IF(F52="DN",400,IF(F52="NU",500,IF(F52="DH",600,IF(F52="PC",700,0))))))),"000")</f>
        <v>301</v>
      </c>
      <c r="C52" s="28" t="s">
        <v>10</v>
      </c>
      <c r="D52" s="100" t="s">
        <v>144</v>
      </c>
      <c r="E52" s="28" t="s">
        <v>145</v>
      </c>
      <c r="F52" s="87" t="s">
        <v>140</v>
      </c>
      <c r="G52" s="6" t="s">
        <v>23</v>
      </c>
      <c r="H52" s="6" t="s">
        <v>116</v>
      </c>
      <c r="I52" s="82" t="s">
        <v>63</v>
      </c>
      <c r="J52" s="20" t="s">
        <v>165</v>
      </c>
      <c r="K52" s="20"/>
      <c r="L52" s="20"/>
      <c r="M52" s="96">
        <v>46006</v>
      </c>
      <c r="N52" s="96">
        <v>46179</v>
      </c>
      <c r="O52" s="223" t="str">
        <f t="shared" si="0"/>
        <v xml:space="preserve">Nguyễn Văn Hải, , </v>
      </c>
    </row>
    <row r="53" spans="1:15">
      <c r="A53" s="28" t="str">
        <f>"3."&amp;D53&amp;"."&amp;B53</f>
        <v>3.B.HNO.GL.VSC.401</v>
      </c>
      <c r="B53" s="28" t="str">
        <f>TEXT(COUNTIFS($C$3:C53,C53,$D$3:D53,D53,$F$3:F53,F53)+IF(F53="KT",100,IF(F53="KC",200,IF(F53="DI",300,IF(F53="DN",400,IF(F53="NU",500,IF(F53="DH",600,IF(F53="PC",700,0))))))),"000")</f>
        <v>401</v>
      </c>
      <c r="C53" s="28" t="s">
        <v>10</v>
      </c>
      <c r="D53" s="100" t="s">
        <v>144</v>
      </c>
      <c r="E53" s="28" t="s">
        <v>145</v>
      </c>
      <c r="F53" s="87" t="s">
        <v>148</v>
      </c>
      <c r="G53" s="6" t="s">
        <v>23</v>
      </c>
      <c r="H53" s="6" t="s">
        <v>116</v>
      </c>
      <c r="I53" s="82" t="s">
        <v>63</v>
      </c>
      <c r="J53" s="20" t="s">
        <v>165</v>
      </c>
      <c r="K53" s="20"/>
      <c r="L53" s="20"/>
      <c r="M53" s="96">
        <v>46006</v>
      </c>
      <c r="N53" s="96">
        <v>46179</v>
      </c>
      <c r="O53" s="223" t="str">
        <f t="shared" si="0"/>
        <v xml:space="preserve">Nguyễn Văn Hải, , </v>
      </c>
    </row>
    <row r="54" spans="1:15">
      <c r="A54" s="28" t="str">
        <f>"3."&amp;D54&amp;"."&amp;B54</f>
        <v>3.B.HNO.GL.VSC.501</v>
      </c>
      <c r="B54" s="28" t="str">
        <f>TEXT(COUNTIFS($C$3:C54,C54,$D$3:D54,D54,$F$3:F54,F54)+IF(F54="KT",100,IF(F54="KC",200,IF(F54="DI",300,IF(F54="DN",400,IF(F54="NU",500,IF(F54="DH",600,IF(F54="PC",700,0))))))),"000")</f>
        <v>501</v>
      </c>
      <c r="C54" s="28" t="s">
        <v>10</v>
      </c>
      <c r="D54" s="100" t="s">
        <v>144</v>
      </c>
      <c r="E54" s="28" t="s">
        <v>145</v>
      </c>
      <c r="F54" s="87" t="s">
        <v>154</v>
      </c>
      <c r="G54" s="6" t="s">
        <v>23</v>
      </c>
      <c r="H54" s="6" t="s">
        <v>116</v>
      </c>
      <c r="I54" s="82" t="s">
        <v>63</v>
      </c>
      <c r="J54" s="20" t="s">
        <v>165</v>
      </c>
      <c r="K54" s="20"/>
      <c r="L54" s="20"/>
      <c r="M54" s="96">
        <v>46006</v>
      </c>
      <c r="N54" s="96">
        <v>46179</v>
      </c>
      <c r="O54" s="223" t="str">
        <f t="shared" si="0"/>
        <v xml:space="preserve">Nguyễn Văn Hải, , </v>
      </c>
    </row>
    <row r="55" spans="1:15">
      <c r="A55" s="28" t="str">
        <f>"3."&amp;D55&amp;"."&amp;B55</f>
        <v>3.B.HNO.GL.VSC.601</v>
      </c>
      <c r="B55" s="28" t="str">
        <f>TEXT(COUNTIFS($C$3:C55,C55,$D$3:D55,D55,$F$3:F55,F55)+IF(F55="KT",100,IF(F55="KC",200,IF(F55="DI",300,IF(F55="DN",400,IF(F55="NU",500,IF(F55="DH",600,IF(F55="PC",700,0))))))),"000")</f>
        <v>601</v>
      </c>
      <c r="C55" s="28" t="s">
        <v>10</v>
      </c>
      <c r="D55" s="100" t="s">
        <v>144</v>
      </c>
      <c r="E55" s="28" t="s">
        <v>145</v>
      </c>
      <c r="F55" s="87" t="s">
        <v>164</v>
      </c>
      <c r="G55" s="6" t="s">
        <v>23</v>
      </c>
      <c r="H55" s="6" t="s">
        <v>116</v>
      </c>
      <c r="I55" s="82" t="s">
        <v>63</v>
      </c>
      <c r="J55" s="20" t="s">
        <v>165</v>
      </c>
      <c r="K55" s="20"/>
      <c r="L55" s="20"/>
      <c r="M55" s="96">
        <v>46006</v>
      </c>
      <c r="N55" s="96">
        <v>46179</v>
      </c>
      <c r="O55" s="223" t="str">
        <f t="shared" si="0"/>
        <v xml:space="preserve">Nguyễn Văn Hải, , </v>
      </c>
    </row>
    <row r="56" spans="1:15">
      <c r="A56" s="28" t="str">
        <f>"3."&amp;D56&amp;"."&amp;B56</f>
        <v>3.B.HNO.GL.VSC.701</v>
      </c>
      <c r="B56" s="28" t="str">
        <f>TEXT(COUNTIFS($C$3:C56,C56,$D$3:D56,D56,$F$3:F56,F56)+IF(F56="KT",100,IF(F56="KC",200,IF(F56="DI",300,IF(F56="DN",400,IF(F56="NU",500,IF(F56="DH",600,IF(F56="PC",700,0))))))),"000")</f>
        <v>701</v>
      </c>
      <c r="C56" s="28" t="s">
        <v>10</v>
      </c>
      <c r="D56" s="100" t="s">
        <v>144</v>
      </c>
      <c r="E56" s="28" t="s">
        <v>145</v>
      </c>
      <c r="F56" s="87" t="s">
        <v>159</v>
      </c>
      <c r="G56" s="6" t="s">
        <v>23</v>
      </c>
      <c r="H56" s="6" t="s">
        <v>116</v>
      </c>
      <c r="I56" s="82" t="s">
        <v>63</v>
      </c>
      <c r="J56" s="20" t="s">
        <v>165</v>
      </c>
      <c r="K56" s="20"/>
      <c r="L56" s="20"/>
      <c r="M56" s="96">
        <v>46006</v>
      </c>
      <c r="N56" s="96">
        <v>46179</v>
      </c>
      <c r="O56" s="223" t="str">
        <f t="shared" si="0"/>
        <v xml:space="preserve">Nguyễn Văn Hải, , </v>
      </c>
    </row>
    <row r="57" spans="1:15">
      <c r="A57" s="28" t="str">
        <f>"3."&amp;D57&amp;"."&amp;B57</f>
        <v>3.B.HNO.GL.VUNI.101</v>
      </c>
      <c r="B57" s="28" t="str">
        <f>TEXT(COUNTIFS($C$3:C57,C57,$D$3:D57,D57,$F$3:F57,F57)+IF(F57="KT",100,IF(F57="KC",200,IF(F57="DI",300,IF(F57="DN",400,IF(F57="NU",500,IF(F57="DH",600,IF(F57="PC",700,0))))))),"000")</f>
        <v>101</v>
      </c>
      <c r="C57" s="28" t="s">
        <v>10</v>
      </c>
      <c r="D57" s="100" t="s">
        <v>150</v>
      </c>
      <c r="E57" s="28" t="s">
        <v>151</v>
      </c>
      <c r="F57" s="88" t="s">
        <v>123</v>
      </c>
      <c r="G57" s="6" t="s">
        <v>23</v>
      </c>
      <c r="H57" s="6" t="s">
        <v>116</v>
      </c>
      <c r="I57" s="82" t="s">
        <v>63</v>
      </c>
      <c r="J57" s="28" t="s">
        <v>155</v>
      </c>
      <c r="K57" s="28"/>
      <c r="L57" s="28"/>
      <c r="M57" s="96">
        <v>45945</v>
      </c>
      <c r="N57" s="96">
        <v>46188</v>
      </c>
      <c r="O57" s="223" t="str">
        <f t="shared" si="0"/>
        <v xml:space="preserve">Vũ Thị Thêu, , </v>
      </c>
    </row>
    <row r="58" spans="1:15">
      <c r="A58" s="28" t="str">
        <f>"3."&amp;D58&amp;"."&amp;B58</f>
        <v>3.B.HNO.GL.VUNI.201</v>
      </c>
      <c r="B58" s="28" t="str">
        <f>TEXT(COUNTIFS($C$3:C58,C58,$D$3:D58,D58,$F$3:F58,F58)+IF(F58="KT",100,IF(F58="KC",200,IF(F58="DI",300,IF(F58="DN",400,IF(F58="NU",500,IF(F58="DH",600,IF(F58="PC",700,0))))))),"000")</f>
        <v>201</v>
      </c>
      <c r="C58" s="28" t="s">
        <v>10</v>
      </c>
      <c r="D58" s="100" t="s">
        <v>150</v>
      </c>
      <c r="E58" s="28" t="s">
        <v>151</v>
      </c>
      <c r="F58" s="88" t="s">
        <v>132</v>
      </c>
      <c r="G58" s="6" t="s">
        <v>23</v>
      </c>
      <c r="H58" s="6" t="s">
        <v>116</v>
      </c>
      <c r="I58" s="82" t="s">
        <v>63</v>
      </c>
      <c r="J58" s="28" t="s">
        <v>155</v>
      </c>
      <c r="K58" s="28"/>
      <c r="L58" s="28"/>
      <c r="M58" s="96">
        <v>45947</v>
      </c>
      <c r="N58" s="96">
        <v>46188</v>
      </c>
      <c r="O58" s="223" t="str">
        <f t="shared" si="0"/>
        <v xml:space="preserve">Vũ Thị Thêu, , </v>
      </c>
    </row>
    <row r="59" spans="1:15">
      <c r="A59" s="28" t="str">
        <f>"3."&amp;D59&amp;"."&amp;B59</f>
        <v>3.B.HNO.GL.VUNI.301</v>
      </c>
      <c r="B59" s="28" t="str">
        <f>TEXT(COUNTIFS($C$3:C59,C59,$D$3:D59,D59,$F$3:F59,F59)+IF(F59="KT",100,IF(F59="KC",200,IF(F59="DI",300,IF(F59="DN",400,IF(F59="NU",500,IF(F59="DH",600,IF(F59="PC",700,0))))))),"000")</f>
        <v>301</v>
      </c>
      <c r="C59" s="28" t="s">
        <v>10</v>
      </c>
      <c r="D59" s="100" t="s">
        <v>150</v>
      </c>
      <c r="E59" s="28" t="s">
        <v>151</v>
      </c>
      <c r="F59" s="87" t="s">
        <v>140</v>
      </c>
      <c r="G59" s="6" t="s">
        <v>23</v>
      </c>
      <c r="H59" s="6" t="s">
        <v>116</v>
      </c>
      <c r="I59" s="82" t="s">
        <v>63</v>
      </c>
      <c r="J59" s="20" t="s">
        <v>165</v>
      </c>
      <c r="K59" s="20"/>
      <c r="L59" s="20"/>
      <c r="M59" s="96">
        <v>46009</v>
      </c>
      <c r="N59" s="96">
        <v>46179</v>
      </c>
      <c r="O59" s="223" t="str">
        <f t="shared" si="0"/>
        <v xml:space="preserve">Nguyễn Văn Hải, , </v>
      </c>
    </row>
    <row r="60" spans="1:15">
      <c r="A60" s="28" t="str">
        <f>"3."&amp;D60&amp;"."&amp;B60</f>
        <v>3.B.HNO.GL.VUNI.401</v>
      </c>
      <c r="B60" s="28" t="str">
        <f>TEXT(COUNTIFS($C$3:C60,C60,$D$3:D60,D60,$F$3:F60,F60)+IF(F60="KT",100,IF(F60="KC",200,IF(F60="DI",300,IF(F60="DN",400,IF(F60="NU",500,IF(F60="DH",600,IF(F60="PC",700,0))))))),"000")</f>
        <v>401</v>
      </c>
      <c r="C60" s="28" t="s">
        <v>10</v>
      </c>
      <c r="D60" s="100" t="s">
        <v>150</v>
      </c>
      <c r="E60" s="28" t="s">
        <v>151</v>
      </c>
      <c r="F60" s="87" t="s">
        <v>148</v>
      </c>
      <c r="G60" s="6" t="s">
        <v>23</v>
      </c>
      <c r="H60" s="6" t="s">
        <v>116</v>
      </c>
      <c r="I60" s="82" t="s">
        <v>63</v>
      </c>
      <c r="J60" s="20" t="s">
        <v>165</v>
      </c>
      <c r="K60" s="20"/>
      <c r="L60" s="20"/>
      <c r="M60" s="96">
        <v>46009</v>
      </c>
      <c r="N60" s="96">
        <v>46179</v>
      </c>
      <c r="O60" s="223" t="str">
        <f t="shared" si="0"/>
        <v xml:space="preserve">Nguyễn Văn Hải, , </v>
      </c>
    </row>
    <row r="61" spans="1:15">
      <c r="A61" s="28" t="str">
        <f>"3."&amp;D61&amp;"."&amp;B61</f>
        <v>3.B.HNO.GL.VUNI.501</v>
      </c>
      <c r="B61" s="28" t="str">
        <f>TEXT(COUNTIFS($C$3:C61,C61,$D$3:D61,D61,$F$3:F61,F61)+IF(F61="KT",100,IF(F61="KC",200,IF(F61="DI",300,IF(F61="DN",400,IF(F61="NU",500,IF(F61="DH",600,IF(F61="PC",700,0))))))),"000")</f>
        <v>501</v>
      </c>
      <c r="C61" s="28" t="s">
        <v>10</v>
      </c>
      <c r="D61" s="100" t="s">
        <v>150</v>
      </c>
      <c r="E61" s="28" t="s">
        <v>151</v>
      </c>
      <c r="F61" s="87" t="s">
        <v>154</v>
      </c>
      <c r="G61" s="6" t="s">
        <v>23</v>
      </c>
      <c r="H61" s="6" t="s">
        <v>116</v>
      </c>
      <c r="I61" s="82" t="s">
        <v>63</v>
      </c>
      <c r="J61" s="20" t="s">
        <v>165</v>
      </c>
      <c r="K61" s="20"/>
      <c r="L61" s="20"/>
      <c r="M61" s="96">
        <v>46009</v>
      </c>
      <c r="N61" s="96">
        <v>46179</v>
      </c>
      <c r="O61" s="223" t="str">
        <f t="shared" si="0"/>
        <v xml:space="preserve">Nguyễn Văn Hải, , </v>
      </c>
    </row>
    <row r="62" spans="1:15">
      <c r="A62" s="28" t="str">
        <f>"3."&amp;D62&amp;"."&amp;B62</f>
        <v>3.B.HNO.GL.VUNI.601</v>
      </c>
      <c r="B62" s="28" t="str">
        <f>TEXT(COUNTIFS($C$3:C62,C62,$D$3:D62,D62,$F$3:F62,F62)+IF(F62="KT",100,IF(F62="KC",200,IF(F62="DI",300,IF(F62="DN",400,IF(F62="NU",500,IF(F62="DH",600,IF(F62="PC",700,0))))))),"000")</f>
        <v>601</v>
      </c>
      <c r="C62" s="28" t="s">
        <v>10</v>
      </c>
      <c r="D62" s="100" t="s">
        <v>150</v>
      </c>
      <c r="E62" s="28" t="s">
        <v>151</v>
      </c>
      <c r="F62" s="87" t="s">
        <v>164</v>
      </c>
      <c r="G62" s="6" t="s">
        <v>23</v>
      </c>
      <c r="H62" s="6" t="s">
        <v>116</v>
      </c>
      <c r="I62" s="82" t="s">
        <v>63</v>
      </c>
      <c r="J62" s="20" t="s">
        <v>165</v>
      </c>
      <c r="K62" s="20"/>
      <c r="L62" s="20"/>
      <c r="M62" s="96">
        <v>46009</v>
      </c>
      <c r="N62" s="96">
        <v>46179</v>
      </c>
      <c r="O62" s="223" t="str">
        <f t="shared" si="0"/>
        <v xml:space="preserve">Nguyễn Văn Hải, , </v>
      </c>
    </row>
    <row r="63" spans="1:15">
      <c r="A63" s="28" t="str">
        <f>"3."&amp;D63&amp;"."&amp;B63</f>
        <v>3.B.HNO.GL.VUNI.701</v>
      </c>
      <c r="B63" s="28" t="str">
        <f>TEXT(COUNTIFS($C$3:C63,C63,$D$3:D63,D63,$F$3:F63,F63)+IF(F63="KT",100,IF(F63="KC",200,IF(F63="DI",300,IF(F63="DN",400,IF(F63="NU",500,IF(F63="DH",600,IF(F63="PC",700,0))))))),"000")</f>
        <v>701</v>
      </c>
      <c r="C63" s="28" t="s">
        <v>10</v>
      </c>
      <c r="D63" s="100" t="s">
        <v>150</v>
      </c>
      <c r="E63" s="28" t="s">
        <v>151</v>
      </c>
      <c r="F63" s="87" t="s">
        <v>159</v>
      </c>
      <c r="G63" s="6" t="s">
        <v>23</v>
      </c>
      <c r="H63" s="6" t="s">
        <v>116</v>
      </c>
      <c r="I63" s="82" t="s">
        <v>63</v>
      </c>
      <c r="J63" s="20" t="s">
        <v>165</v>
      </c>
      <c r="K63" s="20"/>
      <c r="L63" s="20"/>
      <c r="M63" s="96">
        <v>46009</v>
      </c>
      <c r="N63" s="96">
        <v>46179</v>
      </c>
      <c r="O63" s="223" t="str">
        <f t="shared" si="0"/>
        <v xml:space="preserve">Nguyễn Văn Hải, , </v>
      </c>
    </row>
    <row r="64" spans="1:15">
      <c r="A64" s="28" t="str">
        <f>"3."&amp;D64&amp;"."&amp;B64</f>
        <v>3.B.HNO.GL.VUNI.102</v>
      </c>
      <c r="B64" s="28" t="str">
        <f>TEXT(COUNTIFS($C$3:C64,C64,$D$3:D64,D64,$F$3:F64,F64)+IF(F64="KT",100,IF(F64="KC",200,IF(F64="DI",300,IF(F64="DN",400,IF(F64="NU",500,IF(F64="DH",600,IF(F64="PC",700,0))))))),"000")</f>
        <v>102</v>
      </c>
      <c r="C64" s="28" t="s">
        <v>10</v>
      </c>
      <c r="D64" s="100" t="s">
        <v>150</v>
      </c>
      <c r="E64" s="28" t="s">
        <v>157</v>
      </c>
      <c r="F64" s="88" t="s">
        <v>123</v>
      </c>
      <c r="G64" s="6" t="s">
        <v>23</v>
      </c>
      <c r="H64" s="6" t="s">
        <v>116</v>
      </c>
      <c r="I64" s="82" t="s">
        <v>63</v>
      </c>
      <c r="J64" s="28" t="s">
        <v>155</v>
      </c>
      <c r="K64" s="28"/>
      <c r="L64" s="28"/>
      <c r="M64" s="96">
        <v>45945</v>
      </c>
      <c r="N64" s="96">
        <v>46188</v>
      </c>
      <c r="O64" s="223" t="str">
        <f t="shared" si="0"/>
        <v xml:space="preserve">Vũ Thị Thêu, , </v>
      </c>
    </row>
    <row r="65" spans="1:15">
      <c r="A65" s="28" t="str">
        <f>"3."&amp;D65&amp;"."&amp;B65</f>
        <v>3.B.HNO.GL.VUNI.202</v>
      </c>
      <c r="B65" s="28" t="str">
        <f>TEXT(COUNTIFS($C$3:C65,C65,$D$3:D65,D65,$F$3:F65,F65)+IF(F65="KT",100,IF(F65="KC",200,IF(F65="DI",300,IF(F65="DN",400,IF(F65="NU",500,IF(F65="DH",600,IF(F65="PC",700,0))))))),"000")</f>
        <v>202</v>
      </c>
      <c r="C65" s="28" t="s">
        <v>10</v>
      </c>
      <c r="D65" s="100" t="s">
        <v>150</v>
      </c>
      <c r="E65" s="28" t="s">
        <v>157</v>
      </c>
      <c r="F65" s="88" t="s">
        <v>132</v>
      </c>
      <c r="G65" s="6" t="s">
        <v>23</v>
      </c>
      <c r="H65" s="6" t="s">
        <v>116</v>
      </c>
      <c r="I65" s="82" t="s">
        <v>63</v>
      </c>
      <c r="J65" s="28" t="s">
        <v>155</v>
      </c>
      <c r="K65" s="28"/>
      <c r="L65" s="28"/>
      <c r="M65" s="96">
        <v>45947</v>
      </c>
      <c r="N65" s="96">
        <v>46188</v>
      </c>
      <c r="O65" s="223" t="str">
        <f t="shared" si="0"/>
        <v xml:space="preserve">Vũ Thị Thêu, , </v>
      </c>
    </row>
    <row r="66" spans="1:15">
      <c r="A66" s="28" t="str">
        <f>"3."&amp;D66&amp;"."&amp;B66</f>
        <v>3.B.HNO.GL.VUNI.302</v>
      </c>
      <c r="B66" s="28" t="str">
        <f>TEXT(COUNTIFS($C$3:C66,C66,$D$3:D66,D66,$F$3:F66,F66)+IF(F66="KT",100,IF(F66="KC",200,IF(F66="DI",300,IF(F66="DN",400,IF(F66="NU",500,IF(F66="DH",600,IF(F66="PC",700,0))))))),"000")</f>
        <v>302</v>
      </c>
      <c r="C66" s="28" t="s">
        <v>10</v>
      </c>
      <c r="D66" s="100" t="s">
        <v>150</v>
      </c>
      <c r="E66" s="28" t="s">
        <v>157</v>
      </c>
      <c r="F66" s="87" t="s">
        <v>140</v>
      </c>
      <c r="G66" s="6" t="s">
        <v>23</v>
      </c>
      <c r="H66" s="6" t="s">
        <v>116</v>
      </c>
      <c r="I66" s="82" t="s">
        <v>63</v>
      </c>
      <c r="J66" s="20" t="s">
        <v>165</v>
      </c>
      <c r="K66" s="20"/>
      <c r="L66" s="20"/>
      <c r="M66" s="96">
        <v>46009</v>
      </c>
      <c r="N66" s="96">
        <v>46179</v>
      </c>
      <c r="O66" s="223" t="str">
        <f t="shared" si="0"/>
        <v xml:space="preserve">Nguyễn Văn Hải, , </v>
      </c>
    </row>
    <row r="67" spans="1:15">
      <c r="A67" s="28" t="str">
        <f>"3."&amp;D67&amp;"."&amp;B67</f>
        <v>3.B.HNO.GL.VUNI.402</v>
      </c>
      <c r="B67" s="28" t="str">
        <f>TEXT(COUNTIFS($C$3:C67,C67,$D$3:D67,D67,$F$3:F67,F67)+IF(F67="KT",100,IF(F67="KC",200,IF(F67="DI",300,IF(F67="DN",400,IF(F67="NU",500,IF(F67="DH",600,IF(F67="PC",700,0))))))),"000")</f>
        <v>402</v>
      </c>
      <c r="C67" s="28" t="s">
        <v>10</v>
      </c>
      <c r="D67" s="100" t="s">
        <v>150</v>
      </c>
      <c r="E67" s="28" t="s">
        <v>157</v>
      </c>
      <c r="F67" s="87" t="s">
        <v>148</v>
      </c>
      <c r="G67" s="6" t="s">
        <v>23</v>
      </c>
      <c r="H67" s="6" t="s">
        <v>116</v>
      </c>
      <c r="I67" s="82" t="s">
        <v>63</v>
      </c>
      <c r="J67" s="20" t="s">
        <v>165</v>
      </c>
      <c r="K67" s="20"/>
      <c r="L67" s="20"/>
      <c r="M67" s="96">
        <v>46009</v>
      </c>
      <c r="N67" s="96">
        <v>46179</v>
      </c>
      <c r="O67" s="223" t="str">
        <f t="shared" si="0"/>
        <v xml:space="preserve">Nguyễn Văn Hải, , </v>
      </c>
    </row>
    <row r="68" spans="1:15">
      <c r="A68" s="28" t="str">
        <f>"3."&amp;D68&amp;"."&amp;B68</f>
        <v>3.B.HNO.GL.VUNI.502</v>
      </c>
      <c r="B68" s="28" t="str">
        <f>TEXT(COUNTIFS($C$3:C68,C68,$D$3:D68,D68,$F$3:F68,F68)+IF(F68="KT",100,IF(F68="KC",200,IF(F68="DI",300,IF(F68="DN",400,IF(F68="NU",500,IF(F68="DH",600,IF(F68="PC",700,0))))))),"000")</f>
        <v>502</v>
      </c>
      <c r="C68" s="28" t="s">
        <v>10</v>
      </c>
      <c r="D68" s="100" t="s">
        <v>150</v>
      </c>
      <c r="E68" s="28" t="s">
        <v>157</v>
      </c>
      <c r="F68" s="87" t="s">
        <v>154</v>
      </c>
      <c r="G68" s="6" t="s">
        <v>23</v>
      </c>
      <c r="H68" s="6" t="s">
        <v>116</v>
      </c>
      <c r="I68" s="82" t="s">
        <v>63</v>
      </c>
      <c r="J68" s="20" t="s">
        <v>165</v>
      </c>
      <c r="K68" s="20"/>
      <c r="L68" s="20"/>
      <c r="M68" s="96">
        <v>46009</v>
      </c>
      <c r="N68" s="96">
        <v>46179</v>
      </c>
      <c r="O68" s="223" t="str">
        <f t="shared" ref="O68:O130" si="2">J68&amp;", "&amp;K68&amp;", "&amp;L68</f>
        <v xml:space="preserve">Nguyễn Văn Hải, , </v>
      </c>
    </row>
    <row r="69" spans="1:15">
      <c r="A69" s="28" t="str">
        <f>"3."&amp;D69&amp;"."&amp;B69</f>
        <v>3.B.HNO.GL.VUNI.602</v>
      </c>
      <c r="B69" s="28" t="str">
        <f>TEXT(COUNTIFS($C$3:C69,C69,$D$3:D69,D69,$F$3:F69,F69)+IF(F69="KT",100,IF(F69="KC",200,IF(F69="DI",300,IF(F69="DN",400,IF(F69="NU",500,IF(F69="DH",600,IF(F69="PC",700,0))))))),"000")</f>
        <v>602</v>
      </c>
      <c r="C69" s="28" t="s">
        <v>10</v>
      </c>
      <c r="D69" s="100" t="s">
        <v>150</v>
      </c>
      <c r="E69" s="28" t="s">
        <v>157</v>
      </c>
      <c r="F69" s="87" t="s">
        <v>164</v>
      </c>
      <c r="G69" s="6" t="s">
        <v>23</v>
      </c>
      <c r="H69" s="6" t="s">
        <v>116</v>
      </c>
      <c r="I69" s="82" t="s">
        <v>63</v>
      </c>
      <c r="J69" s="20" t="s">
        <v>165</v>
      </c>
      <c r="K69" s="20"/>
      <c r="L69" s="20"/>
      <c r="M69" s="96">
        <v>46009</v>
      </c>
      <c r="N69" s="96">
        <v>46179</v>
      </c>
      <c r="O69" s="223" t="str">
        <f t="shared" si="2"/>
        <v xml:space="preserve">Nguyễn Văn Hải, , </v>
      </c>
    </row>
    <row r="70" spans="1:15">
      <c r="A70" s="28" t="str">
        <f>"3."&amp;D70&amp;"."&amp;B70</f>
        <v>3.B.HNO.GL.VUNI.702</v>
      </c>
      <c r="B70" s="28" t="str">
        <f>TEXT(COUNTIFS($C$3:C70,C70,$D$3:D70,D70,$F$3:F70,F70)+IF(F70="KT",100,IF(F70="KC",200,IF(F70="DI",300,IF(F70="DN",400,IF(F70="NU",500,IF(F70="DH",600,IF(F70="PC",700,0))))))),"000")</f>
        <v>702</v>
      </c>
      <c r="C70" s="28" t="s">
        <v>10</v>
      </c>
      <c r="D70" s="100" t="s">
        <v>150</v>
      </c>
      <c r="E70" s="28" t="s">
        <v>157</v>
      </c>
      <c r="F70" s="87" t="s">
        <v>159</v>
      </c>
      <c r="G70" s="6" t="s">
        <v>23</v>
      </c>
      <c r="H70" s="6" t="s">
        <v>116</v>
      </c>
      <c r="I70" s="82" t="s">
        <v>63</v>
      </c>
      <c r="J70" s="20" t="s">
        <v>165</v>
      </c>
      <c r="K70" s="20"/>
      <c r="L70" s="20"/>
      <c r="M70" s="96">
        <v>46009</v>
      </c>
      <c r="N70" s="96">
        <v>46179</v>
      </c>
      <c r="O70" s="223" t="str">
        <f t="shared" si="2"/>
        <v xml:space="preserve">Nguyễn Văn Hải, , </v>
      </c>
    </row>
    <row r="71" spans="1:15">
      <c r="A71" s="28" t="str">
        <f>"3."&amp;D71&amp;"."&amp;B71</f>
        <v>3.B.HNO.GL.VUNI.103</v>
      </c>
      <c r="B71" s="28" t="str">
        <f>TEXT(COUNTIFS($C$3:C71,C71,$D$3:D71,D71,$F$3:F71,F71)+IF(F71="KT",100,IF(F71="KC",200,IF(F71="DI",300,IF(F71="DN",400,IF(F71="NU",500,IF(F71="DH",600,IF(F71="PC",700,0))))))),"000")</f>
        <v>103</v>
      </c>
      <c r="C71" s="28" t="s">
        <v>10</v>
      </c>
      <c r="D71" s="100" t="s">
        <v>150</v>
      </c>
      <c r="E71" s="28" t="s">
        <v>162</v>
      </c>
      <c r="F71" s="88" t="s">
        <v>123</v>
      </c>
      <c r="G71" s="6" t="s">
        <v>23</v>
      </c>
      <c r="H71" s="6" t="s">
        <v>116</v>
      </c>
      <c r="I71" s="82" t="s">
        <v>63</v>
      </c>
      <c r="J71" s="28" t="s">
        <v>155</v>
      </c>
      <c r="K71" s="28"/>
      <c r="L71" s="28"/>
      <c r="M71" s="96">
        <v>45945</v>
      </c>
      <c r="N71" s="96">
        <v>46188</v>
      </c>
      <c r="O71" s="223" t="str">
        <f t="shared" si="2"/>
        <v xml:space="preserve">Vũ Thị Thêu, , </v>
      </c>
    </row>
    <row r="72" spans="1:15">
      <c r="A72" s="28" t="str">
        <f>"3."&amp;D72&amp;"."&amp;B72</f>
        <v>3.B.HNO.GL.VUNI.203</v>
      </c>
      <c r="B72" s="28" t="str">
        <f>TEXT(COUNTIFS($C$3:C72,C72,$D$3:D72,D72,$F$3:F72,F72)+IF(F72="KT",100,IF(F72="KC",200,IF(F72="DI",300,IF(F72="DN",400,IF(F72="NU",500,IF(F72="DH",600,IF(F72="PC",700,0))))))),"000")</f>
        <v>203</v>
      </c>
      <c r="C72" s="28" t="s">
        <v>10</v>
      </c>
      <c r="D72" s="100" t="s">
        <v>150</v>
      </c>
      <c r="E72" s="28" t="s">
        <v>162</v>
      </c>
      <c r="F72" s="88" t="s">
        <v>132</v>
      </c>
      <c r="G72" s="6" t="s">
        <v>23</v>
      </c>
      <c r="H72" s="6" t="s">
        <v>116</v>
      </c>
      <c r="I72" s="82" t="s">
        <v>63</v>
      </c>
      <c r="J72" s="28" t="s">
        <v>155</v>
      </c>
      <c r="K72" s="28"/>
      <c r="L72" s="28"/>
      <c r="M72" s="96">
        <v>45947</v>
      </c>
      <c r="N72" s="96">
        <v>46188</v>
      </c>
      <c r="O72" s="223" t="str">
        <f t="shared" si="2"/>
        <v xml:space="preserve">Vũ Thị Thêu, , </v>
      </c>
    </row>
    <row r="73" spans="1:15">
      <c r="A73" s="28" t="str">
        <f>"3."&amp;D73&amp;"."&amp;B73</f>
        <v>3.B.HNO.GL.VUNI.303</v>
      </c>
      <c r="B73" s="28" t="str">
        <f>TEXT(COUNTIFS($C$3:C73,C73,$D$3:D73,D73,$F$3:F73,F73)+IF(F73="KT",100,IF(F73="KC",200,IF(F73="DI",300,IF(F73="DN",400,IF(F73="NU",500,IF(F73="DH",600,IF(F73="PC",700,0))))))),"000")</f>
        <v>303</v>
      </c>
      <c r="C73" s="28" t="s">
        <v>10</v>
      </c>
      <c r="D73" s="100" t="s">
        <v>150</v>
      </c>
      <c r="E73" s="28" t="s">
        <v>162</v>
      </c>
      <c r="F73" s="87" t="s">
        <v>140</v>
      </c>
      <c r="G73" s="6" t="s">
        <v>23</v>
      </c>
      <c r="H73" s="6" t="s">
        <v>116</v>
      </c>
      <c r="I73" s="82" t="s">
        <v>63</v>
      </c>
      <c r="J73" s="20" t="s">
        <v>165</v>
      </c>
      <c r="K73" s="20"/>
      <c r="L73" s="20"/>
      <c r="M73" s="96">
        <v>46009</v>
      </c>
      <c r="N73" s="96">
        <v>46179</v>
      </c>
      <c r="O73" s="223" t="str">
        <f t="shared" si="2"/>
        <v xml:space="preserve">Nguyễn Văn Hải, , </v>
      </c>
    </row>
    <row r="74" spans="1:15">
      <c r="A74" s="28" t="str">
        <f>"3."&amp;D74&amp;"."&amp;B74</f>
        <v>3.B.HNO.GL.VUNI.403</v>
      </c>
      <c r="B74" s="28" t="str">
        <f>TEXT(COUNTIFS($C$3:C74,C74,$D$3:D74,D74,$F$3:F74,F74)+IF(F74="KT",100,IF(F74="KC",200,IF(F74="DI",300,IF(F74="DN",400,IF(F74="NU",500,IF(F74="DH",600,IF(F74="PC",700,0))))))),"000")</f>
        <v>403</v>
      </c>
      <c r="C74" s="28" t="s">
        <v>10</v>
      </c>
      <c r="D74" s="100" t="s">
        <v>150</v>
      </c>
      <c r="E74" s="28" t="s">
        <v>162</v>
      </c>
      <c r="F74" s="87" t="s">
        <v>148</v>
      </c>
      <c r="G74" s="6" t="s">
        <v>23</v>
      </c>
      <c r="H74" s="6" t="s">
        <v>116</v>
      </c>
      <c r="I74" s="82" t="s">
        <v>63</v>
      </c>
      <c r="J74" s="20" t="s">
        <v>165</v>
      </c>
      <c r="K74" s="20"/>
      <c r="L74" s="20"/>
      <c r="M74" s="96">
        <v>46009</v>
      </c>
      <c r="N74" s="96">
        <v>46179</v>
      </c>
      <c r="O74" s="223" t="str">
        <f t="shared" si="2"/>
        <v xml:space="preserve">Nguyễn Văn Hải, , </v>
      </c>
    </row>
    <row r="75" spans="1:15">
      <c r="A75" s="28" t="str">
        <f>"3."&amp;D75&amp;"."&amp;B75</f>
        <v>3.B.HNO.GL.VUNI.503</v>
      </c>
      <c r="B75" s="28" t="str">
        <f>TEXT(COUNTIFS($C$3:C75,C75,$D$3:D75,D75,$F$3:F75,F75)+IF(F75="KT",100,IF(F75="KC",200,IF(F75="DI",300,IF(F75="DN",400,IF(F75="NU",500,IF(F75="DH",600,IF(F75="PC",700,0))))))),"000")</f>
        <v>503</v>
      </c>
      <c r="C75" s="28" t="s">
        <v>10</v>
      </c>
      <c r="D75" s="100" t="s">
        <v>150</v>
      </c>
      <c r="E75" s="28" t="s">
        <v>162</v>
      </c>
      <c r="F75" s="87" t="s">
        <v>154</v>
      </c>
      <c r="G75" s="6" t="s">
        <v>23</v>
      </c>
      <c r="H75" s="6" t="s">
        <v>116</v>
      </c>
      <c r="I75" s="82" t="s">
        <v>63</v>
      </c>
      <c r="J75" s="20" t="s">
        <v>165</v>
      </c>
      <c r="K75" s="20"/>
      <c r="L75" s="20"/>
      <c r="M75" s="96">
        <v>46009</v>
      </c>
      <c r="N75" s="96">
        <v>46179</v>
      </c>
      <c r="O75" s="223" t="str">
        <f t="shared" si="2"/>
        <v xml:space="preserve">Nguyễn Văn Hải, , </v>
      </c>
    </row>
    <row r="76" spans="1:15">
      <c r="A76" s="28" t="str">
        <f>"3."&amp;D76&amp;"."&amp;B76</f>
        <v>3.B.HNO.GL.VUNI.603</v>
      </c>
      <c r="B76" s="28" t="str">
        <f>TEXT(COUNTIFS($C$3:C76,C76,$D$3:D76,D76,$F$3:F76,F76)+IF(F76="KT",100,IF(F76="KC",200,IF(F76="DI",300,IF(F76="DN",400,IF(F76="NU",500,IF(F76="DH",600,IF(F76="PC",700,0))))))),"000")</f>
        <v>603</v>
      </c>
      <c r="C76" s="28" t="s">
        <v>10</v>
      </c>
      <c r="D76" s="100" t="s">
        <v>150</v>
      </c>
      <c r="E76" s="28" t="s">
        <v>162</v>
      </c>
      <c r="F76" s="87" t="s">
        <v>164</v>
      </c>
      <c r="G76" s="6" t="s">
        <v>23</v>
      </c>
      <c r="H76" s="6" t="s">
        <v>116</v>
      </c>
      <c r="I76" s="82" t="s">
        <v>63</v>
      </c>
      <c r="J76" s="20" t="s">
        <v>165</v>
      </c>
      <c r="K76" s="20"/>
      <c r="L76" s="20"/>
      <c r="M76" s="96">
        <v>46009</v>
      </c>
      <c r="N76" s="96">
        <v>46179</v>
      </c>
      <c r="O76" s="223" t="str">
        <f t="shared" si="2"/>
        <v xml:space="preserve">Nguyễn Văn Hải, , </v>
      </c>
    </row>
    <row r="77" spans="1:15">
      <c r="A77" s="28" t="str">
        <f>"3."&amp;D77&amp;"."&amp;B77</f>
        <v>3.B.HNO.GL.VUNI.703</v>
      </c>
      <c r="B77" s="28" t="str">
        <f>TEXT(COUNTIFS($C$3:C77,C77,$D$3:D77,D77,$F$3:F77,F77)+IF(F77="KT",100,IF(F77="KC",200,IF(F77="DI",300,IF(F77="DN",400,IF(F77="NU",500,IF(F77="DH",600,IF(F77="PC",700,0))))))),"000")</f>
        <v>703</v>
      </c>
      <c r="C77" s="28" t="s">
        <v>10</v>
      </c>
      <c r="D77" s="100" t="s">
        <v>150</v>
      </c>
      <c r="E77" s="28" t="s">
        <v>162</v>
      </c>
      <c r="F77" s="87" t="s">
        <v>159</v>
      </c>
      <c r="G77" s="6" t="s">
        <v>23</v>
      </c>
      <c r="H77" s="6" t="s">
        <v>116</v>
      </c>
      <c r="I77" s="82" t="s">
        <v>63</v>
      </c>
      <c r="J77" s="20" t="s">
        <v>165</v>
      </c>
      <c r="K77" s="20"/>
      <c r="L77" s="20"/>
      <c r="M77" s="96">
        <v>46009</v>
      </c>
      <c r="N77" s="96">
        <v>46179</v>
      </c>
      <c r="O77" s="223" t="str">
        <f t="shared" si="2"/>
        <v xml:space="preserve">Nguyễn Văn Hải, , </v>
      </c>
    </row>
    <row r="78" spans="1:15">
      <c r="A78" s="28" t="str">
        <f>"3."&amp;D78&amp;"."&amp;B78</f>
        <v>3.B.HNO.GL.VUNI.104</v>
      </c>
      <c r="B78" s="28" t="str">
        <f>TEXT(COUNTIFS($C$3:C78,C78,$D$3:D78,D78,$F$3:F78,F78)+IF(F78="KT",100,IF(F78="KC",200,IF(F78="DI",300,IF(F78="DN",400,IF(F78="NU",500,IF(F78="DH",600,IF(F78="PC",700,0))))))),"000")</f>
        <v>104</v>
      </c>
      <c r="C78" s="28" t="s">
        <v>10</v>
      </c>
      <c r="D78" s="100" t="s">
        <v>150</v>
      </c>
      <c r="E78" s="28" t="s">
        <v>167</v>
      </c>
      <c r="F78" s="88" t="s">
        <v>123</v>
      </c>
      <c r="G78" s="6" t="s">
        <v>23</v>
      </c>
      <c r="H78" s="6" t="s">
        <v>116</v>
      </c>
      <c r="I78" s="82" t="s">
        <v>63</v>
      </c>
      <c r="J78" s="28" t="s">
        <v>155</v>
      </c>
      <c r="K78" s="28"/>
      <c r="L78" s="28"/>
      <c r="M78" s="96">
        <v>45906</v>
      </c>
      <c r="N78" s="96">
        <v>46186</v>
      </c>
      <c r="O78" s="223" t="str">
        <f t="shared" si="2"/>
        <v xml:space="preserve">Vũ Thị Thêu, , </v>
      </c>
    </row>
    <row r="79" spans="1:15">
      <c r="A79" s="28" t="str">
        <f>"3."&amp;D79&amp;"."&amp;B79</f>
        <v>3.B.HNO.GL.VUNI.204</v>
      </c>
      <c r="B79" s="28" t="str">
        <f>TEXT(COUNTIFS($C$3:C79,C79,$D$3:D79,D79,$F$3:F79,F79)+IF(F79="KT",100,IF(F79="KC",200,IF(F79="DI",300,IF(F79="DN",400,IF(F79="NU",500,IF(F79="DH",600,IF(F79="PC",700,0))))))),"000")</f>
        <v>204</v>
      </c>
      <c r="C79" s="28" t="s">
        <v>10</v>
      </c>
      <c r="D79" s="100" t="s">
        <v>150</v>
      </c>
      <c r="E79" s="28" t="s">
        <v>167</v>
      </c>
      <c r="F79" s="88" t="s">
        <v>132</v>
      </c>
      <c r="G79" s="6" t="s">
        <v>23</v>
      </c>
      <c r="H79" s="6" t="s">
        <v>116</v>
      </c>
      <c r="I79" s="82" t="s">
        <v>63</v>
      </c>
      <c r="J79" s="28" t="s">
        <v>155</v>
      </c>
      <c r="K79" s="28"/>
      <c r="L79" s="28"/>
      <c r="M79" s="96">
        <v>45918</v>
      </c>
      <c r="N79" s="96">
        <v>46186</v>
      </c>
      <c r="O79" s="223" t="str">
        <f t="shared" si="2"/>
        <v xml:space="preserve">Vũ Thị Thêu, , </v>
      </c>
    </row>
    <row r="80" spans="1:15">
      <c r="A80" s="28" t="str">
        <f>"3."&amp;D80&amp;"."&amp;B80</f>
        <v>3.B.HNO.GL.VUNI.105</v>
      </c>
      <c r="B80" s="28" t="str">
        <f>TEXT(COUNTIFS($C$3:C80,C80,$D$3:D80,D80,$F$3:F80,F80)+IF(F80="KT",100,IF(F80="KC",200,IF(F80="DI",300,IF(F80="DN",400,IF(F80="NU",500,IF(F80="DH",600,IF(F80="PC",700,0))))))),"000")</f>
        <v>105</v>
      </c>
      <c r="C80" s="28" t="s">
        <v>10</v>
      </c>
      <c r="D80" s="100" t="s">
        <v>150</v>
      </c>
      <c r="E80" s="28" t="s">
        <v>172</v>
      </c>
      <c r="F80" s="88" t="s">
        <v>123</v>
      </c>
      <c r="G80" s="6" t="s">
        <v>23</v>
      </c>
      <c r="H80" s="6" t="s">
        <v>116</v>
      </c>
      <c r="I80" s="82" t="s">
        <v>63</v>
      </c>
      <c r="J80" s="28" t="s">
        <v>155</v>
      </c>
      <c r="K80" s="28"/>
      <c r="L80" s="28"/>
      <c r="M80" s="96">
        <v>45906</v>
      </c>
      <c r="N80" s="96">
        <v>46186</v>
      </c>
      <c r="O80" s="223" t="str">
        <f t="shared" si="2"/>
        <v xml:space="preserve">Vũ Thị Thêu, , </v>
      </c>
    </row>
    <row r="81" spans="1:15">
      <c r="A81" s="28" t="str">
        <f>"3."&amp;D81&amp;"."&amp;B81</f>
        <v>3.B.HNO.GL.VUNI.205</v>
      </c>
      <c r="B81" s="28" t="str">
        <f>TEXT(COUNTIFS($C$3:C81,C81,$D$3:D81,D81,$F$3:F81,F81)+IF(F81="KT",100,IF(F81="KC",200,IF(F81="DI",300,IF(F81="DN",400,IF(F81="NU",500,IF(F81="DH",600,IF(F81="PC",700,0))))))),"000")</f>
        <v>205</v>
      </c>
      <c r="C81" s="28" t="s">
        <v>10</v>
      </c>
      <c r="D81" s="100" t="s">
        <v>150</v>
      </c>
      <c r="E81" s="28" t="s">
        <v>172</v>
      </c>
      <c r="F81" s="88" t="s">
        <v>132</v>
      </c>
      <c r="G81" s="6" t="s">
        <v>23</v>
      </c>
      <c r="H81" s="6" t="s">
        <v>116</v>
      </c>
      <c r="I81" s="82" t="s">
        <v>63</v>
      </c>
      <c r="J81" s="28" t="s">
        <v>155</v>
      </c>
      <c r="K81" s="28"/>
      <c r="L81" s="28"/>
      <c r="M81" s="96">
        <v>45918</v>
      </c>
      <c r="N81" s="96">
        <v>46186</v>
      </c>
      <c r="O81" s="223" t="str">
        <f t="shared" si="2"/>
        <v xml:space="preserve">Vũ Thị Thêu, , </v>
      </c>
    </row>
    <row r="82" spans="1:15">
      <c r="A82" s="28" t="str">
        <f>"3."&amp;D82&amp;"."&amp;B82</f>
        <v>3.B.HNO.TMDM.VSC.101</v>
      </c>
      <c r="B82" s="28" t="str">
        <f>TEXT(COUNTIFS($C$3:C82,C82,$D$3:D82,D82,$F$3:F82,F82)+IF(F82="KT",100,IF(F82="KC",200,IF(F82="DI",300,IF(F82="DN",400,IF(F82="NU",500,IF(F82="DH",600,IF(F82="PC",700,0))))))),"000")</f>
        <v>101</v>
      </c>
      <c r="C82" s="28" t="s">
        <v>10</v>
      </c>
      <c r="D82" s="100" t="s">
        <v>177</v>
      </c>
      <c r="E82" s="28" t="s">
        <v>178</v>
      </c>
      <c r="F82" s="88" t="s">
        <v>123</v>
      </c>
      <c r="G82" s="6" t="s">
        <v>23</v>
      </c>
      <c r="H82" s="6" t="s">
        <v>116</v>
      </c>
      <c r="I82" s="82" t="s">
        <v>63</v>
      </c>
      <c r="J82" s="28" t="s">
        <v>34</v>
      </c>
      <c r="K82" s="28"/>
      <c r="L82" s="28"/>
      <c r="M82" s="96">
        <v>46066</v>
      </c>
      <c r="N82" s="96">
        <v>46171</v>
      </c>
      <c r="O82" s="223" t="str">
        <f t="shared" si="2"/>
        <v xml:space="preserve">Trần Văn Diện, , </v>
      </c>
    </row>
    <row r="83" spans="1:15">
      <c r="A83" s="28" t="str">
        <f>"3."&amp;D83&amp;"."&amp;B83</f>
        <v>3.B.HNO.TMDM.VSC.201</v>
      </c>
      <c r="B83" s="28" t="str">
        <f>TEXT(COUNTIFS($C$3:C83,C83,$D$3:D83,D83,$F$3:F83,F83)+IF(F83="KT",100,IF(F83="KC",200,IF(F83="DI",300,IF(F83="DN",400,IF(F83="NU",500,IF(F83="DH",600,IF(F83="PC",700,0))))))),"000")</f>
        <v>201</v>
      </c>
      <c r="C83" s="28" t="s">
        <v>10</v>
      </c>
      <c r="D83" s="100" t="s">
        <v>177</v>
      </c>
      <c r="E83" s="28" t="s">
        <v>178</v>
      </c>
      <c r="F83" s="88" t="s">
        <v>132</v>
      </c>
      <c r="G83" s="6" t="s">
        <v>23</v>
      </c>
      <c r="H83" s="6" t="s">
        <v>116</v>
      </c>
      <c r="I83" s="82" t="s">
        <v>63</v>
      </c>
      <c r="J83" s="28" t="s">
        <v>34</v>
      </c>
      <c r="K83" s="28"/>
      <c r="L83" s="28"/>
      <c r="M83" s="96">
        <v>46087</v>
      </c>
      <c r="N83" s="96">
        <v>46171</v>
      </c>
      <c r="O83" s="223" t="str">
        <f t="shared" si="2"/>
        <v xml:space="preserve">Trần Văn Diện, , </v>
      </c>
    </row>
    <row r="84" spans="1:15">
      <c r="A84" s="28" t="str">
        <f>"3."&amp;D84&amp;"."&amp;B84</f>
        <v>3.B.HNO.TMDM.VSC.301</v>
      </c>
      <c r="B84" s="28" t="str">
        <f>TEXT(COUNTIFS($C$3:C84,C84,$D$3:D84,D84,$F$3:F84,F84)+IF(F84="KT",100,IF(F84="KC",200,IF(F84="DI",300,IF(F84="DN",400,IF(F84="NU",500,IF(F84="DH",600,IF(F84="PC",700,0))))))),"000")</f>
        <v>301</v>
      </c>
      <c r="C84" s="28" t="s">
        <v>10</v>
      </c>
      <c r="D84" s="100" t="s">
        <v>177</v>
      </c>
      <c r="E84" s="28" t="s">
        <v>178</v>
      </c>
      <c r="F84" s="87" t="s">
        <v>140</v>
      </c>
      <c r="G84" s="6" t="s">
        <v>23</v>
      </c>
      <c r="H84" s="6" t="s">
        <v>116</v>
      </c>
      <c r="I84" s="82" t="s">
        <v>63</v>
      </c>
      <c r="J84" s="20" t="s">
        <v>165</v>
      </c>
      <c r="K84" s="20"/>
      <c r="L84" s="20"/>
      <c r="M84" s="96">
        <v>46087</v>
      </c>
      <c r="N84" s="96">
        <v>46179</v>
      </c>
      <c r="O84" s="223" t="str">
        <f t="shared" si="2"/>
        <v xml:space="preserve">Nguyễn Văn Hải, , </v>
      </c>
    </row>
    <row r="85" spans="1:15">
      <c r="A85" s="28" t="str">
        <f>"3."&amp;D85&amp;"."&amp;B85</f>
        <v>3.B.HNO.TMDM.VSC.401</v>
      </c>
      <c r="B85" s="28" t="str">
        <f>TEXT(COUNTIFS($C$3:C85,C85,$D$3:D85,D85,$F$3:F85,F85)+IF(F85="KT",100,IF(F85="KC",200,IF(F85="DI",300,IF(F85="DN",400,IF(F85="NU",500,IF(F85="DH",600,IF(F85="PC",700,0))))))),"000")</f>
        <v>401</v>
      </c>
      <c r="C85" s="28" t="s">
        <v>10</v>
      </c>
      <c r="D85" s="100" t="s">
        <v>177</v>
      </c>
      <c r="E85" s="28" t="s">
        <v>178</v>
      </c>
      <c r="F85" s="87" t="s">
        <v>148</v>
      </c>
      <c r="G85" s="6" t="s">
        <v>23</v>
      </c>
      <c r="H85" s="6" t="s">
        <v>116</v>
      </c>
      <c r="I85" s="82" t="s">
        <v>63</v>
      </c>
      <c r="J85" s="20" t="s">
        <v>165</v>
      </c>
      <c r="K85" s="20"/>
      <c r="L85" s="20"/>
      <c r="M85" s="96">
        <v>46087</v>
      </c>
      <c r="N85" s="96">
        <v>46179</v>
      </c>
      <c r="O85" s="223" t="str">
        <f t="shared" si="2"/>
        <v xml:space="preserve">Nguyễn Văn Hải, , </v>
      </c>
    </row>
    <row r="86" spans="1:15">
      <c r="A86" s="28" t="str">
        <f>"3."&amp;D86&amp;"."&amp;B86</f>
        <v>3.B.HNO.TMDM.VSC.501</v>
      </c>
      <c r="B86" s="28" t="str">
        <f>TEXT(COUNTIFS($C$3:C86,C86,$D$3:D86,D86,$F$3:F86,F86)+IF(F86="KT",100,IF(F86="KC",200,IF(F86="DI",300,IF(F86="DN",400,IF(F86="NU",500,IF(F86="DH",600,IF(F86="PC",700,0))))))),"000")</f>
        <v>501</v>
      </c>
      <c r="C86" s="28" t="s">
        <v>10</v>
      </c>
      <c r="D86" s="100" t="s">
        <v>177</v>
      </c>
      <c r="E86" s="28" t="s">
        <v>178</v>
      </c>
      <c r="F86" s="87" t="s">
        <v>154</v>
      </c>
      <c r="G86" s="6" t="s">
        <v>23</v>
      </c>
      <c r="H86" s="6" t="s">
        <v>116</v>
      </c>
      <c r="I86" s="82" t="s">
        <v>63</v>
      </c>
      <c r="J86" s="20" t="s">
        <v>165</v>
      </c>
      <c r="K86" s="20"/>
      <c r="L86" s="20"/>
      <c r="M86" s="96">
        <v>46087</v>
      </c>
      <c r="N86" s="96">
        <v>46179</v>
      </c>
      <c r="O86" s="223" t="str">
        <f t="shared" si="2"/>
        <v xml:space="preserve">Nguyễn Văn Hải, , </v>
      </c>
    </row>
    <row r="87" spans="1:15">
      <c r="A87" s="28" t="str">
        <f>"3."&amp;D87&amp;"."&amp;B87</f>
        <v>3.B.HNO.TMDM.VSC.601</v>
      </c>
      <c r="B87" s="28" t="str">
        <f>TEXT(COUNTIFS($C$3:C87,C87,$D$3:D87,D87,$F$3:F87,F87)+IF(F87="KT",100,IF(F87="KC",200,IF(F87="DI",300,IF(F87="DN",400,IF(F87="NU",500,IF(F87="DH",600,IF(F87="PC",700,0))))))),"000")</f>
        <v>601</v>
      </c>
      <c r="C87" s="28" t="s">
        <v>10</v>
      </c>
      <c r="D87" s="100" t="s">
        <v>177</v>
      </c>
      <c r="E87" s="28" t="s">
        <v>178</v>
      </c>
      <c r="F87" s="87" t="s">
        <v>164</v>
      </c>
      <c r="G87" s="6" t="s">
        <v>23</v>
      </c>
      <c r="H87" s="6" t="s">
        <v>116</v>
      </c>
      <c r="I87" s="82" t="s">
        <v>63</v>
      </c>
      <c r="J87" s="20" t="s">
        <v>165</v>
      </c>
      <c r="K87" s="20"/>
      <c r="L87" s="20"/>
      <c r="M87" s="96">
        <v>46087</v>
      </c>
      <c r="N87" s="96">
        <v>46179</v>
      </c>
      <c r="O87" s="223" t="str">
        <f t="shared" si="2"/>
        <v xml:space="preserve">Nguyễn Văn Hải, , </v>
      </c>
    </row>
    <row r="88" spans="1:15">
      <c r="A88" s="28" t="str">
        <f>"3."&amp;D88&amp;"."&amp;B88</f>
        <v>3.B.HNO.TMDM.VSC.701</v>
      </c>
      <c r="B88" s="28" t="str">
        <f>TEXT(COUNTIFS($C$3:C88,C88,$D$3:D88,D88,$F$3:F88,F88)+IF(F88="KT",100,IF(F88="KC",200,IF(F88="DI",300,IF(F88="DN",400,IF(F88="NU",500,IF(F88="DH",600,IF(F88="PC",700,0))))))),"000")</f>
        <v>701</v>
      </c>
      <c r="C88" s="28" t="s">
        <v>10</v>
      </c>
      <c r="D88" s="100" t="s">
        <v>177</v>
      </c>
      <c r="E88" s="28" t="s">
        <v>178</v>
      </c>
      <c r="F88" s="87" t="s">
        <v>159</v>
      </c>
      <c r="G88" s="6" t="s">
        <v>23</v>
      </c>
      <c r="H88" s="6" t="s">
        <v>116</v>
      </c>
      <c r="I88" s="82" t="s">
        <v>63</v>
      </c>
      <c r="J88" s="20" t="s">
        <v>165</v>
      </c>
      <c r="K88" s="20"/>
      <c r="L88" s="20"/>
      <c r="M88" s="96">
        <v>46087</v>
      </c>
      <c r="N88" s="96">
        <v>46179</v>
      </c>
      <c r="O88" s="223" t="str">
        <f t="shared" si="2"/>
        <v xml:space="preserve">Nguyễn Văn Hải, , </v>
      </c>
    </row>
    <row r="89" spans="1:15">
      <c r="A89" s="28" t="str">
        <f>"3."&amp;D89&amp;"."&amp;B89</f>
        <v>3.B.HNO.VHOHN.KS.101</v>
      </c>
      <c r="B89" s="28" t="str">
        <f>TEXT(COUNTIFS($C$3:C89,C89,$D$3:D89,D89,$F$3:F89,F89)+IF(F89="KT",100,IF(F89="KC",200,IF(F89="DI",300,IF(F89="DN",400,IF(F89="NU",500,IF(F89="DH",600,IF(F89="PC",700,0))))))),"000")</f>
        <v>101</v>
      </c>
      <c r="C89" s="28" t="s">
        <v>10</v>
      </c>
      <c r="D89" s="100" t="s">
        <v>187</v>
      </c>
      <c r="E89" s="28" t="s">
        <v>188</v>
      </c>
      <c r="F89" s="88" t="s">
        <v>123</v>
      </c>
      <c r="G89" s="6" t="s">
        <v>23</v>
      </c>
      <c r="H89" s="6" t="s">
        <v>116</v>
      </c>
      <c r="I89" s="82" t="s">
        <v>63</v>
      </c>
      <c r="J89" s="28" t="s">
        <v>31</v>
      </c>
      <c r="K89" s="28"/>
      <c r="L89" s="28"/>
      <c r="M89" s="220"/>
      <c r="N89" s="220"/>
      <c r="O89" s="223" t="str">
        <f t="shared" si="2"/>
        <v xml:space="preserve">Lý Huy Thành, , </v>
      </c>
    </row>
    <row r="90" spans="1:15">
      <c r="A90" s="28" t="str">
        <f>"3."&amp;D90&amp;"."&amp;B90</f>
        <v>3.B.HNO.VHOHN.KS.201</v>
      </c>
      <c r="B90" s="28" t="str">
        <f>TEXT(COUNTIFS($C$3:C90,C90,$D$3:D90,D90,$F$3:F90,F90)+IF(F90="KT",100,IF(F90="KC",200,IF(F90="DI",300,IF(F90="DN",400,IF(F90="NU",500,IF(F90="DH",600,IF(F90="PC",700,0))))))),"000")</f>
        <v>201</v>
      </c>
      <c r="C90" s="28" t="s">
        <v>10</v>
      </c>
      <c r="D90" s="100" t="s">
        <v>187</v>
      </c>
      <c r="E90" s="28" t="s">
        <v>188</v>
      </c>
      <c r="F90" s="88" t="s">
        <v>132</v>
      </c>
      <c r="G90" s="6" t="s">
        <v>23</v>
      </c>
      <c r="H90" s="6" t="s">
        <v>116</v>
      </c>
      <c r="I90" s="82" t="s">
        <v>63</v>
      </c>
      <c r="J90" s="28" t="s">
        <v>31</v>
      </c>
      <c r="K90" s="28"/>
      <c r="L90" s="28"/>
      <c r="M90" s="220"/>
      <c r="N90" s="220"/>
      <c r="O90" s="223" t="str">
        <f t="shared" si="2"/>
        <v xml:space="preserve">Lý Huy Thành, , </v>
      </c>
    </row>
    <row r="91" spans="1:15">
      <c r="A91" s="28" t="str">
        <f>"3."&amp;D91&amp;"."&amp;B91</f>
        <v>3.B.HNO.VHOHN.KS.301</v>
      </c>
      <c r="B91" s="28" t="str">
        <f>TEXT(COUNTIFS($C$3:C91,C91,$D$3:D91,D91,$F$3:F91,F91)+IF(F91="KT",100,IF(F91="KC",200,IF(F91="DI",300,IF(F91="DN",400,IF(F91="NU",500,IF(F91="DH",600,IF(F91="PC",700,0))))))),"000")</f>
        <v>301</v>
      </c>
      <c r="C91" s="28" t="s">
        <v>10</v>
      </c>
      <c r="D91" s="100" t="s">
        <v>187</v>
      </c>
      <c r="E91" s="28" t="s">
        <v>188</v>
      </c>
      <c r="F91" s="87" t="s">
        <v>140</v>
      </c>
      <c r="G91" s="6" t="s">
        <v>23</v>
      </c>
      <c r="H91" s="6" t="s">
        <v>116</v>
      </c>
      <c r="I91" s="82" t="s">
        <v>63</v>
      </c>
      <c r="J91" s="20" t="s">
        <v>160</v>
      </c>
      <c r="K91" s="20"/>
      <c r="L91" s="20"/>
      <c r="M91" s="96">
        <v>46177</v>
      </c>
      <c r="N91" s="96">
        <v>46305</v>
      </c>
      <c r="O91" s="223" t="str">
        <f t="shared" si="2"/>
        <v xml:space="preserve">Ngô Tuấn Vũ, , </v>
      </c>
    </row>
    <row r="92" spans="1:15">
      <c r="A92" s="28" t="str">
        <f>"3."&amp;D92&amp;"."&amp;B92</f>
        <v>3.B.HNO.VHOHN.KS.401</v>
      </c>
      <c r="B92" s="28" t="str">
        <f>TEXT(COUNTIFS($C$3:C92,C92,$D$3:D92,D92,$F$3:F92,F92)+IF(F92="KT",100,IF(F92="KC",200,IF(F92="DI",300,IF(F92="DN",400,IF(F92="NU",500,IF(F92="DH",600,IF(F92="PC",700,0))))))),"000")</f>
        <v>401</v>
      </c>
      <c r="C92" s="28" t="s">
        <v>10</v>
      </c>
      <c r="D92" s="100" t="s">
        <v>187</v>
      </c>
      <c r="E92" s="28" t="s">
        <v>188</v>
      </c>
      <c r="F92" s="87" t="s">
        <v>148</v>
      </c>
      <c r="G92" s="6" t="s">
        <v>23</v>
      </c>
      <c r="H92" s="6" t="s">
        <v>116</v>
      </c>
      <c r="I92" s="82" t="s">
        <v>63</v>
      </c>
      <c r="J92" s="20" t="s">
        <v>160</v>
      </c>
      <c r="K92" s="20"/>
      <c r="L92" s="20"/>
      <c r="M92" s="96">
        <v>46177</v>
      </c>
      <c r="N92" s="96">
        <v>46305</v>
      </c>
      <c r="O92" s="223" t="str">
        <f t="shared" si="2"/>
        <v xml:space="preserve">Ngô Tuấn Vũ, , </v>
      </c>
    </row>
    <row r="93" spans="1:15">
      <c r="A93" s="28" t="str">
        <f>"3."&amp;D93&amp;"."&amp;B93</f>
        <v>3.B.HNO.VHOHN.KS.501</v>
      </c>
      <c r="B93" s="28" t="str">
        <f>TEXT(COUNTIFS($C$3:C93,C93,$D$3:D93,D93,$F$3:F93,F93)+IF(F93="KT",100,IF(F93="KC",200,IF(F93="DI",300,IF(F93="DN",400,IF(F93="NU",500,IF(F93="DH",600,IF(F93="PC",700,0))))))),"000")</f>
        <v>501</v>
      </c>
      <c r="C93" s="28" t="s">
        <v>10</v>
      </c>
      <c r="D93" s="100" t="s">
        <v>187</v>
      </c>
      <c r="E93" s="28" t="s">
        <v>188</v>
      </c>
      <c r="F93" s="87" t="s">
        <v>154</v>
      </c>
      <c r="G93" s="6" t="s">
        <v>23</v>
      </c>
      <c r="H93" s="6" t="s">
        <v>116</v>
      </c>
      <c r="I93" s="82" t="s">
        <v>63</v>
      </c>
      <c r="J93" s="20" t="s">
        <v>160</v>
      </c>
      <c r="K93" s="20"/>
      <c r="L93" s="20"/>
      <c r="M93" s="96">
        <v>46177</v>
      </c>
      <c r="N93" s="96">
        <v>46305</v>
      </c>
      <c r="O93" s="223" t="str">
        <f t="shared" si="2"/>
        <v xml:space="preserve">Ngô Tuấn Vũ, , </v>
      </c>
    </row>
    <row r="94" spans="1:15">
      <c r="A94" s="28" t="str">
        <f>"3."&amp;D94&amp;"."&amp;B94</f>
        <v>3.B.HNO.VHOHN.KS.601</v>
      </c>
      <c r="B94" s="28" t="str">
        <f>TEXT(COUNTIFS($C$3:C94,C94,$D$3:D94,D94,$F$3:F94,F94)+IF(F94="KT",100,IF(F94="KC",200,IF(F94="DI",300,IF(F94="DN",400,IF(F94="NU",500,IF(F94="DH",600,IF(F94="PC",700,0))))))),"000")</f>
        <v>601</v>
      </c>
      <c r="C94" s="28" t="s">
        <v>10</v>
      </c>
      <c r="D94" s="100" t="s">
        <v>187</v>
      </c>
      <c r="E94" s="28" t="s">
        <v>188</v>
      </c>
      <c r="F94" s="87" t="s">
        <v>164</v>
      </c>
      <c r="G94" s="6" t="s">
        <v>23</v>
      </c>
      <c r="H94" s="6" t="s">
        <v>116</v>
      </c>
      <c r="I94" s="82" t="s">
        <v>63</v>
      </c>
      <c r="J94" s="20" t="s">
        <v>160</v>
      </c>
      <c r="K94" s="20"/>
      <c r="L94" s="20"/>
      <c r="M94" s="96">
        <v>46177</v>
      </c>
      <c r="N94" s="96">
        <v>46305</v>
      </c>
      <c r="O94" s="223" t="str">
        <f t="shared" si="2"/>
        <v xml:space="preserve">Ngô Tuấn Vũ, , </v>
      </c>
    </row>
    <row r="95" spans="1:15">
      <c r="A95" s="28" t="str">
        <f>"3."&amp;D95&amp;"."&amp;B95</f>
        <v>3.B.HNO.VHOHN.KS.701</v>
      </c>
      <c r="B95" s="28" t="str">
        <f>TEXT(COUNTIFS($C$3:C95,C95,$D$3:D95,D95,$F$3:F95,F95)+IF(F95="KT",100,IF(F95="KC",200,IF(F95="DI",300,IF(F95="DN",400,IF(F95="NU",500,IF(F95="DH",600,IF(F95="PC",700,0))))))),"000")</f>
        <v>701</v>
      </c>
      <c r="C95" s="28" t="s">
        <v>10</v>
      </c>
      <c r="D95" s="100" t="s">
        <v>187</v>
      </c>
      <c r="E95" s="28" t="s">
        <v>188</v>
      </c>
      <c r="F95" s="87" t="s">
        <v>159</v>
      </c>
      <c r="G95" s="6" t="s">
        <v>23</v>
      </c>
      <c r="H95" s="6" t="s">
        <v>116</v>
      </c>
      <c r="I95" s="82" t="s">
        <v>63</v>
      </c>
      <c r="J95" s="20" t="s">
        <v>160</v>
      </c>
      <c r="K95" s="20"/>
      <c r="L95" s="20"/>
      <c r="M95" s="96">
        <v>46177</v>
      </c>
      <c r="N95" s="96">
        <v>46305</v>
      </c>
      <c r="O95" s="223" t="str">
        <f t="shared" si="2"/>
        <v xml:space="preserve">Ngô Tuấn Vũ, , </v>
      </c>
    </row>
    <row r="96" spans="1:15">
      <c r="A96" s="28" t="str">
        <f>"3."&amp;D96&amp;"."&amp;B96</f>
        <v>3.B.HNO.VHOHN.SVD.101</v>
      </c>
      <c r="B96" s="28" t="str">
        <f>TEXT(COUNTIFS($C$3:C96,C96,$D$3:D96,D96,$F$3:F96,F96)+IF(F96="KT",100,IF(F96="KC",200,IF(F96="DI",300,IF(F96="DN",400,IF(F96="NU",500,IF(F96="DH",600,IF(F96="PC",700,0))))))),"000")</f>
        <v>101</v>
      </c>
      <c r="C96" s="28" t="s">
        <v>10</v>
      </c>
      <c r="D96" s="100" t="s">
        <v>192</v>
      </c>
      <c r="E96" s="28" t="s">
        <v>193</v>
      </c>
      <c r="F96" s="88" t="s">
        <v>123</v>
      </c>
      <c r="G96" s="20" t="s">
        <v>23</v>
      </c>
      <c r="H96" s="20" t="s">
        <v>116</v>
      </c>
      <c r="I96" s="28" t="s">
        <v>63</v>
      </c>
      <c r="J96" s="28" t="s">
        <v>32</v>
      </c>
      <c r="K96" s="28" t="s">
        <v>35</v>
      </c>
      <c r="L96" s="28"/>
      <c r="M96" s="96">
        <v>46053</v>
      </c>
      <c r="N96" s="96">
        <v>46191</v>
      </c>
      <c r="O96" s="223" t="str">
        <f t="shared" si="2"/>
        <v xml:space="preserve">Nguyễn Hải Nam, Đặng Minh Quang, </v>
      </c>
    </row>
    <row r="97" spans="1:15">
      <c r="A97" s="28" t="str">
        <f>"3."&amp;D97&amp;"."&amp;B97</f>
        <v>3.B.HNO.VHOHN.SVD.201</v>
      </c>
      <c r="B97" s="28" t="str">
        <f>TEXT(COUNTIFS($C$3:C97,C97,$D$3:D97,D97,$F$3:F97,F97)+IF(F97="KT",100,IF(F97="KC",200,IF(F97="DI",300,IF(F97="DN",400,IF(F97="NU",500,IF(F97="DH",600,IF(F97="PC",700,0))))))),"000")</f>
        <v>201</v>
      </c>
      <c r="C97" s="28" t="s">
        <v>10</v>
      </c>
      <c r="D97" s="100" t="s">
        <v>192</v>
      </c>
      <c r="E97" s="28" t="s">
        <v>193</v>
      </c>
      <c r="F97" s="88" t="s">
        <v>132</v>
      </c>
      <c r="G97" s="6" t="s">
        <v>23</v>
      </c>
      <c r="H97" s="6" t="s">
        <v>116</v>
      </c>
      <c r="I97" s="82" t="s">
        <v>63</v>
      </c>
      <c r="J97" s="28" t="s">
        <v>32</v>
      </c>
      <c r="K97" s="28" t="s">
        <v>35</v>
      </c>
      <c r="L97" s="28"/>
      <c r="M97" s="96">
        <v>46053</v>
      </c>
      <c r="N97" s="96">
        <v>46191</v>
      </c>
      <c r="O97" s="223" t="str">
        <f t="shared" si="2"/>
        <v xml:space="preserve">Nguyễn Hải Nam, Đặng Minh Quang, </v>
      </c>
    </row>
    <row r="98" spans="1:15">
      <c r="A98" s="28" t="str">
        <f>"3."&amp;D98&amp;"."&amp;B98</f>
        <v>3.B.HNO.VHOHN.SVD.301</v>
      </c>
      <c r="B98" s="28" t="str">
        <f>TEXT(COUNTIFS($C$3:C98,C98,$D$3:D98,D98,$F$3:F98,F98)+IF(F98="KT",100,IF(F98="KC",200,IF(F98="DI",300,IF(F98="DN",400,IF(F98="NU",500,IF(F98="DH",600,IF(F98="PC",700,0))))))),"000")</f>
        <v>301</v>
      </c>
      <c r="C98" s="28" t="s">
        <v>10</v>
      </c>
      <c r="D98" s="100" t="s">
        <v>192</v>
      </c>
      <c r="E98" s="28" t="s">
        <v>193</v>
      </c>
      <c r="F98" s="87" t="s">
        <v>140</v>
      </c>
      <c r="G98" s="6" t="s">
        <v>23</v>
      </c>
      <c r="H98" s="6" t="s">
        <v>116</v>
      </c>
      <c r="I98" s="82" t="s">
        <v>63</v>
      </c>
      <c r="J98" s="20" t="s">
        <v>165</v>
      </c>
      <c r="K98" s="20"/>
      <c r="L98" s="20"/>
      <c r="M98" s="96">
        <v>46053</v>
      </c>
      <c r="N98" s="96">
        <v>46191</v>
      </c>
      <c r="O98" s="223" t="str">
        <f t="shared" si="2"/>
        <v xml:space="preserve">Nguyễn Văn Hải, , </v>
      </c>
    </row>
    <row r="99" spans="1:15">
      <c r="A99" s="28" t="str">
        <f>"3."&amp;D99&amp;"."&amp;B99</f>
        <v>3.B.HNO.VHOHN.SVD.401</v>
      </c>
      <c r="B99" s="28" t="str">
        <f>TEXT(COUNTIFS($C$3:C99,C99,$D$3:D99,D99,$F$3:F99,F99)+IF(F99="KT",100,IF(F99="KC",200,IF(F99="DI",300,IF(F99="DN",400,IF(F99="NU",500,IF(F99="DH",600,IF(F99="PC",700,0))))))),"000")</f>
        <v>401</v>
      </c>
      <c r="C99" s="28" t="s">
        <v>10</v>
      </c>
      <c r="D99" s="100" t="s">
        <v>192</v>
      </c>
      <c r="E99" s="28" t="s">
        <v>193</v>
      </c>
      <c r="F99" s="87" t="s">
        <v>148</v>
      </c>
      <c r="G99" s="6" t="s">
        <v>23</v>
      </c>
      <c r="H99" s="6" t="s">
        <v>116</v>
      </c>
      <c r="I99" s="82" t="s">
        <v>63</v>
      </c>
      <c r="J99" s="20" t="s">
        <v>165</v>
      </c>
      <c r="K99" s="20"/>
      <c r="L99" s="20"/>
      <c r="M99" s="96">
        <v>46053</v>
      </c>
      <c r="N99" s="96">
        <v>46191</v>
      </c>
      <c r="O99" s="223" t="str">
        <f t="shared" si="2"/>
        <v xml:space="preserve">Nguyễn Văn Hải, , </v>
      </c>
    </row>
    <row r="100" spans="1:15">
      <c r="A100" s="28" t="str">
        <f>"3."&amp;D100&amp;"."&amp;B100</f>
        <v>3.B.HNO.VHOHN.SVD.501</v>
      </c>
      <c r="B100" s="28" t="str">
        <f>TEXT(COUNTIFS($C$3:C100,C100,$D$3:D100,D100,$F$3:F100,F100)+IF(F100="KT",100,IF(F100="KC",200,IF(F100="DI",300,IF(F100="DN",400,IF(F100="NU",500,IF(F100="DH",600,IF(F100="PC",700,0))))))),"000")</f>
        <v>501</v>
      </c>
      <c r="C100" s="28" t="s">
        <v>10</v>
      </c>
      <c r="D100" s="100" t="s">
        <v>192</v>
      </c>
      <c r="E100" s="28" t="s">
        <v>193</v>
      </c>
      <c r="F100" s="87" t="s">
        <v>154</v>
      </c>
      <c r="G100" s="6" t="s">
        <v>23</v>
      </c>
      <c r="H100" s="6" t="s">
        <v>116</v>
      </c>
      <c r="I100" s="82" t="s">
        <v>63</v>
      </c>
      <c r="J100" s="20" t="s">
        <v>165</v>
      </c>
      <c r="K100" s="20"/>
      <c r="L100" s="20"/>
      <c r="M100" s="96">
        <v>46053</v>
      </c>
      <c r="N100" s="96">
        <v>46191</v>
      </c>
      <c r="O100" s="223" t="str">
        <f t="shared" si="2"/>
        <v xml:space="preserve">Nguyễn Văn Hải, , </v>
      </c>
    </row>
    <row r="101" spans="1:15">
      <c r="A101" s="28" t="str">
        <f>"3."&amp;D101&amp;"."&amp;B101</f>
        <v>3.B.HNO.VHOHN.SVD.601</v>
      </c>
      <c r="B101" s="28" t="str">
        <f>TEXT(COUNTIFS($C$3:C101,C101,$D$3:D101,D101,$F$3:F101,F101)+IF(F101="KT",100,IF(F101="KC",200,IF(F101="DI",300,IF(F101="DN",400,IF(F101="NU",500,IF(F101="DH",600,IF(F101="PC",700,0))))))),"000")</f>
        <v>601</v>
      </c>
      <c r="C101" s="28" t="s">
        <v>10</v>
      </c>
      <c r="D101" s="100" t="s">
        <v>192</v>
      </c>
      <c r="E101" s="28" t="s">
        <v>193</v>
      </c>
      <c r="F101" s="87" t="s">
        <v>164</v>
      </c>
      <c r="G101" s="6" t="s">
        <v>23</v>
      </c>
      <c r="H101" s="6" t="s">
        <v>116</v>
      </c>
      <c r="I101" s="82" t="s">
        <v>63</v>
      </c>
      <c r="J101" s="20" t="s">
        <v>165</v>
      </c>
      <c r="K101" s="20"/>
      <c r="L101" s="20"/>
      <c r="M101" s="96">
        <v>46053</v>
      </c>
      <c r="N101" s="96">
        <v>46191</v>
      </c>
      <c r="O101" s="223" t="str">
        <f t="shared" si="2"/>
        <v xml:space="preserve">Nguyễn Văn Hải, , </v>
      </c>
    </row>
    <row r="102" spans="1:15">
      <c r="A102" s="28" t="str">
        <f>"3."&amp;D102&amp;"."&amp;B102</f>
        <v>3.B.HNO.VHOHN.SVD.701</v>
      </c>
      <c r="B102" s="28" t="str">
        <f>TEXT(COUNTIFS($C$3:C102,C102,$D$3:D102,D102,$F$3:F102,F102)+IF(F102="KT",100,IF(F102="KC",200,IF(F102="DI",300,IF(F102="DN",400,IF(F102="NU",500,IF(F102="DH",600,IF(F102="PC",700,0))))))),"000")</f>
        <v>701</v>
      </c>
      <c r="C102" s="28" t="s">
        <v>10</v>
      </c>
      <c r="D102" s="100" t="s">
        <v>192</v>
      </c>
      <c r="E102" s="28" t="s">
        <v>193</v>
      </c>
      <c r="F102" s="87" t="s">
        <v>159</v>
      </c>
      <c r="G102" s="6" t="s">
        <v>23</v>
      </c>
      <c r="H102" s="6" t="s">
        <v>116</v>
      </c>
      <c r="I102" s="82" t="s">
        <v>63</v>
      </c>
      <c r="J102" s="20" t="s">
        <v>165</v>
      </c>
      <c r="K102" s="20"/>
      <c r="L102" s="20"/>
      <c r="M102" s="96">
        <v>46053</v>
      </c>
      <c r="N102" s="96">
        <v>46191</v>
      </c>
      <c r="O102" s="223" t="str">
        <f t="shared" si="2"/>
        <v xml:space="preserve">Nguyễn Văn Hải, , </v>
      </c>
    </row>
    <row r="103" spans="1:15">
      <c r="A103" s="28" t="str">
        <f>"3."&amp;D103&amp;"."&amp;B103</f>
        <v>3.B.HPH.VYHP.VSC.101</v>
      </c>
      <c r="B103" s="28" t="str">
        <f>TEXT(COUNTIFS($C$3:C103,C103,$D$3:D103,D103,$F$3:F103,F103)+IF(F103="KT",100,IF(F103="KC",200,IF(F103="DI",300,IF(F103="DN",400,IF(F103="NU",500,IF(F103="DH",600,IF(F103="PC",700,0))))))),"000")</f>
        <v>101</v>
      </c>
      <c r="C103" s="28" t="s">
        <v>10</v>
      </c>
      <c r="D103" s="100" t="s">
        <v>197</v>
      </c>
      <c r="E103" s="28" t="s">
        <v>198</v>
      </c>
      <c r="F103" s="88" t="s">
        <v>123</v>
      </c>
      <c r="G103" s="6" t="s">
        <v>23</v>
      </c>
      <c r="H103" s="20" t="s">
        <v>116</v>
      </c>
      <c r="I103" s="82" t="s">
        <v>63</v>
      </c>
      <c r="J103" s="28" t="s">
        <v>36</v>
      </c>
      <c r="K103" s="28"/>
      <c r="L103" s="28"/>
      <c r="M103" s="96">
        <v>45978</v>
      </c>
      <c r="N103" s="96">
        <v>46183</v>
      </c>
      <c r="O103" s="223" t="str">
        <f t="shared" si="2"/>
        <v xml:space="preserve">Trần Văn Toản, , </v>
      </c>
    </row>
    <row r="104" spans="1:15">
      <c r="A104" s="28" t="str">
        <f>"3."&amp;D104&amp;"."&amp;B104</f>
        <v>3.B.HPH.VYHP.VSC.201</v>
      </c>
      <c r="B104" s="28" t="str">
        <f>TEXT(COUNTIFS($C$3:C104,C104,$D$3:D104,D104,$F$3:F104,F104)+IF(F104="KT",100,IF(F104="KC",200,IF(F104="DI",300,IF(F104="DN",400,IF(F104="NU",500,IF(F104="DH",600,IF(F104="PC",700,0))))))),"000")</f>
        <v>201</v>
      </c>
      <c r="C104" s="28" t="s">
        <v>10</v>
      </c>
      <c r="D104" s="100" t="s">
        <v>197</v>
      </c>
      <c r="E104" s="28" t="s">
        <v>198</v>
      </c>
      <c r="F104" s="88" t="s">
        <v>132</v>
      </c>
      <c r="G104" s="6" t="s">
        <v>23</v>
      </c>
      <c r="H104" s="20" t="s">
        <v>116</v>
      </c>
      <c r="I104" s="82" t="s">
        <v>63</v>
      </c>
      <c r="J104" s="28" t="s">
        <v>36</v>
      </c>
      <c r="K104" s="28"/>
      <c r="L104" s="28"/>
      <c r="M104" s="96">
        <v>45978</v>
      </c>
      <c r="N104" s="96">
        <v>46183</v>
      </c>
      <c r="O104" s="223" t="str">
        <f t="shared" si="2"/>
        <v xml:space="preserve">Trần Văn Toản, , </v>
      </c>
    </row>
    <row r="105" spans="1:15">
      <c r="A105" s="28" t="str">
        <f>"3."&amp;D105&amp;"."&amp;B105</f>
        <v>3.B.HYE.NOXHHY.CT.101</v>
      </c>
      <c r="B105" s="28" t="str">
        <f>TEXT(COUNTIFS($C$3:C105,C105,$D$3:D105,D105,$F$3:F105,F105)+IF(F105="KT",100,IF(F105="KC",200,IF(F105="DI",300,IF(F105="DN",400,IF(F105="NU",500,IF(F105="DH",600,IF(F105="PC",700,0))))))),"000")</f>
        <v>101</v>
      </c>
      <c r="C105" s="28" t="s">
        <v>10</v>
      </c>
      <c r="D105" s="100" t="s">
        <v>202</v>
      </c>
      <c r="E105" s="28" t="s">
        <v>203</v>
      </c>
      <c r="F105" s="88" t="s">
        <v>123</v>
      </c>
      <c r="G105" s="6" t="s">
        <v>23</v>
      </c>
      <c r="H105" s="20" t="s">
        <v>116</v>
      </c>
      <c r="I105" s="82" t="s">
        <v>63</v>
      </c>
      <c r="J105" s="28" t="s">
        <v>33</v>
      </c>
      <c r="K105" s="28"/>
      <c r="L105" s="28"/>
      <c r="M105" s="96">
        <v>46115</v>
      </c>
      <c r="N105" s="96">
        <v>46211</v>
      </c>
      <c r="O105" s="223" t="str">
        <f t="shared" si="2"/>
        <v xml:space="preserve">Đỗ Minh Ngọc, , </v>
      </c>
    </row>
    <row r="106" spans="1:15">
      <c r="A106" s="28" t="str">
        <f>"3."&amp;D106&amp;"."&amp;B106</f>
        <v>3.B.HYE.NOXHHY.CT.201</v>
      </c>
      <c r="B106" s="28" t="str">
        <f>TEXT(COUNTIFS($C$3:C106,C106,$D$3:D106,D106,$F$3:F106,F106)+IF(F106="KT",100,IF(F106="KC",200,IF(F106="DI",300,IF(F106="DN",400,IF(F106="NU",500,IF(F106="DH",600,IF(F106="PC",700,0))))))),"000")</f>
        <v>201</v>
      </c>
      <c r="C106" s="28" t="s">
        <v>10</v>
      </c>
      <c r="D106" s="100" t="s">
        <v>202</v>
      </c>
      <c r="E106" s="28" t="s">
        <v>203</v>
      </c>
      <c r="F106" s="88" t="s">
        <v>132</v>
      </c>
      <c r="G106" s="6" t="s">
        <v>23</v>
      </c>
      <c r="H106" s="20" t="s">
        <v>116</v>
      </c>
      <c r="I106" s="82" t="s">
        <v>63</v>
      </c>
      <c r="J106" s="28" t="s">
        <v>33</v>
      </c>
      <c r="K106" s="28"/>
      <c r="L106" s="28"/>
      <c r="M106" s="96">
        <v>46135</v>
      </c>
      <c r="N106" s="96">
        <v>46211</v>
      </c>
      <c r="O106" s="223" t="str">
        <f t="shared" si="2"/>
        <v xml:space="preserve">Đỗ Minh Ngọc, , </v>
      </c>
    </row>
    <row r="107" spans="1:15">
      <c r="A107" s="28" t="str">
        <f>"3."&amp;D107&amp;"."&amp;B107</f>
        <v>3.B.HYE.NOXHHY.CT.301</v>
      </c>
      <c r="B107" s="28" t="str">
        <f>TEXT(COUNTIFS($C$3:C107,C107,$D$3:D107,D107,$F$3:F107,F107)+IF(F107="KT",100,IF(F107="KC",200,IF(F107="DI",300,IF(F107="DN",400,IF(F107="NU",500,IF(F107="DH",600,IF(F107="PC",700,0))))))),"000")</f>
        <v>301</v>
      </c>
      <c r="C107" s="28" t="s">
        <v>10</v>
      </c>
      <c r="D107" s="100" t="s">
        <v>202</v>
      </c>
      <c r="E107" s="28" t="s">
        <v>203</v>
      </c>
      <c r="F107" s="87" t="s">
        <v>140</v>
      </c>
      <c r="G107" s="6" t="s">
        <v>23</v>
      </c>
      <c r="H107" s="6" t="s">
        <v>116</v>
      </c>
      <c r="I107" s="82" t="s">
        <v>63</v>
      </c>
      <c r="J107" s="20" t="s">
        <v>175</v>
      </c>
      <c r="K107" s="20"/>
      <c r="L107" s="20"/>
      <c r="M107" s="96">
        <v>46135</v>
      </c>
      <c r="N107" s="96">
        <v>46186</v>
      </c>
      <c r="O107" s="223" t="str">
        <f t="shared" si="2"/>
        <v xml:space="preserve">Đặng Thái Sơn, , </v>
      </c>
    </row>
    <row r="108" spans="1:15">
      <c r="A108" s="28" t="str">
        <f>"3."&amp;D108&amp;"."&amp;B108</f>
        <v>3.B.HYE.NOXHHY.CT.401</v>
      </c>
      <c r="B108" s="28" t="str">
        <f>TEXT(COUNTIFS($C$3:C108,C108,$D$3:D108,D108,$F$3:F108,F108)+IF(F108="KT",100,IF(F108="KC",200,IF(F108="DI",300,IF(F108="DN",400,IF(F108="NU",500,IF(F108="DH",600,IF(F108="PC",700,0))))))),"000")</f>
        <v>401</v>
      </c>
      <c r="C108" s="28" t="s">
        <v>10</v>
      </c>
      <c r="D108" s="100" t="s">
        <v>202</v>
      </c>
      <c r="E108" s="28" t="s">
        <v>203</v>
      </c>
      <c r="F108" s="87" t="s">
        <v>148</v>
      </c>
      <c r="G108" s="6" t="s">
        <v>23</v>
      </c>
      <c r="H108" s="6" t="s">
        <v>116</v>
      </c>
      <c r="I108" s="82" t="s">
        <v>63</v>
      </c>
      <c r="J108" s="20" t="s">
        <v>175</v>
      </c>
      <c r="K108" s="20"/>
      <c r="L108" s="20"/>
      <c r="M108" s="96">
        <v>46135</v>
      </c>
      <c r="N108" s="96">
        <v>46186</v>
      </c>
      <c r="O108" s="223" t="str">
        <f t="shared" si="2"/>
        <v xml:space="preserve">Đặng Thái Sơn, , </v>
      </c>
    </row>
    <row r="109" spans="1:15">
      <c r="A109" s="28" t="str">
        <f>"3."&amp;D109&amp;"."&amp;B109</f>
        <v>3.B.HYE.NOXHHY.CT.501</v>
      </c>
      <c r="B109" s="28" t="str">
        <f>TEXT(COUNTIFS($C$3:C109,C109,$D$3:D109,D109,$F$3:F109,F109)+IF(F109="KT",100,IF(F109="KC",200,IF(F109="DI",300,IF(F109="DN",400,IF(F109="NU",500,IF(F109="DH",600,IF(F109="PC",700,0))))))),"000")</f>
        <v>501</v>
      </c>
      <c r="C109" s="28" t="s">
        <v>10</v>
      </c>
      <c r="D109" s="100" t="s">
        <v>202</v>
      </c>
      <c r="E109" s="28" t="s">
        <v>203</v>
      </c>
      <c r="F109" s="87" t="s">
        <v>154</v>
      </c>
      <c r="G109" s="6" t="s">
        <v>23</v>
      </c>
      <c r="H109" s="6" t="s">
        <v>116</v>
      </c>
      <c r="I109" s="82" t="s">
        <v>63</v>
      </c>
      <c r="J109" s="20" t="s">
        <v>175</v>
      </c>
      <c r="K109" s="20"/>
      <c r="L109" s="20"/>
      <c r="M109" s="96">
        <v>46135</v>
      </c>
      <c r="N109" s="96">
        <v>46186</v>
      </c>
      <c r="O109" s="223" t="str">
        <f t="shared" si="2"/>
        <v xml:space="preserve">Đặng Thái Sơn, , </v>
      </c>
    </row>
    <row r="110" spans="1:15">
      <c r="A110" s="28" t="str">
        <f>"3."&amp;D110&amp;"."&amp;B110</f>
        <v>3.B.HYE.NOXHHY.CT.601</v>
      </c>
      <c r="B110" s="28" t="str">
        <f>TEXT(COUNTIFS($C$3:C110,C110,$D$3:D110,D110,$F$3:F110,F110)+IF(F110="KT",100,IF(F110="KC",200,IF(F110="DI",300,IF(F110="DN",400,IF(F110="NU",500,IF(F110="DH",600,IF(F110="PC",700,0))))))),"000")</f>
        <v>601</v>
      </c>
      <c r="C110" s="28" t="s">
        <v>10</v>
      </c>
      <c r="D110" s="100" t="s">
        <v>202</v>
      </c>
      <c r="E110" s="28" t="s">
        <v>203</v>
      </c>
      <c r="F110" s="87" t="s">
        <v>164</v>
      </c>
      <c r="G110" s="6" t="s">
        <v>23</v>
      </c>
      <c r="H110" s="6" t="s">
        <v>116</v>
      </c>
      <c r="I110" s="82" t="s">
        <v>63</v>
      </c>
      <c r="J110" s="20" t="s">
        <v>175</v>
      </c>
      <c r="K110" s="20"/>
      <c r="L110" s="20"/>
      <c r="M110" s="96">
        <v>46135</v>
      </c>
      <c r="N110" s="96">
        <v>46186</v>
      </c>
      <c r="O110" s="223" t="str">
        <f t="shared" si="2"/>
        <v xml:space="preserve">Đặng Thái Sơn, , </v>
      </c>
    </row>
    <row r="111" spans="1:15">
      <c r="A111" s="28" t="str">
        <f>"3."&amp;D111&amp;"."&amp;B111</f>
        <v>3.B.HYE.NOXHHY.CT.701</v>
      </c>
      <c r="B111" s="28" t="str">
        <f>TEXT(COUNTIFS($C$3:C111,C111,$D$3:D111,D111,$F$3:F111,F111)+IF(F111="KT",100,IF(F111="KC",200,IF(F111="DI",300,IF(F111="DN",400,IF(F111="NU",500,IF(F111="DH",600,IF(F111="PC",700,0))))))),"000")</f>
        <v>701</v>
      </c>
      <c r="C111" s="28" t="s">
        <v>10</v>
      </c>
      <c r="D111" s="100" t="s">
        <v>202</v>
      </c>
      <c r="E111" s="28" t="s">
        <v>203</v>
      </c>
      <c r="F111" s="87" t="s">
        <v>159</v>
      </c>
      <c r="G111" s="6" t="s">
        <v>23</v>
      </c>
      <c r="H111" s="6" t="s">
        <v>116</v>
      </c>
      <c r="I111" s="82" t="s">
        <v>63</v>
      </c>
      <c r="J111" s="20" t="s">
        <v>175</v>
      </c>
      <c r="K111" s="20"/>
      <c r="L111" s="20"/>
      <c r="M111" s="96">
        <v>46135</v>
      </c>
      <c r="N111" s="96">
        <v>46186</v>
      </c>
      <c r="O111" s="223" t="str">
        <f t="shared" si="2"/>
        <v xml:space="preserve">Đặng Thái Sơn, , </v>
      </c>
    </row>
    <row r="112" spans="1:15">
      <c r="A112" s="28" t="str">
        <f>"3."&amp;D112&amp;"."&amp;B112</f>
        <v>3.B.HYE.NOXHHY.CT.102</v>
      </c>
      <c r="B112" s="28" t="str">
        <f>TEXT(COUNTIFS($C$3:C112,C112,$D$3:D112,D112,$F$3:F112,F112)+IF(F112="KT",100,IF(F112="KC",200,IF(F112="DI",300,IF(F112="DN",400,IF(F112="NU",500,IF(F112="DH",600,IF(F112="PC",700,0))))))),"000")</f>
        <v>102</v>
      </c>
      <c r="C112" s="28" t="s">
        <v>10</v>
      </c>
      <c r="D112" s="100" t="s">
        <v>202</v>
      </c>
      <c r="E112" s="28" t="s">
        <v>208</v>
      </c>
      <c r="F112" s="88" t="s">
        <v>123</v>
      </c>
      <c r="G112" s="6" t="s">
        <v>23</v>
      </c>
      <c r="H112" s="20" t="s">
        <v>116</v>
      </c>
      <c r="I112" s="82" t="s">
        <v>63</v>
      </c>
      <c r="J112" s="28" t="s">
        <v>33</v>
      </c>
      <c r="K112" s="28"/>
      <c r="L112" s="28"/>
      <c r="M112" s="97">
        <v>46092</v>
      </c>
      <c r="N112" s="97">
        <v>46197</v>
      </c>
      <c r="O112" s="223" t="str">
        <f t="shared" si="2"/>
        <v xml:space="preserve">Đỗ Minh Ngọc, , </v>
      </c>
    </row>
    <row r="113" spans="1:15">
      <c r="A113" s="28" t="str">
        <f>"3."&amp;D113&amp;"."&amp;B113</f>
        <v>3.B.HYE.NOXHHY.CT.202</v>
      </c>
      <c r="B113" s="28" t="str">
        <f>TEXT(COUNTIFS($C$3:C113,C113,$D$3:D113,D113,$F$3:F113,F113)+IF(F113="KT",100,IF(F113="KC",200,IF(F113="DI",300,IF(F113="DN",400,IF(F113="NU",500,IF(F113="DH",600,IF(F113="PC",700,0))))))),"000")</f>
        <v>202</v>
      </c>
      <c r="C113" s="28" t="s">
        <v>10</v>
      </c>
      <c r="D113" s="100" t="s">
        <v>202</v>
      </c>
      <c r="E113" s="28" t="s">
        <v>208</v>
      </c>
      <c r="F113" s="88" t="s">
        <v>132</v>
      </c>
      <c r="G113" s="6" t="s">
        <v>23</v>
      </c>
      <c r="H113" s="20" t="s">
        <v>116</v>
      </c>
      <c r="I113" s="82" t="s">
        <v>63</v>
      </c>
      <c r="J113" s="28" t="s">
        <v>33</v>
      </c>
      <c r="K113" s="28"/>
      <c r="L113" s="28"/>
      <c r="M113" s="96">
        <v>46133</v>
      </c>
      <c r="N113" s="96">
        <v>46197</v>
      </c>
      <c r="O113" s="223" t="str">
        <f t="shared" si="2"/>
        <v xml:space="preserve">Đỗ Minh Ngọc, , </v>
      </c>
    </row>
    <row r="114" spans="1:15">
      <c r="A114" s="28" t="str">
        <f>"3."&amp;D114&amp;"."&amp;B114</f>
        <v>3.B.HYE.NOXHHY.CT.302</v>
      </c>
      <c r="B114" s="28" t="str">
        <f>TEXT(COUNTIFS($C$3:C114,C114,$D$3:D114,D114,$F$3:F114,F114)+IF(F114="KT",100,IF(F114="KC",200,IF(F114="DI",300,IF(F114="DN",400,IF(F114="NU",500,IF(F114="DH",600,IF(F114="PC",700,0))))))),"000")</f>
        <v>302</v>
      </c>
      <c r="C114" s="28" t="s">
        <v>10</v>
      </c>
      <c r="D114" s="100" t="s">
        <v>202</v>
      </c>
      <c r="E114" s="28" t="s">
        <v>208</v>
      </c>
      <c r="F114" s="87" t="s">
        <v>140</v>
      </c>
      <c r="G114" s="6" t="s">
        <v>23</v>
      </c>
      <c r="H114" s="6" t="s">
        <v>116</v>
      </c>
      <c r="I114" s="82" t="s">
        <v>63</v>
      </c>
      <c r="J114" s="20" t="s">
        <v>160</v>
      </c>
      <c r="K114" s="20"/>
      <c r="L114" s="20"/>
      <c r="M114" s="96">
        <v>46116</v>
      </c>
      <c r="N114" s="96">
        <v>46197</v>
      </c>
      <c r="O114" s="223" t="str">
        <f t="shared" si="2"/>
        <v xml:space="preserve">Ngô Tuấn Vũ, , </v>
      </c>
    </row>
    <row r="115" spans="1:15">
      <c r="A115" s="28" t="str">
        <f>"3."&amp;D115&amp;"."&amp;B115</f>
        <v>3.B.HYE.NOXHHY.CT.402</v>
      </c>
      <c r="B115" s="28" t="str">
        <f>TEXT(COUNTIFS($C$3:C115,C115,$D$3:D115,D115,$F$3:F115,F115)+IF(F115="KT",100,IF(F115="KC",200,IF(F115="DI",300,IF(F115="DN",400,IF(F115="NU",500,IF(F115="DH",600,IF(F115="PC",700,0))))))),"000")</f>
        <v>402</v>
      </c>
      <c r="C115" s="28" t="s">
        <v>10</v>
      </c>
      <c r="D115" s="100" t="s">
        <v>202</v>
      </c>
      <c r="E115" s="28" t="s">
        <v>208</v>
      </c>
      <c r="F115" s="87" t="s">
        <v>148</v>
      </c>
      <c r="G115" s="6" t="s">
        <v>23</v>
      </c>
      <c r="H115" s="6" t="s">
        <v>116</v>
      </c>
      <c r="I115" s="82" t="s">
        <v>63</v>
      </c>
      <c r="J115" s="20" t="s">
        <v>160</v>
      </c>
      <c r="K115" s="20"/>
      <c r="L115" s="20"/>
      <c r="M115" s="96">
        <v>46116</v>
      </c>
      <c r="N115" s="96">
        <v>46197</v>
      </c>
      <c r="O115" s="223" t="str">
        <f t="shared" si="2"/>
        <v xml:space="preserve">Ngô Tuấn Vũ, , </v>
      </c>
    </row>
    <row r="116" spans="1:15">
      <c r="A116" s="28" t="str">
        <f>"3."&amp;D116&amp;"."&amp;B116</f>
        <v>3.B.HYE.NOXHHY.CT.502</v>
      </c>
      <c r="B116" s="28" t="str">
        <f>TEXT(COUNTIFS($C$3:C116,C116,$D$3:D116,D116,$F$3:F116,F116)+IF(F116="KT",100,IF(F116="KC",200,IF(F116="DI",300,IF(F116="DN",400,IF(F116="NU",500,IF(F116="DH",600,IF(F116="PC",700,0))))))),"000")</f>
        <v>502</v>
      </c>
      <c r="C116" s="28" t="s">
        <v>10</v>
      </c>
      <c r="D116" s="100" t="s">
        <v>202</v>
      </c>
      <c r="E116" s="28" t="s">
        <v>208</v>
      </c>
      <c r="F116" s="87" t="s">
        <v>154</v>
      </c>
      <c r="G116" s="6" t="s">
        <v>23</v>
      </c>
      <c r="H116" s="6" t="s">
        <v>116</v>
      </c>
      <c r="I116" s="82" t="s">
        <v>63</v>
      </c>
      <c r="J116" s="20" t="s">
        <v>160</v>
      </c>
      <c r="K116" s="20"/>
      <c r="L116" s="20"/>
      <c r="M116" s="96">
        <v>46116</v>
      </c>
      <c r="N116" s="96">
        <v>46197</v>
      </c>
      <c r="O116" s="223" t="str">
        <f t="shared" si="2"/>
        <v xml:space="preserve">Ngô Tuấn Vũ, , </v>
      </c>
    </row>
    <row r="117" spans="1:15">
      <c r="A117" s="28" t="str">
        <f>"3."&amp;D117&amp;"."&amp;B117</f>
        <v>3.B.HYE.NOXHHY.CT.602</v>
      </c>
      <c r="B117" s="28" t="str">
        <f>TEXT(COUNTIFS($C$3:C117,C117,$D$3:D117,D117,$F$3:F117,F117)+IF(F117="KT",100,IF(F117="KC",200,IF(F117="DI",300,IF(F117="DN",400,IF(F117="NU",500,IF(F117="DH",600,IF(F117="PC",700,0))))))),"000")</f>
        <v>602</v>
      </c>
      <c r="C117" s="28" t="s">
        <v>10</v>
      </c>
      <c r="D117" s="100" t="s">
        <v>202</v>
      </c>
      <c r="E117" s="28" t="s">
        <v>208</v>
      </c>
      <c r="F117" s="87" t="s">
        <v>164</v>
      </c>
      <c r="G117" s="6" t="s">
        <v>23</v>
      </c>
      <c r="H117" s="6" t="s">
        <v>116</v>
      </c>
      <c r="I117" s="82" t="s">
        <v>63</v>
      </c>
      <c r="J117" s="20" t="s">
        <v>160</v>
      </c>
      <c r="K117" s="20"/>
      <c r="L117" s="20"/>
      <c r="M117" s="96">
        <v>46116</v>
      </c>
      <c r="N117" s="96">
        <v>46197</v>
      </c>
      <c r="O117" s="223" t="str">
        <f t="shared" si="2"/>
        <v xml:space="preserve">Ngô Tuấn Vũ, , </v>
      </c>
    </row>
    <row r="118" spans="1:15">
      <c r="A118" s="28" t="str">
        <f>"3."&amp;D118&amp;"."&amp;B118</f>
        <v>3.B.HYE.NOXHHY.CT.702</v>
      </c>
      <c r="B118" s="28" t="str">
        <f>TEXT(COUNTIFS($C$3:C118,C118,$D$3:D118,D118,$F$3:F118,F118)+IF(F118="KT",100,IF(F118="KC",200,IF(F118="DI",300,IF(F118="DN",400,IF(F118="NU",500,IF(F118="DH",600,IF(F118="PC",700,0))))))),"000")</f>
        <v>702</v>
      </c>
      <c r="C118" s="28" t="s">
        <v>10</v>
      </c>
      <c r="D118" s="100" t="s">
        <v>202</v>
      </c>
      <c r="E118" s="28" t="s">
        <v>208</v>
      </c>
      <c r="F118" s="87" t="s">
        <v>159</v>
      </c>
      <c r="G118" s="6" t="s">
        <v>23</v>
      </c>
      <c r="H118" s="6" t="s">
        <v>116</v>
      </c>
      <c r="I118" s="82" t="s">
        <v>63</v>
      </c>
      <c r="J118" s="20" t="s">
        <v>160</v>
      </c>
      <c r="K118" s="20"/>
      <c r="L118" s="20"/>
      <c r="M118" s="96">
        <v>46116</v>
      </c>
      <c r="N118" s="96">
        <v>46197</v>
      </c>
      <c r="O118" s="223" t="str">
        <f t="shared" si="2"/>
        <v xml:space="preserve">Ngô Tuấn Vũ, , </v>
      </c>
    </row>
    <row r="119" spans="1:15">
      <c r="A119" s="28" t="str">
        <f>"3."&amp;D119&amp;"."&amp;B119</f>
        <v>3.B.HYE.NOXHHY.CT.103</v>
      </c>
      <c r="B119" s="28" t="str">
        <f>TEXT(COUNTIFS($C$3:C119,C119,$D$3:D119,D119,$F$3:F119,F119)+IF(F119="KT",100,IF(F119="KC",200,IF(F119="DI",300,IF(F119="DN",400,IF(F119="NU",500,IF(F119="DH",600,IF(F119="PC",700,0))))))),"000")</f>
        <v>103</v>
      </c>
      <c r="C119" s="28" t="s">
        <v>10</v>
      </c>
      <c r="D119" s="100" t="s">
        <v>202</v>
      </c>
      <c r="E119" s="28" t="s">
        <v>212</v>
      </c>
      <c r="F119" s="88" t="s">
        <v>123</v>
      </c>
      <c r="G119" s="6" t="s">
        <v>23</v>
      </c>
      <c r="H119" s="20" t="s">
        <v>116</v>
      </c>
      <c r="I119" s="82" t="s">
        <v>63</v>
      </c>
      <c r="J119" s="28" t="s">
        <v>155</v>
      </c>
      <c r="K119" s="28"/>
      <c r="L119" s="28"/>
      <c r="M119" s="96">
        <v>46115</v>
      </c>
      <c r="N119" s="96">
        <v>46177</v>
      </c>
      <c r="O119" s="223" t="str">
        <f t="shared" si="2"/>
        <v xml:space="preserve">Vũ Thị Thêu, , </v>
      </c>
    </row>
    <row r="120" spans="1:15">
      <c r="A120" s="28" t="str">
        <f>"3."&amp;D120&amp;"."&amp;B120</f>
        <v>3.B.HYE.NOXHHY.CT.203</v>
      </c>
      <c r="B120" s="28" t="str">
        <f>TEXT(COUNTIFS($C$3:C120,C120,$D$3:D120,D120,$F$3:F120,F120)+IF(F120="KT",100,IF(F120="KC",200,IF(F120="DI",300,IF(F120="DN",400,IF(F120="NU",500,IF(F120="DH",600,IF(F120="PC",700,0))))))),"000")</f>
        <v>203</v>
      </c>
      <c r="C120" s="28" t="s">
        <v>10</v>
      </c>
      <c r="D120" s="100" t="s">
        <v>202</v>
      </c>
      <c r="E120" s="28" t="s">
        <v>212</v>
      </c>
      <c r="F120" s="88" t="s">
        <v>132</v>
      </c>
      <c r="G120" s="6" t="s">
        <v>23</v>
      </c>
      <c r="H120" s="20" t="s">
        <v>116</v>
      </c>
      <c r="I120" s="82" t="s">
        <v>63</v>
      </c>
      <c r="J120" s="28" t="s">
        <v>155</v>
      </c>
      <c r="K120" s="28"/>
      <c r="L120" s="28"/>
      <c r="M120" s="96">
        <v>46135</v>
      </c>
      <c r="N120" s="96">
        <v>46211</v>
      </c>
      <c r="O120" s="223" t="str">
        <f t="shared" si="2"/>
        <v xml:space="preserve">Vũ Thị Thêu, , </v>
      </c>
    </row>
    <row r="121" spans="1:15">
      <c r="A121" s="28" t="str">
        <f>"3."&amp;D121&amp;"."&amp;B121</f>
        <v>3.B.HYE.NOXHHY.CT.303</v>
      </c>
      <c r="B121" s="28" t="str">
        <f>TEXT(COUNTIFS($C$3:C121,C121,$D$3:D121,D121,$F$3:F121,F121)+IF(F121="KT",100,IF(F121="KC",200,IF(F121="DI",300,IF(F121="DN",400,IF(F121="NU",500,IF(F121="DH",600,IF(F121="PC",700,0))))))),"000")</f>
        <v>303</v>
      </c>
      <c r="C121" s="28" t="s">
        <v>10</v>
      </c>
      <c r="D121" s="100" t="s">
        <v>202</v>
      </c>
      <c r="E121" s="28" t="s">
        <v>212</v>
      </c>
      <c r="F121" s="87" t="s">
        <v>140</v>
      </c>
      <c r="G121" s="6" t="s">
        <v>23</v>
      </c>
      <c r="H121" s="6" t="s">
        <v>116</v>
      </c>
      <c r="I121" s="82" t="s">
        <v>63</v>
      </c>
      <c r="J121" s="20" t="s">
        <v>165</v>
      </c>
      <c r="K121" s="20"/>
      <c r="L121" s="20"/>
      <c r="M121" s="96">
        <v>46166</v>
      </c>
      <c r="N121" s="96">
        <v>46186</v>
      </c>
      <c r="O121" s="223" t="str">
        <f t="shared" si="2"/>
        <v xml:space="preserve">Nguyễn Văn Hải, , </v>
      </c>
    </row>
    <row r="122" spans="1:15">
      <c r="A122" s="28" t="str">
        <f>"3."&amp;D122&amp;"."&amp;B122</f>
        <v>3.B.HYE.NOXHHY.CT.403</v>
      </c>
      <c r="B122" s="28" t="str">
        <f>TEXT(COUNTIFS($C$3:C122,C122,$D$3:D122,D122,$F$3:F122,F122)+IF(F122="KT",100,IF(F122="KC",200,IF(F122="DI",300,IF(F122="DN",400,IF(F122="NU",500,IF(F122="DH",600,IF(F122="PC",700,0))))))),"000")</f>
        <v>403</v>
      </c>
      <c r="C122" s="28" t="s">
        <v>10</v>
      </c>
      <c r="D122" s="100" t="s">
        <v>202</v>
      </c>
      <c r="E122" s="28" t="s">
        <v>212</v>
      </c>
      <c r="F122" s="87" t="s">
        <v>148</v>
      </c>
      <c r="G122" s="6" t="s">
        <v>23</v>
      </c>
      <c r="H122" s="6" t="s">
        <v>116</v>
      </c>
      <c r="I122" s="82" t="s">
        <v>63</v>
      </c>
      <c r="J122" s="20" t="s">
        <v>165</v>
      </c>
      <c r="K122" s="20"/>
      <c r="L122" s="20"/>
      <c r="M122" s="96">
        <v>46166</v>
      </c>
      <c r="N122" s="96">
        <v>46186</v>
      </c>
      <c r="O122" s="223" t="str">
        <f t="shared" si="2"/>
        <v xml:space="preserve">Nguyễn Văn Hải, , </v>
      </c>
    </row>
    <row r="123" spans="1:15">
      <c r="A123" s="28" t="str">
        <f>"3."&amp;D123&amp;"."&amp;B123</f>
        <v>3.B.HYE.NOXHHY.CT.503</v>
      </c>
      <c r="B123" s="28" t="str">
        <f>TEXT(COUNTIFS($C$3:C123,C123,$D$3:D123,D123,$F$3:F123,F123)+IF(F123="KT",100,IF(F123="KC",200,IF(F123="DI",300,IF(F123="DN",400,IF(F123="NU",500,IF(F123="DH",600,IF(F123="PC",700,0))))))),"000")</f>
        <v>503</v>
      </c>
      <c r="C123" s="28" t="s">
        <v>10</v>
      </c>
      <c r="D123" s="100" t="s">
        <v>202</v>
      </c>
      <c r="E123" s="28" t="s">
        <v>212</v>
      </c>
      <c r="F123" s="87" t="s">
        <v>154</v>
      </c>
      <c r="G123" s="6" t="s">
        <v>23</v>
      </c>
      <c r="H123" s="6" t="s">
        <v>116</v>
      </c>
      <c r="I123" s="82" t="s">
        <v>63</v>
      </c>
      <c r="J123" s="20" t="s">
        <v>165</v>
      </c>
      <c r="K123" s="20"/>
      <c r="L123" s="20"/>
      <c r="M123" s="96">
        <v>46166</v>
      </c>
      <c r="N123" s="96">
        <v>46186</v>
      </c>
      <c r="O123" s="223" t="str">
        <f t="shared" si="2"/>
        <v xml:space="preserve">Nguyễn Văn Hải, , </v>
      </c>
    </row>
    <row r="124" spans="1:15">
      <c r="A124" s="28" t="str">
        <f>"3."&amp;D124&amp;"."&amp;B124</f>
        <v>3.B.HYE.NOXHHY.CT.603</v>
      </c>
      <c r="B124" s="28" t="str">
        <f>TEXT(COUNTIFS($C$3:C124,C124,$D$3:D124,D124,$F$3:F124,F124)+IF(F124="KT",100,IF(F124="KC",200,IF(F124="DI",300,IF(F124="DN",400,IF(F124="NU",500,IF(F124="DH",600,IF(F124="PC",700,0))))))),"000")</f>
        <v>603</v>
      </c>
      <c r="C124" s="28" t="s">
        <v>10</v>
      </c>
      <c r="D124" s="100" t="s">
        <v>202</v>
      </c>
      <c r="E124" s="28" t="s">
        <v>212</v>
      </c>
      <c r="F124" s="87" t="s">
        <v>164</v>
      </c>
      <c r="G124" s="6" t="s">
        <v>23</v>
      </c>
      <c r="H124" s="6" t="s">
        <v>116</v>
      </c>
      <c r="I124" s="82" t="s">
        <v>63</v>
      </c>
      <c r="J124" s="20" t="s">
        <v>165</v>
      </c>
      <c r="K124" s="20"/>
      <c r="L124" s="20"/>
      <c r="M124" s="96">
        <v>46166</v>
      </c>
      <c r="N124" s="96">
        <v>46186</v>
      </c>
      <c r="O124" s="223" t="str">
        <f t="shared" si="2"/>
        <v xml:space="preserve">Nguyễn Văn Hải, , </v>
      </c>
    </row>
    <row r="125" spans="1:15">
      <c r="A125" s="28" t="str">
        <f>"3."&amp;D125&amp;"."&amp;B125</f>
        <v>3.B.HYE.NOXHHY.CT.703</v>
      </c>
      <c r="B125" s="28" t="str">
        <f>TEXT(COUNTIFS($C$3:C125,C125,$D$3:D125,D125,$F$3:F125,F125)+IF(F125="KT",100,IF(F125="KC",200,IF(F125="DI",300,IF(F125="DN",400,IF(F125="NU",500,IF(F125="DH",600,IF(F125="PC",700,0))))))),"000")</f>
        <v>703</v>
      </c>
      <c r="C125" s="28" t="s">
        <v>10</v>
      </c>
      <c r="D125" s="100" t="s">
        <v>202</v>
      </c>
      <c r="E125" s="28" t="s">
        <v>212</v>
      </c>
      <c r="F125" s="87" t="s">
        <v>159</v>
      </c>
      <c r="G125" s="6" t="s">
        <v>23</v>
      </c>
      <c r="H125" s="6" t="s">
        <v>116</v>
      </c>
      <c r="I125" s="82" t="s">
        <v>63</v>
      </c>
      <c r="J125" s="20" t="s">
        <v>165</v>
      </c>
      <c r="K125" s="20"/>
      <c r="L125" s="20"/>
      <c r="M125" s="96">
        <v>46166</v>
      </c>
      <c r="N125" s="96">
        <v>46186</v>
      </c>
      <c r="O125" s="223" t="str">
        <f t="shared" si="2"/>
        <v xml:space="preserve">Nguyễn Văn Hải, , </v>
      </c>
    </row>
    <row r="126" spans="1:15">
      <c r="A126" s="28" t="str">
        <f>"3."&amp;D126&amp;"."&amp;B126</f>
        <v>3.B.HYE.NOXHHY.CT.104</v>
      </c>
      <c r="B126" s="28" t="str">
        <f>TEXT(COUNTIFS($C$3:C126,C126,$D$3:D126,D126,$F$3:F126,F126)+IF(F126="KT",100,IF(F126="KC",200,IF(F126="DI",300,IF(F126="DN",400,IF(F126="NU",500,IF(F126="DH",600,IF(F126="PC",700,0))))))),"000")</f>
        <v>104</v>
      </c>
      <c r="C126" s="28" t="s">
        <v>10</v>
      </c>
      <c r="D126" s="100" t="s">
        <v>202</v>
      </c>
      <c r="E126" s="28" t="s">
        <v>216</v>
      </c>
      <c r="F126" s="88" t="s">
        <v>123</v>
      </c>
      <c r="G126" s="6" t="s">
        <v>23</v>
      </c>
      <c r="H126" s="20" t="s">
        <v>116</v>
      </c>
      <c r="I126" s="82" t="s">
        <v>63</v>
      </c>
      <c r="J126" s="28" t="s">
        <v>155</v>
      </c>
      <c r="K126" s="28"/>
      <c r="L126" s="28"/>
      <c r="M126" s="96">
        <v>46053</v>
      </c>
      <c r="N126" s="96">
        <v>46174</v>
      </c>
      <c r="O126" s="223" t="str">
        <f t="shared" si="2"/>
        <v xml:space="preserve">Vũ Thị Thêu, , </v>
      </c>
    </row>
    <row r="127" spans="1:15">
      <c r="A127" s="28" t="str">
        <f>"3."&amp;D127&amp;"."&amp;B127</f>
        <v>3.B.HYE.NOXHHY.CT.204</v>
      </c>
      <c r="B127" s="28" t="str">
        <f>TEXT(COUNTIFS($C$3:C127,C127,$D$3:D127,D127,$F$3:F127,F127)+IF(F127="KT",100,IF(F127="KC",200,IF(F127="DI",300,IF(F127="DN",400,IF(F127="NU",500,IF(F127="DH",600,IF(F127="PC",700,0))))))),"000")</f>
        <v>204</v>
      </c>
      <c r="C127" s="28" t="s">
        <v>10</v>
      </c>
      <c r="D127" s="100" t="s">
        <v>202</v>
      </c>
      <c r="E127" s="28" t="s">
        <v>216</v>
      </c>
      <c r="F127" s="88" t="s">
        <v>132</v>
      </c>
      <c r="G127" s="6" t="s">
        <v>23</v>
      </c>
      <c r="H127" s="20" t="s">
        <v>116</v>
      </c>
      <c r="I127" s="82" t="s">
        <v>63</v>
      </c>
      <c r="J127" s="28" t="s">
        <v>155</v>
      </c>
      <c r="K127" s="28"/>
      <c r="L127" s="28"/>
      <c r="M127" s="97">
        <v>46063</v>
      </c>
      <c r="N127" s="97">
        <v>46174</v>
      </c>
      <c r="O127" s="223" t="str">
        <f t="shared" si="2"/>
        <v xml:space="preserve">Vũ Thị Thêu, , </v>
      </c>
    </row>
    <row r="128" spans="1:15">
      <c r="A128" s="28" t="str">
        <f>"3."&amp;D128&amp;"."&amp;B128</f>
        <v>3.B.HYE.NOXHHY.CT.304</v>
      </c>
      <c r="B128" s="28" t="str">
        <f>TEXT(COUNTIFS($C$3:C128,C128,$D$3:D128,D128,$F$3:F128,F128)+IF(F128="KT",100,IF(F128="KC",200,IF(F128="DI",300,IF(F128="DN",400,IF(F128="NU",500,IF(F128="DH",600,IF(F128="PC",700,0))))))),"000")</f>
        <v>304</v>
      </c>
      <c r="C128" s="28" t="s">
        <v>10</v>
      </c>
      <c r="D128" s="100" t="s">
        <v>202</v>
      </c>
      <c r="E128" s="28" t="s">
        <v>216</v>
      </c>
      <c r="F128" s="87" t="s">
        <v>140</v>
      </c>
      <c r="G128" s="6" t="s">
        <v>23</v>
      </c>
      <c r="H128" s="6" t="s">
        <v>116</v>
      </c>
      <c r="I128" s="82" t="s">
        <v>63</v>
      </c>
      <c r="J128" s="20" t="s">
        <v>180</v>
      </c>
      <c r="K128" s="20"/>
      <c r="L128" s="20"/>
      <c r="M128" s="96">
        <v>46063</v>
      </c>
      <c r="N128" s="96">
        <v>46174</v>
      </c>
      <c r="O128" s="223" t="str">
        <f t="shared" si="2"/>
        <v xml:space="preserve">Phan Trường Giang, , </v>
      </c>
    </row>
    <row r="129" spans="1:15">
      <c r="A129" s="28" t="str">
        <f>"3."&amp;D129&amp;"."&amp;B129</f>
        <v>3.B.HYE.NOXHHY.CT.404</v>
      </c>
      <c r="B129" s="28" t="str">
        <f>TEXT(COUNTIFS($C$3:C129,C129,$D$3:D129,D129,$F$3:F129,F129)+IF(F129="KT",100,IF(F129="KC",200,IF(F129="DI",300,IF(F129="DN",400,IF(F129="NU",500,IF(F129="DH",600,IF(F129="PC",700,0))))))),"000")</f>
        <v>404</v>
      </c>
      <c r="C129" s="28" t="s">
        <v>10</v>
      </c>
      <c r="D129" s="100" t="s">
        <v>202</v>
      </c>
      <c r="E129" s="28" t="s">
        <v>216</v>
      </c>
      <c r="F129" s="87" t="s">
        <v>148</v>
      </c>
      <c r="G129" s="6" t="s">
        <v>23</v>
      </c>
      <c r="H129" s="6" t="s">
        <v>116</v>
      </c>
      <c r="I129" s="82" t="s">
        <v>63</v>
      </c>
      <c r="J129" s="20" t="s">
        <v>180</v>
      </c>
      <c r="K129" s="20"/>
      <c r="L129" s="20"/>
      <c r="M129" s="96">
        <v>46063</v>
      </c>
      <c r="N129" s="96">
        <v>46174</v>
      </c>
      <c r="O129" s="223" t="str">
        <f t="shared" si="2"/>
        <v xml:space="preserve">Phan Trường Giang, , </v>
      </c>
    </row>
    <row r="130" spans="1:15">
      <c r="A130" s="28" t="str">
        <f>"3."&amp;D130&amp;"."&amp;B130</f>
        <v>3.B.HYE.NOXHHY.CT.504</v>
      </c>
      <c r="B130" s="28" t="str">
        <f>TEXT(COUNTIFS($C$3:C130,C130,$D$3:D130,D130,$F$3:F130,F130)+IF(F130="KT",100,IF(F130="KC",200,IF(F130="DI",300,IF(F130="DN",400,IF(F130="NU",500,IF(F130="DH",600,IF(F130="PC",700,0))))))),"000")</f>
        <v>504</v>
      </c>
      <c r="C130" s="28" t="s">
        <v>10</v>
      </c>
      <c r="D130" s="100" t="s">
        <v>202</v>
      </c>
      <c r="E130" s="28" t="s">
        <v>216</v>
      </c>
      <c r="F130" s="87" t="s">
        <v>154</v>
      </c>
      <c r="G130" s="6" t="s">
        <v>23</v>
      </c>
      <c r="H130" s="6" t="s">
        <v>116</v>
      </c>
      <c r="I130" s="82" t="s">
        <v>63</v>
      </c>
      <c r="J130" s="20" t="s">
        <v>180</v>
      </c>
      <c r="K130" s="20"/>
      <c r="L130" s="20"/>
      <c r="M130" s="96">
        <v>46063</v>
      </c>
      <c r="N130" s="96">
        <v>46174</v>
      </c>
      <c r="O130" s="223" t="str">
        <f t="shared" si="2"/>
        <v xml:space="preserve">Phan Trường Giang, , </v>
      </c>
    </row>
    <row r="131" spans="1:15">
      <c r="A131" s="28" t="str">
        <f>"3."&amp;D131&amp;"."&amp;B131</f>
        <v>3.B.HYE.NOXHHY.CT.604</v>
      </c>
      <c r="B131" s="28" t="str">
        <f>TEXT(COUNTIFS($C$3:C131,C131,$D$3:D131,D131,$F$3:F131,F131)+IF(F131="KT",100,IF(F131="KC",200,IF(F131="DI",300,IF(F131="DN",400,IF(F131="NU",500,IF(F131="DH",600,IF(F131="PC",700,0))))))),"000")</f>
        <v>604</v>
      </c>
      <c r="C131" s="28" t="s">
        <v>10</v>
      </c>
      <c r="D131" s="100" t="s">
        <v>202</v>
      </c>
      <c r="E131" s="28" t="s">
        <v>216</v>
      </c>
      <c r="F131" s="87" t="s">
        <v>164</v>
      </c>
      <c r="G131" s="6" t="s">
        <v>23</v>
      </c>
      <c r="H131" s="6" t="s">
        <v>116</v>
      </c>
      <c r="I131" s="82" t="s">
        <v>63</v>
      </c>
      <c r="J131" s="20" t="s">
        <v>180</v>
      </c>
      <c r="K131" s="20"/>
      <c r="L131" s="20"/>
      <c r="M131" s="96">
        <v>46063</v>
      </c>
      <c r="N131" s="96">
        <v>46174</v>
      </c>
      <c r="O131" s="223" t="str">
        <f t="shared" ref="O131:O224" si="3">J131&amp;", "&amp;K131&amp;", "&amp;L131</f>
        <v xml:space="preserve">Phan Trường Giang, , </v>
      </c>
    </row>
    <row r="132" spans="1:15">
      <c r="A132" s="28" t="str">
        <f>"3."&amp;D132&amp;"."&amp;B132</f>
        <v>3.B.HYE.NOXHHY.CT.704</v>
      </c>
      <c r="B132" s="28" t="str">
        <f>TEXT(COUNTIFS($C$3:C132,C132,$D$3:D132,D132,$F$3:F132,F132)+IF(F132="KT",100,IF(F132="KC",200,IF(F132="DI",300,IF(F132="DN",400,IF(F132="NU",500,IF(F132="DH",600,IF(F132="PC",700,0))))))),"000")</f>
        <v>704</v>
      </c>
      <c r="C132" s="28" t="s">
        <v>10</v>
      </c>
      <c r="D132" s="100" t="s">
        <v>202</v>
      </c>
      <c r="E132" s="28" t="s">
        <v>216</v>
      </c>
      <c r="F132" s="87" t="s">
        <v>159</v>
      </c>
      <c r="G132" s="6" t="s">
        <v>23</v>
      </c>
      <c r="H132" s="6" t="s">
        <v>116</v>
      </c>
      <c r="I132" s="82" t="s">
        <v>63</v>
      </c>
      <c r="J132" s="20" t="s">
        <v>180</v>
      </c>
      <c r="K132" s="20"/>
      <c r="L132" s="20"/>
      <c r="M132" s="96">
        <v>46063</v>
      </c>
      <c r="N132" s="96">
        <v>46174</v>
      </c>
      <c r="O132" s="223" t="str">
        <f t="shared" si="3"/>
        <v xml:space="preserve">Phan Trường Giang, , </v>
      </c>
    </row>
    <row r="133" spans="1:15">
      <c r="A133" s="28" t="str">
        <f>"3."&amp;D133&amp;"."&amp;B133</f>
        <v>3.B.HYE.NOXHPH.NX.101</v>
      </c>
      <c r="B133" s="28" t="str">
        <f>TEXT(COUNTIFS($C$3:C133,C133,$D$3:D133,D133,$F$3:F133,F133)+IF(F133="KT",100,IF(F133="KC",200,IF(F133="DI",300,IF(F133="DN",400,IF(F133="NU",500,IF(F133="DH",600,IF(F133="PC",700,0))))))),"000")</f>
        <v>101</v>
      </c>
      <c r="C133" s="28" t="s">
        <v>10</v>
      </c>
      <c r="D133" s="100" t="s">
        <v>220</v>
      </c>
      <c r="E133" s="28" t="s">
        <v>221</v>
      </c>
      <c r="F133" s="88" t="s">
        <v>123</v>
      </c>
      <c r="G133" s="6" t="s">
        <v>23</v>
      </c>
      <c r="H133" s="6" t="s">
        <v>116</v>
      </c>
      <c r="I133" s="82" t="s">
        <v>63</v>
      </c>
      <c r="J133" s="28" t="s">
        <v>32</v>
      </c>
      <c r="K133" s="28"/>
      <c r="L133" s="28"/>
      <c r="M133" s="96">
        <v>46163</v>
      </c>
      <c r="N133" s="96">
        <v>46211</v>
      </c>
      <c r="O133" s="223" t="str">
        <f t="shared" si="3"/>
        <v xml:space="preserve">Nguyễn Hải Nam, , </v>
      </c>
    </row>
    <row r="134" spans="1:15">
      <c r="A134" s="28" t="str">
        <f>"3."&amp;D134&amp;"."&amp;B134</f>
        <v>3.B.HYE.NOXHPH.NX.201</v>
      </c>
      <c r="B134" s="28" t="str">
        <f>TEXT(COUNTIFS($C$3:C134,C134,$D$3:D134,D134,$F$3:F134,F134)+IF(F134="KT",100,IF(F134="KC",200,IF(F134="DI",300,IF(F134="DN",400,IF(F134="NU",500,IF(F134="DH",600,IF(F134="PC",700,0))))))),"000")</f>
        <v>201</v>
      </c>
      <c r="C134" s="28" t="s">
        <v>10</v>
      </c>
      <c r="D134" s="100" t="s">
        <v>220</v>
      </c>
      <c r="E134" s="28" t="s">
        <v>221</v>
      </c>
      <c r="F134" s="88" t="s">
        <v>132</v>
      </c>
      <c r="G134" s="6" t="s">
        <v>23</v>
      </c>
      <c r="H134" s="6" t="s">
        <v>116</v>
      </c>
      <c r="I134" s="82" t="s">
        <v>63</v>
      </c>
      <c r="J134" s="28" t="s">
        <v>32</v>
      </c>
      <c r="K134" s="28"/>
      <c r="L134" s="28"/>
      <c r="M134" s="96">
        <v>46163</v>
      </c>
      <c r="N134" s="96">
        <v>46211</v>
      </c>
      <c r="O134" s="223" t="str">
        <f t="shared" si="3"/>
        <v xml:space="preserve">Nguyễn Hải Nam, , </v>
      </c>
    </row>
    <row r="135" spans="1:15">
      <c r="A135" s="28" t="str">
        <f>"3."&amp;D135&amp;"."&amp;B135</f>
        <v>3.B.HYE.NOXHPH.NX.102</v>
      </c>
      <c r="B135" s="28" t="str">
        <f>TEXT(COUNTIFS($C$3:C135,C135,$D$3:D135,D135,$F$3:F135,F135)+IF(F135="KT",100,IF(F135="KC",200,IF(F135="DI",300,IF(F135="DN",400,IF(F135="NU",500,IF(F135="DH",600,IF(F135="PC",700,0))))))),"000")</f>
        <v>102</v>
      </c>
      <c r="C135" s="28" t="s">
        <v>10</v>
      </c>
      <c r="D135" s="100" t="s">
        <v>220</v>
      </c>
      <c r="E135" s="28" t="s">
        <v>225</v>
      </c>
      <c r="F135" s="88" t="s">
        <v>123</v>
      </c>
      <c r="G135" s="6" t="s">
        <v>23</v>
      </c>
      <c r="H135" s="20" t="s">
        <v>116</v>
      </c>
      <c r="I135" s="82" t="s">
        <v>63</v>
      </c>
      <c r="J135" s="28" t="s">
        <v>35</v>
      </c>
      <c r="K135" s="28"/>
      <c r="L135" s="28"/>
      <c r="M135" s="96">
        <v>46117</v>
      </c>
      <c r="N135" s="96">
        <v>46174</v>
      </c>
      <c r="O135" s="223" t="str">
        <f t="shared" si="3"/>
        <v xml:space="preserve">Đặng Minh Quang, , </v>
      </c>
    </row>
    <row r="136" spans="1:15">
      <c r="A136" s="28" t="str">
        <f>"3."&amp;D136&amp;"."&amp;B136</f>
        <v>3.B.HYE.NOXHPH.NX.103</v>
      </c>
      <c r="B136" s="28" t="str">
        <f>TEXT(COUNTIFS($C$3:C136,C136,$D$3:D136,D136,$F$3:F136,F136)+IF(F136="KT",100,IF(F136="KC",200,IF(F136="DI",300,IF(F136="DN",400,IF(F136="NU",500,IF(F136="DH",600,IF(F136="PC",700,0))))))),"000")</f>
        <v>103</v>
      </c>
      <c r="C136" s="28" t="s">
        <v>10</v>
      </c>
      <c r="D136" s="100" t="s">
        <v>220</v>
      </c>
      <c r="E136" s="28" t="s">
        <v>225</v>
      </c>
      <c r="F136" s="88" t="s">
        <v>123</v>
      </c>
      <c r="G136" s="6" t="s">
        <v>128</v>
      </c>
      <c r="H136" s="20" t="s">
        <v>116</v>
      </c>
      <c r="I136" s="82" t="s">
        <v>63</v>
      </c>
      <c r="J136" s="28" t="s">
        <v>35</v>
      </c>
      <c r="K136" s="28"/>
      <c r="L136" s="28"/>
      <c r="M136" s="96">
        <v>46174</v>
      </c>
      <c r="N136" s="96">
        <v>46186</v>
      </c>
      <c r="O136" s="223" t="str">
        <f t="shared" si="3"/>
        <v xml:space="preserve">Đặng Minh Quang, , </v>
      </c>
    </row>
    <row r="137" spans="1:15">
      <c r="A137" s="28" t="str">
        <f>"3."&amp;D137&amp;"."&amp;B137</f>
        <v>3.B.HYE.NOXHPH.NX.202</v>
      </c>
      <c r="B137" s="28" t="str">
        <f>TEXT(COUNTIFS($C$3:C137,C137,$D$3:D137,D137,$F$3:F137,F137)+IF(F137="KT",100,IF(F137="KC",200,IF(F137="DI",300,IF(F137="DN",400,IF(F137="NU",500,IF(F137="DH",600,IF(F137="PC",700,0))))))),"000")</f>
        <v>202</v>
      </c>
      <c r="C137" s="28" t="s">
        <v>10</v>
      </c>
      <c r="D137" s="100" t="s">
        <v>220</v>
      </c>
      <c r="E137" s="28" t="s">
        <v>225</v>
      </c>
      <c r="F137" s="88" t="s">
        <v>132</v>
      </c>
      <c r="G137" s="6" t="s">
        <v>23</v>
      </c>
      <c r="H137" s="20" t="s">
        <v>116</v>
      </c>
      <c r="I137" s="82" t="s">
        <v>63</v>
      </c>
      <c r="J137" s="28" t="s">
        <v>35</v>
      </c>
      <c r="K137" s="28"/>
      <c r="L137" s="28"/>
      <c r="M137" s="96">
        <v>46117</v>
      </c>
      <c r="N137" s="96">
        <v>46174</v>
      </c>
      <c r="O137" s="223" t="str">
        <f t="shared" si="3"/>
        <v xml:space="preserve">Đặng Minh Quang, , </v>
      </c>
    </row>
    <row r="138" spans="1:15">
      <c r="A138" s="28" t="str">
        <f>"3."&amp;D138&amp;"."&amp;B138</f>
        <v>3.B.HYE.NOXHPH.NX.301</v>
      </c>
      <c r="B138" s="28" t="str">
        <f>TEXT(COUNTIFS($C$3:C138,C138,$D$3:D138,D138,$F$3:F138,F138)+IF(F138="KT",100,IF(F138="KC",200,IF(F138="DI",300,IF(F138="DN",400,IF(F138="NU",500,IF(F138="DH",600,IF(F138="PC",700,0))))))),"000")</f>
        <v>301</v>
      </c>
      <c r="C138" s="28" t="s">
        <v>10</v>
      </c>
      <c r="D138" s="100" t="s">
        <v>220</v>
      </c>
      <c r="E138" s="28" t="s">
        <v>225</v>
      </c>
      <c r="F138" s="88" t="s">
        <v>140</v>
      </c>
      <c r="G138" s="6" t="s">
        <v>23</v>
      </c>
      <c r="H138" s="20" t="s">
        <v>116</v>
      </c>
      <c r="I138" s="82" t="s">
        <v>63</v>
      </c>
      <c r="J138" s="28" t="s">
        <v>160</v>
      </c>
      <c r="K138" s="28"/>
      <c r="L138" s="28"/>
      <c r="M138" s="96">
        <v>46117</v>
      </c>
      <c r="N138" s="96">
        <v>46174</v>
      </c>
    </row>
    <row r="139" spans="1:15">
      <c r="A139" s="28" t="str">
        <f>"3."&amp;D139&amp;"."&amp;B139</f>
        <v>3.B.HYE.NOXHPH.NX.302</v>
      </c>
      <c r="B139" s="28" t="str">
        <f>TEXT(COUNTIFS($C$3:C139,C139,$D$3:D139,D139,$F$3:F139,F139)+IF(F139="KT",100,IF(F139="KC",200,IF(F139="DI",300,IF(F139="DN",400,IF(F139="NU",500,IF(F139="DH",600,IF(F139="PC",700,0))))))),"000")</f>
        <v>302</v>
      </c>
      <c r="C139" s="28" t="s">
        <v>10</v>
      </c>
      <c r="D139" s="100" t="s">
        <v>220</v>
      </c>
      <c r="E139" s="28" t="s">
        <v>225</v>
      </c>
      <c r="F139" s="88" t="s">
        <v>140</v>
      </c>
      <c r="G139" s="6" t="s">
        <v>23</v>
      </c>
      <c r="H139" s="20" t="s">
        <v>116</v>
      </c>
      <c r="I139" s="82" t="s">
        <v>63</v>
      </c>
      <c r="J139" s="28" t="s">
        <v>160</v>
      </c>
      <c r="K139" s="28"/>
      <c r="L139" s="28"/>
      <c r="M139" s="96">
        <v>46117</v>
      </c>
      <c r="N139" s="96">
        <v>46174</v>
      </c>
    </row>
    <row r="140" spans="1:15">
      <c r="A140" s="28" t="str">
        <f>"3."&amp;D140&amp;"."&amp;B140</f>
        <v>3.B.HYE.NOXHPH.NX.303</v>
      </c>
      <c r="B140" s="28" t="str">
        <f>TEXT(COUNTIFS($C$3:C140,C140,$D$3:D140,D140,$F$3:F140,F140)+IF(F140="KT",100,IF(F140="KC",200,IF(F140="DI",300,IF(F140="DN",400,IF(F140="NU",500,IF(F140="DH",600,IF(F140="PC",700,0))))))),"000")</f>
        <v>303</v>
      </c>
      <c r="C140" s="28" t="s">
        <v>10</v>
      </c>
      <c r="D140" s="100" t="s">
        <v>220</v>
      </c>
      <c r="E140" s="28" t="s">
        <v>225</v>
      </c>
      <c r="F140" s="88" t="s">
        <v>140</v>
      </c>
      <c r="G140" s="6" t="s">
        <v>23</v>
      </c>
      <c r="H140" s="20" t="s">
        <v>116</v>
      </c>
      <c r="I140" s="82" t="s">
        <v>63</v>
      </c>
      <c r="J140" s="28" t="s">
        <v>160</v>
      </c>
      <c r="K140" s="28"/>
      <c r="L140" s="28"/>
      <c r="M140" s="96">
        <v>46117</v>
      </c>
      <c r="N140" s="96">
        <v>46174</v>
      </c>
    </row>
    <row r="141" spans="1:15">
      <c r="A141" s="28" t="str">
        <f>"3."&amp;D141&amp;"."&amp;B141</f>
        <v>3.B.HYE.NOXHPH.NX.304</v>
      </c>
      <c r="B141" s="28" t="str">
        <f>TEXT(COUNTIFS($C$3:C141,C141,$D$3:D141,D141,$F$3:F141,F141)+IF(F141="KT",100,IF(F141="KC",200,IF(F141="DI",300,IF(F141="DN",400,IF(F141="NU",500,IF(F141="DH",600,IF(F141="PC",700,0))))))),"000")</f>
        <v>304</v>
      </c>
      <c r="C141" s="28" t="s">
        <v>10</v>
      </c>
      <c r="D141" s="100" t="s">
        <v>220</v>
      </c>
      <c r="E141" s="28" t="s">
        <v>225</v>
      </c>
      <c r="F141" s="88" t="s">
        <v>140</v>
      </c>
      <c r="G141" s="6" t="s">
        <v>23</v>
      </c>
      <c r="H141" s="20" t="s">
        <v>116</v>
      </c>
      <c r="I141" s="82" t="s">
        <v>63</v>
      </c>
      <c r="J141" s="28" t="s">
        <v>160</v>
      </c>
      <c r="K141" s="28"/>
      <c r="L141" s="28"/>
      <c r="M141" s="96">
        <v>46117</v>
      </c>
      <c r="N141" s="96">
        <v>46174</v>
      </c>
    </row>
    <row r="142" spans="1:15">
      <c r="A142" s="28" t="str">
        <f>"3."&amp;D142&amp;"."&amp;B142</f>
        <v>3.B.HYE.NOXHPH.NX.305</v>
      </c>
      <c r="B142" s="28" t="str">
        <f>TEXT(COUNTIFS($C$3:C142,C142,$D$3:D142,D142,$F$3:F142,F142)+IF(F142="KT",100,IF(F142="KC",200,IF(F142="DI",300,IF(F142="DN",400,IF(F142="NU",500,IF(F142="DH",600,IF(F142="PC",700,0))))))),"000")</f>
        <v>305</v>
      </c>
      <c r="C142" s="28" t="s">
        <v>10</v>
      </c>
      <c r="D142" s="100" t="s">
        <v>220</v>
      </c>
      <c r="E142" s="28" t="s">
        <v>225</v>
      </c>
      <c r="F142" s="88" t="s">
        <v>140</v>
      </c>
      <c r="G142" s="6" t="s">
        <v>23</v>
      </c>
      <c r="H142" s="20" t="s">
        <v>116</v>
      </c>
      <c r="I142" s="82" t="s">
        <v>63</v>
      </c>
      <c r="J142" s="28" t="s">
        <v>160</v>
      </c>
      <c r="K142" s="28"/>
      <c r="L142" s="28"/>
      <c r="M142" s="96">
        <v>46117</v>
      </c>
      <c r="N142" s="96">
        <v>46174</v>
      </c>
    </row>
    <row r="143" spans="1:15">
      <c r="A143" s="28" t="str">
        <f>"3."&amp;D143&amp;"."&amp;B143</f>
        <v>3.B.HYE.PVF.101</v>
      </c>
      <c r="B143" s="28" t="str">
        <f>TEXT(COUNTIFS($C$3:C143,C143,$D$3:D143,D143,$F$3:F143,F143)+IF(F143="KT",100,IF(F143="KC",200,IF(F143="DI",300,IF(F143="DN",400,IF(F143="NU",500,IF(F143="DH",600,IF(F143="PC",700,0))))))),"000")</f>
        <v>101</v>
      </c>
      <c r="C143" s="28" t="s">
        <v>10</v>
      </c>
      <c r="D143" s="100" t="s">
        <v>230</v>
      </c>
      <c r="E143" s="28" t="s">
        <v>231</v>
      </c>
      <c r="F143" s="88" t="s">
        <v>123</v>
      </c>
      <c r="G143" s="6" t="s">
        <v>23</v>
      </c>
      <c r="H143" s="20" t="s">
        <v>116</v>
      </c>
      <c r="I143" s="82" t="s">
        <v>63</v>
      </c>
      <c r="J143" s="28" t="s">
        <v>33</v>
      </c>
      <c r="K143" s="28"/>
      <c r="L143" s="28"/>
      <c r="M143" s="96">
        <v>46007</v>
      </c>
      <c r="N143" s="96">
        <v>46178</v>
      </c>
      <c r="O143" s="223" t="str">
        <f t="shared" si="3"/>
        <v xml:space="preserve">Đỗ Minh Ngọc, , </v>
      </c>
    </row>
    <row r="144" spans="1:15">
      <c r="A144" s="28" t="str">
        <f>"3."&amp;D144&amp;"."&amp;B144</f>
        <v>3.B.HYE.PVF.102</v>
      </c>
      <c r="B144" s="28" t="str">
        <f>TEXT(COUNTIFS($C$3:C144,C144,$D$3:D144,D144,$F$3:F144,F144)+IF(F144="KT",100,IF(F144="KC",200,IF(F144="DI",300,IF(F144="DN",400,IF(F144="NU",500,IF(F144="DH",600,IF(F144="PC",700,0))))))),"000")</f>
        <v>102</v>
      </c>
      <c r="C144" s="28" t="s">
        <v>10</v>
      </c>
      <c r="D144" s="100" t="s">
        <v>230</v>
      </c>
      <c r="E144" s="28" t="s">
        <v>231</v>
      </c>
      <c r="F144" s="88" t="s">
        <v>123</v>
      </c>
      <c r="G144" s="6" t="s">
        <v>28</v>
      </c>
      <c r="H144" s="20" t="s">
        <v>116</v>
      </c>
      <c r="I144" s="82" t="s">
        <v>63</v>
      </c>
      <c r="J144" s="28" t="s">
        <v>31</v>
      </c>
      <c r="K144" s="28"/>
      <c r="L144" s="28"/>
      <c r="M144" s="96">
        <v>46156</v>
      </c>
      <c r="N144" s="96">
        <v>46157</v>
      </c>
      <c r="O144" s="223" t="str">
        <f t="shared" si="3"/>
        <v xml:space="preserve">Lý Huy Thành, , </v>
      </c>
    </row>
    <row r="145" spans="1:15">
      <c r="A145" s="28" t="str">
        <f>"3."&amp;D145&amp;"."&amp;B145</f>
        <v>3.B.HYE.PVF.201</v>
      </c>
      <c r="B145" s="28" t="str">
        <f>TEXT(COUNTIFS($C$3:C145,C145,$D$3:D145,D145,$F$3:F145,F145)+IF(F145="KT",100,IF(F145="KC",200,IF(F145="DI",300,IF(F145="DN",400,IF(F145="NU",500,IF(F145="DH",600,IF(F145="PC",700,0))))))),"000")</f>
        <v>201</v>
      </c>
      <c r="C145" s="28" t="s">
        <v>10</v>
      </c>
      <c r="D145" s="100" t="s">
        <v>230</v>
      </c>
      <c r="E145" s="28" t="s">
        <v>231</v>
      </c>
      <c r="F145" s="88" t="s">
        <v>132</v>
      </c>
      <c r="G145" s="6" t="s">
        <v>23</v>
      </c>
      <c r="H145" s="20" t="s">
        <v>116</v>
      </c>
      <c r="I145" s="82" t="s">
        <v>63</v>
      </c>
      <c r="J145" s="28" t="s">
        <v>33</v>
      </c>
      <c r="K145" s="28"/>
      <c r="L145" s="28"/>
      <c r="M145" s="96">
        <v>46014</v>
      </c>
      <c r="N145" s="96">
        <v>46178</v>
      </c>
      <c r="O145" s="223" t="str">
        <f t="shared" si="3"/>
        <v xml:space="preserve">Đỗ Minh Ngọc, , </v>
      </c>
    </row>
    <row r="146" spans="1:15">
      <c r="A146" s="28" t="str">
        <f>"3."&amp;D146&amp;"."&amp;B146</f>
        <v>3.B.HYE.PVF.202</v>
      </c>
      <c r="B146" s="28" t="str">
        <f>TEXT(COUNTIFS($C$3:C146,C146,$D$3:D146,D146,$F$3:F146,F146)+IF(F146="KT",100,IF(F146="KC",200,IF(F146="DI",300,IF(F146="DN",400,IF(F146="NU",500,IF(F146="DH",600,IF(F146="PC",700,0))))))),"000")</f>
        <v>202</v>
      </c>
      <c r="C146" s="28" t="s">
        <v>10</v>
      </c>
      <c r="D146" s="100" t="s">
        <v>230</v>
      </c>
      <c r="E146" s="28" t="s">
        <v>231</v>
      </c>
      <c r="F146" s="88" t="s">
        <v>132</v>
      </c>
      <c r="G146" s="6" t="s">
        <v>28</v>
      </c>
      <c r="H146" s="20" t="s">
        <v>116</v>
      </c>
      <c r="I146" s="82" t="s">
        <v>63</v>
      </c>
      <c r="J146" s="28" t="s">
        <v>32</v>
      </c>
      <c r="K146" s="28"/>
      <c r="L146" s="28"/>
      <c r="M146" s="96">
        <v>46156</v>
      </c>
      <c r="N146" s="96">
        <v>46157</v>
      </c>
      <c r="O146" s="223" t="str">
        <f t="shared" si="3"/>
        <v xml:space="preserve">Nguyễn Hải Nam, , </v>
      </c>
    </row>
    <row r="147" spans="1:15">
      <c r="A147" s="28" t="str">
        <f>"3."&amp;D147&amp;"."&amp;B147</f>
        <v>3.B.HYE.PVF.301</v>
      </c>
      <c r="B147" s="28" t="str">
        <f>TEXT(COUNTIFS($C$3:C147,C147,$D$3:D147,D147,$F$3:F147,F147)+IF(F147="KT",100,IF(F147="KC",200,IF(F147="DI",300,IF(F147="DN",400,IF(F147="NU",500,IF(F147="DH",600,IF(F147="PC",700,0))))))),"000")</f>
        <v>301</v>
      </c>
      <c r="C147" s="28" t="s">
        <v>10</v>
      </c>
      <c r="D147" s="100" t="s">
        <v>230</v>
      </c>
      <c r="E147" s="28" t="s">
        <v>231</v>
      </c>
      <c r="F147" s="87" t="s">
        <v>140</v>
      </c>
      <c r="G147" s="6" t="s">
        <v>23</v>
      </c>
      <c r="H147" s="6" t="s">
        <v>116</v>
      </c>
      <c r="I147" s="82" t="s">
        <v>63</v>
      </c>
      <c r="J147" s="20" t="s">
        <v>180</v>
      </c>
      <c r="K147" s="20"/>
      <c r="L147" s="20"/>
      <c r="M147" s="96">
        <v>46013</v>
      </c>
      <c r="N147" s="96">
        <v>46157</v>
      </c>
      <c r="O147" s="223" t="str">
        <f t="shared" si="3"/>
        <v xml:space="preserve">Phan Trường Giang, , </v>
      </c>
    </row>
    <row r="148" spans="1:15">
      <c r="A148" s="28" t="str">
        <f>"3."&amp;D148&amp;"."&amp;B148</f>
        <v>3.B.HYE.PVF.401</v>
      </c>
      <c r="B148" s="28" t="str">
        <f>TEXT(COUNTIFS($C$3:C148,C148,$D$3:D148,D148,$F$3:F148,F148)+IF(F148="KT",100,IF(F148="KC",200,IF(F148="DI",300,IF(F148="DN",400,IF(F148="NU",500,IF(F148="DH",600,IF(F148="PC",700,0))))))),"000")</f>
        <v>401</v>
      </c>
      <c r="C148" s="28" t="s">
        <v>10</v>
      </c>
      <c r="D148" s="100" t="s">
        <v>230</v>
      </c>
      <c r="E148" s="28" t="s">
        <v>231</v>
      </c>
      <c r="F148" s="87" t="s">
        <v>148</v>
      </c>
      <c r="G148" s="6" t="s">
        <v>23</v>
      </c>
      <c r="H148" s="6" t="s">
        <v>116</v>
      </c>
      <c r="I148" s="82" t="s">
        <v>63</v>
      </c>
      <c r="J148" s="20" t="s">
        <v>180</v>
      </c>
      <c r="K148" s="20"/>
      <c r="L148" s="20"/>
      <c r="M148" s="96">
        <v>46013</v>
      </c>
      <c r="N148" s="96">
        <v>46157</v>
      </c>
      <c r="O148" s="223" t="str">
        <f t="shared" si="3"/>
        <v xml:space="preserve">Phan Trường Giang, , </v>
      </c>
    </row>
    <row r="149" spans="1:15">
      <c r="A149" s="28" t="str">
        <f>"3."&amp;D149&amp;"."&amp;B149</f>
        <v>3.B.HYE.PVF.501</v>
      </c>
      <c r="B149" s="28" t="str">
        <f>TEXT(COUNTIFS($C$3:C149,C149,$D$3:D149,D149,$F$3:F149,F149)+IF(F149="KT",100,IF(F149="KC",200,IF(F149="DI",300,IF(F149="DN",400,IF(F149="NU",500,IF(F149="DH",600,IF(F149="PC",700,0))))))),"000")</f>
        <v>501</v>
      </c>
      <c r="C149" s="28" t="s">
        <v>10</v>
      </c>
      <c r="D149" s="100" t="s">
        <v>230</v>
      </c>
      <c r="E149" s="28" t="s">
        <v>231</v>
      </c>
      <c r="F149" s="87" t="s">
        <v>154</v>
      </c>
      <c r="G149" s="6" t="s">
        <v>23</v>
      </c>
      <c r="H149" s="6" t="s">
        <v>116</v>
      </c>
      <c r="I149" s="82" t="s">
        <v>63</v>
      </c>
      <c r="J149" s="20" t="s">
        <v>180</v>
      </c>
      <c r="K149" s="20"/>
      <c r="L149" s="20"/>
      <c r="M149" s="96">
        <v>46013</v>
      </c>
      <c r="N149" s="96">
        <v>46157</v>
      </c>
      <c r="O149" s="223" t="str">
        <f t="shared" si="3"/>
        <v xml:space="preserve">Phan Trường Giang, , </v>
      </c>
    </row>
    <row r="150" spans="1:15">
      <c r="A150" s="28" t="str">
        <f>"3."&amp;D150&amp;"."&amp;B150</f>
        <v>3.B.HYE.PVF.601</v>
      </c>
      <c r="B150" s="28" t="str">
        <f>TEXT(COUNTIFS($C$3:C150,C150,$D$3:D150,D150,$F$3:F150,F150)+IF(F150="KT",100,IF(F150="KC",200,IF(F150="DI",300,IF(F150="DN",400,IF(F150="NU",500,IF(F150="DH",600,IF(F150="PC",700,0))))))),"000")</f>
        <v>601</v>
      </c>
      <c r="C150" s="28" t="s">
        <v>10</v>
      </c>
      <c r="D150" s="100" t="s">
        <v>230</v>
      </c>
      <c r="E150" s="28" t="s">
        <v>231</v>
      </c>
      <c r="F150" s="87" t="s">
        <v>164</v>
      </c>
      <c r="G150" s="6" t="s">
        <v>23</v>
      </c>
      <c r="H150" s="6" t="s">
        <v>116</v>
      </c>
      <c r="I150" s="82" t="s">
        <v>63</v>
      </c>
      <c r="J150" s="20" t="s">
        <v>180</v>
      </c>
      <c r="K150" s="20"/>
      <c r="L150" s="20"/>
      <c r="M150" s="96">
        <v>46013</v>
      </c>
      <c r="N150" s="96">
        <v>46157</v>
      </c>
      <c r="O150" s="223" t="str">
        <f t="shared" si="3"/>
        <v xml:space="preserve">Phan Trường Giang, , </v>
      </c>
    </row>
    <row r="151" spans="1:15">
      <c r="A151" s="28" t="str">
        <f>"3."&amp;D151&amp;"."&amp;B151</f>
        <v>3.B.HYE.PVF.701</v>
      </c>
      <c r="B151" s="28" t="str">
        <f>TEXT(COUNTIFS($C$3:C151,C151,$D$3:D151,D151,$F$3:F151,F151)+IF(F151="KT",100,IF(F151="KC",200,IF(F151="DI",300,IF(F151="DN",400,IF(F151="NU",500,IF(F151="DH",600,IF(F151="PC",700,0))))))),"000")</f>
        <v>701</v>
      </c>
      <c r="C151" s="28" t="s">
        <v>10</v>
      </c>
      <c r="D151" s="100" t="s">
        <v>230</v>
      </c>
      <c r="E151" s="28" t="s">
        <v>231</v>
      </c>
      <c r="F151" s="87" t="s">
        <v>159</v>
      </c>
      <c r="G151" s="6" t="s">
        <v>23</v>
      </c>
      <c r="H151" s="6" t="s">
        <v>116</v>
      </c>
      <c r="I151" s="82" t="s">
        <v>63</v>
      </c>
      <c r="J151" s="20" t="s">
        <v>180</v>
      </c>
      <c r="K151" s="20"/>
      <c r="L151" s="20"/>
      <c r="M151" s="96">
        <v>46013</v>
      </c>
      <c r="N151" s="96">
        <v>46157</v>
      </c>
      <c r="O151" s="223" t="str">
        <f t="shared" si="3"/>
        <v xml:space="preserve">Phan Trường Giang, , </v>
      </c>
    </row>
    <row r="152" spans="1:15">
      <c r="A152" s="28" t="str">
        <f>"3."&amp;D152&amp;"."&amp;B152</f>
        <v>3.B.HYE.PVF.103</v>
      </c>
      <c r="B152" s="28" t="str">
        <f>TEXT(COUNTIFS($C$3:C152,C152,$D$3:D152,D152,$F$3:F152,F152)+IF(F152="KT",100,IF(F152="KC",200,IF(F152="DI",300,IF(F152="DN",400,IF(F152="NU",500,IF(F152="DH",600,IF(F152="PC",700,0))))))),"000")</f>
        <v>103</v>
      </c>
      <c r="C152" s="28" t="s">
        <v>10</v>
      </c>
      <c r="D152" s="100" t="s">
        <v>230</v>
      </c>
      <c r="E152" s="28" t="s">
        <v>234</v>
      </c>
      <c r="F152" s="88" t="s">
        <v>123</v>
      </c>
      <c r="G152" s="6" t="s">
        <v>23</v>
      </c>
      <c r="H152" s="20" t="s">
        <v>116</v>
      </c>
      <c r="I152" s="82" t="s">
        <v>63</v>
      </c>
      <c r="J152" s="28" t="s">
        <v>34</v>
      </c>
      <c r="K152" s="28" t="s">
        <v>36</v>
      </c>
      <c r="L152" s="28"/>
      <c r="M152" s="96">
        <v>45959</v>
      </c>
      <c r="N152" s="96">
        <v>46175</v>
      </c>
      <c r="O152" s="223" t="str">
        <f t="shared" si="3"/>
        <v xml:space="preserve">Trần Văn Diện, Trần Văn Toản, </v>
      </c>
    </row>
    <row r="153" spans="1:15">
      <c r="A153" s="28" t="str">
        <f>"3."&amp;D153&amp;"."&amp;B153</f>
        <v>3.B.HYE.PVF.203</v>
      </c>
      <c r="B153" s="28" t="str">
        <f>TEXT(COUNTIFS($C$3:C153,C153,$D$3:D153,D153,$F$3:F153,F153)+IF(F153="KT",100,IF(F153="KC",200,IF(F153="DI",300,IF(F153="DN",400,IF(F153="NU",500,IF(F153="DH",600,IF(F153="PC",700,0))))))),"000")</f>
        <v>203</v>
      </c>
      <c r="C153" s="28" t="s">
        <v>10</v>
      </c>
      <c r="D153" s="100" t="s">
        <v>230</v>
      </c>
      <c r="E153" s="28" t="s">
        <v>234</v>
      </c>
      <c r="F153" s="88" t="s">
        <v>132</v>
      </c>
      <c r="G153" s="6" t="s">
        <v>23</v>
      </c>
      <c r="H153" s="20" t="s">
        <v>116</v>
      </c>
      <c r="I153" s="82" t="s">
        <v>63</v>
      </c>
      <c r="J153" s="28" t="s">
        <v>34</v>
      </c>
      <c r="K153" s="28" t="s">
        <v>36</v>
      </c>
      <c r="L153" s="28"/>
      <c r="M153" s="97">
        <v>45961</v>
      </c>
      <c r="N153" s="97">
        <v>46175</v>
      </c>
      <c r="O153" s="223" t="str">
        <f t="shared" si="3"/>
        <v xml:space="preserve">Trần Văn Diện, Trần Văn Toản, </v>
      </c>
    </row>
    <row r="154" spans="1:15">
      <c r="A154" s="28" t="str">
        <f>"3."&amp;D154&amp;"."&amp;B154</f>
        <v>3.B.HYE.PVF.204</v>
      </c>
      <c r="B154" s="28" t="str">
        <f>TEXT(COUNTIFS($C$3:C154,C154,$D$3:D154,D154,$F$3:F154,F154)+IF(F154="KT",100,IF(F154="KC",200,IF(F154="DI",300,IF(F154="DN",400,IF(F154="NU",500,IF(F154="DH",600,IF(F154="PC",700,0))))))),"000")</f>
        <v>204</v>
      </c>
      <c r="C154" s="28" t="s">
        <v>10</v>
      </c>
      <c r="D154" s="100" t="s">
        <v>230</v>
      </c>
      <c r="E154" s="28" t="s">
        <v>234</v>
      </c>
      <c r="F154" s="88" t="s">
        <v>132</v>
      </c>
      <c r="G154" s="6" t="s">
        <v>28</v>
      </c>
      <c r="H154" s="20" t="s">
        <v>116</v>
      </c>
      <c r="I154" s="82" t="s">
        <v>63</v>
      </c>
      <c r="J154" s="28" t="s">
        <v>34</v>
      </c>
      <c r="K154" s="28" t="s">
        <v>36</v>
      </c>
      <c r="L154" s="28"/>
      <c r="M154" s="97">
        <v>46174</v>
      </c>
      <c r="N154" s="97">
        <v>46175</v>
      </c>
      <c r="O154" s="223" t="str">
        <f t="shared" si="3"/>
        <v xml:space="preserve">Trần Văn Diện, Trần Văn Toản, </v>
      </c>
    </row>
    <row r="155" spans="1:15">
      <c r="A155" s="28" t="str">
        <f>"3."&amp;D155&amp;"."&amp;B155</f>
        <v>3.B.HYE.PVF.302</v>
      </c>
      <c r="B155" s="28" t="str">
        <f>TEXT(COUNTIFS($C$3:C155,C155,$D$3:D155,D155,$F$3:F155,F155)+IF(F155="KT",100,IF(F155="KC",200,IF(F155="DI",300,IF(F155="DN",400,IF(F155="NU",500,IF(F155="DH",600,IF(F155="PC",700,0))))))),"000")</f>
        <v>302</v>
      </c>
      <c r="C155" s="28" t="s">
        <v>10</v>
      </c>
      <c r="D155" s="100" t="s">
        <v>230</v>
      </c>
      <c r="E155" s="28" t="s">
        <v>234</v>
      </c>
      <c r="F155" s="87" t="s">
        <v>140</v>
      </c>
      <c r="G155" s="82" t="s">
        <v>23</v>
      </c>
      <c r="H155" s="6" t="s">
        <v>116</v>
      </c>
      <c r="I155" s="82" t="s">
        <v>63</v>
      </c>
      <c r="J155" s="20" t="s">
        <v>175</v>
      </c>
      <c r="K155" s="20"/>
      <c r="L155" s="20"/>
      <c r="M155" s="96">
        <v>46175</v>
      </c>
      <c r="N155" s="96">
        <v>46179</v>
      </c>
      <c r="O155" s="223" t="str">
        <f t="shared" ref="O155:O158" si="4">J155&amp;", "&amp;K155&amp;", "&amp;L155</f>
        <v xml:space="preserve">Đặng Thái Sơn, , </v>
      </c>
    </row>
    <row r="156" spans="1:15">
      <c r="A156" s="28" t="str">
        <f>"3."&amp;D156&amp;"."&amp;B156</f>
        <v>3.B.HYE.PVF.402</v>
      </c>
      <c r="B156" s="28" t="str">
        <f>TEXT(COUNTIFS($C$3:C156,C156,$D$3:D156,D156,$F$3:F156,F156)+IF(F156="KT",100,IF(F156="KC",200,IF(F156="DI",300,IF(F156="DN",400,IF(F156="NU",500,IF(F156="DH",600,IF(F156="PC",700,0))))))),"000")</f>
        <v>402</v>
      </c>
      <c r="C156" s="28" t="s">
        <v>10</v>
      </c>
      <c r="D156" s="100" t="s">
        <v>230</v>
      </c>
      <c r="E156" s="28" t="s">
        <v>234</v>
      </c>
      <c r="F156" s="87" t="s">
        <v>148</v>
      </c>
      <c r="G156" s="82" t="s">
        <v>23</v>
      </c>
      <c r="H156" s="6" t="s">
        <v>116</v>
      </c>
      <c r="I156" s="82" t="s">
        <v>63</v>
      </c>
      <c r="J156" s="20" t="s">
        <v>175</v>
      </c>
      <c r="K156" s="20"/>
      <c r="L156" s="20"/>
      <c r="M156" s="96">
        <v>46175</v>
      </c>
      <c r="N156" s="96">
        <v>46179</v>
      </c>
      <c r="O156" s="223" t="str">
        <f t="shared" si="4"/>
        <v xml:space="preserve">Đặng Thái Sơn, , </v>
      </c>
    </row>
    <row r="157" spans="1:15">
      <c r="A157" s="28" t="str">
        <f>"3."&amp;D157&amp;"."&amp;B157</f>
        <v>3.B.HYE.PVF.502</v>
      </c>
      <c r="B157" s="28" t="str">
        <f>TEXT(COUNTIFS($C$3:C157,C157,$D$3:D157,D157,$F$3:F157,F157)+IF(F157="KT",100,IF(F157="KC",200,IF(F157="DI",300,IF(F157="DN",400,IF(F157="NU",500,IF(F157="DH",600,IF(F157="PC",700,0))))))),"000")</f>
        <v>502</v>
      </c>
      <c r="C157" s="28" t="s">
        <v>10</v>
      </c>
      <c r="D157" s="100" t="s">
        <v>230</v>
      </c>
      <c r="E157" s="28" t="s">
        <v>234</v>
      </c>
      <c r="F157" s="87" t="s">
        <v>154</v>
      </c>
      <c r="G157" s="82" t="s">
        <v>23</v>
      </c>
      <c r="H157" s="6" t="s">
        <v>116</v>
      </c>
      <c r="I157" s="82" t="s">
        <v>63</v>
      </c>
      <c r="J157" s="20" t="s">
        <v>175</v>
      </c>
      <c r="K157" s="20"/>
      <c r="L157" s="20"/>
      <c r="M157" s="96">
        <v>46175</v>
      </c>
      <c r="N157" s="96">
        <v>46179</v>
      </c>
      <c r="O157" s="223" t="str">
        <f t="shared" si="4"/>
        <v xml:space="preserve">Đặng Thái Sơn, , </v>
      </c>
    </row>
    <row r="158" spans="1:15">
      <c r="A158" s="28" t="str">
        <f>"3."&amp;D158&amp;"."&amp;B158</f>
        <v>3.B.HYE.PVF.602</v>
      </c>
      <c r="B158" s="28" t="str">
        <f>TEXT(COUNTIFS($C$3:C158,C158,$D$3:D158,D158,$F$3:F158,F158)+IF(F158="KT",100,IF(F158="KC",200,IF(F158="DI",300,IF(F158="DN",400,IF(F158="NU",500,IF(F158="DH",600,IF(F158="PC",700,0))))))),"000")</f>
        <v>602</v>
      </c>
      <c r="C158" s="28" t="s">
        <v>10</v>
      </c>
      <c r="D158" s="100" t="s">
        <v>230</v>
      </c>
      <c r="E158" s="28" t="s">
        <v>234</v>
      </c>
      <c r="F158" s="87" t="s">
        <v>164</v>
      </c>
      <c r="G158" s="82" t="s">
        <v>23</v>
      </c>
      <c r="H158" s="6" t="s">
        <v>116</v>
      </c>
      <c r="I158" s="82" t="s">
        <v>63</v>
      </c>
      <c r="J158" s="20" t="s">
        <v>175</v>
      </c>
      <c r="K158" s="20"/>
      <c r="L158" s="20"/>
      <c r="M158" s="96">
        <v>46175</v>
      </c>
      <c r="N158" s="96">
        <v>46179</v>
      </c>
      <c r="O158" s="223" t="str">
        <f t="shared" si="4"/>
        <v xml:space="preserve">Đặng Thái Sơn, , </v>
      </c>
    </row>
    <row r="159" spans="1:15">
      <c r="A159" s="28" t="str">
        <f>"3."&amp;D159&amp;"."&amp;B159</f>
        <v>3.B.HYE.PVF.702</v>
      </c>
      <c r="B159" s="28" t="str">
        <f>TEXT(COUNTIFS($C$3:C159,C159,$D$3:D159,D159,$F$3:F159,F159)+IF(F159="KT",100,IF(F159="KC",200,IF(F159="DI",300,IF(F159="DN",400,IF(F159="NU",500,IF(F159="DH",600,IF(F159="PC",700,0))))))),"000")</f>
        <v>702</v>
      </c>
      <c r="C159" s="28" t="s">
        <v>10</v>
      </c>
      <c r="D159" s="100" t="s">
        <v>230</v>
      </c>
      <c r="E159" s="28" t="s">
        <v>234</v>
      </c>
      <c r="F159" s="87" t="s">
        <v>159</v>
      </c>
      <c r="G159" s="82" t="s">
        <v>23</v>
      </c>
      <c r="H159" s="6" t="s">
        <v>116</v>
      </c>
      <c r="I159" s="82" t="s">
        <v>63</v>
      </c>
      <c r="J159" s="20" t="s">
        <v>175</v>
      </c>
      <c r="K159" s="20"/>
      <c r="L159" s="20"/>
      <c r="M159" s="96">
        <v>46175</v>
      </c>
      <c r="N159" s="96">
        <v>46179</v>
      </c>
      <c r="O159" s="223" t="str">
        <f t="shared" ref="O159" si="5">J159&amp;", "&amp;K159&amp;", "&amp;L159</f>
        <v xml:space="preserve">Đặng Thái Sơn, , </v>
      </c>
    </row>
    <row r="160" spans="1:15">
      <c r="A160" s="28" t="str">
        <f>"3."&amp;D160&amp;"."&amp;B160</f>
        <v>3.B.HYE.PVF.503</v>
      </c>
      <c r="B160" s="28" t="str">
        <f>TEXT(COUNTIFS($C$3:C160,C160,$D$3:D160,D160,$F$3:F160,F160)+IF(F160="KT",100,IF(F160="KC",200,IF(F160="DI",300,IF(F160="DN",400,IF(F160="NU",500,IF(F160="DH",600,IF(F160="PC",700,0))))))),"000")</f>
        <v>503</v>
      </c>
      <c r="C160" s="28" t="s">
        <v>10</v>
      </c>
      <c r="D160" s="100" t="s">
        <v>230</v>
      </c>
      <c r="E160" s="28" t="s">
        <v>234</v>
      </c>
      <c r="F160" s="88" t="s">
        <v>154</v>
      </c>
      <c r="G160" s="6" t="s">
        <v>128</v>
      </c>
      <c r="H160" s="82" t="s">
        <v>116</v>
      </c>
      <c r="I160" s="82" t="s">
        <v>81</v>
      </c>
      <c r="J160" s="20" t="s">
        <v>165</v>
      </c>
      <c r="K160" s="20"/>
      <c r="L160" s="20"/>
      <c r="M160" s="96">
        <v>46174</v>
      </c>
      <c r="N160" s="96">
        <v>46178</v>
      </c>
      <c r="O160" s="223" t="str">
        <f t="shared" si="3"/>
        <v xml:space="preserve">Nguyễn Văn Hải, , </v>
      </c>
    </row>
    <row r="161" spans="1:15">
      <c r="A161" s="28" t="str">
        <f>"3."&amp;D161&amp;"."&amp;B161</f>
        <v>3.B.HYE.PVF.603</v>
      </c>
      <c r="B161" s="28" t="str">
        <f>TEXT(COUNTIFS($C$3:C161,C161,$D$3:D161,D161,$F$3:F161,F161)+IF(F161="KT",100,IF(F161="KC",200,IF(F161="DI",300,IF(F161="DN",400,IF(F161="NU",500,IF(F161="DH",600,IF(F161="PC",700,0))))))),"000")</f>
        <v>603</v>
      </c>
      <c r="C161" s="28" t="s">
        <v>10</v>
      </c>
      <c r="D161" s="100" t="s">
        <v>230</v>
      </c>
      <c r="E161" s="28" t="s">
        <v>234</v>
      </c>
      <c r="F161" s="88" t="s">
        <v>164</v>
      </c>
      <c r="G161" s="6" t="s">
        <v>128</v>
      </c>
      <c r="H161" s="82" t="s">
        <v>116</v>
      </c>
      <c r="I161" s="82" t="s">
        <v>63</v>
      </c>
      <c r="J161" s="20" t="s">
        <v>175</v>
      </c>
      <c r="K161" s="20"/>
      <c r="L161" s="20"/>
      <c r="M161" s="96">
        <v>46167</v>
      </c>
      <c r="N161" s="96">
        <v>46176</v>
      </c>
      <c r="O161" s="223" t="str">
        <f t="shared" si="3"/>
        <v xml:space="preserve">Đặng Thái Sơn, , </v>
      </c>
    </row>
    <row r="162" spans="1:15">
      <c r="A162" s="28" t="str">
        <f>"3."&amp;D162&amp;"."&amp;B162</f>
        <v>3.B.QNI.HLX.CT.101</v>
      </c>
      <c r="B162" s="28" t="str">
        <f>TEXT(COUNTIFS($C$3:C162,C162,$D$3:D162,D162,$F$3:F162,F162)+IF(F162="KT",100,IF(F162="KC",200,IF(F162="DI",300,IF(F162="DN",400,IF(F162="NU",500,IF(F162="DH",600,IF(F162="PC",700,0))))))),"000")</f>
        <v>101</v>
      </c>
      <c r="C162" s="28" t="s">
        <v>10</v>
      </c>
      <c r="D162" s="100" t="s">
        <v>237</v>
      </c>
      <c r="E162" s="28" t="s">
        <v>238</v>
      </c>
      <c r="F162" s="88" t="s">
        <v>123</v>
      </c>
      <c r="G162" s="6" t="s">
        <v>128</v>
      </c>
      <c r="H162" s="6" t="s">
        <v>80</v>
      </c>
      <c r="I162" s="82" t="s">
        <v>63</v>
      </c>
      <c r="J162" s="20" t="s">
        <v>32</v>
      </c>
      <c r="K162" s="20"/>
      <c r="L162" s="20"/>
      <c r="M162" s="96">
        <v>46163</v>
      </c>
      <c r="N162" s="96">
        <v>46165</v>
      </c>
      <c r="O162" s="223" t="str">
        <f t="shared" si="3"/>
        <v xml:space="preserve">Nguyễn Hải Nam, , </v>
      </c>
    </row>
    <row r="163" spans="1:15">
      <c r="A163" s="28" t="str">
        <f>"3."&amp;D163&amp;"."&amp;B163</f>
        <v>3.B.QNI.HLX.CT.201</v>
      </c>
      <c r="B163" s="28" t="str">
        <f>TEXT(COUNTIFS($C$3:C163,C163,$D$3:D163,D163,$F$3:F163,F163)+IF(F163="KT",100,IF(F163="KC",200,IF(F163="DI",300,IF(F163="DN",400,IF(F163="NU",500,IF(F163="DH",600,IF(F163="PC",700,0))))))),"000")</f>
        <v>201</v>
      </c>
      <c r="C163" s="28" t="s">
        <v>10</v>
      </c>
      <c r="D163" s="100" t="s">
        <v>237</v>
      </c>
      <c r="E163" s="28" t="s">
        <v>238</v>
      </c>
      <c r="F163" s="88" t="s">
        <v>132</v>
      </c>
      <c r="G163" s="6" t="s">
        <v>128</v>
      </c>
      <c r="H163" s="6" t="s">
        <v>80</v>
      </c>
      <c r="I163" s="82" t="s">
        <v>63</v>
      </c>
      <c r="J163" s="20" t="s">
        <v>32</v>
      </c>
      <c r="K163" s="20"/>
      <c r="L163" s="20"/>
      <c r="M163" s="96">
        <v>46163</v>
      </c>
      <c r="N163" s="96">
        <v>46165</v>
      </c>
      <c r="O163" s="223" t="str">
        <f t="shared" si="3"/>
        <v xml:space="preserve">Nguyễn Hải Nam, , </v>
      </c>
    </row>
    <row r="164" spans="1:15">
      <c r="A164" s="28" t="str">
        <f>"3."&amp;D164&amp;"."&amp;B164</f>
        <v>3.B.QNI.HLX.CT.102</v>
      </c>
      <c r="B164" s="28" t="str">
        <f>TEXT(COUNTIFS($C$3:C164,C164,$D$3:D164,D164,$F$3:F164,F164)+IF(F164="KT",100,IF(F164="KC",200,IF(F164="DI",300,IF(F164="DN",400,IF(F164="NU",500,IF(F164="DH",600,IF(F164="PC",700,0))))))),"000")</f>
        <v>102</v>
      </c>
      <c r="C164" s="28" t="s">
        <v>10</v>
      </c>
      <c r="D164" s="100" t="s">
        <v>237</v>
      </c>
      <c r="E164" s="28" t="s">
        <v>241</v>
      </c>
      <c r="F164" s="88" t="s">
        <v>123</v>
      </c>
      <c r="G164" s="6" t="s">
        <v>128</v>
      </c>
      <c r="H164" s="6" t="s">
        <v>80</v>
      </c>
      <c r="I164" s="82" t="s">
        <v>63</v>
      </c>
      <c r="J164" s="20" t="s">
        <v>35</v>
      </c>
      <c r="K164" s="20"/>
      <c r="L164" s="20"/>
      <c r="M164" s="96">
        <v>46163</v>
      </c>
      <c r="N164" s="96">
        <v>46165</v>
      </c>
      <c r="O164" s="223" t="str">
        <f t="shared" si="3"/>
        <v xml:space="preserve">Đặng Minh Quang, , </v>
      </c>
    </row>
    <row r="165" spans="1:15">
      <c r="A165" s="28" t="str">
        <f>"3."&amp;D165&amp;"."&amp;B165</f>
        <v>3.B.QNI.HLX.CT.202</v>
      </c>
      <c r="B165" s="28" t="str">
        <f>TEXT(COUNTIFS($C$3:C165,C165,$D$3:D165,D165,$F$3:F165,F165)+IF(F165="KT",100,IF(F165="KC",200,IF(F165="DI",300,IF(F165="DN",400,IF(F165="NU",500,IF(F165="DH",600,IF(F165="PC",700,0))))))),"000")</f>
        <v>202</v>
      </c>
      <c r="C165" s="28" t="s">
        <v>10</v>
      </c>
      <c r="D165" s="100" t="s">
        <v>237</v>
      </c>
      <c r="E165" s="28" t="s">
        <v>241</v>
      </c>
      <c r="F165" s="88" t="s">
        <v>132</v>
      </c>
      <c r="G165" s="6" t="s">
        <v>128</v>
      </c>
      <c r="H165" s="6" t="s">
        <v>80</v>
      </c>
      <c r="I165" s="82" t="s">
        <v>63</v>
      </c>
      <c r="J165" s="20" t="s">
        <v>35</v>
      </c>
      <c r="K165" s="20"/>
      <c r="L165" s="20"/>
      <c r="M165" s="96">
        <v>46163</v>
      </c>
      <c r="N165" s="96">
        <v>46165</v>
      </c>
      <c r="O165" s="223" t="str">
        <f t="shared" si="3"/>
        <v xml:space="preserve">Đặng Minh Quang, , </v>
      </c>
    </row>
    <row r="166" spans="1:15">
      <c r="A166" s="28" t="str">
        <f>"3."&amp;D166&amp;"."&amp;B166</f>
        <v>3.B.QNI.HLX.CT.103</v>
      </c>
      <c r="B166" s="28" t="str">
        <f>TEXT(COUNTIFS($C$3:C166,C166,$D$3:D166,D166,$F$3:F166,F166)+IF(F166="KT",100,IF(F166="KC",200,IF(F166="DI",300,IF(F166="DN",400,IF(F166="NU",500,IF(F166="DH",600,IF(F166="PC",700,0))))))),"000")</f>
        <v>103</v>
      </c>
      <c r="C166" s="28" t="s">
        <v>10</v>
      </c>
      <c r="D166" s="100" t="s">
        <v>237</v>
      </c>
      <c r="E166" s="28" t="s">
        <v>244</v>
      </c>
      <c r="F166" s="88" t="s">
        <v>123</v>
      </c>
      <c r="G166" s="6" t="s">
        <v>128</v>
      </c>
      <c r="H166" s="6" t="s">
        <v>80</v>
      </c>
      <c r="I166" s="82" t="s">
        <v>63</v>
      </c>
      <c r="J166" s="20" t="s">
        <v>33</v>
      </c>
      <c r="K166" s="20"/>
      <c r="L166" s="20"/>
      <c r="M166" s="96">
        <v>46163</v>
      </c>
      <c r="N166" s="96">
        <v>46165</v>
      </c>
      <c r="O166" s="223" t="str">
        <f t="shared" si="3"/>
        <v xml:space="preserve">Đỗ Minh Ngọc, , </v>
      </c>
    </row>
    <row r="167" spans="1:15">
      <c r="A167" s="28" t="str">
        <f>"3."&amp;D167&amp;"."&amp;B167</f>
        <v>3.B.QNI.HLX.CT.203</v>
      </c>
      <c r="B167" s="28" t="str">
        <f>TEXT(COUNTIFS($C$3:C167,C167,$D$3:D167,D167,$F$3:F167,F167)+IF(F167="KT",100,IF(F167="KC",200,IF(F167="DI",300,IF(F167="DN",400,IF(F167="NU",500,IF(F167="DH",600,IF(F167="PC",700,0))))))),"000")</f>
        <v>203</v>
      </c>
      <c r="C167" s="28" t="s">
        <v>10</v>
      </c>
      <c r="D167" s="100" t="s">
        <v>237</v>
      </c>
      <c r="E167" s="28" t="s">
        <v>244</v>
      </c>
      <c r="F167" s="88" t="s">
        <v>132</v>
      </c>
      <c r="G167" s="6" t="s">
        <v>128</v>
      </c>
      <c r="H167" s="6" t="s">
        <v>80</v>
      </c>
      <c r="I167" s="82" t="s">
        <v>63</v>
      </c>
      <c r="J167" s="20" t="s">
        <v>33</v>
      </c>
      <c r="K167" s="20"/>
      <c r="L167" s="20"/>
      <c r="M167" s="96">
        <v>46163</v>
      </c>
      <c r="N167" s="96">
        <v>46165</v>
      </c>
      <c r="O167" s="223" t="str">
        <f t="shared" si="3"/>
        <v xml:space="preserve">Đỗ Minh Ngọc, , </v>
      </c>
    </row>
    <row r="168" spans="1:15">
      <c r="A168" s="28" t="str">
        <f>"3."&amp;D168&amp;"."&amp;B168</f>
        <v>3.B.QNI.HLX.CT.104</v>
      </c>
      <c r="B168" s="28" t="str">
        <f>TEXT(COUNTIFS($C$3:C168,C168,$D$3:D168,D168,$F$3:F168,F168)+IF(F168="KT",100,IF(F168="KC",200,IF(F168="DI",300,IF(F168="DN",400,IF(F168="NU",500,IF(F168="DH",600,IF(F168="PC",700,0))))))),"000")</f>
        <v>104</v>
      </c>
      <c r="C168" s="28" t="s">
        <v>10</v>
      </c>
      <c r="D168" s="100" t="s">
        <v>237</v>
      </c>
      <c r="E168" s="28" t="s">
        <v>247</v>
      </c>
      <c r="F168" s="88" t="s">
        <v>123</v>
      </c>
      <c r="G168" s="6" t="s">
        <v>128</v>
      </c>
      <c r="H168" s="6" t="s">
        <v>80</v>
      </c>
      <c r="I168" s="82" t="s">
        <v>63</v>
      </c>
      <c r="J168" s="20" t="s">
        <v>34</v>
      </c>
      <c r="K168" s="20"/>
      <c r="L168" s="20"/>
      <c r="M168" s="96">
        <v>46163</v>
      </c>
      <c r="N168" s="96">
        <v>46165</v>
      </c>
      <c r="O168" s="223" t="str">
        <f t="shared" si="3"/>
        <v xml:space="preserve">Trần Văn Diện, , </v>
      </c>
    </row>
    <row r="169" spans="1:15">
      <c r="A169" s="28" t="str">
        <f>"3."&amp;D169&amp;"."&amp;B169</f>
        <v>3.B.QNI.HLX.CT.204</v>
      </c>
      <c r="B169" s="28" t="str">
        <f>TEXT(COUNTIFS($C$3:C169,C169,$D$3:D169,D169,$F$3:F169,F169)+IF(F169="KT",100,IF(F169="KC",200,IF(F169="DI",300,IF(F169="DN",400,IF(F169="NU",500,IF(F169="DH",600,IF(F169="PC",700,0))))))),"000")</f>
        <v>204</v>
      </c>
      <c r="C169" s="28" t="s">
        <v>10</v>
      </c>
      <c r="D169" s="100" t="s">
        <v>237</v>
      </c>
      <c r="E169" s="28" t="s">
        <v>247</v>
      </c>
      <c r="F169" s="88" t="s">
        <v>132</v>
      </c>
      <c r="G169" s="6" t="s">
        <v>128</v>
      </c>
      <c r="H169" s="6" t="s">
        <v>80</v>
      </c>
      <c r="I169" s="82" t="s">
        <v>63</v>
      </c>
      <c r="J169" s="20" t="s">
        <v>34</v>
      </c>
      <c r="K169" s="20"/>
      <c r="L169" s="20"/>
      <c r="M169" s="96">
        <v>46163</v>
      </c>
      <c r="N169" s="96">
        <v>46165</v>
      </c>
      <c r="O169" s="223" t="str">
        <f t="shared" si="3"/>
        <v xml:space="preserve">Trần Văn Diện, , </v>
      </c>
    </row>
    <row r="170" spans="1:15">
      <c r="A170" s="28" t="str">
        <f>"3."&amp;D170&amp;"."&amp;B170</f>
        <v>3.B.QNI.HLX.CT.105</v>
      </c>
      <c r="B170" s="28" t="str">
        <f>TEXT(COUNTIFS($C$3:C170,C170,$D$3:D170,D170,$F$3:F170,F170)+IF(F170="KT",100,IF(F170="KC",200,IF(F170="DI",300,IF(F170="DN",400,IF(F170="NU",500,IF(F170="DH",600,IF(F170="PC",700,0))))))),"000")</f>
        <v>105</v>
      </c>
      <c r="C170" s="28" t="s">
        <v>10</v>
      </c>
      <c r="D170" s="100" t="s">
        <v>237</v>
      </c>
      <c r="E170" s="28" t="s">
        <v>250</v>
      </c>
      <c r="F170" s="88" t="s">
        <v>123</v>
      </c>
      <c r="G170" s="6" t="s">
        <v>128</v>
      </c>
      <c r="H170" s="6" t="s">
        <v>80</v>
      </c>
      <c r="I170" s="82" t="s">
        <v>63</v>
      </c>
      <c r="J170" s="20" t="s">
        <v>155</v>
      </c>
      <c r="K170" s="20"/>
      <c r="L170" s="20"/>
      <c r="M170" s="96">
        <v>46163</v>
      </c>
      <c r="N170" s="96">
        <v>46165</v>
      </c>
      <c r="O170" s="223" t="str">
        <f t="shared" si="3"/>
        <v xml:space="preserve">Vũ Thị Thêu, , </v>
      </c>
    </row>
    <row r="171" spans="1:15">
      <c r="A171" s="28" t="str">
        <f>"3."&amp;D171&amp;"."&amp;B171</f>
        <v>3.B.QNI.HLX.CT.205</v>
      </c>
      <c r="B171" s="28" t="str">
        <f>TEXT(COUNTIFS($C$3:C171,C171,$D$3:D171,D171,$F$3:F171,F171)+IF(F171="KT",100,IF(F171="KC",200,IF(F171="DI",300,IF(F171="DN",400,IF(F171="NU",500,IF(F171="DH",600,IF(F171="PC",700,0))))))),"000")</f>
        <v>205</v>
      </c>
      <c r="C171" s="28" t="s">
        <v>10</v>
      </c>
      <c r="D171" s="100" t="s">
        <v>237</v>
      </c>
      <c r="E171" s="28" t="s">
        <v>250</v>
      </c>
      <c r="F171" s="88" t="s">
        <v>132</v>
      </c>
      <c r="G171" s="6" t="s">
        <v>128</v>
      </c>
      <c r="H171" s="6" t="s">
        <v>80</v>
      </c>
      <c r="I171" s="82" t="s">
        <v>63</v>
      </c>
      <c r="J171" s="20" t="s">
        <v>155</v>
      </c>
      <c r="K171" s="20"/>
      <c r="L171" s="20"/>
      <c r="M171" s="96">
        <v>46163</v>
      </c>
      <c r="N171" s="96">
        <v>46165</v>
      </c>
      <c r="O171" s="223" t="str">
        <f t="shared" si="3"/>
        <v xml:space="preserve">Vũ Thị Thêu, , </v>
      </c>
    </row>
    <row r="172" spans="1:15">
      <c r="A172" s="28" t="str">
        <f>"3."&amp;D172&amp;"."&amp;B172</f>
        <v>3.B.QNI.HLX.CT.106</v>
      </c>
      <c r="B172" s="28" t="str">
        <f>TEXT(COUNTIFS($C$3:C172,C172,$D$3:D172,D172,$F$3:F172,F172)+IF(F172="KT",100,IF(F172="KC",200,IF(F172="DI",300,IF(F172="DN",400,IF(F172="NU",500,IF(F172="DH",600,IF(F172="PC",700,0))))))),"000")</f>
        <v>106</v>
      </c>
      <c r="C172" s="28" t="s">
        <v>10</v>
      </c>
      <c r="D172" s="100" t="s">
        <v>237</v>
      </c>
      <c r="E172" s="28" t="s">
        <v>252</v>
      </c>
      <c r="F172" s="88" t="s">
        <v>123</v>
      </c>
      <c r="G172" s="6" t="s">
        <v>128</v>
      </c>
      <c r="H172" s="6" t="s">
        <v>80</v>
      </c>
      <c r="I172" s="82" t="s">
        <v>63</v>
      </c>
      <c r="J172" s="20" t="s">
        <v>36</v>
      </c>
      <c r="K172" s="20"/>
      <c r="L172" s="20"/>
      <c r="M172" s="96">
        <v>46163</v>
      </c>
      <c r="N172" s="96">
        <v>46165</v>
      </c>
      <c r="O172" s="223" t="str">
        <f t="shared" si="3"/>
        <v xml:space="preserve">Trần Văn Toản, , </v>
      </c>
    </row>
    <row r="173" spans="1:15">
      <c r="A173" s="28" t="str">
        <f>"3."&amp;D173&amp;"."&amp;B173</f>
        <v>3.B.QNI.HLX.CT.206</v>
      </c>
      <c r="B173" s="28" t="str">
        <f>TEXT(COUNTIFS($C$3:C173,C173,$D$3:D173,D173,$F$3:F173,F173)+IF(F173="KT",100,IF(F173="KC",200,IF(F173="DI",300,IF(F173="DN",400,IF(F173="NU",500,IF(F173="DH",600,IF(F173="PC",700,0))))))),"000")</f>
        <v>206</v>
      </c>
      <c r="C173" s="28" t="s">
        <v>10</v>
      </c>
      <c r="D173" s="100" t="s">
        <v>237</v>
      </c>
      <c r="E173" s="28" t="s">
        <v>252</v>
      </c>
      <c r="F173" s="88" t="s">
        <v>132</v>
      </c>
      <c r="G173" s="6" t="s">
        <v>128</v>
      </c>
      <c r="H173" s="6" t="s">
        <v>80</v>
      </c>
      <c r="I173" s="82" t="s">
        <v>63</v>
      </c>
      <c r="J173" s="20" t="s">
        <v>36</v>
      </c>
      <c r="K173" s="20"/>
      <c r="L173" s="20"/>
      <c r="M173" s="96">
        <v>46163</v>
      </c>
      <c r="N173" s="96">
        <v>46165</v>
      </c>
      <c r="O173" s="223" t="str">
        <f t="shared" si="3"/>
        <v xml:space="preserve">Trần Văn Toản, , </v>
      </c>
    </row>
    <row r="174" spans="1:15">
      <c r="A174" s="28" t="str">
        <f>"3."&amp;D174&amp;"."&amp;B174</f>
        <v>3.B.QNI.HLX.CT.107</v>
      </c>
      <c r="B174" s="28" t="str">
        <f>TEXT(COUNTIFS($C$3:C174,C174,$D$3:D174,D174,$F$3:F174,F174)+IF(F174="KT",100,IF(F174="KC",200,IF(F174="DI",300,IF(F174="DN",400,IF(F174="NU",500,IF(F174="DH",600,IF(F174="PC",700,0))))))),"000")</f>
        <v>107</v>
      </c>
      <c r="C174" s="28" t="s">
        <v>10</v>
      </c>
      <c r="D174" s="100" t="s">
        <v>237</v>
      </c>
      <c r="E174" s="28" t="s">
        <v>254</v>
      </c>
      <c r="F174" s="88" t="s">
        <v>123</v>
      </c>
      <c r="G174" s="6" t="s">
        <v>128</v>
      </c>
      <c r="H174" s="6" t="s">
        <v>80</v>
      </c>
      <c r="I174" s="82" t="s">
        <v>63</v>
      </c>
      <c r="J174" s="20" t="s">
        <v>33</v>
      </c>
      <c r="K174" s="20"/>
      <c r="L174" s="20"/>
      <c r="M174" s="96">
        <v>46163</v>
      </c>
      <c r="N174" s="96">
        <v>46165</v>
      </c>
      <c r="O174" s="223" t="str">
        <f t="shared" si="3"/>
        <v xml:space="preserve">Đỗ Minh Ngọc, , </v>
      </c>
    </row>
    <row r="175" spans="1:15">
      <c r="A175" s="28" t="str">
        <f>"3."&amp;D175&amp;"."&amp;B175</f>
        <v>3.B.QNI.HLX.CT.207</v>
      </c>
      <c r="B175" s="28" t="str">
        <f>TEXT(COUNTIFS($C$3:C175,C175,$D$3:D175,D175,$F$3:F175,F175)+IF(F175="KT",100,IF(F175="KC",200,IF(F175="DI",300,IF(F175="DN",400,IF(F175="NU",500,IF(F175="DH",600,IF(F175="PC",700,0))))))),"000")</f>
        <v>207</v>
      </c>
      <c r="C175" s="28" t="s">
        <v>10</v>
      </c>
      <c r="D175" s="100" t="s">
        <v>237</v>
      </c>
      <c r="E175" s="28" t="s">
        <v>254</v>
      </c>
      <c r="F175" s="88" t="s">
        <v>132</v>
      </c>
      <c r="G175" s="6" t="s">
        <v>128</v>
      </c>
      <c r="H175" s="6" t="s">
        <v>80</v>
      </c>
      <c r="I175" s="82" t="s">
        <v>63</v>
      </c>
      <c r="J175" s="20" t="s">
        <v>228</v>
      </c>
      <c r="K175" s="20"/>
      <c r="L175" s="20"/>
      <c r="M175" s="96">
        <v>46163</v>
      </c>
      <c r="N175" s="96">
        <v>46165</v>
      </c>
      <c r="O175" s="223" t="str">
        <f t="shared" si="3"/>
        <v xml:space="preserve">Nguyễn Thanh Phương, , </v>
      </c>
    </row>
    <row r="176" spans="1:15">
      <c r="A176" s="28" t="str">
        <f>"3."&amp;D176&amp;"."&amp;B176</f>
        <v>3.B.QNI.HLXHL.VMM.101</v>
      </c>
      <c r="B176" s="28" t="str">
        <f>TEXT(COUNTIFS($C$3:C176,C176,$D$3:D176,D176,$F$3:F176,F176)+IF(F176="KT",100,IF(F176="KC",200,IF(F176="DI",300,IF(F176="DN",400,IF(F176="NU",500,IF(F176="DH",600,IF(F176="PC",700,0))))))),"000")</f>
        <v>101</v>
      </c>
      <c r="C176" s="28" t="s">
        <v>10</v>
      </c>
      <c r="D176" s="140" t="s">
        <v>256</v>
      </c>
      <c r="E176" s="28" t="s">
        <v>257</v>
      </c>
      <c r="F176" s="88" t="s">
        <v>123</v>
      </c>
      <c r="G176" s="6" t="s">
        <v>23</v>
      </c>
      <c r="H176" s="20" t="s">
        <v>116</v>
      </c>
      <c r="I176" s="82" t="s">
        <v>63</v>
      </c>
      <c r="J176" s="20" t="s">
        <v>31</v>
      </c>
      <c r="K176" s="20"/>
      <c r="L176" s="20"/>
      <c r="M176" s="220"/>
      <c r="N176" s="220"/>
      <c r="O176" s="223" t="str">
        <f t="shared" si="3"/>
        <v xml:space="preserve">Lý Huy Thành, , </v>
      </c>
    </row>
    <row r="177" spans="1:15">
      <c r="A177" s="28" t="str">
        <f>"3."&amp;D177&amp;"."&amp;B177</f>
        <v>3.B.QNI.HLXHL.VMM.201</v>
      </c>
      <c r="B177" s="28" t="str">
        <f>TEXT(COUNTIFS($C$3:C177,C177,$D$3:D177,D177,$F$3:F177,F177)+IF(F177="KT",100,IF(F177="KC",200,IF(F177="DI",300,IF(F177="DN",400,IF(F177="NU",500,IF(F177="DH",600,IF(F177="PC",700,0))))))),"000")</f>
        <v>201</v>
      </c>
      <c r="C177" s="28" t="s">
        <v>10</v>
      </c>
      <c r="D177" s="140" t="s">
        <v>256</v>
      </c>
      <c r="E177" s="28" t="s">
        <v>257</v>
      </c>
      <c r="F177" s="88" t="s">
        <v>132</v>
      </c>
      <c r="G177" s="6" t="s">
        <v>23</v>
      </c>
      <c r="H177" s="20" t="s">
        <v>116</v>
      </c>
      <c r="I177" s="82" t="s">
        <v>63</v>
      </c>
      <c r="J177" s="20" t="s">
        <v>31</v>
      </c>
      <c r="K177" s="20"/>
      <c r="L177" s="20"/>
      <c r="M177" s="220"/>
      <c r="N177" s="220"/>
      <c r="O177" s="223" t="str">
        <f t="shared" si="3"/>
        <v xml:space="preserve">Lý Huy Thành, , </v>
      </c>
    </row>
    <row r="178" spans="1:15">
      <c r="A178" s="28" t="str">
        <f>"3."&amp;D178&amp;"."&amp;B178</f>
        <v>3.B.QNI.HLXHL.VMM.301</v>
      </c>
      <c r="B178" s="28" t="str">
        <f>TEXT(COUNTIFS($C$3:C178,C178,$D$3:D178,D178,$F$3:F178,F178)+IF(F178="KT",100,IF(F178="KC",200,IF(F178="DI",300,IF(F178="DN",400,IF(F178="NU",500,IF(F178="DH",600,IF(F178="PC",700,0))))))),"000")</f>
        <v>301</v>
      </c>
      <c r="C178" s="28" t="s">
        <v>10</v>
      </c>
      <c r="D178" s="140" t="s">
        <v>256</v>
      </c>
      <c r="E178" s="28" t="s">
        <v>257</v>
      </c>
      <c r="F178" s="87" t="s">
        <v>140</v>
      </c>
      <c r="G178" s="6" t="s">
        <v>23</v>
      </c>
      <c r="H178" s="6" t="s">
        <v>116</v>
      </c>
      <c r="I178" s="82" t="s">
        <v>63</v>
      </c>
      <c r="J178" s="20" t="s">
        <v>160</v>
      </c>
      <c r="K178" s="20"/>
      <c r="L178" s="20"/>
      <c r="M178" s="96">
        <v>46248</v>
      </c>
      <c r="N178" s="96">
        <v>46369</v>
      </c>
      <c r="O178" s="223" t="str">
        <f t="shared" si="3"/>
        <v xml:space="preserve">Ngô Tuấn Vũ, , </v>
      </c>
    </row>
    <row r="179" spans="1:15">
      <c r="A179" s="28" t="str">
        <f>"3."&amp;D179&amp;"."&amp;B179</f>
        <v>3.B.QNI.HLXHL.VMM.401</v>
      </c>
      <c r="B179" s="28" t="str">
        <f>TEXT(COUNTIFS($C$3:C179,C179,$D$3:D179,D179,$F$3:F179,F179)+IF(F179="KT",100,IF(F179="KC",200,IF(F179="DI",300,IF(F179="DN",400,IF(F179="NU",500,IF(F179="DH",600,IF(F179="PC",700,0))))))),"000")</f>
        <v>401</v>
      </c>
      <c r="C179" s="28" t="s">
        <v>10</v>
      </c>
      <c r="D179" s="140" t="s">
        <v>256</v>
      </c>
      <c r="E179" s="28" t="s">
        <v>257</v>
      </c>
      <c r="F179" s="87" t="s">
        <v>148</v>
      </c>
      <c r="G179" s="6" t="s">
        <v>23</v>
      </c>
      <c r="H179" s="6" t="s">
        <v>116</v>
      </c>
      <c r="I179" s="82" t="s">
        <v>63</v>
      </c>
      <c r="J179" s="20" t="s">
        <v>160</v>
      </c>
      <c r="K179" s="20"/>
      <c r="L179" s="20"/>
      <c r="M179" s="96">
        <v>46248</v>
      </c>
      <c r="N179" s="96">
        <v>46369</v>
      </c>
      <c r="O179" s="223" t="str">
        <f t="shared" ref="O179:O182" si="6">J179&amp;", "&amp;K179&amp;", "&amp;L179</f>
        <v xml:space="preserve">Ngô Tuấn Vũ, , </v>
      </c>
    </row>
    <row r="180" spans="1:15">
      <c r="A180" s="28" t="str">
        <f>"3."&amp;D180&amp;"."&amp;B180</f>
        <v>3.B.QNI.HLXHL.VMM.501</v>
      </c>
      <c r="B180" s="28" t="str">
        <f>TEXT(COUNTIFS($C$3:C180,C180,$D$3:D180,D180,$F$3:F180,F180)+IF(F180="KT",100,IF(F180="KC",200,IF(F180="DI",300,IF(F180="DN",400,IF(F180="NU",500,IF(F180="DH",600,IF(F180="PC",700,0))))))),"000")</f>
        <v>501</v>
      </c>
      <c r="C180" s="28" t="s">
        <v>10</v>
      </c>
      <c r="D180" s="140" t="s">
        <v>256</v>
      </c>
      <c r="E180" s="28" t="s">
        <v>257</v>
      </c>
      <c r="F180" s="87" t="s">
        <v>154</v>
      </c>
      <c r="G180" s="6" t="s">
        <v>23</v>
      </c>
      <c r="H180" s="6" t="s">
        <v>116</v>
      </c>
      <c r="I180" s="82" t="s">
        <v>63</v>
      </c>
      <c r="J180" s="20" t="s">
        <v>160</v>
      </c>
      <c r="K180" s="20"/>
      <c r="L180" s="20"/>
      <c r="M180" s="96">
        <v>46248</v>
      </c>
      <c r="N180" s="96">
        <v>46369</v>
      </c>
      <c r="O180" s="223" t="str">
        <f t="shared" si="6"/>
        <v xml:space="preserve">Ngô Tuấn Vũ, , </v>
      </c>
    </row>
    <row r="181" spans="1:15">
      <c r="A181" s="28" t="str">
        <f>"3."&amp;D181&amp;"."&amp;B181</f>
        <v>3.B.QNI.HLXHL.VMM.601</v>
      </c>
      <c r="B181" s="28" t="str">
        <f>TEXT(COUNTIFS($C$3:C181,C181,$D$3:D181,D181,$F$3:F181,F181)+IF(F181="KT",100,IF(F181="KC",200,IF(F181="DI",300,IF(F181="DN",400,IF(F181="NU",500,IF(F181="DH",600,IF(F181="PC",700,0))))))),"000")</f>
        <v>601</v>
      </c>
      <c r="C181" s="28" t="s">
        <v>10</v>
      </c>
      <c r="D181" s="140" t="s">
        <v>256</v>
      </c>
      <c r="E181" s="28" t="s">
        <v>257</v>
      </c>
      <c r="F181" s="87" t="s">
        <v>164</v>
      </c>
      <c r="G181" s="6" t="s">
        <v>23</v>
      </c>
      <c r="H181" s="6" t="s">
        <v>116</v>
      </c>
      <c r="I181" s="82" t="s">
        <v>63</v>
      </c>
      <c r="J181" s="20" t="s">
        <v>160</v>
      </c>
      <c r="K181" s="20"/>
      <c r="L181" s="20"/>
      <c r="M181" s="96">
        <v>46248</v>
      </c>
      <c r="N181" s="96">
        <v>46369</v>
      </c>
      <c r="O181" s="223" t="str">
        <f t="shared" si="6"/>
        <v xml:space="preserve">Ngô Tuấn Vũ, , </v>
      </c>
    </row>
    <row r="182" spans="1:15">
      <c r="A182" s="28" t="str">
        <f>"3."&amp;D182&amp;"."&amp;B182</f>
        <v>3.B.QNI.HLXHL.VMM.701</v>
      </c>
      <c r="B182" s="28" t="str">
        <f>TEXT(COUNTIFS($C$3:C182,C182,$D$3:D182,D182,$F$3:F182,F182)+IF(F182="KT",100,IF(F182="KC",200,IF(F182="DI",300,IF(F182="DN",400,IF(F182="NU",500,IF(F182="DH",600,IF(F182="PC",700,0))))))),"000")</f>
        <v>701</v>
      </c>
      <c r="C182" s="28" t="s">
        <v>10</v>
      </c>
      <c r="D182" s="140" t="s">
        <v>256</v>
      </c>
      <c r="E182" s="28" t="s">
        <v>257</v>
      </c>
      <c r="F182" s="87" t="s">
        <v>159</v>
      </c>
      <c r="G182" s="6" t="s">
        <v>23</v>
      </c>
      <c r="H182" s="6" t="s">
        <v>116</v>
      </c>
      <c r="I182" s="82" t="s">
        <v>63</v>
      </c>
      <c r="J182" s="20" t="s">
        <v>160</v>
      </c>
      <c r="K182" s="20"/>
      <c r="L182" s="20"/>
      <c r="M182" s="96">
        <v>46248</v>
      </c>
      <c r="N182" s="96">
        <v>46369</v>
      </c>
      <c r="O182" s="223" t="str">
        <f t="shared" si="6"/>
        <v xml:space="preserve">Ngô Tuấn Vũ, , </v>
      </c>
    </row>
    <row r="183" spans="1:15">
      <c r="A183" s="28" t="str">
        <f>"3."&amp;D183&amp;"."&amp;B183</f>
        <v>3.B.QNI.HLXHL.VP.101</v>
      </c>
      <c r="B183" s="28" t="str">
        <f>TEXT(COUNTIFS($C$3:C183,C183,$D$3:D183,D183,$F$3:F183,F183)+IF(F183="KT",100,IF(F183="KC",200,IF(F183="DI",300,IF(F183="DN",400,IF(F183="NU",500,IF(F183="DH",600,IF(F183="PC",700,0))))))),"000")</f>
        <v>101</v>
      </c>
      <c r="C183" s="28" t="s">
        <v>10</v>
      </c>
      <c r="D183" s="100" t="s">
        <v>259</v>
      </c>
      <c r="E183" s="28" t="s">
        <v>260</v>
      </c>
      <c r="F183" s="88" t="s">
        <v>123</v>
      </c>
      <c r="G183" s="6" t="s">
        <v>23</v>
      </c>
      <c r="H183" s="20" t="s">
        <v>116</v>
      </c>
      <c r="I183" s="82" t="s">
        <v>63</v>
      </c>
      <c r="J183" s="28" t="s">
        <v>31</v>
      </c>
      <c r="K183" s="28"/>
      <c r="L183" s="28"/>
      <c r="M183" s="220"/>
      <c r="N183" s="220"/>
      <c r="O183" s="223" t="str">
        <f t="shared" si="3"/>
        <v xml:space="preserve">Lý Huy Thành, , </v>
      </c>
    </row>
    <row r="184" spans="1:15">
      <c r="A184" s="28" t="str">
        <f>"3."&amp;D184&amp;"."&amp;B184</f>
        <v>3.B.QNI.HLXHL.VP.201</v>
      </c>
      <c r="B184" s="28" t="str">
        <f>TEXT(COUNTIFS($C$3:C184,C184,$D$3:D184,D184,$F$3:F184,F184)+IF(F184="KT",100,IF(F184="KC",200,IF(F184="DI",300,IF(F184="DN",400,IF(F184="NU",500,IF(F184="DH",600,IF(F184="PC",700,0))))))),"000")</f>
        <v>201</v>
      </c>
      <c r="C184" s="28" t="s">
        <v>10</v>
      </c>
      <c r="D184" s="100" t="s">
        <v>259</v>
      </c>
      <c r="E184" s="28" t="s">
        <v>260</v>
      </c>
      <c r="F184" s="88" t="s">
        <v>132</v>
      </c>
      <c r="G184" s="6" t="s">
        <v>23</v>
      </c>
      <c r="H184" s="20" t="s">
        <v>116</v>
      </c>
      <c r="I184" s="82" t="s">
        <v>63</v>
      </c>
      <c r="J184" s="28" t="s">
        <v>31</v>
      </c>
      <c r="K184" s="28"/>
      <c r="L184" s="28"/>
      <c r="M184" s="220"/>
      <c r="N184" s="220"/>
      <c r="O184" s="223" t="str">
        <f t="shared" si="3"/>
        <v xml:space="preserve">Lý Huy Thành, , </v>
      </c>
    </row>
    <row r="185" spans="1:15">
      <c r="A185" s="28" t="str">
        <f>"3."&amp;D185&amp;"."&amp;B185</f>
        <v>3.B.QNI.HLXHL.VP.301</v>
      </c>
      <c r="B185" s="28" t="str">
        <f>TEXT(COUNTIFS($C$3:C185,C185,$D$3:D185,D185,$F$3:F185,F185)+IF(F185="KT",100,IF(F185="KC",200,IF(F185="DI",300,IF(F185="DN",400,IF(F185="NU",500,IF(F185="DH",600,IF(F185="PC",700,0))))))),"000")</f>
        <v>301</v>
      </c>
      <c r="C185" s="28" t="s">
        <v>10</v>
      </c>
      <c r="D185" s="100" t="s">
        <v>259</v>
      </c>
      <c r="E185" s="28" t="s">
        <v>260</v>
      </c>
      <c r="F185" s="87" t="s">
        <v>140</v>
      </c>
      <c r="G185" s="6" t="s">
        <v>23</v>
      </c>
      <c r="H185" s="6" t="s">
        <v>116</v>
      </c>
      <c r="I185" s="82" t="s">
        <v>63</v>
      </c>
      <c r="J185" s="20" t="s">
        <v>160</v>
      </c>
      <c r="K185" s="20"/>
      <c r="L185" s="20"/>
      <c r="M185" s="96">
        <v>46218</v>
      </c>
      <c r="N185" s="96">
        <v>46248</v>
      </c>
      <c r="O185" s="223" t="str">
        <f t="shared" ref="O185:O188" si="7">J185&amp;", "&amp;K185&amp;", "&amp;L185</f>
        <v xml:space="preserve">Ngô Tuấn Vũ, , </v>
      </c>
    </row>
    <row r="186" spans="1:15">
      <c r="A186" s="28" t="str">
        <f>"3."&amp;D186&amp;"."&amp;B186</f>
        <v>3.B.QNI.HLXHL.VP.401</v>
      </c>
      <c r="B186" s="28" t="str">
        <f>TEXT(COUNTIFS($C$3:C186,C186,$D$3:D186,D186,$F$3:F186,F186)+IF(F186="KT",100,IF(F186="KC",200,IF(F186="DI",300,IF(F186="DN",400,IF(F186="NU",500,IF(F186="DH",600,IF(F186="PC",700,0))))))),"000")</f>
        <v>401</v>
      </c>
      <c r="C186" s="28" t="s">
        <v>10</v>
      </c>
      <c r="D186" s="100" t="s">
        <v>259</v>
      </c>
      <c r="E186" s="28" t="s">
        <v>260</v>
      </c>
      <c r="F186" s="87" t="s">
        <v>148</v>
      </c>
      <c r="G186" s="6" t="s">
        <v>23</v>
      </c>
      <c r="H186" s="6" t="s">
        <v>116</v>
      </c>
      <c r="I186" s="82" t="s">
        <v>63</v>
      </c>
      <c r="J186" s="20" t="s">
        <v>160</v>
      </c>
      <c r="K186" s="20"/>
      <c r="L186" s="20"/>
      <c r="M186" s="96">
        <v>46218</v>
      </c>
      <c r="N186" s="96">
        <v>46248</v>
      </c>
      <c r="O186" s="223" t="str">
        <f t="shared" si="7"/>
        <v xml:space="preserve">Ngô Tuấn Vũ, , </v>
      </c>
    </row>
    <row r="187" spans="1:15">
      <c r="A187" s="28" t="str">
        <f>"3."&amp;D187&amp;"."&amp;B187</f>
        <v>3.B.QNI.HLXHL.VP.501</v>
      </c>
      <c r="B187" s="28" t="str">
        <f>TEXT(COUNTIFS($C$3:C187,C187,$D$3:D187,D187,$F$3:F187,F187)+IF(F187="KT",100,IF(F187="KC",200,IF(F187="DI",300,IF(F187="DN",400,IF(F187="NU",500,IF(F187="DH",600,IF(F187="PC",700,0))))))),"000")</f>
        <v>501</v>
      </c>
      <c r="C187" s="28" t="s">
        <v>10</v>
      </c>
      <c r="D187" s="100" t="s">
        <v>259</v>
      </c>
      <c r="E187" s="28" t="s">
        <v>260</v>
      </c>
      <c r="F187" s="87" t="s">
        <v>154</v>
      </c>
      <c r="G187" s="6" t="s">
        <v>23</v>
      </c>
      <c r="H187" s="6" t="s">
        <v>116</v>
      </c>
      <c r="I187" s="82" t="s">
        <v>63</v>
      </c>
      <c r="J187" s="20" t="s">
        <v>160</v>
      </c>
      <c r="K187" s="20"/>
      <c r="L187" s="20"/>
      <c r="M187" s="96">
        <v>46218</v>
      </c>
      <c r="N187" s="96">
        <v>46248</v>
      </c>
      <c r="O187" s="223" t="str">
        <f t="shared" si="7"/>
        <v xml:space="preserve">Ngô Tuấn Vũ, , </v>
      </c>
    </row>
    <row r="188" spans="1:15">
      <c r="A188" s="28" t="str">
        <f>"3."&amp;D188&amp;"."&amp;B188</f>
        <v>3.B.QNI.HLXHL.VP.601</v>
      </c>
      <c r="B188" s="28" t="str">
        <f>TEXT(COUNTIFS($C$3:C188,C188,$D$3:D188,D188,$F$3:F188,F188)+IF(F188="KT",100,IF(F188="KC",200,IF(F188="DI",300,IF(F188="DN",400,IF(F188="NU",500,IF(F188="DH",600,IF(F188="PC",700,0))))))),"000")</f>
        <v>601</v>
      </c>
      <c r="C188" s="28" t="s">
        <v>10</v>
      </c>
      <c r="D188" s="100" t="s">
        <v>259</v>
      </c>
      <c r="E188" s="28" t="s">
        <v>260</v>
      </c>
      <c r="F188" s="87" t="s">
        <v>164</v>
      </c>
      <c r="G188" s="6" t="s">
        <v>23</v>
      </c>
      <c r="H188" s="6" t="s">
        <v>116</v>
      </c>
      <c r="I188" s="82" t="s">
        <v>63</v>
      </c>
      <c r="J188" s="20" t="s">
        <v>160</v>
      </c>
      <c r="K188" s="20"/>
      <c r="L188" s="20"/>
      <c r="M188" s="96">
        <v>46218</v>
      </c>
      <c r="N188" s="96">
        <v>46248</v>
      </c>
      <c r="O188" s="223" t="str">
        <f t="shared" si="7"/>
        <v xml:space="preserve">Ngô Tuấn Vũ, , </v>
      </c>
    </row>
    <row r="189" spans="1:15">
      <c r="A189" s="28" t="str">
        <f>"3."&amp;D189&amp;"."&amp;B189</f>
        <v>3.B.QNI.HLXHL.VP.701</v>
      </c>
      <c r="B189" s="28" t="str">
        <f>TEXT(COUNTIFS($C$3:C189,C189,$D$3:D189,D189,$F$3:F189,F189)+IF(F189="KT",100,IF(F189="KC",200,IF(F189="DI",300,IF(F189="DN",400,IF(F189="NU",500,IF(F189="DH",600,IF(F189="PC",700,0))))))),"000")</f>
        <v>701</v>
      </c>
      <c r="C189" s="28" t="s">
        <v>10</v>
      </c>
      <c r="D189" s="100" t="s">
        <v>259</v>
      </c>
      <c r="E189" s="28" t="s">
        <v>260</v>
      </c>
      <c r="F189" s="87" t="s">
        <v>159</v>
      </c>
      <c r="G189" s="6" t="s">
        <v>23</v>
      </c>
      <c r="H189" s="6" t="s">
        <v>116</v>
      </c>
      <c r="I189" s="82" t="s">
        <v>63</v>
      </c>
      <c r="J189" s="20" t="s">
        <v>160</v>
      </c>
      <c r="K189" s="20"/>
      <c r="L189" s="20"/>
      <c r="M189" s="96">
        <v>46218</v>
      </c>
      <c r="N189" s="96">
        <v>46248</v>
      </c>
      <c r="O189" s="223" t="str">
        <f t="shared" si="3"/>
        <v xml:space="preserve">Ngô Tuấn Vũ, , </v>
      </c>
    </row>
    <row r="190" spans="1:15">
      <c r="A190" s="28" t="str">
        <f>"3."&amp;D190&amp;"."&amp;B190</f>
        <v>3.B.QNI.HLXHL.VSC.101</v>
      </c>
      <c r="B190" s="28" t="str">
        <f>TEXT(COUNTIFS($C$3:C190,C190,$D$3:D190,D190,$F$3:F190,F190)+IF(F190="KT",100,IF(F190="KC",200,IF(F190="DI",300,IF(F190="DN",400,IF(F190="NU",500,IF(F190="DH",600,IF(F190="PC",700,0))))))),"000")</f>
        <v>101</v>
      </c>
      <c r="C190" s="28" t="s">
        <v>10</v>
      </c>
      <c r="D190" s="100" t="s">
        <v>262</v>
      </c>
      <c r="E190" s="28" t="s">
        <v>263</v>
      </c>
      <c r="F190" s="88" t="s">
        <v>123</v>
      </c>
      <c r="G190" s="6" t="s">
        <v>23</v>
      </c>
      <c r="H190" s="20" t="s">
        <v>116</v>
      </c>
      <c r="I190" s="82" t="s">
        <v>63</v>
      </c>
      <c r="J190" s="28" t="s">
        <v>155</v>
      </c>
      <c r="K190" s="28"/>
      <c r="L190" s="28"/>
      <c r="M190" s="96">
        <v>46063</v>
      </c>
      <c r="N190" s="96">
        <v>46227</v>
      </c>
      <c r="O190" s="223" t="str">
        <f t="shared" si="3"/>
        <v xml:space="preserve">Vũ Thị Thêu, , </v>
      </c>
    </row>
    <row r="191" spans="1:15">
      <c r="A191" s="28" t="str">
        <f>"3."&amp;D191&amp;"."&amp;B191</f>
        <v>3.B.QNI.HLXHL.VSC.201</v>
      </c>
      <c r="B191" s="28" t="str">
        <f>TEXT(COUNTIFS($C$3:C191,C191,$D$3:D191,D191,$F$3:F191,F191)+IF(F191="KT",100,IF(F191="KC",200,IF(F191="DI",300,IF(F191="DN",400,IF(F191="NU",500,IF(F191="DH",600,IF(F191="PC",700,0))))))),"000")</f>
        <v>201</v>
      </c>
      <c r="C191" s="28" t="s">
        <v>10</v>
      </c>
      <c r="D191" s="100" t="s">
        <v>262</v>
      </c>
      <c r="E191" s="28" t="s">
        <v>263</v>
      </c>
      <c r="F191" s="88" t="s">
        <v>132</v>
      </c>
      <c r="G191" s="6" t="s">
        <v>23</v>
      </c>
      <c r="H191" s="20" t="s">
        <v>116</v>
      </c>
      <c r="I191" s="82" t="s">
        <v>63</v>
      </c>
      <c r="J191" s="28" t="s">
        <v>155</v>
      </c>
      <c r="K191" s="28"/>
      <c r="L191" s="28"/>
      <c r="M191" s="96">
        <v>46063</v>
      </c>
      <c r="N191" s="96">
        <v>46262</v>
      </c>
      <c r="O191" s="223" t="str">
        <f t="shared" si="3"/>
        <v xml:space="preserve">Vũ Thị Thêu, , </v>
      </c>
    </row>
    <row r="192" spans="1:15">
      <c r="A192" s="28" t="str">
        <f>"3."&amp;D192&amp;"."&amp;B192</f>
        <v>3.B.QNI.HLXHL.VSC.301</v>
      </c>
      <c r="B192" s="28" t="str">
        <f>TEXT(COUNTIFS($C$3:C192,C192,$D$3:D192,D192,$F$3:F192,F192)+IF(F192="KT",100,IF(F192="KC",200,IF(F192="DI",300,IF(F192="DN",400,IF(F192="NU",500,IF(F192="DH",600,IF(F192="PC",700,0))))))),"000")</f>
        <v>301</v>
      </c>
      <c r="C192" s="28" t="s">
        <v>10</v>
      </c>
      <c r="D192" s="100" t="s">
        <v>262</v>
      </c>
      <c r="E192" s="28" t="s">
        <v>263</v>
      </c>
      <c r="F192" s="87" t="s">
        <v>140</v>
      </c>
      <c r="G192" s="6" t="s">
        <v>23</v>
      </c>
      <c r="H192" s="6" t="s">
        <v>116</v>
      </c>
      <c r="I192" s="82" t="s">
        <v>63</v>
      </c>
      <c r="J192" s="20" t="s">
        <v>180</v>
      </c>
      <c r="K192" s="20"/>
      <c r="L192" s="20"/>
      <c r="M192" s="96">
        <v>46063</v>
      </c>
      <c r="N192" s="96">
        <v>46203</v>
      </c>
      <c r="O192" s="223" t="str">
        <f t="shared" ref="O192:O195" si="8">J192&amp;", "&amp;K192&amp;", "&amp;L192</f>
        <v xml:space="preserve">Phan Trường Giang, , </v>
      </c>
    </row>
    <row r="193" spans="1:15">
      <c r="A193" s="28" t="str">
        <f>"3."&amp;D193&amp;"."&amp;B193</f>
        <v>3.B.QNI.HLXHL.VSC.401</v>
      </c>
      <c r="B193" s="28" t="str">
        <f>TEXT(COUNTIFS($C$3:C193,C193,$D$3:D193,D193,$F$3:F193,F193)+IF(F193="KT",100,IF(F193="KC",200,IF(F193="DI",300,IF(F193="DN",400,IF(F193="NU",500,IF(F193="DH",600,IF(F193="PC",700,0))))))),"000")</f>
        <v>401</v>
      </c>
      <c r="C193" s="28" t="s">
        <v>10</v>
      </c>
      <c r="D193" s="100" t="s">
        <v>262</v>
      </c>
      <c r="E193" s="28" t="s">
        <v>263</v>
      </c>
      <c r="F193" s="87" t="s">
        <v>148</v>
      </c>
      <c r="G193" s="6" t="s">
        <v>23</v>
      </c>
      <c r="H193" s="6" t="s">
        <v>116</v>
      </c>
      <c r="I193" s="82" t="s">
        <v>63</v>
      </c>
      <c r="J193" s="20" t="s">
        <v>180</v>
      </c>
      <c r="K193" s="20"/>
      <c r="L193" s="20"/>
      <c r="M193" s="96">
        <v>46063</v>
      </c>
      <c r="N193" s="96">
        <v>46203</v>
      </c>
      <c r="O193" s="223" t="str">
        <f t="shared" si="8"/>
        <v xml:space="preserve">Phan Trường Giang, , </v>
      </c>
    </row>
    <row r="194" spans="1:15">
      <c r="A194" s="28" t="str">
        <f>"3."&amp;D194&amp;"."&amp;B194</f>
        <v>3.B.QNI.HLXHL.VSC.501</v>
      </c>
      <c r="B194" s="28" t="str">
        <f>TEXT(COUNTIFS($C$3:C194,C194,$D$3:D194,D194,$F$3:F194,F194)+IF(F194="KT",100,IF(F194="KC",200,IF(F194="DI",300,IF(F194="DN",400,IF(F194="NU",500,IF(F194="DH",600,IF(F194="PC",700,0))))))),"000")</f>
        <v>501</v>
      </c>
      <c r="C194" s="28" t="s">
        <v>10</v>
      </c>
      <c r="D194" s="100" t="s">
        <v>262</v>
      </c>
      <c r="E194" s="28" t="s">
        <v>263</v>
      </c>
      <c r="F194" s="87" t="s">
        <v>154</v>
      </c>
      <c r="G194" s="6" t="s">
        <v>23</v>
      </c>
      <c r="H194" s="6" t="s">
        <v>116</v>
      </c>
      <c r="I194" s="82" t="s">
        <v>63</v>
      </c>
      <c r="J194" s="20" t="s">
        <v>180</v>
      </c>
      <c r="K194" s="20"/>
      <c r="L194" s="20"/>
      <c r="M194" s="96">
        <v>46063</v>
      </c>
      <c r="N194" s="96">
        <v>46203</v>
      </c>
      <c r="O194" s="223" t="str">
        <f t="shared" si="8"/>
        <v xml:space="preserve">Phan Trường Giang, , </v>
      </c>
    </row>
    <row r="195" spans="1:15">
      <c r="A195" s="28" t="str">
        <f>"3."&amp;D195&amp;"."&amp;B195</f>
        <v>3.B.QNI.HLXHL.VSC.601</v>
      </c>
      <c r="B195" s="28" t="str">
        <f>TEXT(COUNTIFS($C$3:C195,C195,$D$3:D195,D195,$F$3:F195,F195)+IF(F195="KT",100,IF(F195="KC",200,IF(F195="DI",300,IF(F195="DN",400,IF(F195="NU",500,IF(F195="DH",600,IF(F195="PC",700,0))))))),"000")</f>
        <v>601</v>
      </c>
      <c r="C195" s="28" t="s">
        <v>10</v>
      </c>
      <c r="D195" s="100" t="s">
        <v>262</v>
      </c>
      <c r="E195" s="28" t="s">
        <v>263</v>
      </c>
      <c r="F195" s="87" t="s">
        <v>164</v>
      </c>
      <c r="G195" s="6" t="s">
        <v>23</v>
      </c>
      <c r="H195" s="6" t="s">
        <v>116</v>
      </c>
      <c r="I195" s="82" t="s">
        <v>63</v>
      </c>
      <c r="J195" s="20" t="s">
        <v>180</v>
      </c>
      <c r="K195" s="20"/>
      <c r="L195" s="20"/>
      <c r="M195" s="96">
        <v>46063</v>
      </c>
      <c r="N195" s="96">
        <v>46203</v>
      </c>
      <c r="O195" s="223" t="str">
        <f t="shared" si="8"/>
        <v xml:space="preserve">Phan Trường Giang, , </v>
      </c>
    </row>
    <row r="196" spans="1:15">
      <c r="A196" s="28" t="str">
        <f>"3."&amp;D196&amp;"."&amp;B196</f>
        <v>3.B.QNI.HLXHL.VSC.701</v>
      </c>
      <c r="B196" s="28" t="str">
        <f>TEXT(COUNTIFS($C$3:C196,C196,$D$3:D196,D196,$F$3:F196,F196)+IF(F196="KT",100,IF(F196="KC",200,IF(F196="DI",300,IF(F196="DN",400,IF(F196="NU",500,IF(F196="DH",600,IF(F196="PC",700,0))))))),"000")</f>
        <v>701</v>
      </c>
      <c r="C196" s="28" t="s">
        <v>10</v>
      </c>
      <c r="D196" s="100" t="s">
        <v>262</v>
      </c>
      <c r="E196" s="28" t="s">
        <v>263</v>
      </c>
      <c r="F196" s="87" t="s">
        <v>159</v>
      </c>
      <c r="G196" s="6" t="s">
        <v>23</v>
      </c>
      <c r="H196" s="6" t="s">
        <v>116</v>
      </c>
      <c r="I196" s="82" t="s">
        <v>63</v>
      </c>
      <c r="J196" s="20" t="s">
        <v>180</v>
      </c>
      <c r="K196" s="20"/>
      <c r="L196" s="20"/>
      <c r="M196" s="96">
        <v>46063</v>
      </c>
      <c r="N196" s="96">
        <v>46203</v>
      </c>
      <c r="O196" s="223" t="str">
        <f t="shared" si="3"/>
        <v xml:space="preserve">Phan Trường Giang, , </v>
      </c>
    </row>
    <row r="197" spans="1:15">
      <c r="A197" s="28" t="str">
        <f>"3."&amp;D197&amp;"."&amp;B197</f>
        <v>3.B.QNI.HLXHL.VSC.102</v>
      </c>
      <c r="B197" s="28" t="str">
        <f>TEXT(COUNTIFS($C$3:C197,C197,$D$3:D197,D197,$F$3:F197,F197)+IF(F197="KT",100,IF(F197="KC",200,IF(F197="DI",300,IF(F197="DN",400,IF(F197="NU",500,IF(F197="DH",600,IF(F197="PC",700,0))))))),"000")</f>
        <v>102</v>
      </c>
      <c r="C197" s="28" t="s">
        <v>10</v>
      </c>
      <c r="D197" s="100" t="s">
        <v>262</v>
      </c>
      <c r="E197" s="28" t="s">
        <v>265</v>
      </c>
      <c r="F197" s="88" t="s">
        <v>123</v>
      </c>
      <c r="G197" s="6" t="s">
        <v>23</v>
      </c>
      <c r="H197" s="6" t="s">
        <v>116</v>
      </c>
      <c r="I197" s="82" t="s">
        <v>63</v>
      </c>
      <c r="J197" s="28" t="s">
        <v>32</v>
      </c>
      <c r="K197" s="28"/>
      <c r="L197" s="28"/>
      <c r="M197" s="96">
        <v>46063</v>
      </c>
      <c r="N197" s="96">
        <v>46203</v>
      </c>
      <c r="O197" s="223" t="str">
        <f t="shared" si="3"/>
        <v xml:space="preserve">Nguyễn Hải Nam, , </v>
      </c>
    </row>
    <row r="198" spans="1:15">
      <c r="A198" s="28" t="str">
        <f>"3."&amp;D198&amp;"."&amp;B198</f>
        <v>3.B.QNI.HLXHL.VSC.202</v>
      </c>
      <c r="B198" s="28" t="str">
        <f>TEXT(COUNTIFS($C$3:C198,C198,$D$3:D198,D198,$F$3:F198,F198)+IF(F198="KT",100,IF(F198="KC",200,IF(F198="DI",300,IF(F198="DN",400,IF(F198="NU",500,IF(F198="DH",600,IF(F198="PC",700,0))))))),"000")</f>
        <v>202</v>
      </c>
      <c r="C198" s="28" t="s">
        <v>10</v>
      </c>
      <c r="D198" s="100" t="s">
        <v>262</v>
      </c>
      <c r="E198" s="28" t="s">
        <v>265</v>
      </c>
      <c r="F198" s="88" t="s">
        <v>132</v>
      </c>
      <c r="G198" s="6" t="s">
        <v>23</v>
      </c>
      <c r="H198" s="6" t="s">
        <v>116</v>
      </c>
      <c r="I198" s="82" t="s">
        <v>63</v>
      </c>
      <c r="J198" s="28" t="s">
        <v>32</v>
      </c>
      <c r="K198" s="28"/>
      <c r="L198" s="28"/>
      <c r="M198" s="96">
        <v>46063</v>
      </c>
      <c r="N198" s="96">
        <v>46203</v>
      </c>
      <c r="O198" s="223" t="str">
        <f t="shared" si="3"/>
        <v xml:space="preserve">Nguyễn Hải Nam, , </v>
      </c>
    </row>
    <row r="199" spans="1:15">
      <c r="A199" s="28" t="str">
        <f>"3."&amp;D199&amp;"."&amp;B199</f>
        <v>3.B.QNI.HLXHL.VSC.302</v>
      </c>
      <c r="B199" s="28" t="str">
        <f>TEXT(COUNTIFS($C$3:C199,C199,$D$3:D199,D199,$F$3:F199,F199)+IF(F199="KT",100,IF(F199="KC",200,IF(F199="DI",300,IF(F199="DN",400,IF(F199="NU",500,IF(F199="DH",600,IF(F199="PC",700,0))))))),"000")</f>
        <v>302</v>
      </c>
      <c r="C199" s="28" t="s">
        <v>10</v>
      </c>
      <c r="D199" s="100" t="s">
        <v>262</v>
      </c>
      <c r="E199" s="28" t="s">
        <v>265</v>
      </c>
      <c r="F199" s="87" t="s">
        <v>140</v>
      </c>
      <c r="G199" s="6" t="s">
        <v>23</v>
      </c>
      <c r="H199" s="6" t="s">
        <v>116</v>
      </c>
      <c r="I199" s="82" t="s">
        <v>63</v>
      </c>
      <c r="J199" s="20" t="s">
        <v>180</v>
      </c>
      <c r="K199" s="20"/>
      <c r="L199" s="20"/>
      <c r="M199" s="96">
        <v>46063</v>
      </c>
      <c r="N199" s="96">
        <v>46203</v>
      </c>
      <c r="O199" s="223" t="str">
        <f t="shared" ref="O199:O201" si="9">J199&amp;", "&amp;K199&amp;", "&amp;L199</f>
        <v xml:space="preserve">Phan Trường Giang, , </v>
      </c>
    </row>
    <row r="200" spans="1:15">
      <c r="A200" s="28" t="str">
        <f>"3."&amp;D200&amp;"."&amp;B200</f>
        <v>3.B.QNI.HLXHL.VSC.402</v>
      </c>
      <c r="B200" s="28" t="str">
        <f>TEXT(COUNTIFS($C$3:C200,C200,$D$3:D200,D200,$F$3:F200,F200)+IF(F200="KT",100,IF(F200="KC",200,IF(F200="DI",300,IF(F200="DN",400,IF(F200="NU",500,IF(F200="DH",600,IF(F200="PC",700,0))))))),"000")</f>
        <v>402</v>
      </c>
      <c r="C200" s="28" t="s">
        <v>10</v>
      </c>
      <c r="D200" s="100" t="s">
        <v>262</v>
      </c>
      <c r="E200" s="28" t="s">
        <v>265</v>
      </c>
      <c r="F200" s="87" t="s">
        <v>148</v>
      </c>
      <c r="G200" s="6" t="s">
        <v>23</v>
      </c>
      <c r="H200" s="6" t="s">
        <v>116</v>
      </c>
      <c r="I200" s="82" t="s">
        <v>63</v>
      </c>
      <c r="J200" s="20" t="s">
        <v>180</v>
      </c>
      <c r="K200" s="20"/>
      <c r="L200" s="20"/>
      <c r="M200" s="96">
        <v>46063</v>
      </c>
      <c r="N200" s="96">
        <v>46203</v>
      </c>
      <c r="O200" s="223" t="str">
        <f t="shared" si="9"/>
        <v xml:space="preserve">Phan Trường Giang, , </v>
      </c>
    </row>
    <row r="201" spans="1:15">
      <c r="A201" s="28" t="str">
        <f>"3."&amp;D201&amp;"."&amp;B201</f>
        <v>3.B.QNI.HLXHL.VSC.502</v>
      </c>
      <c r="B201" s="28" t="str">
        <f>TEXT(COUNTIFS($C$3:C201,C201,$D$3:D201,D201,$F$3:F201,F201)+IF(F201="KT",100,IF(F201="KC",200,IF(F201="DI",300,IF(F201="DN",400,IF(F201="NU",500,IF(F201="DH",600,IF(F201="PC",700,0))))))),"000")</f>
        <v>502</v>
      </c>
      <c r="C201" s="28" t="s">
        <v>10</v>
      </c>
      <c r="D201" s="100" t="s">
        <v>262</v>
      </c>
      <c r="E201" s="28" t="s">
        <v>265</v>
      </c>
      <c r="F201" s="87" t="s">
        <v>154</v>
      </c>
      <c r="G201" s="6" t="s">
        <v>23</v>
      </c>
      <c r="H201" s="6" t="s">
        <v>116</v>
      </c>
      <c r="I201" s="82" t="s">
        <v>63</v>
      </c>
      <c r="J201" s="20" t="s">
        <v>180</v>
      </c>
      <c r="K201" s="20"/>
      <c r="L201" s="20"/>
      <c r="M201" s="96">
        <v>46063</v>
      </c>
      <c r="N201" s="96">
        <v>46203</v>
      </c>
      <c r="O201" s="223" t="str">
        <f t="shared" si="9"/>
        <v xml:space="preserve">Phan Trường Giang, , </v>
      </c>
    </row>
    <row r="202" spans="1:15">
      <c r="A202" s="28" t="str">
        <f>"3."&amp;D202&amp;"."&amp;B202</f>
        <v>3.B.QNI.HLXHL.VSC.602</v>
      </c>
      <c r="B202" s="28" t="str">
        <f>TEXT(COUNTIFS($C$3:C202,C202,$D$3:D202,D202,$F$3:F202,F202)+IF(F202="KT",100,IF(F202="KC",200,IF(F202="DI",300,IF(F202="DN",400,IF(F202="NU",500,IF(F202="DH",600,IF(F202="PC",700,0))))))),"000")</f>
        <v>602</v>
      </c>
      <c r="C202" s="28" t="s">
        <v>10</v>
      </c>
      <c r="D202" s="100" t="s">
        <v>262</v>
      </c>
      <c r="E202" s="28" t="s">
        <v>265</v>
      </c>
      <c r="F202" s="87" t="s">
        <v>164</v>
      </c>
      <c r="G202" s="6" t="s">
        <v>23</v>
      </c>
      <c r="H202" s="6" t="s">
        <v>116</v>
      </c>
      <c r="I202" s="82" t="s">
        <v>63</v>
      </c>
      <c r="J202" s="20" t="s">
        <v>180</v>
      </c>
      <c r="K202" s="20"/>
      <c r="L202" s="20"/>
      <c r="M202" s="96">
        <v>46063</v>
      </c>
      <c r="N202" s="96">
        <v>46203</v>
      </c>
      <c r="O202" s="223" t="str">
        <f t="shared" si="3"/>
        <v xml:space="preserve">Phan Trường Giang, , </v>
      </c>
    </row>
    <row r="203" spans="1:15">
      <c r="A203" s="28" t="str">
        <f>"3."&amp;D203&amp;"."&amp;B203</f>
        <v>3.B.QNI.HLXHL.VSC.702</v>
      </c>
      <c r="B203" s="28" t="str">
        <f>TEXT(COUNTIFS($C$3:C203,C203,$D$3:D203,D203,$F$3:F203,F203)+IF(F203="KT",100,IF(F203="KC",200,IF(F203="DI",300,IF(F203="DN",400,IF(F203="NU",500,IF(F203="DH",600,IF(F203="PC",700,0))))))),"000")</f>
        <v>702</v>
      </c>
      <c r="C203" s="28" t="s">
        <v>10</v>
      </c>
      <c r="D203" s="100" t="s">
        <v>262</v>
      </c>
      <c r="E203" s="28" t="s">
        <v>265</v>
      </c>
      <c r="F203" s="87" t="s">
        <v>159</v>
      </c>
      <c r="G203" s="6" t="s">
        <v>23</v>
      </c>
      <c r="H203" s="6" t="s">
        <v>116</v>
      </c>
      <c r="I203" s="82" t="s">
        <v>63</v>
      </c>
      <c r="J203" s="20" t="s">
        <v>180</v>
      </c>
      <c r="K203" s="20"/>
      <c r="L203" s="20"/>
      <c r="M203" s="96">
        <v>46063</v>
      </c>
      <c r="N203" s="96">
        <v>46203</v>
      </c>
      <c r="O203" s="223" t="str">
        <f t="shared" ref="O203" si="10">J203&amp;", "&amp;K203&amp;", "&amp;L203</f>
        <v xml:space="preserve">Phan Trường Giang, , </v>
      </c>
    </row>
    <row r="204" spans="1:15">
      <c r="A204" s="28" t="str">
        <f>"3."&amp;D204&amp;"."&amp;B204</f>
        <v>3.B.QNI.HLXQY.NH.101</v>
      </c>
      <c r="B204" s="28" t="str">
        <f>TEXT(COUNTIFS($C$3:C204,C204,$D$3:D204,D204,$F$3:F204,F204)+IF(F204="KT",100,IF(F204="KC",200,IF(F204="DI",300,IF(F204="DN",400,IF(F204="NU",500,IF(F204="DH",600,IF(F204="PC",700,0))))))),"000")</f>
        <v>101</v>
      </c>
      <c r="C204" s="28" t="s">
        <v>10</v>
      </c>
      <c r="D204" s="100" t="s">
        <v>267</v>
      </c>
      <c r="E204" s="28" t="s">
        <v>268</v>
      </c>
      <c r="F204" s="88" t="s">
        <v>123</v>
      </c>
      <c r="G204" s="6" t="s">
        <v>23</v>
      </c>
      <c r="H204" s="20" t="s">
        <v>116</v>
      </c>
      <c r="I204" s="82" t="s">
        <v>63</v>
      </c>
      <c r="J204" s="28" t="s">
        <v>34</v>
      </c>
      <c r="K204" s="28"/>
      <c r="L204" s="28"/>
      <c r="M204" s="220"/>
      <c r="N204" s="220"/>
      <c r="O204" s="223" t="str">
        <f t="shared" si="3"/>
        <v xml:space="preserve">Trần Văn Diện, , </v>
      </c>
    </row>
    <row r="205" spans="1:15">
      <c r="A205" s="28" t="str">
        <f>"3."&amp;D205&amp;"."&amp;B205</f>
        <v>3.B.QNI.HLXQY.NH.201</v>
      </c>
      <c r="B205" s="28" t="str">
        <f>TEXT(COUNTIFS($C$3:C205,C205,$D$3:D205,D205,$F$3:F205,F205)+IF(F205="KT",100,IF(F205="KC",200,IF(F205="DI",300,IF(F205="DN",400,IF(F205="NU",500,IF(F205="DH",600,IF(F205="PC",700,0))))))),"000")</f>
        <v>201</v>
      </c>
      <c r="C205" s="28" t="s">
        <v>10</v>
      </c>
      <c r="D205" s="100" t="s">
        <v>267</v>
      </c>
      <c r="E205" s="28" t="s">
        <v>268</v>
      </c>
      <c r="F205" s="88" t="s">
        <v>132</v>
      </c>
      <c r="G205" s="6" t="s">
        <v>23</v>
      </c>
      <c r="H205" s="20" t="s">
        <v>116</v>
      </c>
      <c r="I205" s="82" t="s">
        <v>63</v>
      </c>
      <c r="J205" s="28" t="s">
        <v>34</v>
      </c>
      <c r="K205" s="28"/>
      <c r="L205" s="28"/>
      <c r="M205" s="220"/>
      <c r="N205" s="220"/>
      <c r="O205" s="223" t="str">
        <f t="shared" si="3"/>
        <v xml:space="preserve">Trần Văn Diện, , </v>
      </c>
    </row>
    <row r="206" spans="1:15">
      <c r="A206" s="28" t="str">
        <f>"3."&amp;D206&amp;"."&amp;B206</f>
        <v>3.B.QNI.HLXQY.NH.301</v>
      </c>
      <c r="B206" s="28" t="str">
        <f>TEXT(COUNTIFS($C$3:C206,C206,$D$3:D206,D206,$F$3:F206,F206)+IF(F206="KT",100,IF(F206="KC",200,IF(F206="DI",300,IF(F206="DN",400,IF(F206="NU",500,IF(F206="DH",600,IF(F206="PC",700,0))))))),"000")</f>
        <v>301</v>
      </c>
      <c r="C206" s="28" t="s">
        <v>10</v>
      </c>
      <c r="D206" s="100" t="s">
        <v>267</v>
      </c>
      <c r="E206" s="28" t="s">
        <v>268</v>
      </c>
      <c r="F206" s="87" t="s">
        <v>140</v>
      </c>
      <c r="G206" s="6" t="s">
        <v>23</v>
      </c>
      <c r="H206" s="6" t="s">
        <v>116</v>
      </c>
      <c r="I206" s="82" t="s">
        <v>63</v>
      </c>
      <c r="J206" s="20" t="s">
        <v>175</v>
      </c>
      <c r="K206" s="20"/>
      <c r="L206" s="20"/>
      <c r="M206" s="96">
        <v>46186</v>
      </c>
      <c r="N206" s="96">
        <v>46265</v>
      </c>
      <c r="O206" s="223" t="str">
        <f t="shared" ref="O206:O208" si="11">J206&amp;", "&amp;K206&amp;", "&amp;L206</f>
        <v xml:space="preserve">Đặng Thái Sơn, , </v>
      </c>
    </row>
    <row r="207" spans="1:15">
      <c r="A207" s="28" t="str">
        <f>"3."&amp;D207&amp;"."&amp;B207</f>
        <v>3.B.QNI.HLXQY.NH.401</v>
      </c>
      <c r="B207" s="28" t="str">
        <f>TEXT(COUNTIFS($C$3:C207,C207,$D$3:D207,D207,$F$3:F207,F207)+IF(F207="KT",100,IF(F207="KC",200,IF(F207="DI",300,IF(F207="DN",400,IF(F207="NU",500,IF(F207="DH",600,IF(F207="PC",700,0))))))),"000")</f>
        <v>401</v>
      </c>
      <c r="C207" s="28" t="s">
        <v>10</v>
      </c>
      <c r="D207" s="100" t="s">
        <v>267</v>
      </c>
      <c r="E207" s="28" t="s">
        <v>268</v>
      </c>
      <c r="F207" s="87" t="s">
        <v>148</v>
      </c>
      <c r="G207" s="6" t="s">
        <v>23</v>
      </c>
      <c r="H207" s="6" t="s">
        <v>116</v>
      </c>
      <c r="I207" s="82" t="s">
        <v>63</v>
      </c>
      <c r="J207" s="20" t="s">
        <v>175</v>
      </c>
      <c r="K207" s="20"/>
      <c r="L207" s="20"/>
      <c r="M207" s="96">
        <v>46186</v>
      </c>
      <c r="N207" s="96">
        <v>46265</v>
      </c>
      <c r="O207" s="223" t="str">
        <f t="shared" si="11"/>
        <v xml:space="preserve">Đặng Thái Sơn, , </v>
      </c>
    </row>
    <row r="208" spans="1:15">
      <c r="A208" s="28" t="str">
        <f>"3."&amp;D208&amp;"."&amp;B208</f>
        <v>3.B.QNI.HLXQY.NH.501</v>
      </c>
      <c r="B208" s="28" t="str">
        <f>TEXT(COUNTIFS($C$3:C208,C208,$D$3:D208,D208,$F$3:F208,F208)+IF(F208="KT",100,IF(F208="KC",200,IF(F208="DI",300,IF(F208="DN",400,IF(F208="NU",500,IF(F208="DH",600,IF(F208="PC",700,0))))))),"000")</f>
        <v>501</v>
      </c>
      <c r="C208" s="28" t="s">
        <v>10</v>
      </c>
      <c r="D208" s="100" t="s">
        <v>267</v>
      </c>
      <c r="E208" s="28" t="s">
        <v>268</v>
      </c>
      <c r="F208" s="87" t="s">
        <v>154</v>
      </c>
      <c r="G208" s="6" t="s">
        <v>23</v>
      </c>
      <c r="H208" s="6" t="s">
        <v>116</v>
      </c>
      <c r="I208" s="82" t="s">
        <v>63</v>
      </c>
      <c r="J208" s="20" t="s">
        <v>175</v>
      </c>
      <c r="K208" s="20"/>
      <c r="L208" s="20"/>
      <c r="M208" s="96">
        <v>46186</v>
      </c>
      <c r="N208" s="96">
        <v>46265</v>
      </c>
      <c r="O208" s="223" t="str">
        <f t="shared" si="11"/>
        <v xml:space="preserve">Đặng Thái Sơn, , </v>
      </c>
    </row>
    <row r="209" spans="1:15">
      <c r="A209" s="28" t="str">
        <f>"3."&amp;D209&amp;"."&amp;B209</f>
        <v>3.B.QNI.HLXQY.NH.601</v>
      </c>
      <c r="B209" s="28" t="str">
        <f>TEXT(COUNTIFS($C$3:C209,C209,$D$3:D209,D209,$F$3:F209,F209)+IF(F209="KT",100,IF(F209="KC",200,IF(F209="DI",300,IF(F209="DN",400,IF(F209="NU",500,IF(F209="DH",600,IF(F209="PC",700,0))))))),"000")</f>
        <v>601</v>
      </c>
      <c r="C209" s="28" t="s">
        <v>10</v>
      </c>
      <c r="D209" s="100" t="s">
        <v>267</v>
      </c>
      <c r="E209" s="28" t="s">
        <v>268</v>
      </c>
      <c r="F209" s="87" t="s">
        <v>164</v>
      </c>
      <c r="G209" s="6" t="s">
        <v>23</v>
      </c>
      <c r="H209" s="6" t="s">
        <v>116</v>
      </c>
      <c r="I209" s="82" t="s">
        <v>63</v>
      </c>
      <c r="J209" s="20" t="s">
        <v>175</v>
      </c>
      <c r="K209" s="20"/>
      <c r="L209" s="20"/>
      <c r="M209" s="96">
        <v>46186</v>
      </c>
      <c r="N209" s="96">
        <v>46265</v>
      </c>
      <c r="O209" s="223" t="str">
        <f t="shared" si="3"/>
        <v xml:space="preserve">Đặng Thái Sơn, , </v>
      </c>
    </row>
    <row r="210" spans="1:15">
      <c r="A210" s="28" t="str">
        <f>"3."&amp;D210&amp;"."&amp;B210</f>
        <v>3.B.QNI.HLXQY.NH.701</v>
      </c>
      <c r="B210" s="28" t="str">
        <f>TEXT(COUNTIFS($C$3:C210,C210,$D$3:D210,D210,$F$3:F210,F210)+IF(F210="KT",100,IF(F210="KC",200,IF(F210="DI",300,IF(F210="DN",400,IF(F210="NU",500,IF(F210="DH",600,IF(F210="PC",700,0))))))),"000")</f>
        <v>701</v>
      </c>
      <c r="C210" s="28" t="s">
        <v>10</v>
      </c>
      <c r="D210" s="100" t="s">
        <v>267</v>
      </c>
      <c r="E210" s="28" t="s">
        <v>268</v>
      </c>
      <c r="F210" s="87" t="s">
        <v>159</v>
      </c>
      <c r="G210" s="6" t="s">
        <v>23</v>
      </c>
      <c r="H210" s="6" t="s">
        <v>116</v>
      </c>
      <c r="I210" s="82" t="s">
        <v>63</v>
      </c>
      <c r="J210" s="20" t="s">
        <v>175</v>
      </c>
      <c r="K210" s="20"/>
      <c r="L210" s="20"/>
      <c r="M210" s="96">
        <v>46186</v>
      </c>
      <c r="N210" s="96">
        <v>46265</v>
      </c>
      <c r="O210" s="223" t="str">
        <f t="shared" ref="O210" si="12">J210&amp;", "&amp;K210&amp;", "&amp;L210</f>
        <v xml:space="preserve">Đặng Thái Sơn, , </v>
      </c>
    </row>
    <row r="211" spans="1:15">
      <c r="A211" s="28" t="str">
        <f>"3."&amp;D211&amp;"."&amp;B211</f>
        <v>3.B.TQU.VPTQ.VP.101</v>
      </c>
      <c r="B211" s="28" t="str">
        <f>TEXT(COUNTIFS($C$3:C211,C211,$D$3:D211,D211,$F$3:F211,F211)+IF(F211="KT",100,IF(F211="KC",200,IF(F211="DI",300,IF(F211="DN",400,IF(F211="NU",500,IF(F211="DH",600,IF(F211="PC",700,0))))))),"000")</f>
        <v>101</v>
      </c>
      <c r="C211" s="28" t="s">
        <v>10</v>
      </c>
      <c r="D211" s="100" t="s">
        <v>270</v>
      </c>
      <c r="E211" s="28" t="s">
        <v>271</v>
      </c>
      <c r="F211" s="88" t="s">
        <v>123</v>
      </c>
      <c r="G211" s="82" t="s">
        <v>28</v>
      </c>
      <c r="H211" s="20" t="s">
        <v>116</v>
      </c>
      <c r="I211" s="82" t="s">
        <v>63</v>
      </c>
      <c r="J211" s="20" t="s">
        <v>34</v>
      </c>
      <c r="K211" s="20" t="s">
        <v>31</v>
      </c>
      <c r="L211" s="20"/>
      <c r="M211" s="96">
        <v>46171</v>
      </c>
      <c r="N211" s="96">
        <v>46175</v>
      </c>
      <c r="O211" s="223" t="str">
        <f t="shared" si="3"/>
        <v xml:space="preserve">Trần Văn Diện, Lý Huy Thành, </v>
      </c>
    </row>
    <row r="212" spans="1:15">
      <c r="A212" s="28" t="str">
        <f>"3."&amp;D212&amp;"."&amp;B212</f>
        <v>3.B.TQU.VPTQ.VP.201</v>
      </c>
      <c r="B212" s="28" t="str">
        <f>TEXT(COUNTIFS($C$3:C212,C212,$D$3:D212,D212,$F$3:F212,F212)+IF(F212="KT",100,IF(F212="KC",200,IF(F212="DI",300,IF(F212="DN",400,IF(F212="NU",500,IF(F212="DH",600,IF(F212="PC",700,0))))))),"000")</f>
        <v>201</v>
      </c>
      <c r="C212" s="28" t="s">
        <v>10</v>
      </c>
      <c r="D212" s="100" t="s">
        <v>270</v>
      </c>
      <c r="E212" s="28" t="s">
        <v>271</v>
      </c>
      <c r="F212" s="88" t="s">
        <v>132</v>
      </c>
      <c r="G212" s="82" t="s">
        <v>28</v>
      </c>
      <c r="H212" s="20" t="s">
        <v>116</v>
      </c>
      <c r="I212" s="82" t="s">
        <v>63</v>
      </c>
      <c r="J212" s="20" t="s">
        <v>32</v>
      </c>
      <c r="K212" s="20"/>
      <c r="L212" s="20"/>
      <c r="M212" s="96">
        <v>46171</v>
      </c>
      <c r="N212" s="96">
        <v>46175</v>
      </c>
      <c r="O212" s="223" t="str">
        <f t="shared" si="3"/>
        <v xml:space="preserve">Nguyễn Hải Nam, , </v>
      </c>
    </row>
    <row r="213" spans="1:15">
      <c r="A213" s="28" t="str">
        <f>"3."&amp;D213&amp;"."&amp;B213</f>
        <v>3.B.TQU.VPTQ.VP.202</v>
      </c>
      <c r="B213" s="28" t="str">
        <f>TEXT(COUNTIFS($C$3:C213,C213,$D$3:D213,D213,$F$3:F213,F213)+IF(F213="KT",100,IF(F213="KC",200,IF(F213="DI",300,IF(F213="DN",400,IF(F213="NU",500,IF(F213="DH",600,IF(F213="PC",700,0))))))),"000")</f>
        <v>202</v>
      </c>
      <c r="C213" s="28" t="s">
        <v>10</v>
      </c>
      <c r="D213" s="100" t="s">
        <v>270</v>
      </c>
      <c r="E213" s="28" t="s">
        <v>271</v>
      </c>
      <c r="F213" s="88" t="s">
        <v>132</v>
      </c>
      <c r="G213" s="82" t="s">
        <v>27</v>
      </c>
      <c r="H213" s="82" t="s">
        <v>116</v>
      </c>
      <c r="I213" s="82" t="s">
        <v>63</v>
      </c>
      <c r="J213" s="20" t="s">
        <v>32</v>
      </c>
      <c r="K213" s="20"/>
      <c r="L213" s="20"/>
      <c r="M213" s="96">
        <v>46171</v>
      </c>
      <c r="N213" s="96">
        <v>46175</v>
      </c>
      <c r="O213" s="223" t="str">
        <f>J213&amp;", "&amp;K213&amp;", "&amp;L213</f>
        <v xml:space="preserve">Nguyễn Hải Nam, , </v>
      </c>
    </row>
    <row r="214" spans="1:15">
      <c r="A214" s="28" t="str">
        <f>"3."&amp;D214&amp;"."&amp;B214</f>
        <v>3.N.DSHCMCG.DMF.101</v>
      </c>
      <c r="B214" s="28" t="str">
        <f>TEXT(COUNTIFS($C$3:C214,C214,$D$3:D214,D214,$F$3:F214,F214)+IF(F214="KT",100,IF(F214="KC",200,IF(F214="DI",300,IF(F214="DN",400,IF(F214="NU",500,IF(F214="DH",600,IF(F214="PC",700,0))))))),"000")</f>
        <v>101</v>
      </c>
      <c r="C214" s="28" t="s">
        <v>10</v>
      </c>
      <c r="D214" s="100" t="s">
        <v>444</v>
      </c>
      <c r="E214" s="28" t="s">
        <v>445</v>
      </c>
      <c r="F214" s="88" t="s">
        <v>123</v>
      </c>
      <c r="G214" s="82" t="s">
        <v>128</v>
      </c>
      <c r="H214" s="82" t="s">
        <v>116</v>
      </c>
      <c r="I214" s="82" t="s">
        <v>63</v>
      </c>
      <c r="J214" s="20" t="s">
        <v>34</v>
      </c>
      <c r="K214" s="20" t="s">
        <v>35</v>
      </c>
      <c r="L214" s="20"/>
      <c r="M214" s="220"/>
      <c r="N214" s="220"/>
      <c r="O214" s="223" t="str">
        <f t="shared" si="3"/>
        <v xml:space="preserve">Trần Văn Diện, Đặng Minh Quang, </v>
      </c>
    </row>
    <row r="215" spans="1:15">
      <c r="A215" s="28" t="str">
        <f>"3."&amp;D215&amp;"."&amp;B215</f>
        <v>3.N.DSHCMCG.DMF.102</v>
      </c>
      <c r="B215" s="28" t="str">
        <f>TEXT(COUNTIFS($C$3:C215,C215,$D$3:D215,D215,$F$3:F215,F215)+IF(F215="KT",100,IF(F215="KC",200,IF(F215="DI",300,IF(F215="DN",400,IF(F215="NU",500,IF(F215="DH",600,IF(F215="PC",700,0))))))),"000")</f>
        <v>102</v>
      </c>
      <c r="C215" s="28" t="s">
        <v>10</v>
      </c>
      <c r="D215" s="100" t="s">
        <v>444</v>
      </c>
      <c r="E215" s="28" t="s">
        <v>445</v>
      </c>
      <c r="F215" s="88" t="s">
        <v>123</v>
      </c>
      <c r="G215" s="6" t="s">
        <v>23</v>
      </c>
      <c r="H215" s="6" t="s">
        <v>93</v>
      </c>
      <c r="I215" s="82" t="s">
        <v>63</v>
      </c>
      <c r="J215" s="20" t="s">
        <v>31</v>
      </c>
      <c r="K215" s="20"/>
      <c r="L215" s="20"/>
      <c r="M215" s="96">
        <v>46167</v>
      </c>
      <c r="N215" s="96">
        <v>46169</v>
      </c>
      <c r="O215" s="223" t="str">
        <f t="shared" si="3"/>
        <v xml:space="preserve">Lý Huy Thành, , </v>
      </c>
    </row>
    <row r="216" spans="1:15">
      <c r="A216" s="28" t="str">
        <f>"3."&amp;D216&amp;"."&amp;B216</f>
        <v>3.N.DSHCMCG.DMF.201</v>
      </c>
      <c r="B216" s="28" t="str">
        <f>TEXT(COUNTIFS($C$3:C216,C216,$D$3:D216,D216,$F$3:F216,F216)+IF(F216="KT",100,IF(F216="KC",200,IF(F216="DI",300,IF(F216="DN",400,IF(F216="NU",500,IF(F216="DH",600,IF(F216="PC",700,0))))))),"000")</f>
        <v>201</v>
      </c>
      <c r="C216" s="28" t="s">
        <v>10</v>
      </c>
      <c r="D216" s="100" t="s">
        <v>444</v>
      </c>
      <c r="E216" s="28" t="s">
        <v>445</v>
      </c>
      <c r="F216" s="87" t="s">
        <v>132</v>
      </c>
      <c r="G216" s="82" t="s">
        <v>128</v>
      </c>
      <c r="H216" s="82" t="s">
        <v>116</v>
      </c>
      <c r="I216" s="82" t="s">
        <v>63</v>
      </c>
      <c r="J216" s="20" t="s">
        <v>34</v>
      </c>
      <c r="K216" s="20" t="s">
        <v>35</v>
      </c>
      <c r="L216" s="20"/>
      <c r="M216" s="220"/>
      <c r="N216" s="220"/>
      <c r="O216" s="223" t="str">
        <f>J216&amp;", "&amp;K216&amp;", "&amp;L216</f>
        <v xml:space="preserve">Trần Văn Diện, Đặng Minh Quang, </v>
      </c>
    </row>
    <row r="217" spans="1:15">
      <c r="A217" s="28" t="str">
        <f>"3."&amp;D217&amp;"."&amp;B217</f>
        <v>3.N.DSHCMCG.DMF.202</v>
      </c>
      <c r="B217" s="28" t="str">
        <f>TEXT(COUNTIFS($C$3:C217,C217,$D$3:D217,D217,$F$3:F217,F217)+IF(F217="KT",100,IF(F217="KC",200,IF(F217="DI",300,IF(F217="DN",400,IF(F217="NU",500,IF(F217="DH",600,IF(F217="PC",700,0))))))),"000")</f>
        <v>202</v>
      </c>
      <c r="C217" s="28" t="s">
        <v>10</v>
      </c>
      <c r="D217" s="100" t="s">
        <v>444</v>
      </c>
      <c r="E217" s="28" t="s">
        <v>445</v>
      </c>
      <c r="F217" s="87" t="s">
        <v>132</v>
      </c>
      <c r="G217" s="6" t="s">
        <v>23</v>
      </c>
      <c r="H217" s="6" t="s">
        <v>93</v>
      </c>
      <c r="I217" s="82" t="s">
        <v>63</v>
      </c>
      <c r="J217" s="20" t="s">
        <v>31</v>
      </c>
      <c r="K217" s="20"/>
      <c r="L217" s="20"/>
      <c r="M217" s="96">
        <v>46167</v>
      </c>
      <c r="N217" s="96">
        <v>46169</v>
      </c>
      <c r="O217" s="223" t="str">
        <f>J217&amp;", "&amp;K217&amp;", "&amp;L217</f>
        <v xml:space="preserve">Lý Huy Thành, , </v>
      </c>
    </row>
    <row r="218" spans="1:15">
      <c r="A218" s="28" t="str">
        <f>"3."&amp;D218&amp;"."&amp;B218</f>
        <v>3.N.DSHCMCG.DMF.301</v>
      </c>
      <c r="B218" s="28" t="str">
        <f>TEXT(COUNTIFS($C$3:C218,C218,$D$3:D218,D218,$F$3:F218,F218)+IF(F218="KT",100,IF(F218="KC",200,IF(F218="DI",300,IF(F218="DN",400,IF(F218="NU",500,IF(F218="DH",600,IF(F218="PC",700,0))))))),"000")</f>
        <v>301</v>
      </c>
      <c r="C218" s="28" t="s">
        <v>10</v>
      </c>
      <c r="D218" s="100" t="s">
        <v>444</v>
      </c>
      <c r="E218" s="28" t="s">
        <v>445</v>
      </c>
      <c r="F218" s="87" t="s">
        <v>140</v>
      </c>
      <c r="G218" s="6" t="s">
        <v>23</v>
      </c>
      <c r="H218" s="6" t="s">
        <v>93</v>
      </c>
      <c r="I218" s="82" t="s">
        <v>63</v>
      </c>
      <c r="J218" s="20" t="s">
        <v>180</v>
      </c>
      <c r="K218" s="20" t="s">
        <v>160</v>
      </c>
      <c r="L218" s="20"/>
      <c r="M218" s="96">
        <v>46167</v>
      </c>
      <c r="N218" s="96">
        <v>46169</v>
      </c>
      <c r="O218" s="223" t="str">
        <f t="shared" ref="O218:O219" si="13">J218&amp;", "&amp;K218&amp;", "&amp;L218</f>
        <v xml:space="preserve">Phan Trường Giang, Ngô Tuấn Vũ, </v>
      </c>
    </row>
    <row r="219" spans="1:15">
      <c r="A219" s="28" t="str">
        <f>"3."&amp;D219&amp;"."&amp;B219</f>
        <v>3.N.DSHCMCG.DMF.401</v>
      </c>
      <c r="B219" s="28" t="str">
        <f>TEXT(COUNTIFS($C$3:C219,C219,$D$3:D219,D219,$F$3:F219,F219)+IF(F219="KT",100,IF(F219="KC",200,IF(F219="DI",300,IF(F219="DN",400,IF(F219="NU",500,IF(F219="DH",600,IF(F219="PC",700,0))))))),"000")</f>
        <v>401</v>
      </c>
      <c r="C219" s="28" t="s">
        <v>10</v>
      </c>
      <c r="D219" s="100" t="s">
        <v>444</v>
      </c>
      <c r="E219" s="28" t="s">
        <v>445</v>
      </c>
      <c r="F219" s="87" t="s">
        <v>148</v>
      </c>
      <c r="G219" s="6" t="s">
        <v>23</v>
      </c>
      <c r="H219" s="6" t="s">
        <v>93</v>
      </c>
      <c r="I219" s="82" t="s">
        <v>63</v>
      </c>
      <c r="J219" s="20" t="s">
        <v>180</v>
      </c>
      <c r="K219" s="20" t="s">
        <v>160</v>
      </c>
      <c r="L219" s="20"/>
      <c r="M219" s="96">
        <v>46167</v>
      </c>
      <c r="N219" s="96">
        <v>46169</v>
      </c>
      <c r="O219" s="223" t="str">
        <f t="shared" si="13"/>
        <v xml:space="preserve">Phan Trường Giang, Ngô Tuấn Vũ, </v>
      </c>
    </row>
    <row r="220" spans="1:15">
      <c r="A220" s="28" t="str">
        <f>"3."&amp;D220&amp;"."&amp;B220</f>
        <v>3.N.DSHCMCG.DMF.501</v>
      </c>
      <c r="B220" s="28" t="str">
        <f>TEXT(COUNTIFS($C$3:C220,C220,$D$3:D220,D220,$F$3:F220,F220)+IF(F220="KT",100,IF(F220="KC",200,IF(F220="DI",300,IF(F220="DN",400,IF(F220="NU",500,IF(F220="DH",600,IF(F220="PC",700,0))))))),"000")</f>
        <v>501</v>
      </c>
      <c r="C220" s="28" t="s">
        <v>10</v>
      </c>
      <c r="D220" s="100" t="s">
        <v>444</v>
      </c>
      <c r="E220" s="28" t="s">
        <v>445</v>
      </c>
      <c r="F220" s="87" t="s">
        <v>154</v>
      </c>
      <c r="G220" s="6" t="s">
        <v>23</v>
      </c>
      <c r="H220" s="6" t="s">
        <v>93</v>
      </c>
      <c r="I220" s="82" t="s">
        <v>63</v>
      </c>
      <c r="J220" s="20" t="s">
        <v>180</v>
      </c>
      <c r="K220" s="20" t="s">
        <v>160</v>
      </c>
      <c r="L220" s="20"/>
      <c r="M220" s="96">
        <v>46167</v>
      </c>
      <c r="N220" s="96">
        <v>46169</v>
      </c>
      <c r="O220" s="223" t="str">
        <f t="shared" si="3"/>
        <v xml:space="preserve">Phan Trường Giang, Ngô Tuấn Vũ, </v>
      </c>
    </row>
    <row r="221" spans="1:15">
      <c r="A221" s="28" t="str">
        <f>"3."&amp;D221&amp;"."&amp;B221</f>
        <v>3.N.DSHCMCG.DMF.601</v>
      </c>
      <c r="B221" s="28" t="str">
        <f>TEXT(COUNTIFS($C$3:C221,C221,$D$3:D221,D221,$F$3:F221,F221)+IF(F221="KT",100,IF(F221="KC",200,IF(F221="DI",300,IF(F221="DN",400,IF(F221="NU",500,IF(F221="DH",600,IF(F221="PC",700,0))))))),"000")</f>
        <v>601</v>
      </c>
      <c r="C221" s="28" t="s">
        <v>10</v>
      </c>
      <c r="D221" s="100" t="s">
        <v>444</v>
      </c>
      <c r="E221" s="28" t="s">
        <v>445</v>
      </c>
      <c r="F221" s="87" t="s">
        <v>164</v>
      </c>
      <c r="G221" s="6" t="s">
        <v>23</v>
      </c>
      <c r="H221" s="6" t="s">
        <v>93</v>
      </c>
      <c r="I221" s="82" t="s">
        <v>63</v>
      </c>
      <c r="J221" s="20" t="s">
        <v>180</v>
      </c>
      <c r="K221" s="20" t="s">
        <v>160</v>
      </c>
      <c r="L221" s="20"/>
      <c r="M221" s="96">
        <v>46167</v>
      </c>
      <c r="N221" s="96">
        <v>46169</v>
      </c>
      <c r="O221" s="223" t="str">
        <f t="shared" ref="O221" si="14">J221&amp;", "&amp;K221&amp;", "&amp;L221</f>
        <v xml:space="preserve">Phan Trường Giang, Ngô Tuấn Vũ, </v>
      </c>
    </row>
    <row r="222" spans="1:15">
      <c r="A222" s="28" t="str">
        <f>"3."&amp;D222&amp;"."&amp;B222</f>
        <v>3.N.DSHCMCG.DMF.701</v>
      </c>
      <c r="B222" s="28" t="str">
        <f>TEXT(COUNTIFS($C$3:C222,C222,$D$3:D222,D222,$F$3:F222,F222)+IF(F222="KT",100,IF(F222="KC",200,IF(F222="DI",300,IF(F222="DN",400,IF(F222="NU",500,IF(F222="DH",600,IF(F222="PC",700,0))))))),"000")</f>
        <v>701</v>
      </c>
      <c r="C222" s="28" t="s">
        <v>10</v>
      </c>
      <c r="D222" s="100" t="s">
        <v>444</v>
      </c>
      <c r="E222" s="28" t="s">
        <v>445</v>
      </c>
      <c r="F222" s="87" t="s">
        <v>159</v>
      </c>
      <c r="G222" s="6" t="s">
        <v>23</v>
      </c>
      <c r="H222" s="6" t="s">
        <v>93</v>
      </c>
      <c r="I222" s="82" t="s">
        <v>63</v>
      </c>
      <c r="J222" s="20" t="s">
        <v>180</v>
      </c>
      <c r="K222" s="20" t="s">
        <v>160</v>
      </c>
      <c r="L222" s="20"/>
      <c r="M222" s="96">
        <v>46167</v>
      </c>
      <c r="N222" s="96">
        <v>46169</v>
      </c>
      <c r="O222" s="223" t="str">
        <f t="shared" ref="O222" si="15">J222&amp;", "&amp;K222&amp;", "&amp;L222</f>
        <v xml:space="preserve">Phan Trường Giang, Ngô Tuấn Vũ, </v>
      </c>
    </row>
    <row r="223" spans="1:15">
      <c r="A223" s="28" t="str">
        <f>"3."&amp;D223&amp;"."&amp;B223</f>
        <v>3.N.DSHCMCG.STA.101</v>
      </c>
      <c r="B223" s="28" t="str">
        <f>TEXT(COUNTIFS($C$3:C223,C223,$D$3:D223,D223,$F$3:F223,F223)+IF(F223="KT",100,IF(F223="KC",200,IF(F223="DI",300,IF(F223="DN",400,IF(F223="NU",500,IF(F223="DH",600,IF(F223="PC",700,0))))))),"000")</f>
        <v>101</v>
      </c>
      <c r="C223" s="28" t="s">
        <v>10</v>
      </c>
      <c r="D223" s="100" t="s">
        <v>273</v>
      </c>
      <c r="E223" s="28" t="s">
        <v>274</v>
      </c>
      <c r="F223" s="88" t="s">
        <v>123</v>
      </c>
      <c r="G223" s="6" t="s">
        <v>128</v>
      </c>
      <c r="H223" s="6" t="s">
        <v>116</v>
      </c>
      <c r="I223" s="82" t="s">
        <v>63</v>
      </c>
      <c r="J223" s="20" t="s">
        <v>32</v>
      </c>
      <c r="K223" s="20" t="s">
        <v>33</v>
      </c>
      <c r="L223" s="20"/>
      <c r="M223" s="106">
        <v>46221</v>
      </c>
      <c r="N223" s="106">
        <v>46287</v>
      </c>
      <c r="O223" s="223" t="str">
        <f t="shared" si="3"/>
        <v xml:space="preserve">Nguyễn Hải Nam, Đỗ Minh Ngọc, </v>
      </c>
    </row>
    <row r="224" spans="1:15">
      <c r="A224" s="28" t="str">
        <f>"3."&amp;D224&amp;"."&amp;B224</f>
        <v>3.N.DSHCMCG.STA.201</v>
      </c>
      <c r="B224" s="28" t="str">
        <f>TEXT(COUNTIFS($C$3:C224,C224,$D$3:D224,D224,$F$3:F224,F224)+IF(F224="KT",100,IF(F224="KC",200,IF(F224="DI",300,IF(F224="DN",400,IF(F224="NU",500,IF(F224="DH",600,IF(F224="PC",700,0))))))),"000")</f>
        <v>201</v>
      </c>
      <c r="C224" s="28" t="s">
        <v>10</v>
      </c>
      <c r="D224" s="100" t="s">
        <v>273</v>
      </c>
      <c r="E224" s="28" t="s">
        <v>274</v>
      </c>
      <c r="F224" s="88" t="s">
        <v>132</v>
      </c>
      <c r="G224" s="6" t="s">
        <v>23</v>
      </c>
      <c r="H224" s="20" t="s">
        <v>116</v>
      </c>
      <c r="I224" s="82" t="s">
        <v>63</v>
      </c>
      <c r="J224" s="20" t="s">
        <v>32</v>
      </c>
      <c r="K224" s="20" t="s">
        <v>33</v>
      </c>
      <c r="L224" s="20"/>
      <c r="M224" s="106">
        <v>46149</v>
      </c>
      <c r="N224" s="106">
        <v>46317</v>
      </c>
      <c r="O224" s="223" t="str">
        <f t="shared" si="3"/>
        <v xml:space="preserve">Nguyễn Hải Nam, Đỗ Minh Ngọc, </v>
      </c>
    </row>
    <row r="225" spans="1:15">
      <c r="A225" s="28" t="str">
        <f>"3."&amp;D225&amp;"."&amp;B225</f>
        <v>3.N.DSHCMCG.STA.301</v>
      </c>
      <c r="B225" s="28" t="str">
        <f>TEXT(COUNTIFS($C$3:C225,C225,$D$3:D225,D225,$F$3:F225,F225)+IF(F225="KT",100,IF(F225="KC",200,IF(F225="DI",300,IF(F225="DN",400,IF(F225="NU",500,IF(F225="DH",600,IF(F225="PC",700,0))))))),"000")</f>
        <v>301</v>
      </c>
      <c r="C225" s="28" t="s">
        <v>10</v>
      </c>
      <c r="D225" s="100" t="s">
        <v>273</v>
      </c>
      <c r="E225" s="28" t="s">
        <v>274</v>
      </c>
      <c r="F225" s="87" t="s">
        <v>140</v>
      </c>
      <c r="G225" s="6" t="s">
        <v>23</v>
      </c>
      <c r="H225" s="6" t="s">
        <v>93</v>
      </c>
      <c r="I225" s="82" t="s">
        <v>63</v>
      </c>
      <c r="J225" s="20" t="s">
        <v>165</v>
      </c>
      <c r="K225" s="20" t="s">
        <v>160</v>
      </c>
      <c r="L225" s="20"/>
      <c r="M225" s="96">
        <v>46167</v>
      </c>
      <c r="N225" s="96">
        <v>46169</v>
      </c>
      <c r="O225" s="223" t="str">
        <f t="shared" ref="O225:O227" si="16">J225&amp;", "&amp;K225&amp;", "&amp;L225</f>
        <v xml:space="preserve">Nguyễn Văn Hải, Ngô Tuấn Vũ, </v>
      </c>
    </row>
    <row r="226" spans="1:15">
      <c r="A226" s="28" t="str">
        <f>"3."&amp;D226&amp;"."&amp;B226</f>
        <v>3.N.DSHCMCG.STA.401</v>
      </c>
      <c r="B226" s="28" t="str">
        <f>TEXT(COUNTIFS($C$3:C226,C226,$D$3:D226,D226,$F$3:F226,F226)+IF(F226="KT",100,IF(F226="KC",200,IF(F226="DI",300,IF(F226="DN",400,IF(F226="NU",500,IF(F226="DH",600,IF(F226="PC",700,0))))))),"000")</f>
        <v>401</v>
      </c>
      <c r="C226" s="28" t="s">
        <v>10</v>
      </c>
      <c r="D226" s="100" t="s">
        <v>273</v>
      </c>
      <c r="E226" s="28" t="s">
        <v>274</v>
      </c>
      <c r="F226" s="87" t="s">
        <v>148</v>
      </c>
      <c r="G226" s="6" t="s">
        <v>23</v>
      </c>
      <c r="H226" s="6" t="s">
        <v>93</v>
      </c>
      <c r="I226" s="82" t="s">
        <v>63</v>
      </c>
      <c r="J226" s="20" t="s">
        <v>165</v>
      </c>
      <c r="K226" s="20" t="s">
        <v>160</v>
      </c>
      <c r="L226" s="20"/>
      <c r="M226" s="96">
        <v>46167</v>
      </c>
      <c r="N226" s="96">
        <v>46169</v>
      </c>
      <c r="O226" s="223" t="str">
        <f t="shared" si="16"/>
        <v xml:space="preserve">Nguyễn Văn Hải, Ngô Tuấn Vũ, </v>
      </c>
    </row>
    <row r="227" spans="1:15">
      <c r="A227" s="28" t="str">
        <f>"3."&amp;D227&amp;"."&amp;B227</f>
        <v>3.N.DSHCMCG.STA.501</v>
      </c>
      <c r="B227" s="28" t="str">
        <f>TEXT(COUNTIFS($C$3:C227,C227,$D$3:D227,D227,$F$3:F227,F227)+IF(F227="KT",100,IF(F227="KC",200,IF(F227="DI",300,IF(F227="DN",400,IF(F227="NU",500,IF(F227="DH",600,IF(F227="PC",700,0))))))),"000")</f>
        <v>501</v>
      </c>
      <c r="C227" s="28" t="s">
        <v>10</v>
      </c>
      <c r="D227" s="100" t="s">
        <v>273</v>
      </c>
      <c r="E227" s="28" t="s">
        <v>274</v>
      </c>
      <c r="F227" s="87" t="s">
        <v>154</v>
      </c>
      <c r="G227" s="6" t="s">
        <v>23</v>
      </c>
      <c r="H227" s="6" t="s">
        <v>93</v>
      </c>
      <c r="I227" s="82" t="s">
        <v>63</v>
      </c>
      <c r="J227" s="20" t="s">
        <v>165</v>
      </c>
      <c r="K227" s="20" t="s">
        <v>160</v>
      </c>
      <c r="L227" s="20"/>
      <c r="M227" s="96">
        <v>46167</v>
      </c>
      <c r="N227" s="96">
        <v>46169</v>
      </c>
      <c r="O227" s="223" t="str">
        <f t="shared" si="16"/>
        <v xml:space="preserve">Nguyễn Văn Hải, Ngô Tuấn Vũ, </v>
      </c>
    </row>
    <row r="228" spans="1:15">
      <c r="A228" s="28" t="str">
        <f>"3."&amp;D228&amp;"."&amp;B228</f>
        <v>3.N.DSHCMCG.STA.601</v>
      </c>
      <c r="B228" s="28" t="str">
        <f>TEXT(COUNTIFS($C$3:C228,C228,$D$3:D228,D228,$F$3:F228,F228)+IF(F228="KT",100,IF(F228="KC",200,IF(F228="DI",300,IF(F228="DN",400,IF(F228="NU",500,IF(F228="DH",600,IF(F228="PC",700,0))))))),"000")</f>
        <v>601</v>
      </c>
      <c r="C228" s="28" t="s">
        <v>10</v>
      </c>
      <c r="D228" s="100" t="s">
        <v>273</v>
      </c>
      <c r="E228" s="28" t="s">
        <v>274</v>
      </c>
      <c r="F228" s="87" t="s">
        <v>164</v>
      </c>
      <c r="G228" s="6" t="s">
        <v>23</v>
      </c>
      <c r="H228" s="6" t="s">
        <v>93</v>
      </c>
      <c r="I228" s="82" t="s">
        <v>63</v>
      </c>
      <c r="J228" s="20" t="s">
        <v>165</v>
      </c>
      <c r="K228" s="20" t="s">
        <v>160</v>
      </c>
      <c r="L228" s="20"/>
      <c r="M228" s="96">
        <v>46167</v>
      </c>
      <c r="N228" s="96">
        <v>46169</v>
      </c>
      <c r="O228" s="223" t="str">
        <f t="shared" ref="O228:O357" si="17">J228&amp;", "&amp;K228&amp;", "&amp;L228</f>
        <v xml:space="preserve">Nguyễn Văn Hải, Ngô Tuấn Vũ, </v>
      </c>
    </row>
    <row r="229" spans="1:15">
      <c r="A229" s="28" t="str">
        <f>"3."&amp;D229&amp;"."&amp;B229</f>
        <v>3.N.DSHCMCG.STA.701</v>
      </c>
      <c r="B229" s="28" t="str">
        <f>TEXT(COUNTIFS($C$3:C229,C229,$D$3:D229,D229,$F$3:F229,F229)+IF(F229="KT",100,IF(F229="KC",200,IF(F229="DI",300,IF(F229="DN",400,IF(F229="NU",500,IF(F229="DH",600,IF(F229="PC",700,0))))))),"000")</f>
        <v>701</v>
      </c>
      <c r="C229" s="28" t="s">
        <v>10</v>
      </c>
      <c r="D229" s="100" t="s">
        <v>273</v>
      </c>
      <c r="E229" s="28" t="s">
        <v>274</v>
      </c>
      <c r="F229" s="87" t="s">
        <v>159</v>
      </c>
      <c r="G229" s="6" t="s">
        <v>23</v>
      </c>
      <c r="H229" s="6" t="s">
        <v>93</v>
      </c>
      <c r="I229" s="82" t="s">
        <v>63</v>
      </c>
      <c r="J229" s="20" t="s">
        <v>165</v>
      </c>
      <c r="K229" s="20" t="s">
        <v>160</v>
      </c>
      <c r="L229" s="20"/>
      <c r="M229" s="96">
        <v>46167</v>
      </c>
      <c r="N229" s="96">
        <v>46169</v>
      </c>
      <c r="O229" s="223" t="str">
        <f t="shared" ref="O229" si="18">J229&amp;", "&amp;K229&amp;", "&amp;L229</f>
        <v xml:space="preserve">Nguyễn Văn Hải, Ngô Tuấn Vũ, </v>
      </c>
    </row>
    <row r="230" spans="1:15">
      <c r="A230" s="28" t="str">
        <f>"3."&amp;D230&amp;"."&amp;B230</f>
        <v>3.N.DSHCMCG.STA.102</v>
      </c>
      <c r="B230" s="28" t="str">
        <f>TEXT(COUNTIFS($C$3:C230,C230,$D$3:D230,D230,$F$3:F230,F230)+IF(F230="KT",100,IF(F230="KC",200,IF(F230="DI",300,IF(F230="DN",400,IF(F230="NU",500,IF(F230="DH",600,IF(F230="PC",700,0))))))),"000")</f>
        <v>102</v>
      </c>
      <c r="C230" s="28" t="s">
        <v>10</v>
      </c>
      <c r="D230" s="100" t="s">
        <v>273</v>
      </c>
      <c r="E230" s="28" t="s">
        <v>276</v>
      </c>
      <c r="F230" s="88" t="s">
        <v>123</v>
      </c>
      <c r="G230" s="6" t="s">
        <v>128</v>
      </c>
      <c r="H230" s="6" t="s">
        <v>116</v>
      </c>
      <c r="I230" s="82" t="s">
        <v>63</v>
      </c>
      <c r="J230" s="20" t="s">
        <v>36</v>
      </c>
      <c r="K230" s="20" t="s">
        <v>32</v>
      </c>
      <c r="L230" s="20"/>
      <c r="M230" s="96">
        <v>46150</v>
      </c>
      <c r="N230" s="96">
        <v>46240</v>
      </c>
      <c r="O230" s="223" t="str">
        <f t="shared" si="17"/>
        <v xml:space="preserve">Trần Văn Toản, Nguyễn Hải Nam, </v>
      </c>
    </row>
    <row r="231" spans="1:15">
      <c r="A231" s="28" t="str">
        <f>"3."&amp;D231&amp;"."&amp;B231</f>
        <v>3.N.DSHCMCG.STA.202</v>
      </c>
      <c r="B231" s="28" t="str">
        <f>TEXT(COUNTIFS($C$3:C231,C231,$D$3:D231,D231,$F$3:F231,F231)+IF(F231="KT",100,IF(F231="KC",200,IF(F231="DI",300,IF(F231="DN",400,IF(F231="NU",500,IF(F231="DH",600,IF(F231="PC",700,0))))))),"000")</f>
        <v>202</v>
      </c>
      <c r="C231" s="28" t="s">
        <v>10</v>
      </c>
      <c r="D231" s="100" t="s">
        <v>273</v>
      </c>
      <c r="E231" s="28" t="s">
        <v>276</v>
      </c>
      <c r="F231" s="88" t="s">
        <v>132</v>
      </c>
      <c r="G231" s="6" t="s">
        <v>23</v>
      </c>
      <c r="H231" s="20" t="s">
        <v>116</v>
      </c>
      <c r="I231" s="82" t="s">
        <v>63</v>
      </c>
      <c r="J231" s="20" t="s">
        <v>36</v>
      </c>
      <c r="K231" s="20" t="s">
        <v>32</v>
      </c>
      <c r="L231" s="20"/>
      <c r="M231" s="96">
        <v>46175</v>
      </c>
      <c r="N231" s="96">
        <v>46295</v>
      </c>
      <c r="O231" s="223" t="str">
        <f t="shared" si="17"/>
        <v xml:space="preserve">Trần Văn Toản, Nguyễn Hải Nam, </v>
      </c>
    </row>
    <row r="232" spans="1:15">
      <c r="A232" s="28" t="str">
        <f>"3."&amp;D232&amp;"."&amp;B232</f>
        <v>3.N.DSHCMCG.STA.302</v>
      </c>
      <c r="B232" s="28" t="str">
        <f>TEXT(COUNTIFS($C$3:C232,C232,$D$3:D232,D232,$F$3:F232,F232)+IF(F232="KT",100,IF(F232="KC",200,IF(F232="DI",300,IF(F232="DN",400,IF(F232="NU",500,IF(F232="DH",600,IF(F232="PC",700,0))))))),"000")</f>
        <v>302</v>
      </c>
      <c r="C232" s="28" t="s">
        <v>10</v>
      </c>
      <c r="D232" s="100" t="s">
        <v>273</v>
      </c>
      <c r="E232" s="28" t="s">
        <v>276</v>
      </c>
      <c r="F232" s="87" t="s">
        <v>140</v>
      </c>
      <c r="G232" s="6" t="s">
        <v>23</v>
      </c>
      <c r="H232" s="6" t="s">
        <v>93</v>
      </c>
      <c r="I232" s="82" t="s">
        <v>63</v>
      </c>
      <c r="J232" s="20" t="s">
        <v>175</v>
      </c>
      <c r="K232" s="20" t="s">
        <v>160</v>
      </c>
      <c r="L232" s="20"/>
      <c r="M232" s="96">
        <v>46167</v>
      </c>
      <c r="N232" s="96">
        <v>46169</v>
      </c>
      <c r="O232" s="223" t="str">
        <f t="shared" ref="O232" si="19">J232&amp;", "&amp;K232&amp;", "&amp;L232</f>
        <v xml:space="preserve">Đặng Thái Sơn, Ngô Tuấn Vũ, </v>
      </c>
    </row>
    <row r="233" spans="1:15">
      <c r="A233" s="28" t="str">
        <f>"3."&amp;D233&amp;"."&amp;B233</f>
        <v>3.N.DSHCMCG.STA.402</v>
      </c>
      <c r="B233" s="28" t="str">
        <f>TEXT(COUNTIFS($C$3:C233,C233,$D$3:D233,D233,$F$3:F233,F233)+IF(F233="KT",100,IF(F233="KC",200,IF(F233="DI",300,IF(F233="DN",400,IF(F233="NU",500,IF(F233="DH",600,IF(F233="PC",700,0))))))),"000")</f>
        <v>402</v>
      </c>
      <c r="C233" s="28" t="s">
        <v>10</v>
      </c>
      <c r="D233" s="100" t="s">
        <v>273</v>
      </c>
      <c r="E233" s="28" t="s">
        <v>276</v>
      </c>
      <c r="F233" s="87" t="s">
        <v>148</v>
      </c>
      <c r="G233" s="6" t="s">
        <v>23</v>
      </c>
      <c r="H233" s="6" t="s">
        <v>93</v>
      </c>
      <c r="I233" s="82" t="s">
        <v>63</v>
      </c>
      <c r="J233" s="20" t="s">
        <v>175</v>
      </c>
      <c r="K233" s="20" t="s">
        <v>160</v>
      </c>
      <c r="L233" s="20"/>
      <c r="M233" s="96">
        <v>46167</v>
      </c>
      <c r="N233" s="96">
        <v>46169</v>
      </c>
      <c r="O233" s="223" t="str">
        <f t="shared" si="17"/>
        <v xml:space="preserve">Đặng Thái Sơn, Ngô Tuấn Vũ, </v>
      </c>
    </row>
    <row r="234" spans="1:15">
      <c r="A234" s="28" t="str">
        <f>"3."&amp;D234&amp;"."&amp;B234</f>
        <v>3.N.DSHCMCG.STA.502</v>
      </c>
      <c r="B234" s="28" t="str">
        <f>TEXT(COUNTIFS($C$3:C234,C234,$D$3:D234,D234,$F$3:F234,F234)+IF(F234="KT",100,IF(F234="KC",200,IF(F234="DI",300,IF(F234="DN",400,IF(F234="NU",500,IF(F234="DH",600,IF(F234="PC",700,0))))))),"000")</f>
        <v>502</v>
      </c>
      <c r="C234" s="28" t="s">
        <v>10</v>
      </c>
      <c r="D234" s="100" t="s">
        <v>273</v>
      </c>
      <c r="E234" s="28" t="s">
        <v>276</v>
      </c>
      <c r="F234" s="87" t="s">
        <v>154</v>
      </c>
      <c r="G234" s="6" t="s">
        <v>23</v>
      </c>
      <c r="H234" s="6" t="s">
        <v>93</v>
      </c>
      <c r="I234" s="82" t="s">
        <v>63</v>
      </c>
      <c r="J234" s="20" t="s">
        <v>175</v>
      </c>
      <c r="K234" s="20" t="s">
        <v>160</v>
      </c>
      <c r="L234" s="20"/>
      <c r="M234" s="96">
        <v>46167</v>
      </c>
      <c r="N234" s="96">
        <v>46169</v>
      </c>
      <c r="O234" s="223" t="str">
        <f t="shared" si="17"/>
        <v xml:space="preserve">Đặng Thái Sơn, Ngô Tuấn Vũ, </v>
      </c>
    </row>
    <row r="235" spans="1:15">
      <c r="A235" s="28" t="str">
        <f>"3."&amp;D235&amp;"."&amp;B235</f>
        <v>3.N.DSHCMCG.STA.602</v>
      </c>
      <c r="B235" s="28" t="str">
        <f>TEXT(COUNTIFS($C$3:C235,C235,$D$3:D235,D235,$F$3:F235,F235)+IF(F235="KT",100,IF(F235="KC",200,IF(F235="DI",300,IF(F235="DN",400,IF(F235="NU",500,IF(F235="DH",600,IF(F235="PC",700,0))))))),"000")</f>
        <v>602</v>
      </c>
      <c r="C235" s="28" t="s">
        <v>10</v>
      </c>
      <c r="D235" s="100" t="s">
        <v>273</v>
      </c>
      <c r="E235" s="28" t="s">
        <v>276</v>
      </c>
      <c r="F235" s="87" t="s">
        <v>164</v>
      </c>
      <c r="G235" s="6" t="s">
        <v>23</v>
      </c>
      <c r="H235" s="6" t="s">
        <v>93</v>
      </c>
      <c r="I235" s="82" t="s">
        <v>63</v>
      </c>
      <c r="J235" s="20" t="s">
        <v>175</v>
      </c>
      <c r="K235" s="20" t="s">
        <v>160</v>
      </c>
      <c r="L235" s="20"/>
      <c r="M235" s="96">
        <v>46167</v>
      </c>
      <c r="N235" s="96">
        <v>46169</v>
      </c>
      <c r="O235" s="223" t="str">
        <f t="shared" ref="O235" si="20">J235&amp;", "&amp;K235&amp;", "&amp;L235</f>
        <v xml:space="preserve">Đặng Thái Sơn, Ngô Tuấn Vũ, </v>
      </c>
    </row>
    <row r="236" spans="1:15">
      <c r="A236" s="28" t="str">
        <f>"3."&amp;D236&amp;"."&amp;B236</f>
        <v>3.N.DSHCMCG.STA.702</v>
      </c>
      <c r="B236" s="28" t="str">
        <f>TEXT(COUNTIFS($C$3:C236,C236,$D$3:D236,D236,$F$3:F236,F236)+IF(F236="KT",100,IF(F236="KC",200,IF(F236="DI",300,IF(F236="DN",400,IF(F236="NU",500,IF(F236="DH",600,IF(F236="PC",700,0))))))),"000")</f>
        <v>702</v>
      </c>
      <c r="C236" s="28" t="s">
        <v>10</v>
      </c>
      <c r="D236" s="100" t="s">
        <v>273</v>
      </c>
      <c r="E236" s="28" t="s">
        <v>276</v>
      </c>
      <c r="F236" s="87" t="s">
        <v>159</v>
      </c>
      <c r="G236" s="6" t="s">
        <v>23</v>
      </c>
      <c r="H236" s="6" t="s">
        <v>93</v>
      </c>
      <c r="I236" s="82" t="s">
        <v>63</v>
      </c>
      <c r="J236" s="20" t="s">
        <v>175</v>
      </c>
      <c r="K236" s="20" t="s">
        <v>160</v>
      </c>
      <c r="L236" s="20"/>
      <c r="M236" s="96">
        <v>46167</v>
      </c>
      <c r="N236" s="96">
        <v>46169</v>
      </c>
      <c r="O236" s="223" t="str">
        <f t="shared" ref="O236" si="21">J236&amp;", "&amp;K236&amp;", "&amp;L236</f>
        <v xml:space="preserve">Đặng Thái Sơn, Ngô Tuấn Vũ, </v>
      </c>
    </row>
    <row r="237" spans="1:15">
      <c r="A237" s="28" t="str">
        <f>"3."&amp;D237&amp;"."&amp;B237</f>
        <v>3.N.HCM.CGIO.KS.101</v>
      </c>
      <c r="B237" s="28" t="str">
        <f>TEXT(COUNTIFS($C$3:C237,C237,$D$3:D237,D237,$F$3:F237,F237)+IF(F237="KT",100,IF(F237="KC",200,IF(F237="DI",300,IF(F237="DN",400,IF(F237="NU",500,IF(F237="DH",600,IF(F237="PC",700,0))))))),"000")</f>
        <v>101</v>
      </c>
      <c r="C237" s="28" t="s">
        <v>10</v>
      </c>
      <c r="D237" s="141" t="s">
        <v>278</v>
      </c>
      <c r="E237" s="28" t="s">
        <v>279</v>
      </c>
      <c r="F237" s="88" t="s">
        <v>123</v>
      </c>
      <c r="G237" s="6" t="s">
        <v>128</v>
      </c>
      <c r="H237" s="6" t="s">
        <v>116</v>
      </c>
      <c r="I237" s="82" t="s">
        <v>63</v>
      </c>
      <c r="J237" s="19" t="s">
        <v>155</v>
      </c>
      <c r="K237" s="19" t="s">
        <v>33</v>
      </c>
      <c r="L237" s="19" t="s">
        <v>32</v>
      </c>
      <c r="M237" s="96">
        <v>46147</v>
      </c>
      <c r="N237" s="96">
        <v>46258</v>
      </c>
      <c r="O237" s="223" t="str">
        <f t="shared" si="17"/>
        <v>Vũ Thị Thêu, Đỗ Minh Ngọc, Nguyễn Hải Nam</v>
      </c>
    </row>
    <row r="238" spans="1:15">
      <c r="A238" s="28" t="str">
        <f>"3."&amp;D238&amp;"."&amp;B238</f>
        <v>3.N.HCM.CGIO.KS.201</v>
      </c>
      <c r="B238" s="28" t="str">
        <f>TEXT(COUNTIFS($C$3:C238,C238,$D$3:D238,D238,$F$3:F238,F238)+IF(F238="KT",100,IF(F238="KC",200,IF(F238="DI",300,IF(F238="DN",400,IF(F238="NU",500,IF(F238="DH",600,IF(F238="PC",700,0))))))),"000")</f>
        <v>201</v>
      </c>
      <c r="C238" s="28" t="s">
        <v>10</v>
      </c>
      <c r="D238" s="141" t="s">
        <v>278</v>
      </c>
      <c r="E238" s="28" t="s">
        <v>279</v>
      </c>
      <c r="F238" s="88" t="s">
        <v>132</v>
      </c>
      <c r="G238" s="6" t="s">
        <v>128</v>
      </c>
      <c r="H238" s="6" t="s">
        <v>116</v>
      </c>
      <c r="I238" s="82" t="s">
        <v>63</v>
      </c>
      <c r="J238" s="19" t="s">
        <v>155</v>
      </c>
      <c r="K238" s="19" t="s">
        <v>33</v>
      </c>
      <c r="L238" s="19" t="s">
        <v>32</v>
      </c>
      <c r="M238" s="96">
        <v>46057</v>
      </c>
      <c r="N238" s="96">
        <v>46260</v>
      </c>
      <c r="O238" s="223" t="str">
        <f t="shared" si="17"/>
        <v>Vũ Thị Thêu, Đỗ Minh Ngọc, Nguyễn Hải Nam</v>
      </c>
    </row>
    <row r="239" spans="1:15">
      <c r="A239" s="28" t="str">
        <f>"3."&amp;D239&amp;"."&amp;B239</f>
        <v>3.N.HCM.CGIO.KS.301</v>
      </c>
      <c r="B239" s="28" t="str">
        <f>TEXT(COUNTIFS($C$3:C239,C239,$D$3:D239,D239,$F$3:F239,F239)+IF(F239="KT",100,IF(F239="KC",200,IF(F239="DI",300,IF(F239="DN",400,IF(F239="NU",500,IF(F239="DH",600,IF(F239="PC",700,0))))))),"000")</f>
        <v>301</v>
      </c>
      <c r="C239" s="28" t="s">
        <v>10</v>
      </c>
      <c r="D239" s="141" t="s">
        <v>278</v>
      </c>
      <c r="E239" s="28" t="s">
        <v>279</v>
      </c>
      <c r="F239" s="87" t="s">
        <v>140</v>
      </c>
      <c r="G239" s="6" t="s">
        <v>23</v>
      </c>
      <c r="H239" s="6" t="s">
        <v>116</v>
      </c>
      <c r="I239" s="82" t="s">
        <v>63</v>
      </c>
      <c r="J239" s="19" t="s">
        <v>175</v>
      </c>
      <c r="K239" s="19"/>
      <c r="L239" s="19"/>
      <c r="M239" s="96">
        <v>46170</v>
      </c>
      <c r="N239" s="96">
        <v>46221</v>
      </c>
      <c r="O239" s="223" t="str">
        <f t="shared" si="17"/>
        <v xml:space="preserve">Đặng Thái Sơn, , </v>
      </c>
    </row>
    <row r="240" spans="1:15">
      <c r="A240" s="28" t="str">
        <f>"3."&amp;D240&amp;"."&amp;B240</f>
        <v>3.N.HCM.CGIO.KS.401</v>
      </c>
      <c r="B240" s="28" t="str">
        <f>TEXT(COUNTIFS($C$3:C240,C240,$D$3:D240,D240,$F$3:F240,F240)+IF(F240="KT",100,IF(F240="KC",200,IF(F240="DI",300,IF(F240="DN",400,IF(F240="NU",500,IF(F240="DH",600,IF(F240="PC",700,0))))))),"000")</f>
        <v>401</v>
      </c>
      <c r="C240" s="28" t="s">
        <v>10</v>
      </c>
      <c r="D240" s="141" t="s">
        <v>278</v>
      </c>
      <c r="E240" s="28" t="s">
        <v>279</v>
      </c>
      <c r="F240" s="87" t="s">
        <v>148</v>
      </c>
      <c r="G240" s="6" t="s">
        <v>23</v>
      </c>
      <c r="H240" s="6" t="s">
        <v>116</v>
      </c>
      <c r="I240" s="82" t="s">
        <v>63</v>
      </c>
      <c r="J240" s="19" t="s">
        <v>175</v>
      </c>
      <c r="K240" s="19"/>
      <c r="L240" s="19"/>
      <c r="M240" s="96">
        <v>46170</v>
      </c>
      <c r="N240" s="96">
        <v>46221</v>
      </c>
      <c r="O240" s="223" t="str">
        <f t="shared" ref="O240:O243" si="22">J240&amp;", "&amp;K240&amp;", "&amp;L240</f>
        <v xml:space="preserve">Đặng Thái Sơn, , </v>
      </c>
    </row>
    <row r="241" spans="1:15">
      <c r="A241" s="28" t="str">
        <f>"3."&amp;D241&amp;"."&amp;B241</f>
        <v>3.N.HCM.CGIO.KS.501</v>
      </c>
      <c r="B241" s="28" t="str">
        <f>TEXT(COUNTIFS($C$3:C241,C241,$D$3:D241,D241,$F$3:F241,F241)+IF(F241="KT",100,IF(F241="KC",200,IF(F241="DI",300,IF(F241="DN",400,IF(F241="NU",500,IF(F241="DH",600,IF(F241="PC",700,0))))))),"000")</f>
        <v>501</v>
      </c>
      <c r="C241" s="28" t="s">
        <v>10</v>
      </c>
      <c r="D241" s="141" t="s">
        <v>278</v>
      </c>
      <c r="E241" s="28" t="s">
        <v>279</v>
      </c>
      <c r="F241" s="87" t="s">
        <v>154</v>
      </c>
      <c r="G241" s="6" t="s">
        <v>23</v>
      </c>
      <c r="H241" s="6" t="s">
        <v>116</v>
      </c>
      <c r="I241" s="82" t="s">
        <v>63</v>
      </c>
      <c r="J241" s="19" t="s">
        <v>175</v>
      </c>
      <c r="K241" s="19"/>
      <c r="L241" s="19"/>
      <c r="M241" s="96">
        <v>46170</v>
      </c>
      <c r="N241" s="96">
        <v>46221</v>
      </c>
      <c r="O241" s="223" t="str">
        <f t="shared" si="22"/>
        <v xml:space="preserve">Đặng Thái Sơn, , </v>
      </c>
    </row>
    <row r="242" spans="1:15">
      <c r="A242" s="28" t="str">
        <f>"3."&amp;D242&amp;"."&amp;B242</f>
        <v>3.N.HCM.CGIO.KS.601</v>
      </c>
      <c r="B242" s="28" t="str">
        <f>TEXT(COUNTIFS($C$3:C242,C242,$D$3:D242,D242,$F$3:F242,F242)+IF(F242="KT",100,IF(F242="KC",200,IF(F242="DI",300,IF(F242="DN",400,IF(F242="NU",500,IF(F242="DH",600,IF(F242="PC",700,0))))))),"000")</f>
        <v>601</v>
      </c>
      <c r="C242" s="28" t="s">
        <v>10</v>
      </c>
      <c r="D242" s="141" t="s">
        <v>278</v>
      </c>
      <c r="E242" s="28" t="s">
        <v>279</v>
      </c>
      <c r="F242" s="87" t="s">
        <v>164</v>
      </c>
      <c r="G242" s="6" t="s">
        <v>23</v>
      </c>
      <c r="H242" s="6" t="s">
        <v>116</v>
      </c>
      <c r="I242" s="82" t="s">
        <v>63</v>
      </c>
      <c r="J242" s="19" t="s">
        <v>175</v>
      </c>
      <c r="K242" s="19"/>
      <c r="L242" s="19"/>
      <c r="M242" s="96">
        <v>46170</v>
      </c>
      <c r="N242" s="96">
        <v>46221</v>
      </c>
      <c r="O242" s="223" t="str">
        <f t="shared" si="22"/>
        <v xml:space="preserve">Đặng Thái Sơn, , </v>
      </c>
    </row>
    <row r="243" spans="1:15">
      <c r="A243" s="28" t="str">
        <f>"3."&amp;D243&amp;"."&amp;B243</f>
        <v>3.N.HCM.CGIO.KS.701</v>
      </c>
      <c r="B243" s="28" t="str">
        <f>TEXT(COUNTIFS($C$3:C243,C243,$D$3:D243,D243,$F$3:F243,F243)+IF(F243="KT",100,IF(F243="KC",200,IF(F243="DI",300,IF(F243="DN",400,IF(F243="NU",500,IF(F243="DH",600,IF(F243="PC",700,0))))))),"000")</f>
        <v>701</v>
      </c>
      <c r="C243" s="28" t="s">
        <v>10</v>
      </c>
      <c r="D243" s="141" t="s">
        <v>278</v>
      </c>
      <c r="E243" s="28" t="s">
        <v>279</v>
      </c>
      <c r="F243" s="87" t="s">
        <v>159</v>
      </c>
      <c r="G243" s="6" t="s">
        <v>23</v>
      </c>
      <c r="H243" s="6" t="s">
        <v>116</v>
      </c>
      <c r="I243" s="82" t="s">
        <v>63</v>
      </c>
      <c r="J243" s="19" t="s">
        <v>175</v>
      </c>
      <c r="K243" s="19"/>
      <c r="L243" s="19"/>
      <c r="M243" s="96">
        <v>46170</v>
      </c>
      <c r="N243" s="96">
        <v>46221</v>
      </c>
      <c r="O243" s="223" t="str">
        <f t="shared" si="22"/>
        <v xml:space="preserve">Đặng Thái Sơn, , </v>
      </c>
    </row>
    <row r="244" spans="1:15">
      <c r="A244" s="28" t="str">
        <f>"3."&amp;D244&amp;"."&amp;B244</f>
        <v>3.N.HCM.CGIO.KS.102</v>
      </c>
      <c r="B244" s="28" t="str">
        <f>TEXT(COUNTIFS($C$3:C244,C244,$D$3:D244,D244,$F$3:F244,F244)+IF(F244="KT",100,IF(F244="KC",200,IF(F244="DI",300,IF(F244="DN",400,IF(F244="NU",500,IF(F244="DH",600,IF(F244="PC",700,0))))))),"000")</f>
        <v>102</v>
      </c>
      <c r="C244" s="28" t="s">
        <v>10</v>
      </c>
      <c r="D244" s="142" t="s">
        <v>278</v>
      </c>
      <c r="E244" s="33" t="s">
        <v>281</v>
      </c>
      <c r="F244" s="88" t="s">
        <v>123</v>
      </c>
      <c r="G244" s="6" t="s">
        <v>128</v>
      </c>
      <c r="H244" s="6" t="s">
        <v>116</v>
      </c>
      <c r="I244" s="28" t="s">
        <v>63</v>
      </c>
      <c r="J244" s="28" t="s">
        <v>34</v>
      </c>
      <c r="K244" s="28" t="s">
        <v>36</v>
      </c>
      <c r="L244" s="28" t="s">
        <v>35</v>
      </c>
      <c r="M244" s="96">
        <v>46148</v>
      </c>
      <c r="N244" s="96">
        <v>46170</v>
      </c>
      <c r="O244" s="223" t="str">
        <f t="shared" si="17"/>
        <v>Trần Văn Diện, Trần Văn Toản, Đặng Minh Quang</v>
      </c>
    </row>
    <row r="245" spans="1:15">
      <c r="A245" s="28" t="str">
        <f>"3."&amp;D245&amp;"."&amp;B245</f>
        <v>3.N.HCM.CGIO.KS.202</v>
      </c>
      <c r="B245" s="28" t="str">
        <f>TEXT(COUNTIFS($C$3:C245,C245,$D$3:D245,D245,$F$3:F245,F245)+IF(F245="KT",100,IF(F245="KC",200,IF(F245="DI",300,IF(F245="DN",400,IF(F245="NU",500,IF(F245="DH",600,IF(F245="PC",700,0))))))),"000")</f>
        <v>202</v>
      </c>
      <c r="C245" s="28" t="s">
        <v>10</v>
      </c>
      <c r="D245" s="142" t="s">
        <v>278</v>
      </c>
      <c r="E245" s="33" t="s">
        <v>281</v>
      </c>
      <c r="F245" s="88" t="s">
        <v>132</v>
      </c>
      <c r="G245" s="6" t="s">
        <v>128</v>
      </c>
      <c r="H245" s="6" t="s">
        <v>116</v>
      </c>
      <c r="I245" s="28" t="s">
        <v>63</v>
      </c>
      <c r="J245" s="20" t="s">
        <v>34</v>
      </c>
      <c r="K245" s="20" t="s">
        <v>36</v>
      </c>
      <c r="L245" s="20" t="s">
        <v>35</v>
      </c>
      <c r="M245" s="96">
        <v>46174</v>
      </c>
      <c r="N245" s="96">
        <v>46183</v>
      </c>
      <c r="O245" s="223" t="str">
        <f t="shared" si="17"/>
        <v>Trần Văn Diện, Trần Văn Toản, Đặng Minh Quang</v>
      </c>
    </row>
    <row r="246" spans="1:15">
      <c r="A246" s="28" t="str">
        <f>"3."&amp;D246&amp;"."&amp;B246</f>
        <v>3.N.HCM.CGIO.KS.302</v>
      </c>
      <c r="B246" s="28" t="str">
        <f>TEXT(COUNTIFS($C$3:C246,C246,$D$3:D246,D246,$F$3:F246,F246)+IF(F246="KT",100,IF(F246="KC",200,IF(F246="DI",300,IF(F246="DN",400,IF(F246="NU",500,IF(F246="DH",600,IF(F246="PC",700,0))))))),"000")</f>
        <v>302</v>
      </c>
      <c r="C246" s="28" t="s">
        <v>10</v>
      </c>
      <c r="D246" s="139" t="s">
        <v>278</v>
      </c>
      <c r="E246" s="28" t="s">
        <v>281</v>
      </c>
      <c r="F246" s="87" t="s">
        <v>140</v>
      </c>
      <c r="G246" s="6" t="s">
        <v>23</v>
      </c>
      <c r="H246" s="6" t="s">
        <v>116</v>
      </c>
      <c r="I246" s="28" t="s">
        <v>63</v>
      </c>
      <c r="J246" s="20" t="s">
        <v>175</v>
      </c>
      <c r="K246" s="20"/>
      <c r="L246" s="20"/>
      <c r="M246" s="96">
        <v>46162</v>
      </c>
      <c r="N246" s="96">
        <v>46221</v>
      </c>
      <c r="O246" s="223" t="str">
        <f t="shared" si="17"/>
        <v xml:space="preserve">Đặng Thái Sơn, , </v>
      </c>
    </row>
    <row r="247" spans="1:15">
      <c r="A247" s="28" t="str">
        <f>"3."&amp;D247&amp;"."&amp;B247</f>
        <v>3.N.HCM.CGIO.KS.402</v>
      </c>
      <c r="B247" s="28" t="str">
        <f>TEXT(COUNTIFS($C$3:C247,C247,$D$3:D247,D247,$F$3:F247,F247)+IF(F247="KT",100,IF(F247="KC",200,IF(F247="DI",300,IF(F247="DN",400,IF(F247="NU",500,IF(F247="DH",600,IF(F247="PC",700,0))))))),"000")</f>
        <v>402</v>
      </c>
      <c r="C247" s="28" t="s">
        <v>10</v>
      </c>
      <c r="D247" s="139" t="s">
        <v>278</v>
      </c>
      <c r="E247" s="28" t="s">
        <v>281</v>
      </c>
      <c r="F247" s="87" t="s">
        <v>148</v>
      </c>
      <c r="G247" s="6" t="s">
        <v>23</v>
      </c>
      <c r="H247" s="6" t="s">
        <v>116</v>
      </c>
      <c r="I247" s="28" t="s">
        <v>63</v>
      </c>
      <c r="J247" s="20" t="s">
        <v>175</v>
      </c>
      <c r="K247" s="20"/>
      <c r="L247" s="20"/>
      <c r="M247" s="96">
        <v>46162</v>
      </c>
      <c r="N247" s="96">
        <v>46221</v>
      </c>
      <c r="O247" s="223" t="str">
        <f t="shared" ref="O247:O250" si="23">J247&amp;", "&amp;K247&amp;", "&amp;L247</f>
        <v xml:space="preserve">Đặng Thái Sơn, , </v>
      </c>
    </row>
    <row r="248" spans="1:15">
      <c r="A248" s="28" t="str">
        <f>"3."&amp;D248&amp;"."&amp;B248</f>
        <v>3.N.HCM.CGIO.KS.502</v>
      </c>
      <c r="B248" s="28" t="str">
        <f>TEXT(COUNTIFS($C$3:C248,C248,$D$3:D248,D248,$F$3:F248,F248)+IF(F248="KT",100,IF(F248="KC",200,IF(F248="DI",300,IF(F248="DN",400,IF(F248="NU",500,IF(F248="DH",600,IF(F248="PC",700,0))))))),"000")</f>
        <v>502</v>
      </c>
      <c r="C248" s="28" t="s">
        <v>10</v>
      </c>
      <c r="D248" s="139" t="s">
        <v>278</v>
      </c>
      <c r="E248" s="28" t="s">
        <v>281</v>
      </c>
      <c r="F248" s="87" t="s">
        <v>154</v>
      </c>
      <c r="G248" s="6" t="s">
        <v>23</v>
      </c>
      <c r="H248" s="6" t="s">
        <v>116</v>
      </c>
      <c r="I248" s="28" t="s">
        <v>63</v>
      </c>
      <c r="J248" s="20" t="s">
        <v>175</v>
      </c>
      <c r="K248" s="20"/>
      <c r="L248" s="20"/>
      <c r="M248" s="96">
        <v>46162</v>
      </c>
      <c r="N248" s="96">
        <v>46221</v>
      </c>
      <c r="O248" s="223" t="str">
        <f t="shared" si="23"/>
        <v xml:space="preserve">Đặng Thái Sơn, , </v>
      </c>
    </row>
    <row r="249" spans="1:15">
      <c r="A249" s="28" t="str">
        <f>"3."&amp;D249&amp;"."&amp;B249</f>
        <v>3.N.HCM.CGIO.KS.602</v>
      </c>
      <c r="B249" s="28" t="str">
        <f>TEXT(COUNTIFS($C$3:C249,C249,$D$3:D249,D249,$F$3:F249,F249)+IF(F249="KT",100,IF(F249="KC",200,IF(F249="DI",300,IF(F249="DN",400,IF(F249="NU",500,IF(F249="DH",600,IF(F249="PC",700,0))))))),"000")</f>
        <v>602</v>
      </c>
      <c r="C249" s="28" t="s">
        <v>10</v>
      </c>
      <c r="D249" s="139" t="s">
        <v>278</v>
      </c>
      <c r="E249" s="28" t="s">
        <v>281</v>
      </c>
      <c r="F249" s="87" t="s">
        <v>164</v>
      </c>
      <c r="G249" s="6" t="s">
        <v>23</v>
      </c>
      <c r="H249" s="6" t="s">
        <v>116</v>
      </c>
      <c r="I249" s="28" t="s">
        <v>63</v>
      </c>
      <c r="J249" s="20" t="s">
        <v>175</v>
      </c>
      <c r="K249" s="20"/>
      <c r="L249" s="20"/>
      <c r="M249" s="96">
        <v>46162</v>
      </c>
      <c r="N249" s="96">
        <v>46221</v>
      </c>
      <c r="O249" s="223" t="str">
        <f t="shared" si="23"/>
        <v xml:space="preserve">Đặng Thái Sơn, , </v>
      </c>
    </row>
    <row r="250" spans="1:15">
      <c r="A250" s="28" t="str">
        <f>"3."&amp;D250&amp;"."&amp;B250</f>
        <v>3.N.HCM.CGIO.KS.702</v>
      </c>
      <c r="B250" s="28" t="str">
        <f>TEXT(COUNTIFS($C$3:C250,C250,$D$3:D250,D250,$F$3:F250,F250)+IF(F250="KT",100,IF(F250="KC",200,IF(F250="DI",300,IF(F250="DN",400,IF(F250="NU",500,IF(F250="DH",600,IF(F250="PC",700,0))))))),"000")</f>
        <v>702</v>
      </c>
      <c r="C250" s="28" t="s">
        <v>10</v>
      </c>
      <c r="D250" s="139" t="s">
        <v>278</v>
      </c>
      <c r="E250" s="28" t="s">
        <v>281</v>
      </c>
      <c r="F250" s="87" t="s">
        <v>159</v>
      </c>
      <c r="G250" s="6" t="s">
        <v>23</v>
      </c>
      <c r="H250" s="6" t="s">
        <v>116</v>
      </c>
      <c r="I250" s="28" t="s">
        <v>63</v>
      </c>
      <c r="J250" s="20" t="s">
        <v>175</v>
      </c>
      <c r="K250" s="20"/>
      <c r="L250" s="20"/>
      <c r="M250" s="96">
        <v>46162</v>
      </c>
      <c r="N250" s="96">
        <v>46221</v>
      </c>
      <c r="O250" s="223" t="str">
        <f t="shared" si="23"/>
        <v xml:space="preserve">Đặng Thái Sơn, , </v>
      </c>
    </row>
    <row r="251" spans="1:15">
      <c r="A251" s="28" t="str">
        <f>"3."&amp;D251&amp;"."&amp;B251</f>
        <v>3.N.HCM.CGIO.KS.103</v>
      </c>
      <c r="B251" s="28" t="str">
        <f>TEXT(COUNTIFS($C$3:C251,C251,$D$3:D251,D251,$F$3:F251,F251)+IF(F251="KT",100,IF(F251="KC",200,IF(F251="DI",300,IF(F251="DN",400,IF(F251="NU",500,IF(F251="DH",600,IF(F251="PC",700,0))))))),"000")</f>
        <v>103</v>
      </c>
      <c r="C251" s="28" t="s">
        <v>10</v>
      </c>
      <c r="D251" s="100" t="s">
        <v>278</v>
      </c>
      <c r="E251" s="28" t="s">
        <v>283</v>
      </c>
      <c r="F251" s="88" t="s">
        <v>123</v>
      </c>
      <c r="G251" s="6" t="s">
        <v>128</v>
      </c>
      <c r="H251" s="6" t="s">
        <v>116</v>
      </c>
      <c r="I251" s="82" t="s">
        <v>63</v>
      </c>
      <c r="J251" s="28" t="s">
        <v>155</v>
      </c>
      <c r="K251" s="28" t="s">
        <v>33</v>
      </c>
      <c r="L251" s="28" t="s">
        <v>32</v>
      </c>
      <c r="M251" s="96">
        <v>46125</v>
      </c>
      <c r="N251" s="96">
        <v>46243</v>
      </c>
      <c r="O251" s="223" t="str">
        <f t="shared" si="17"/>
        <v>Vũ Thị Thêu, Đỗ Minh Ngọc, Nguyễn Hải Nam</v>
      </c>
    </row>
    <row r="252" spans="1:15">
      <c r="A252" s="28" t="str">
        <f>"3."&amp;D252&amp;"."&amp;B252</f>
        <v>3.N.HCM.CGIO.KS.203</v>
      </c>
      <c r="B252" s="28" t="str">
        <f>TEXT(COUNTIFS($C$3:C252,C252,$D$3:D252,D252,$F$3:F252,F252)+IF(F252="KT",100,IF(F252="KC",200,IF(F252="DI",300,IF(F252="DN",400,IF(F252="NU",500,IF(F252="DH",600,IF(F252="PC",700,0))))))),"000")</f>
        <v>203</v>
      </c>
      <c r="C252" s="28" t="s">
        <v>10</v>
      </c>
      <c r="D252" s="100" t="s">
        <v>278</v>
      </c>
      <c r="E252" s="28" t="s">
        <v>283</v>
      </c>
      <c r="F252" s="88" t="s">
        <v>132</v>
      </c>
      <c r="G252" s="6" t="s">
        <v>128</v>
      </c>
      <c r="H252" s="6" t="s">
        <v>116</v>
      </c>
      <c r="I252" s="82" t="s">
        <v>63</v>
      </c>
      <c r="J252" s="28" t="s">
        <v>155</v>
      </c>
      <c r="K252" s="28" t="s">
        <v>33</v>
      </c>
      <c r="L252" s="28" t="s">
        <v>32</v>
      </c>
      <c r="M252" s="96"/>
      <c r="N252" s="96">
        <v>46254</v>
      </c>
      <c r="O252" s="223" t="str">
        <f t="shared" si="17"/>
        <v>Vũ Thị Thêu, Đỗ Minh Ngọc, Nguyễn Hải Nam</v>
      </c>
    </row>
    <row r="253" spans="1:15">
      <c r="A253" s="28" t="str">
        <f>"3."&amp;D253&amp;"."&amp;B253</f>
        <v>3.N.HCM.CGIO.KS.303</v>
      </c>
      <c r="B253" s="28" t="str">
        <f>TEXT(COUNTIFS($C$3:C253,C253,$D$3:D253,D253,$F$3:F253,F253)+IF(F253="KT",100,IF(F253="KC",200,IF(F253="DI",300,IF(F253="DN",400,IF(F253="NU",500,IF(F253="DH",600,IF(F253="PC",700,0))))))),"000")</f>
        <v>303</v>
      </c>
      <c r="C253" s="28" t="s">
        <v>10</v>
      </c>
      <c r="D253" s="100" t="s">
        <v>278</v>
      </c>
      <c r="E253" s="28" t="s">
        <v>283</v>
      </c>
      <c r="F253" s="87" t="s">
        <v>140</v>
      </c>
      <c r="G253" s="6" t="s">
        <v>23</v>
      </c>
      <c r="H253" s="6" t="s">
        <v>116</v>
      </c>
      <c r="I253" s="82" t="s">
        <v>63</v>
      </c>
      <c r="J253" s="20" t="s">
        <v>160</v>
      </c>
      <c r="K253" s="20"/>
      <c r="L253" s="20"/>
      <c r="M253" s="96">
        <v>46150</v>
      </c>
      <c r="N253" s="96">
        <v>46205</v>
      </c>
      <c r="O253" s="223" t="str">
        <f t="shared" si="17"/>
        <v xml:space="preserve">Ngô Tuấn Vũ, , </v>
      </c>
    </row>
    <row r="254" spans="1:15">
      <c r="A254" s="28" t="str">
        <f>"3."&amp;D254&amp;"."&amp;B254</f>
        <v>3.N.HCM.CGIO.KS.403</v>
      </c>
      <c r="B254" s="28" t="str">
        <f>TEXT(COUNTIFS($C$3:C254,C254,$D$3:D254,D254,$F$3:F254,F254)+IF(F254="KT",100,IF(F254="KC",200,IF(F254="DI",300,IF(F254="DN",400,IF(F254="NU",500,IF(F254="DH",600,IF(F254="PC",700,0))))))),"000")</f>
        <v>403</v>
      </c>
      <c r="C254" s="28" t="s">
        <v>10</v>
      </c>
      <c r="D254" s="100" t="s">
        <v>278</v>
      </c>
      <c r="E254" s="28" t="s">
        <v>283</v>
      </c>
      <c r="F254" s="87" t="s">
        <v>148</v>
      </c>
      <c r="G254" s="6" t="s">
        <v>23</v>
      </c>
      <c r="H254" s="6" t="s">
        <v>116</v>
      </c>
      <c r="I254" s="82" t="s">
        <v>63</v>
      </c>
      <c r="J254" s="20" t="s">
        <v>160</v>
      </c>
      <c r="K254" s="20"/>
      <c r="L254" s="20"/>
      <c r="M254" s="96">
        <v>46150</v>
      </c>
      <c r="N254" s="96">
        <v>46205</v>
      </c>
      <c r="O254" s="223" t="str">
        <f t="shared" si="17"/>
        <v xml:space="preserve">Ngô Tuấn Vũ, , </v>
      </c>
    </row>
    <row r="255" spans="1:15">
      <c r="A255" s="28" t="str">
        <f>"3."&amp;D255&amp;"."&amp;B255</f>
        <v>3.N.HCM.CGIO.KS.503</v>
      </c>
      <c r="B255" s="28" t="str">
        <f>TEXT(COUNTIFS($C$3:C255,C255,$D$3:D255,D255,$F$3:F255,F255)+IF(F255="KT",100,IF(F255="KC",200,IF(F255="DI",300,IF(F255="DN",400,IF(F255="NU",500,IF(F255="DH",600,IF(F255="PC",700,0))))))),"000")</f>
        <v>503</v>
      </c>
      <c r="C255" s="28" t="s">
        <v>10</v>
      </c>
      <c r="D255" s="100" t="s">
        <v>278</v>
      </c>
      <c r="E255" s="28" t="s">
        <v>283</v>
      </c>
      <c r="F255" s="87" t="s">
        <v>154</v>
      </c>
      <c r="G255" s="6" t="s">
        <v>23</v>
      </c>
      <c r="H255" s="6" t="s">
        <v>116</v>
      </c>
      <c r="I255" s="82" t="s">
        <v>63</v>
      </c>
      <c r="J255" s="20" t="s">
        <v>160</v>
      </c>
      <c r="K255" s="20"/>
      <c r="L255" s="20"/>
      <c r="M255" s="96">
        <v>46150</v>
      </c>
      <c r="N255" s="96">
        <v>46205</v>
      </c>
      <c r="O255" s="223" t="str">
        <f t="shared" ref="O255" si="24">J255&amp;", "&amp;K255&amp;", "&amp;L255</f>
        <v xml:space="preserve">Ngô Tuấn Vũ, , </v>
      </c>
    </row>
    <row r="256" spans="1:15">
      <c r="A256" s="28" t="str">
        <f>"3."&amp;D256&amp;"."&amp;B256</f>
        <v>3.N.HCM.CGIO.KS.603</v>
      </c>
      <c r="B256" s="28" t="str">
        <f>TEXT(COUNTIFS($C$3:C256,C256,$D$3:D256,D256,$F$3:F256,F256)+IF(F256="KT",100,IF(F256="KC",200,IF(F256="DI",300,IF(F256="DN",400,IF(F256="NU",500,IF(F256="DH",600,IF(F256="PC",700,0))))))),"000")</f>
        <v>603</v>
      </c>
      <c r="C256" s="28" t="s">
        <v>10</v>
      </c>
      <c r="D256" s="100" t="s">
        <v>278</v>
      </c>
      <c r="E256" s="28" t="s">
        <v>283</v>
      </c>
      <c r="F256" s="87" t="s">
        <v>164</v>
      </c>
      <c r="G256" s="6" t="s">
        <v>23</v>
      </c>
      <c r="H256" s="6" t="s">
        <v>116</v>
      </c>
      <c r="I256" s="82" t="s">
        <v>63</v>
      </c>
      <c r="J256" s="20" t="s">
        <v>160</v>
      </c>
      <c r="K256" s="20"/>
      <c r="L256" s="20"/>
      <c r="M256" s="96">
        <v>46150</v>
      </c>
      <c r="N256" s="96">
        <v>46205</v>
      </c>
      <c r="O256" s="223" t="str">
        <f t="shared" ref="O256" si="25">J256&amp;", "&amp;K256&amp;", "&amp;L256</f>
        <v xml:space="preserve">Ngô Tuấn Vũ, , </v>
      </c>
    </row>
    <row r="257" spans="1:15">
      <c r="A257" s="28" t="str">
        <f>"3."&amp;D257&amp;"."&amp;B257</f>
        <v>3.N.HCM.CGIO.KS.703</v>
      </c>
      <c r="B257" s="28" t="str">
        <f>TEXT(COUNTIFS($C$3:C257,C257,$D$3:D257,D257,$F$3:F257,F257)+IF(F257="KT",100,IF(F257="KC",200,IF(F257="DI",300,IF(F257="DN",400,IF(F257="NU",500,IF(F257="DH",600,IF(F257="PC",700,0))))))),"000")</f>
        <v>703</v>
      </c>
      <c r="C257" s="28" t="s">
        <v>10</v>
      </c>
      <c r="D257" s="100" t="s">
        <v>278</v>
      </c>
      <c r="E257" s="28" t="s">
        <v>283</v>
      </c>
      <c r="F257" s="87" t="s">
        <v>159</v>
      </c>
      <c r="G257" s="6" t="s">
        <v>23</v>
      </c>
      <c r="H257" s="6" t="s">
        <v>116</v>
      </c>
      <c r="I257" s="82" t="s">
        <v>63</v>
      </c>
      <c r="J257" s="20" t="s">
        <v>160</v>
      </c>
      <c r="K257" s="20"/>
      <c r="L257" s="20"/>
      <c r="M257" s="96">
        <v>46150</v>
      </c>
      <c r="N257" s="96">
        <v>46205</v>
      </c>
      <c r="O257" s="223" t="str">
        <f t="shared" si="17"/>
        <v xml:space="preserve">Ngô Tuấn Vũ, , </v>
      </c>
    </row>
    <row r="258" spans="1:15">
      <c r="A258" s="28" t="str">
        <f>"3."&amp;D258&amp;"."&amp;B258</f>
        <v>3.N.HCM.CGIO.KS.104</v>
      </c>
      <c r="B258" s="28" t="str">
        <f>TEXT(COUNTIFS($C$3:C258,C258,$D$3:D258,D258,$F$3:F258,F258)+IF(F258="KT",100,IF(F258="KC",200,IF(F258="DI",300,IF(F258="DN",400,IF(F258="NU",500,IF(F258="DH",600,IF(F258="PC",700,0))))))),"000")</f>
        <v>104</v>
      </c>
      <c r="C258" s="28" t="s">
        <v>10</v>
      </c>
      <c r="D258" s="100" t="s">
        <v>278</v>
      </c>
      <c r="E258" s="28" t="s">
        <v>285</v>
      </c>
      <c r="F258" s="88" t="s">
        <v>123</v>
      </c>
      <c r="G258" s="6" t="s">
        <v>23</v>
      </c>
      <c r="H258" s="6" t="s">
        <v>116</v>
      </c>
      <c r="I258" s="82" t="s">
        <v>63</v>
      </c>
      <c r="J258" s="28" t="s">
        <v>33</v>
      </c>
      <c r="K258" s="28"/>
      <c r="L258" s="28"/>
      <c r="M258" s="96">
        <v>45979</v>
      </c>
      <c r="N258" s="96">
        <v>46198</v>
      </c>
      <c r="O258" s="223" t="str">
        <f t="shared" si="17"/>
        <v xml:space="preserve">Đỗ Minh Ngọc, , </v>
      </c>
    </row>
    <row r="259" spans="1:15">
      <c r="A259" s="28" t="str">
        <f>"3."&amp;D259&amp;"."&amp;B259</f>
        <v>3.N.HCM.CGIO.KS.204</v>
      </c>
      <c r="B259" s="28" t="str">
        <f>TEXT(COUNTIFS($C$3:C259,C259,$D$3:D259,D259,$F$3:F259,F259)+IF(F259="KT",100,IF(F259="KC",200,IF(F259="DI",300,IF(F259="DN",400,IF(F259="NU",500,IF(F259="DH",600,IF(F259="PC",700,0))))))),"000")</f>
        <v>204</v>
      </c>
      <c r="C259" s="28" t="s">
        <v>10</v>
      </c>
      <c r="D259" s="100" t="s">
        <v>278</v>
      </c>
      <c r="E259" s="28" t="s">
        <v>285</v>
      </c>
      <c r="F259" s="88" t="s">
        <v>132</v>
      </c>
      <c r="G259" s="6" t="s">
        <v>23</v>
      </c>
      <c r="H259" s="6" t="s">
        <v>116</v>
      </c>
      <c r="I259" s="82" t="s">
        <v>63</v>
      </c>
      <c r="J259" s="28" t="s">
        <v>33</v>
      </c>
      <c r="K259" s="28"/>
      <c r="L259" s="28"/>
      <c r="M259" s="96">
        <v>45979</v>
      </c>
      <c r="N259" s="96">
        <v>46198</v>
      </c>
      <c r="O259" s="223" t="str">
        <f t="shared" si="17"/>
        <v xml:space="preserve">Đỗ Minh Ngọc, , </v>
      </c>
    </row>
    <row r="260" spans="1:15">
      <c r="A260" s="28" t="str">
        <f>"3."&amp;D260&amp;"."&amp;B260</f>
        <v>3.N.HCM.CGIO.KS.304</v>
      </c>
      <c r="B260" s="28" t="str">
        <f>TEXT(COUNTIFS($C$3:C260,C260,$D$3:D260,D260,$F$3:F260,F260)+IF(F260="KT",100,IF(F260="KC",200,IF(F260="DI",300,IF(F260="DN",400,IF(F260="NU",500,IF(F260="DH",600,IF(F260="PC",700,0))))))),"000")</f>
        <v>304</v>
      </c>
      <c r="C260" s="28" t="s">
        <v>10</v>
      </c>
      <c r="D260" s="100" t="s">
        <v>278</v>
      </c>
      <c r="E260" s="28" t="s">
        <v>285</v>
      </c>
      <c r="F260" s="87" t="s">
        <v>140</v>
      </c>
      <c r="G260" s="6" t="s">
        <v>23</v>
      </c>
      <c r="H260" s="6" t="s">
        <v>116</v>
      </c>
      <c r="I260" s="82" t="s">
        <v>63</v>
      </c>
      <c r="J260" s="20" t="s">
        <v>180</v>
      </c>
      <c r="K260" s="20"/>
      <c r="L260" s="20"/>
      <c r="M260" s="96">
        <v>46062</v>
      </c>
      <c r="N260" s="96">
        <v>46171</v>
      </c>
      <c r="O260" s="223" t="str">
        <f t="shared" ref="O260:O261" si="26">J260&amp;", "&amp;K260&amp;", "&amp;L260</f>
        <v xml:space="preserve">Phan Trường Giang, , </v>
      </c>
    </row>
    <row r="261" spans="1:15">
      <c r="A261" s="28" t="str">
        <f>"3."&amp;D261&amp;"."&amp;B261</f>
        <v>3.N.HCM.CGIO.KS.404</v>
      </c>
      <c r="B261" s="28" t="str">
        <f>TEXT(COUNTIFS($C$3:C261,C261,$D$3:D261,D261,$F$3:F261,F261)+IF(F261="KT",100,IF(F261="KC",200,IF(F261="DI",300,IF(F261="DN",400,IF(F261="NU",500,IF(F261="DH",600,IF(F261="PC",700,0))))))),"000")</f>
        <v>404</v>
      </c>
      <c r="C261" s="28" t="s">
        <v>10</v>
      </c>
      <c r="D261" s="100" t="s">
        <v>278</v>
      </c>
      <c r="E261" s="28" t="s">
        <v>285</v>
      </c>
      <c r="F261" s="87" t="s">
        <v>148</v>
      </c>
      <c r="G261" s="6" t="s">
        <v>23</v>
      </c>
      <c r="H261" s="6" t="s">
        <v>116</v>
      </c>
      <c r="I261" s="82" t="s">
        <v>63</v>
      </c>
      <c r="J261" s="20" t="s">
        <v>180</v>
      </c>
      <c r="K261" s="20"/>
      <c r="L261" s="20"/>
      <c r="M261" s="96">
        <v>46062</v>
      </c>
      <c r="N261" s="96">
        <v>46171</v>
      </c>
      <c r="O261" s="223" t="str">
        <f t="shared" si="26"/>
        <v xml:space="preserve">Phan Trường Giang, , </v>
      </c>
    </row>
    <row r="262" spans="1:15">
      <c r="A262" s="28" t="str">
        <f>"3."&amp;D262&amp;"."&amp;B262</f>
        <v>3.N.HCM.CGIO.KS.504</v>
      </c>
      <c r="B262" s="28" t="str">
        <f>TEXT(COUNTIFS($C$3:C262,C262,$D$3:D262,D262,$F$3:F262,F262)+IF(F262="KT",100,IF(F262="KC",200,IF(F262="DI",300,IF(F262="DN",400,IF(F262="NU",500,IF(F262="DH",600,IF(F262="PC",700,0))))))),"000")</f>
        <v>504</v>
      </c>
      <c r="C262" s="28" t="s">
        <v>10</v>
      </c>
      <c r="D262" s="100" t="s">
        <v>278</v>
      </c>
      <c r="E262" s="28" t="s">
        <v>285</v>
      </c>
      <c r="F262" s="87" t="s">
        <v>154</v>
      </c>
      <c r="G262" s="6" t="s">
        <v>23</v>
      </c>
      <c r="H262" s="6" t="s">
        <v>116</v>
      </c>
      <c r="I262" s="82" t="s">
        <v>63</v>
      </c>
      <c r="J262" s="20" t="s">
        <v>180</v>
      </c>
      <c r="K262" s="20"/>
      <c r="L262" s="20"/>
      <c r="M262" s="96">
        <v>46062</v>
      </c>
      <c r="N262" s="96">
        <v>46171</v>
      </c>
      <c r="O262" s="223" t="str">
        <f t="shared" si="17"/>
        <v xml:space="preserve">Phan Trường Giang, , </v>
      </c>
    </row>
    <row r="263" spans="1:15">
      <c r="A263" s="28" t="str">
        <f>"3."&amp;D263&amp;"."&amp;B263</f>
        <v>3.N.HCM.CGIO.KS.604</v>
      </c>
      <c r="B263" s="28" t="str">
        <f>TEXT(COUNTIFS($C$3:C263,C263,$D$3:D263,D263,$F$3:F263,F263)+IF(F263="KT",100,IF(F263="KC",200,IF(F263="DI",300,IF(F263="DN",400,IF(F263="NU",500,IF(F263="DH",600,IF(F263="PC",700,0))))))),"000")</f>
        <v>604</v>
      </c>
      <c r="C263" s="28" t="s">
        <v>10</v>
      </c>
      <c r="D263" s="100" t="s">
        <v>278</v>
      </c>
      <c r="E263" s="28" t="s">
        <v>285</v>
      </c>
      <c r="F263" s="87" t="s">
        <v>164</v>
      </c>
      <c r="G263" s="6" t="s">
        <v>23</v>
      </c>
      <c r="H263" s="6" t="s">
        <v>116</v>
      </c>
      <c r="I263" s="82" t="s">
        <v>63</v>
      </c>
      <c r="J263" s="20" t="s">
        <v>180</v>
      </c>
      <c r="K263" s="20"/>
      <c r="L263" s="20"/>
      <c r="M263" s="96">
        <v>46062</v>
      </c>
      <c r="N263" s="96">
        <v>46171</v>
      </c>
      <c r="O263" s="223" t="str">
        <f t="shared" ref="O263" si="27">J263&amp;", "&amp;K263&amp;", "&amp;L263</f>
        <v xml:space="preserve">Phan Trường Giang, , </v>
      </c>
    </row>
    <row r="264" spans="1:15">
      <c r="A264" s="28" t="str">
        <f>"3."&amp;D264&amp;"."&amp;B264</f>
        <v>3.N.HCM.CGIO.KS.704</v>
      </c>
      <c r="B264" s="28" t="str">
        <f>TEXT(COUNTIFS($C$3:C264,C264,$D$3:D264,D264,$F$3:F264,F264)+IF(F264="KT",100,IF(F264="KC",200,IF(F264="DI",300,IF(F264="DN",400,IF(F264="NU",500,IF(F264="DH",600,IF(F264="PC",700,0))))))),"000")</f>
        <v>704</v>
      </c>
      <c r="C264" s="28" t="s">
        <v>10</v>
      </c>
      <c r="D264" s="100" t="s">
        <v>278</v>
      </c>
      <c r="E264" s="28" t="s">
        <v>285</v>
      </c>
      <c r="F264" s="87" t="s">
        <v>159</v>
      </c>
      <c r="G264" s="6" t="s">
        <v>23</v>
      </c>
      <c r="H264" s="6" t="s">
        <v>116</v>
      </c>
      <c r="I264" s="82" t="s">
        <v>63</v>
      </c>
      <c r="J264" s="20" t="s">
        <v>180</v>
      </c>
      <c r="K264" s="20"/>
      <c r="L264" s="20"/>
      <c r="M264" s="96">
        <v>46062</v>
      </c>
      <c r="N264" s="96">
        <v>46171</v>
      </c>
      <c r="O264" s="223" t="str">
        <f t="shared" si="17"/>
        <v xml:space="preserve">Phan Trường Giang, , </v>
      </c>
    </row>
    <row r="265" spans="1:15">
      <c r="A265" s="28" t="str">
        <f>"3."&amp;D265&amp;"."&amp;B265</f>
        <v>3.N.HCM.CGIO.KS.605</v>
      </c>
      <c r="B265" s="28" t="str">
        <f>TEXT(COUNTIFS($C$3:C265,C265,$D$3:D265,D265,$F$3:F265,F265)+IF(F265="KT",100,IF(F265="KC",200,IF(F265="DI",300,IF(F265="DN",400,IF(F265="NU",500,IF(F265="DH",600,IF(F265="PC",700,0))))))),"000")</f>
        <v>605</v>
      </c>
      <c r="C265" s="28" t="s">
        <v>10</v>
      </c>
      <c r="D265" s="100" t="s">
        <v>278</v>
      </c>
      <c r="E265" s="28" t="s">
        <v>285</v>
      </c>
      <c r="F265" s="87" t="s">
        <v>164</v>
      </c>
      <c r="G265" s="6" t="s">
        <v>27</v>
      </c>
      <c r="H265" s="6" t="s">
        <v>116</v>
      </c>
      <c r="I265" s="82" t="s">
        <v>63</v>
      </c>
      <c r="J265" s="20" t="s">
        <v>175</v>
      </c>
      <c r="K265" s="20"/>
      <c r="L265" s="20"/>
      <c r="M265" s="96">
        <v>46176</v>
      </c>
      <c r="N265" s="96">
        <v>46178</v>
      </c>
      <c r="O265" s="223" t="str">
        <f t="shared" si="17"/>
        <v xml:space="preserve">Đặng Thái Sơn, , </v>
      </c>
    </row>
    <row r="266" spans="1:15">
      <c r="A266" s="28" t="str">
        <f>"3."&amp;D266&amp;"."&amp;B266</f>
        <v>3.N.HCM.CGIO.KS.606</v>
      </c>
      <c r="B266" s="28" t="str">
        <f>TEXT(COUNTIFS($C$3:C266,C266,$D$3:D266,D266,$F$3:F266,F266)+IF(F266="KT",100,IF(F266="KC",200,IF(F266="DI",300,IF(F266="DN",400,IF(F266="NU",500,IF(F266="DH",600,IF(F266="PC",700,0))))))),"000")</f>
        <v>606</v>
      </c>
      <c r="C266" s="28" t="s">
        <v>10</v>
      </c>
      <c r="D266" s="100" t="s">
        <v>278</v>
      </c>
      <c r="E266" s="28" t="s">
        <v>285</v>
      </c>
      <c r="F266" s="87" t="s">
        <v>164</v>
      </c>
      <c r="G266" s="6" t="s">
        <v>28</v>
      </c>
      <c r="H266" s="6" t="s">
        <v>116</v>
      </c>
      <c r="I266" s="82" t="s">
        <v>63</v>
      </c>
      <c r="J266" s="20" t="s">
        <v>175</v>
      </c>
      <c r="K266" s="20"/>
      <c r="L266" s="20"/>
      <c r="M266" s="96">
        <v>46176</v>
      </c>
      <c r="N266" s="96">
        <v>46178</v>
      </c>
      <c r="O266" s="223" t="str">
        <f t="shared" ref="O266" si="28">J266&amp;", "&amp;K266&amp;", "&amp;L266</f>
        <v xml:space="preserve">Đặng Thái Sơn, , </v>
      </c>
    </row>
    <row r="267" spans="1:15">
      <c r="A267" s="28" t="str">
        <f>"3."&amp;D267&amp;"."&amp;B267</f>
        <v>3.N.HCM.CGIO.KSMN.101</v>
      </c>
      <c r="B267" s="28" t="str">
        <f>TEXT(COUNTIFS($C$3:C267,C267,$D$3:D267,D267,$F$3:F267,F267)+IF(F267="KT",100,IF(F267="KC",200,IF(F267="DI",300,IF(F267="DN",400,IF(F267="NU",500,IF(F267="DH",600,IF(F267="PC",700,0))))))),"000")</f>
        <v>101</v>
      </c>
      <c r="C267" s="28" t="s">
        <v>10</v>
      </c>
      <c r="D267" s="100" t="s">
        <v>287</v>
      </c>
      <c r="E267" s="28" t="s">
        <v>288</v>
      </c>
      <c r="F267" s="88" t="s">
        <v>123</v>
      </c>
      <c r="G267" s="6" t="s">
        <v>23</v>
      </c>
      <c r="H267" s="20" t="s">
        <v>116</v>
      </c>
      <c r="I267" s="82" t="s">
        <v>63</v>
      </c>
      <c r="J267" s="28" t="s">
        <v>33</v>
      </c>
      <c r="K267" s="28" t="s">
        <v>34</v>
      </c>
      <c r="L267" s="28" t="s">
        <v>155</v>
      </c>
      <c r="M267" s="96">
        <v>46053</v>
      </c>
      <c r="N267" s="96">
        <v>46197</v>
      </c>
      <c r="O267" s="223" t="str">
        <f t="shared" si="17"/>
        <v>Đỗ Minh Ngọc, Trần Văn Diện, Vũ Thị Thêu</v>
      </c>
    </row>
    <row r="268" spans="1:15">
      <c r="A268" s="28" t="str">
        <f>"3."&amp;D268&amp;"."&amp;B268</f>
        <v>3.N.HCM.CGIO.KSMN.102</v>
      </c>
      <c r="B268" s="28" t="str">
        <f>TEXT(COUNTIFS($C$3:C268,C268,$D$3:D268,D268,$F$3:F268,F268)+IF(F268="KT",100,IF(F268="KC",200,IF(F268="DI",300,IF(F268="DN",400,IF(F268="NU",500,IF(F268="DH",600,IF(F268="PC",700,0))))))),"000")</f>
        <v>102</v>
      </c>
      <c r="C268" s="28" t="s">
        <v>10</v>
      </c>
      <c r="D268" s="100" t="s">
        <v>287</v>
      </c>
      <c r="E268" s="28" t="s">
        <v>288</v>
      </c>
      <c r="F268" s="88" t="s">
        <v>123</v>
      </c>
      <c r="G268" s="6" t="s">
        <v>128</v>
      </c>
      <c r="H268" s="6" t="s">
        <v>116</v>
      </c>
      <c r="I268" s="82" t="s">
        <v>63</v>
      </c>
      <c r="J268" s="28" t="s">
        <v>33</v>
      </c>
      <c r="K268" s="28" t="s">
        <v>34</v>
      </c>
      <c r="L268" s="28" t="s">
        <v>155</v>
      </c>
      <c r="M268" s="96">
        <v>46079</v>
      </c>
      <c r="N268" s="96">
        <v>46146</v>
      </c>
      <c r="O268" s="223" t="str">
        <f t="shared" si="17"/>
        <v>Đỗ Minh Ngọc, Trần Văn Diện, Vũ Thị Thêu</v>
      </c>
    </row>
    <row r="269" spans="1:15">
      <c r="A269" s="28" t="str">
        <f>"3."&amp;D269&amp;"."&amp;B269</f>
        <v>3.N.HCM.CGIO.KSMN.201</v>
      </c>
      <c r="B269" s="28" t="str">
        <f>TEXT(COUNTIFS($C$3:C269,C269,$D$3:D269,D269,$F$3:F269,F269)+IF(F269="KT",100,IF(F269="KC",200,IF(F269="DI",300,IF(F269="DN",400,IF(F269="NU",500,IF(F269="DH",600,IF(F269="PC",700,0))))))),"000")</f>
        <v>201</v>
      </c>
      <c r="C269" s="28" t="s">
        <v>10</v>
      </c>
      <c r="D269" s="100" t="s">
        <v>287</v>
      </c>
      <c r="E269" s="28" t="s">
        <v>288</v>
      </c>
      <c r="F269" s="88" t="s">
        <v>132</v>
      </c>
      <c r="G269" s="6" t="s">
        <v>23</v>
      </c>
      <c r="H269" s="20" t="s">
        <v>116</v>
      </c>
      <c r="I269" s="82" t="s">
        <v>63</v>
      </c>
      <c r="J269" s="28" t="s">
        <v>33</v>
      </c>
      <c r="K269" s="28" t="s">
        <v>34</v>
      </c>
      <c r="L269" s="28" t="s">
        <v>155</v>
      </c>
      <c r="M269" s="96">
        <v>46063</v>
      </c>
      <c r="N269" s="96">
        <v>46202</v>
      </c>
      <c r="O269" s="223" t="str">
        <f t="shared" si="17"/>
        <v>Đỗ Minh Ngọc, Trần Văn Diện, Vũ Thị Thêu</v>
      </c>
    </row>
    <row r="270" spans="1:15">
      <c r="A270" s="28" t="str">
        <f>"3."&amp;D270&amp;"."&amp;B270</f>
        <v>3.N.HCM.CGIO.KSMN.301</v>
      </c>
      <c r="B270" s="28" t="str">
        <f>TEXT(COUNTIFS($C$3:C270,C270,$D$3:D270,D270,$F$3:F270,F270)+IF(F270="KT",100,IF(F270="KC",200,IF(F270="DI",300,IF(F270="DN",400,IF(F270="NU",500,IF(F270="DH",600,IF(F270="PC",700,0))))))),"000")</f>
        <v>301</v>
      </c>
      <c r="C270" s="28" t="s">
        <v>10</v>
      </c>
      <c r="D270" s="100" t="s">
        <v>287</v>
      </c>
      <c r="E270" s="28" t="s">
        <v>288</v>
      </c>
      <c r="F270" s="87" t="s">
        <v>140</v>
      </c>
      <c r="G270" s="6" t="s">
        <v>23</v>
      </c>
      <c r="H270" s="6" t="s">
        <v>116</v>
      </c>
      <c r="I270" s="82" t="s">
        <v>63</v>
      </c>
      <c r="J270" s="20" t="s">
        <v>165</v>
      </c>
      <c r="K270" s="20"/>
      <c r="L270" s="20"/>
      <c r="M270" s="96">
        <v>46174</v>
      </c>
      <c r="N270" s="96">
        <v>46232</v>
      </c>
      <c r="O270" s="223" t="str">
        <f t="shared" ref="O270:O271" si="29">J270&amp;", "&amp;K270&amp;", "&amp;L270</f>
        <v xml:space="preserve">Nguyễn Văn Hải, , </v>
      </c>
    </row>
    <row r="271" spans="1:15">
      <c r="A271" s="28" t="str">
        <f>"3."&amp;D271&amp;"."&amp;B271</f>
        <v>3.N.HCM.CGIO.KSMN.401</v>
      </c>
      <c r="B271" s="28" t="str">
        <f>TEXT(COUNTIFS($C$3:C271,C271,$D$3:D271,D271,$F$3:F271,F271)+IF(F271="KT",100,IF(F271="KC",200,IF(F271="DI",300,IF(F271="DN",400,IF(F271="NU",500,IF(F271="DH",600,IF(F271="PC",700,0))))))),"000")</f>
        <v>401</v>
      </c>
      <c r="C271" s="28" t="s">
        <v>10</v>
      </c>
      <c r="D271" s="100" t="s">
        <v>287</v>
      </c>
      <c r="E271" s="28" t="s">
        <v>288</v>
      </c>
      <c r="F271" s="87" t="s">
        <v>148</v>
      </c>
      <c r="G271" s="6" t="s">
        <v>23</v>
      </c>
      <c r="H271" s="6" t="s">
        <v>116</v>
      </c>
      <c r="I271" s="82" t="s">
        <v>63</v>
      </c>
      <c r="J271" s="20" t="s">
        <v>165</v>
      </c>
      <c r="K271" s="20"/>
      <c r="L271" s="20"/>
      <c r="M271" s="96">
        <v>46174</v>
      </c>
      <c r="N271" s="96">
        <v>46232</v>
      </c>
      <c r="O271" s="223" t="str">
        <f t="shared" si="29"/>
        <v xml:space="preserve">Nguyễn Văn Hải, , </v>
      </c>
    </row>
    <row r="272" spans="1:15">
      <c r="A272" s="28" t="str">
        <f>"3."&amp;D272&amp;"."&amp;B272</f>
        <v>3.N.HCM.CGIO.KSMN.501</v>
      </c>
      <c r="B272" s="28" t="str">
        <f>TEXT(COUNTIFS($C$3:C272,C272,$D$3:D272,D272,$F$3:F272,F272)+IF(F272="KT",100,IF(F272="KC",200,IF(F272="DI",300,IF(F272="DN",400,IF(F272="NU",500,IF(F272="DH",600,IF(F272="PC",700,0))))))),"000")</f>
        <v>501</v>
      </c>
      <c r="C272" s="28" t="s">
        <v>10</v>
      </c>
      <c r="D272" s="100" t="s">
        <v>287</v>
      </c>
      <c r="E272" s="28" t="s">
        <v>288</v>
      </c>
      <c r="F272" s="87" t="s">
        <v>154</v>
      </c>
      <c r="G272" s="6" t="s">
        <v>23</v>
      </c>
      <c r="H272" s="6" t="s">
        <v>116</v>
      </c>
      <c r="I272" s="82" t="s">
        <v>63</v>
      </c>
      <c r="J272" s="20" t="s">
        <v>165</v>
      </c>
      <c r="K272" s="20"/>
      <c r="L272" s="20"/>
      <c r="M272" s="96">
        <v>46174</v>
      </c>
      <c r="N272" s="96">
        <v>46232</v>
      </c>
      <c r="O272" s="223" t="str">
        <f t="shared" si="17"/>
        <v xml:space="preserve">Nguyễn Văn Hải, , </v>
      </c>
    </row>
    <row r="273" spans="1:15">
      <c r="A273" s="28" t="str">
        <f>"3."&amp;D273&amp;"."&amp;B273</f>
        <v>3.N.HCM.CGIO.KSMN.601</v>
      </c>
      <c r="B273" s="28" t="str">
        <f>TEXT(COUNTIFS($C$3:C273,C273,$D$3:D273,D273,$F$3:F273,F273)+IF(F273="KT",100,IF(F273="KC",200,IF(F273="DI",300,IF(F273="DN",400,IF(F273="NU",500,IF(F273="DH",600,IF(F273="PC",700,0))))))),"000")</f>
        <v>601</v>
      </c>
      <c r="C273" s="28" t="s">
        <v>10</v>
      </c>
      <c r="D273" s="100" t="s">
        <v>287</v>
      </c>
      <c r="E273" s="28" t="s">
        <v>288</v>
      </c>
      <c r="F273" s="87" t="s">
        <v>164</v>
      </c>
      <c r="G273" s="6" t="s">
        <v>23</v>
      </c>
      <c r="H273" s="6" t="s">
        <v>116</v>
      </c>
      <c r="I273" s="82" t="s">
        <v>63</v>
      </c>
      <c r="J273" s="20" t="s">
        <v>165</v>
      </c>
      <c r="K273" s="20"/>
      <c r="L273" s="20"/>
      <c r="M273" s="96">
        <v>46174</v>
      </c>
      <c r="N273" s="96">
        <v>46232</v>
      </c>
      <c r="O273" s="223" t="str">
        <f t="shared" ref="O273" si="30">J273&amp;", "&amp;K273&amp;", "&amp;L273</f>
        <v xml:space="preserve">Nguyễn Văn Hải, , </v>
      </c>
    </row>
    <row r="274" spans="1:15">
      <c r="A274" s="28" t="str">
        <f>"3."&amp;D274&amp;"."&amp;B274</f>
        <v>3.N.HCM.CGIO.KSMN.701</v>
      </c>
      <c r="B274" s="28" t="str">
        <f>TEXT(COUNTIFS($C$3:C274,C274,$D$3:D274,D274,$F$3:F274,F274)+IF(F274="KT",100,IF(F274="KC",200,IF(F274="DI",300,IF(F274="DN",400,IF(F274="NU",500,IF(F274="DH",600,IF(F274="PC",700,0))))))),"000")</f>
        <v>701</v>
      </c>
      <c r="C274" s="28" t="s">
        <v>10</v>
      </c>
      <c r="D274" s="100" t="s">
        <v>287</v>
      </c>
      <c r="E274" s="28" t="s">
        <v>288</v>
      </c>
      <c r="F274" s="87" t="s">
        <v>159</v>
      </c>
      <c r="G274" s="6" t="s">
        <v>23</v>
      </c>
      <c r="H274" s="6" t="s">
        <v>116</v>
      </c>
      <c r="I274" s="82" t="s">
        <v>63</v>
      </c>
      <c r="J274" s="20" t="s">
        <v>165</v>
      </c>
      <c r="K274" s="20"/>
      <c r="L274" s="20"/>
      <c r="M274" s="96">
        <v>46174</v>
      </c>
      <c r="N274" s="96">
        <v>46232</v>
      </c>
      <c r="O274" s="223" t="str">
        <f t="shared" si="17"/>
        <v xml:space="preserve">Nguyễn Văn Hải, , </v>
      </c>
    </row>
    <row r="275" spans="1:15">
      <c r="A275" s="28" t="str">
        <f>"3."&amp;D275&amp;"."&amp;B275</f>
        <v>3.N.HCM.CGIO.KSMN.103</v>
      </c>
      <c r="B275" s="28" t="str">
        <f>TEXT(COUNTIFS($C$3:C275,C275,$D$3:D275,D275,$F$3:F275,F275)+IF(F275="KT",100,IF(F275="KC",200,IF(F275="DI",300,IF(F275="DN",400,IF(F275="NU",500,IF(F275="DH",600,IF(F275="PC",700,0))))))),"000")</f>
        <v>103</v>
      </c>
      <c r="C275" s="28" t="s">
        <v>10</v>
      </c>
      <c r="D275" s="100" t="s">
        <v>287</v>
      </c>
      <c r="E275" s="28" t="s">
        <v>290</v>
      </c>
      <c r="F275" s="88" t="s">
        <v>123</v>
      </c>
      <c r="G275" s="6" t="s">
        <v>23</v>
      </c>
      <c r="H275" s="20" t="s">
        <v>116</v>
      </c>
      <c r="I275" s="82" t="s">
        <v>63</v>
      </c>
      <c r="J275" s="28" t="s">
        <v>32</v>
      </c>
      <c r="K275" s="28" t="s">
        <v>35</v>
      </c>
      <c r="L275" s="28" t="s">
        <v>155</v>
      </c>
      <c r="M275" s="96">
        <v>46053</v>
      </c>
      <c r="N275" s="96">
        <v>46202</v>
      </c>
      <c r="O275" s="223" t="str">
        <f t="shared" si="17"/>
        <v>Nguyễn Hải Nam, Đặng Minh Quang, Vũ Thị Thêu</v>
      </c>
    </row>
    <row r="276" spans="1:15">
      <c r="A276" s="28" t="str">
        <f>"3."&amp;D276&amp;"."&amp;B276</f>
        <v>3.N.HCM.CGIO.KSMN.104</v>
      </c>
      <c r="B276" s="28" t="str">
        <f>TEXT(COUNTIFS($C$3:C276,C276,$D$3:D276,D276,$F$3:F276,F276)+IF(F276="KT",100,IF(F276="KC",200,IF(F276="DI",300,IF(F276="DN",400,IF(F276="NU",500,IF(F276="DH",600,IF(F276="PC",700,0))))))),"000")</f>
        <v>104</v>
      </c>
      <c r="C276" s="28" t="s">
        <v>10</v>
      </c>
      <c r="D276" s="100" t="s">
        <v>287</v>
      </c>
      <c r="E276" s="28" t="s">
        <v>290</v>
      </c>
      <c r="F276" s="88" t="s">
        <v>123</v>
      </c>
      <c r="G276" s="6" t="s">
        <v>128</v>
      </c>
      <c r="H276" s="6" t="s">
        <v>116</v>
      </c>
      <c r="I276" s="82" t="s">
        <v>63</v>
      </c>
      <c r="J276" s="28" t="s">
        <v>32</v>
      </c>
      <c r="K276" s="28" t="s">
        <v>35</v>
      </c>
      <c r="L276" s="28" t="s">
        <v>155</v>
      </c>
      <c r="M276" s="96">
        <v>46086</v>
      </c>
      <c r="N276" s="96">
        <v>46146</v>
      </c>
      <c r="O276" s="223" t="str">
        <f t="shared" si="17"/>
        <v>Nguyễn Hải Nam, Đặng Minh Quang, Vũ Thị Thêu</v>
      </c>
    </row>
    <row r="277" spans="1:15">
      <c r="A277" s="28" t="str">
        <f>"3."&amp;D277&amp;"."&amp;B277</f>
        <v>3.N.HCM.CGIO.KSMN.202</v>
      </c>
      <c r="B277" s="28" t="str">
        <f>TEXT(COUNTIFS($C$3:C277,C277,$D$3:D277,D277,$F$3:F277,F277)+IF(F277="KT",100,IF(F277="KC",200,IF(F277="DI",300,IF(F277="DN",400,IF(F277="NU",500,IF(F277="DH",600,IF(F277="PC",700,0))))))),"000")</f>
        <v>202</v>
      </c>
      <c r="C277" s="28" t="s">
        <v>10</v>
      </c>
      <c r="D277" s="100" t="s">
        <v>287</v>
      </c>
      <c r="E277" s="28" t="s">
        <v>290</v>
      </c>
      <c r="F277" s="88" t="s">
        <v>132</v>
      </c>
      <c r="G277" s="6" t="s">
        <v>23</v>
      </c>
      <c r="H277" s="20" t="s">
        <v>116</v>
      </c>
      <c r="I277" s="82" t="s">
        <v>63</v>
      </c>
      <c r="J277" s="28" t="s">
        <v>32</v>
      </c>
      <c r="K277" s="28" t="s">
        <v>35</v>
      </c>
      <c r="L277" s="28" t="s">
        <v>155</v>
      </c>
      <c r="M277" s="96">
        <v>46063</v>
      </c>
      <c r="N277" s="96">
        <v>46202</v>
      </c>
      <c r="O277" s="223" t="str">
        <f t="shared" si="17"/>
        <v>Nguyễn Hải Nam, Đặng Minh Quang, Vũ Thị Thêu</v>
      </c>
    </row>
    <row r="278" spans="1:15">
      <c r="A278" s="28" t="str">
        <f>"3."&amp;D278&amp;"."&amp;B278</f>
        <v>3.N.HCM.CGIO.KSMN.302</v>
      </c>
      <c r="B278" s="28" t="str">
        <f>TEXT(COUNTIFS($C$3:C278,C278,$D$3:D278,D278,$F$3:F278,F278)+IF(F278="KT",100,IF(F278="KC",200,IF(F278="DI",300,IF(F278="DN",400,IF(F278="NU",500,IF(F278="DH",600,IF(F278="PC",700,0))))))),"000")</f>
        <v>302</v>
      </c>
      <c r="C278" s="28" t="s">
        <v>10</v>
      </c>
      <c r="D278" s="100" t="s">
        <v>287</v>
      </c>
      <c r="E278" s="28" t="s">
        <v>290</v>
      </c>
      <c r="F278" s="87" t="s">
        <v>140</v>
      </c>
      <c r="G278" s="6" t="s">
        <v>23</v>
      </c>
      <c r="H278" s="6" t="s">
        <v>116</v>
      </c>
      <c r="I278" s="82" t="s">
        <v>63</v>
      </c>
      <c r="J278" s="20" t="s">
        <v>175</v>
      </c>
      <c r="K278" s="20"/>
      <c r="L278" s="20"/>
      <c r="M278" s="96">
        <v>46106</v>
      </c>
      <c r="N278" s="96">
        <v>46202</v>
      </c>
      <c r="O278" s="223" t="str">
        <f t="shared" ref="O278:O279" si="31">J278&amp;", "&amp;K278&amp;", "&amp;L278</f>
        <v xml:space="preserve">Đặng Thái Sơn, , </v>
      </c>
    </row>
    <row r="279" spans="1:15">
      <c r="A279" s="28" t="str">
        <f>"3."&amp;D279&amp;"."&amp;B279</f>
        <v>3.N.HCM.CGIO.KSMN.402</v>
      </c>
      <c r="B279" s="28" t="str">
        <f>TEXT(COUNTIFS($C$3:C279,C279,$D$3:D279,D279,$F$3:F279,F279)+IF(F279="KT",100,IF(F279="KC",200,IF(F279="DI",300,IF(F279="DN",400,IF(F279="NU",500,IF(F279="DH",600,IF(F279="PC",700,0))))))),"000")</f>
        <v>402</v>
      </c>
      <c r="C279" s="28" t="s">
        <v>10</v>
      </c>
      <c r="D279" s="100" t="s">
        <v>287</v>
      </c>
      <c r="E279" s="28" t="s">
        <v>290</v>
      </c>
      <c r="F279" s="87" t="s">
        <v>148</v>
      </c>
      <c r="G279" s="6" t="s">
        <v>23</v>
      </c>
      <c r="H279" s="6" t="s">
        <v>116</v>
      </c>
      <c r="I279" s="82" t="s">
        <v>63</v>
      </c>
      <c r="J279" s="20" t="s">
        <v>175</v>
      </c>
      <c r="K279" s="20"/>
      <c r="L279" s="20"/>
      <c r="M279" s="96">
        <v>46106</v>
      </c>
      <c r="N279" s="96">
        <v>46202</v>
      </c>
      <c r="O279" s="223" t="str">
        <f t="shared" si="31"/>
        <v xml:space="preserve">Đặng Thái Sơn, , </v>
      </c>
    </row>
    <row r="280" spans="1:15">
      <c r="A280" s="28" t="str">
        <f>"3."&amp;D280&amp;"."&amp;B280</f>
        <v>3.N.HCM.CGIO.KSMN.502</v>
      </c>
      <c r="B280" s="28" t="str">
        <f>TEXT(COUNTIFS($C$3:C280,C280,$D$3:D280,D280,$F$3:F280,F280)+IF(F280="KT",100,IF(F280="KC",200,IF(F280="DI",300,IF(F280="DN",400,IF(F280="NU",500,IF(F280="DH",600,IF(F280="PC",700,0))))))),"000")</f>
        <v>502</v>
      </c>
      <c r="C280" s="28" t="s">
        <v>10</v>
      </c>
      <c r="D280" s="100" t="s">
        <v>287</v>
      </c>
      <c r="E280" s="28" t="s">
        <v>290</v>
      </c>
      <c r="F280" s="87" t="s">
        <v>154</v>
      </c>
      <c r="G280" s="6" t="s">
        <v>23</v>
      </c>
      <c r="H280" s="6" t="s">
        <v>116</v>
      </c>
      <c r="I280" s="82" t="s">
        <v>63</v>
      </c>
      <c r="J280" s="20" t="s">
        <v>175</v>
      </c>
      <c r="K280" s="20"/>
      <c r="L280" s="20"/>
      <c r="M280" s="96">
        <v>46106</v>
      </c>
      <c r="N280" s="96">
        <v>46202</v>
      </c>
      <c r="O280" s="223" t="str">
        <f t="shared" si="17"/>
        <v xml:space="preserve">Đặng Thái Sơn, , </v>
      </c>
    </row>
    <row r="281" spans="1:15">
      <c r="A281" s="28" t="str">
        <f>"3."&amp;D281&amp;"."&amp;B281</f>
        <v>3.N.HCM.CGIO.KSMN.602</v>
      </c>
      <c r="B281" s="28" t="str">
        <f>TEXT(COUNTIFS($C$3:C281,C281,$D$3:D281,D281,$F$3:F281,F281)+IF(F281="KT",100,IF(F281="KC",200,IF(F281="DI",300,IF(F281="DN",400,IF(F281="NU",500,IF(F281="DH",600,IF(F281="PC",700,0))))))),"000")</f>
        <v>602</v>
      </c>
      <c r="C281" s="28" t="s">
        <v>10</v>
      </c>
      <c r="D281" s="100" t="s">
        <v>287</v>
      </c>
      <c r="E281" s="28" t="s">
        <v>290</v>
      </c>
      <c r="F281" s="87" t="s">
        <v>164</v>
      </c>
      <c r="G281" s="6" t="s">
        <v>23</v>
      </c>
      <c r="H281" s="6" t="s">
        <v>116</v>
      </c>
      <c r="I281" s="82" t="s">
        <v>63</v>
      </c>
      <c r="J281" s="20" t="s">
        <v>175</v>
      </c>
      <c r="K281" s="20"/>
      <c r="L281" s="20"/>
      <c r="M281" s="96">
        <v>46106</v>
      </c>
      <c r="N281" s="96">
        <v>46202</v>
      </c>
      <c r="O281" s="223" t="str">
        <f t="shared" ref="O281" si="32">J281&amp;", "&amp;K281&amp;", "&amp;L281</f>
        <v xml:space="preserve">Đặng Thái Sơn, , </v>
      </c>
    </row>
    <row r="282" spans="1:15">
      <c r="A282" s="28" t="str">
        <f>"3."&amp;D282&amp;"."&amp;B282</f>
        <v>3.N.HCM.CGIO.KSMN.702</v>
      </c>
      <c r="B282" s="28" t="str">
        <f>TEXT(COUNTIFS($C$3:C282,C282,$D$3:D282,D282,$F$3:F282,F282)+IF(F282="KT",100,IF(F282="KC",200,IF(F282="DI",300,IF(F282="DN",400,IF(F282="NU",500,IF(F282="DH",600,IF(F282="PC",700,0))))))),"000")</f>
        <v>702</v>
      </c>
      <c r="C282" s="28" t="s">
        <v>10</v>
      </c>
      <c r="D282" s="100" t="s">
        <v>287</v>
      </c>
      <c r="E282" s="28" t="s">
        <v>290</v>
      </c>
      <c r="F282" s="87" t="s">
        <v>159</v>
      </c>
      <c r="G282" s="6" t="s">
        <v>23</v>
      </c>
      <c r="H282" s="6" t="s">
        <v>116</v>
      </c>
      <c r="I282" s="82" t="s">
        <v>63</v>
      </c>
      <c r="J282" s="20" t="s">
        <v>175</v>
      </c>
      <c r="K282" s="20"/>
      <c r="L282" s="20"/>
      <c r="M282" s="96">
        <v>46106</v>
      </c>
      <c r="N282" s="96">
        <v>46202</v>
      </c>
      <c r="O282" s="223" t="str">
        <f t="shared" si="17"/>
        <v xml:space="preserve">Đặng Thái Sơn, , </v>
      </c>
    </row>
    <row r="283" spans="1:15">
      <c r="A283" s="28" t="str">
        <f>"3."&amp;D283&amp;"."&amp;B283</f>
        <v>3.N.HCM.CGIO.KSMN.105</v>
      </c>
      <c r="B283" s="28" t="str">
        <f>TEXT(COUNTIFS($C$3:C283,C283,$D$3:D283,D283,$F$3:F283,F283)+IF(F283="KT",100,IF(F283="KC",200,IF(F283="DI",300,IF(F283="DN",400,IF(F283="NU",500,IF(F283="DH",600,IF(F283="PC",700,0))))))),"000")</f>
        <v>105</v>
      </c>
      <c r="C283" s="28" t="s">
        <v>10</v>
      </c>
      <c r="D283" s="100" t="s">
        <v>287</v>
      </c>
      <c r="E283" s="28" t="s">
        <v>292</v>
      </c>
      <c r="F283" s="88" t="s">
        <v>123</v>
      </c>
      <c r="G283" s="6" t="s">
        <v>23</v>
      </c>
      <c r="H283" s="20" t="s">
        <v>116</v>
      </c>
      <c r="I283" s="82" t="s">
        <v>63</v>
      </c>
      <c r="J283" s="28" t="s">
        <v>33</v>
      </c>
      <c r="K283" s="28" t="s">
        <v>36</v>
      </c>
      <c r="L283" s="28" t="s">
        <v>32</v>
      </c>
      <c r="M283" s="96">
        <v>46053</v>
      </c>
      <c r="N283" s="96">
        <v>46196</v>
      </c>
      <c r="O283" s="223" t="str">
        <f t="shared" si="17"/>
        <v>Đỗ Minh Ngọc, Trần Văn Toản, Nguyễn Hải Nam</v>
      </c>
    </row>
    <row r="284" spans="1:15">
      <c r="A284" s="28" t="str">
        <f>"3."&amp;D284&amp;"."&amp;B284</f>
        <v>3.N.HCM.CGIO.KSMN.106</v>
      </c>
      <c r="B284" s="28" t="str">
        <f>TEXT(COUNTIFS($C$3:C284,C284,$D$3:D284,D284,$F$3:F284,F284)+IF(F284="KT",100,IF(F284="KC",200,IF(F284="DI",300,IF(F284="DN",400,IF(F284="NU",500,IF(F284="DH",600,IF(F284="PC",700,0))))))),"000")</f>
        <v>106</v>
      </c>
      <c r="C284" s="28" t="s">
        <v>10</v>
      </c>
      <c r="D284" s="100" t="s">
        <v>287</v>
      </c>
      <c r="E284" s="28" t="s">
        <v>292</v>
      </c>
      <c r="F284" s="88" t="s">
        <v>123</v>
      </c>
      <c r="G284" s="6" t="s">
        <v>128</v>
      </c>
      <c r="H284" s="6" t="s">
        <v>116</v>
      </c>
      <c r="I284" s="82" t="s">
        <v>63</v>
      </c>
      <c r="J284" s="28" t="s">
        <v>33</v>
      </c>
      <c r="K284" s="28" t="s">
        <v>36</v>
      </c>
      <c r="L284" s="28" t="s">
        <v>32</v>
      </c>
      <c r="M284" s="96">
        <v>46079</v>
      </c>
      <c r="N284" s="96">
        <v>46120</v>
      </c>
      <c r="O284" s="223" t="str">
        <f t="shared" si="17"/>
        <v>Đỗ Minh Ngọc, Trần Văn Toản, Nguyễn Hải Nam</v>
      </c>
    </row>
    <row r="285" spans="1:15">
      <c r="A285" s="28" t="str">
        <f>"3."&amp;D285&amp;"."&amp;B285</f>
        <v>3.N.HCM.CGIO.KSMN.203</v>
      </c>
      <c r="B285" s="28" t="str">
        <f>TEXT(COUNTIFS($C$3:C285,C285,$D$3:D285,D285,$F$3:F285,F285)+IF(F285="KT",100,IF(F285="KC",200,IF(F285="DI",300,IF(F285="DN",400,IF(F285="NU",500,IF(F285="DH",600,IF(F285="PC",700,0))))))),"000")</f>
        <v>203</v>
      </c>
      <c r="C285" s="28" t="s">
        <v>10</v>
      </c>
      <c r="D285" s="100" t="s">
        <v>287</v>
      </c>
      <c r="E285" s="28" t="s">
        <v>292</v>
      </c>
      <c r="F285" s="88" t="s">
        <v>132</v>
      </c>
      <c r="G285" s="6" t="s">
        <v>23</v>
      </c>
      <c r="H285" s="20" t="s">
        <v>116</v>
      </c>
      <c r="I285" s="82" t="s">
        <v>63</v>
      </c>
      <c r="J285" s="28" t="s">
        <v>33</v>
      </c>
      <c r="K285" s="28" t="s">
        <v>36</v>
      </c>
      <c r="L285" s="28" t="s">
        <v>32</v>
      </c>
      <c r="M285" s="96">
        <v>46063</v>
      </c>
      <c r="N285" s="96">
        <v>46202</v>
      </c>
      <c r="O285" s="223" t="str">
        <f t="shared" si="17"/>
        <v>Đỗ Minh Ngọc, Trần Văn Toản, Nguyễn Hải Nam</v>
      </c>
    </row>
    <row r="286" spans="1:15">
      <c r="A286" s="28" t="str">
        <f>"3."&amp;D286&amp;"."&amp;B286</f>
        <v>3.N.HCM.CGIO.KSMN.303</v>
      </c>
      <c r="B286" s="28" t="str">
        <f>TEXT(COUNTIFS($C$3:C286,C286,$D$3:D286,D286,$F$3:F286,F286)+IF(F286="KT",100,IF(F286="KC",200,IF(F286="DI",300,IF(F286="DN",400,IF(F286="NU",500,IF(F286="DH",600,IF(F286="PC",700,0))))))),"000")</f>
        <v>303</v>
      </c>
      <c r="C286" s="28" t="s">
        <v>10</v>
      </c>
      <c r="D286" s="100" t="s">
        <v>287</v>
      </c>
      <c r="E286" s="28" t="s">
        <v>292</v>
      </c>
      <c r="F286" s="87" t="s">
        <v>140</v>
      </c>
      <c r="G286" s="6" t="s">
        <v>23</v>
      </c>
      <c r="H286" s="6" t="s">
        <v>116</v>
      </c>
      <c r="I286" s="82" t="s">
        <v>63</v>
      </c>
      <c r="J286" s="20" t="s">
        <v>180</v>
      </c>
      <c r="K286" s="20"/>
      <c r="L286" s="20"/>
      <c r="M286" s="96">
        <v>46083</v>
      </c>
      <c r="N286" s="96">
        <v>46232</v>
      </c>
      <c r="O286" s="223" t="str">
        <f t="shared" si="17"/>
        <v xml:space="preserve">Phan Trường Giang, , </v>
      </c>
    </row>
    <row r="287" spans="1:15">
      <c r="A287" s="28" t="str">
        <f>"3."&amp;D287&amp;"."&amp;B287</f>
        <v>3.N.HCM.CGIO.KSMN.403</v>
      </c>
      <c r="B287" s="28" t="str">
        <f>TEXT(COUNTIFS($C$3:C287,C287,$D$3:D287,D287,$F$3:F287,F287)+IF(F287="KT",100,IF(F287="KC",200,IF(F287="DI",300,IF(F287="DN",400,IF(F287="NU",500,IF(F287="DH",600,IF(F287="PC",700,0))))))),"000")</f>
        <v>403</v>
      </c>
      <c r="C287" s="28" t="s">
        <v>10</v>
      </c>
      <c r="D287" s="100" t="s">
        <v>287</v>
      </c>
      <c r="E287" s="28" t="s">
        <v>292</v>
      </c>
      <c r="F287" s="87" t="s">
        <v>148</v>
      </c>
      <c r="G287" s="6" t="s">
        <v>23</v>
      </c>
      <c r="H287" s="6" t="s">
        <v>116</v>
      </c>
      <c r="I287" s="82" t="s">
        <v>63</v>
      </c>
      <c r="J287" s="20" t="s">
        <v>180</v>
      </c>
      <c r="K287" s="20"/>
      <c r="L287" s="20"/>
      <c r="M287" s="96">
        <v>46083</v>
      </c>
      <c r="N287" s="96">
        <v>46232</v>
      </c>
      <c r="O287" s="223" t="str">
        <f t="shared" si="17"/>
        <v xml:space="preserve">Phan Trường Giang, , </v>
      </c>
    </row>
    <row r="288" spans="1:15">
      <c r="A288" s="28" t="str">
        <f>"3."&amp;D288&amp;"."&amp;B288</f>
        <v>3.N.HCM.CGIO.KSMN.503</v>
      </c>
      <c r="B288" s="28" t="str">
        <f>TEXT(COUNTIFS($C$3:C288,C288,$D$3:D288,D288,$F$3:F288,F288)+IF(F288="KT",100,IF(F288="KC",200,IF(F288="DI",300,IF(F288="DN",400,IF(F288="NU",500,IF(F288="DH",600,IF(F288="PC",700,0))))))),"000")</f>
        <v>503</v>
      </c>
      <c r="C288" s="28" t="s">
        <v>10</v>
      </c>
      <c r="D288" s="100" t="s">
        <v>287</v>
      </c>
      <c r="E288" s="28" t="s">
        <v>292</v>
      </c>
      <c r="F288" s="87" t="s">
        <v>154</v>
      </c>
      <c r="G288" s="6" t="s">
        <v>23</v>
      </c>
      <c r="H288" s="6" t="s">
        <v>116</v>
      </c>
      <c r="I288" s="82" t="s">
        <v>63</v>
      </c>
      <c r="J288" s="20" t="s">
        <v>180</v>
      </c>
      <c r="K288" s="20"/>
      <c r="L288" s="20"/>
      <c r="M288" s="96">
        <v>46083</v>
      </c>
      <c r="N288" s="96">
        <v>46232</v>
      </c>
      <c r="O288" s="223" t="str">
        <f t="shared" ref="O288" si="33">J288&amp;", "&amp;K288&amp;", "&amp;L288</f>
        <v xml:space="preserve">Phan Trường Giang, , </v>
      </c>
    </row>
    <row r="289" spans="1:15">
      <c r="A289" s="28" t="str">
        <f>"3."&amp;D289&amp;"."&amp;B289</f>
        <v>3.N.HCM.CGIO.KSMN.603</v>
      </c>
      <c r="B289" s="28" t="str">
        <f>TEXT(COUNTIFS($C$3:C289,C289,$D$3:D289,D289,$F$3:F289,F289)+IF(F289="KT",100,IF(F289="KC",200,IF(F289="DI",300,IF(F289="DN",400,IF(F289="NU",500,IF(F289="DH",600,IF(F289="PC",700,0))))))),"000")</f>
        <v>603</v>
      </c>
      <c r="C289" s="28" t="s">
        <v>10</v>
      </c>
      <c r="D289" s="100" t="s">
        <v>287</v>
      </c>
      <c r="E289" s="28" t="s">
        <v>292</v>
      </c>
      <c r="F289" s="87" t="s">
        <v>164</v>
      </c>
      <c r="G289" s="6" t="s">
        <v>23</v>
      </c>
      <c r="H289" s="6" t="s">
        <v>116</v>
      </c>
      <c r="I289" s="82" t="s">
        <v>63</v>
      </c>
      <c r="J289" s="20" t="s">
        <v>180</v>
      </c>
      <c r="K289" s="20"/>
      <c r="L289" s="20"/>
      <c r="M289" s="96">
        <v>46083</v>
      </c>
      <c r="N289" s="96">
        <v>46232</v>
      </c>
      <c r="O289" s="223" t="str">
        <f t="shared" ref="O289" si="34">J289&amp;", "&amp;K289&amp;", "&amp;L289</f>
        <v xml:space="preserve">Phan Trường Giang, , </v>
      </c>
    </row>
    <row r="290" spans="1:15">
      <c r="A290" s="28" t="str">
        <f>"3."&amp;D290&amp;"."&amp;B290</f>
        <v>3.N.HCM.CGIO.KSMN.703</v>
      </c>
      <c r="B290" s="28" t="str">
        <f>TEXT(COUNTIFS($C$3:C290,C290,$D$3:D290,D290,$F$3:F290,F290)+IF(F290="KT",100,IF(F290="KC",200,IF(F290="DI",300,IF(F290="DN",400,IF(F290="NU",500,IF(F290="DH",600,IF(F290="PC",700,0))))))),"000")</f>
        <v>703</v>
      </c>
      <c r="C290" s="28" t="s">
        <v>10</v>
      </c>
      <c r="D290" s="100" t="s">
        <v>287</v>
      </c>
      <c r="E290" s="28" t="s">
        <v>292</v>
      </c>
      <c r="F290" s="87" t="s">
        <v>159</v>
      </c>
      <c r="G290" s="6" t="s">
        <v>23</v>
      </c>
      <c r="H290" s="6" t="s">
        <v>116</v>
      </c>
      <c r="I290" s="82" t="s">
        <v>63</v>
      </c>
      <c r="J290" s="20" t="s">
        <v>180</v>
      </c>
      <c r="K290" s="20"/>
      <c r="L290" s="20"/>
      <c r="M290" s="96">
        <v>46083</v>
      </c>
      <c r="N290" s="96">
        <v>46232</v>
      </c>
      <c r="O290" s="223" t="str">
        <f t="shared" si="17"/>
        <v xml:space="preserve">Phan Trường Giang, , </v>
      </c>
    </row>
    <row r="291" spans="1:15">
      <c r="A291" s="28" t="str">
        <f>"3."&amp;D291&amp;"."&amp;B291</f>
        <v>3.N.HCM.CGIO.NTD.101</v>
      </c>
      <c r="B291" s="28" t="str">
        <f>TEXT(COUNTIFS($C$3:C291,C291,$D$3:D291,D291,$F$3:F291,F291)+IF(F291="KT",100,IF(F291="KC",200,IF(F291="DI",300,IF(F291="DN",400,IF(F291="NU",500,IF(F291="DH",600,IF(F291="PC",700,0))))))),"000")</f>
        <v>101</v>
      </c>
      <c r="C291" s="28" t="s">
        <v>10</v>
      </c>
      <c r="D291" s="100" t="s">
        <v>297</v>
      </c>
      <c r="E291" s="28" t="s">
        <v>298</v>
      </c>
      <c r="F291" s="88" t="s">
        <v>123</v>
      </c>
      <c r="G291" s="6" t="s">
        <v>23</v>
      </c>
      <c r="H291" s="20" t="s">
        <v>116</v>
      </c>
      <c r="I291" s="82" t="s">
        <v>63</v>
      </c>
      <c r="J291" s="28" t="s">
        <v>33</v>
      </c>
      <c r="K291" s="28"/>
      <c r="L291" s="28"/>
      <c r="M291" s="96">
        <v>46012</v>
      </c>
      <c r="N291" s="96">
        <v>46181</v>
      </c>
      <c r="O291" s="223" t="str">
        <f t="shared" si="17"/>
        <v xml:space="preserve">Đỗ Minh Ngọc, , </v>
      </c>
    </row>
    <row r="292" spans="1:15">
      <c r="A292" s="28" t="str">
        <f>"3."&amp;D292&amp;"."&amp;B292</f>
        <v>3.N.HCM.CGIO.NTD.102</v>
      </c>
      <c r="B292" s="28" t="str">
        <f>TEXT(COUNTIFS($C$3:C292,C292,$D$3:D292,D292,$F$3:F292,F292)+IF(F292="KT",100,IF(F292="KC",200,IF(F292="DI",300,IF(F292="DN",400,IF(F292="NU",500,IF(F292="DH",600,IF(F292="PC",700,0))))))),"000")</f>
        <v>102</v>
      </c>
      <c r="C292" s="28" t="s">
        <v>10</v>
      </c>
      <c r="D292" s="100" t="s">
        <v>297</v>
      </c>
      <c r="E292" s="28" t="s">
        <v>298</v>
      </c>
      <c r="F292" s="88" t="s">
        <v>123</v>
      </c>
      <c r="G292" s="6" t="s">
        <v>28</v>
      </c>
      <c r="H292" s="20" t="s">
        <v>116</v>
      </c>
      <c r="I292" s="82" t="s">
        <v>63</v>
      </c>
      <c r="J292" s="28" t="s">
        <v>31</v>
      </c>
      <c r="K292" s="28"/>
      <c r="L292" s="28"/>
      <c r="M292" s="96">
        <v>46155</v>
      </c>
      <c r="N292" s="96">
        <v>46156</v>
      </c>
      <c r="O292" s="223" t="str">
        <f t="shared" si="17"/>
        <v xml:space="preserve">Lý Huy Thành, , </v>
      </c>
    </row>
    <row r="293" spans="1:15">
      <c r="A293" s="28" t="str">
        <f>"3."&amp;D293&amp;"."&amp;B293</f>
        <v>3.N.HCM.CGIO.NTD.201</v>
      </c>
      <c r="B293" s="28" t="str">
        <f>TEXT(COUNTIFS($C$3:C293,C293,$D$3:D293,D293,$F$3:F293,F293)+IF(F293="KT",100,IF(F293="KC",200,IF(F293="DI",300,IF(F293="DN",400,IF(F293="NU",500,IF(F293="DH",600,IF(F293="PC",700,0))))))),"000")</f>
        <v>201</v>
      </c>
      <c r="C293" s="28" t="s">
        <v>10</v>
      </c>
      <c r="D293" s="100" t="s">
        <v>297</v>
      </c>
      <c r="E293" s="28" t="s">
        <v>298</v>
      </c>
      <c r="F293" s="88" t="s">
        <v>132</v>
      </c>
      <c r="G293" s="6" t="s">
        <v>23</v>
      </c>
      <c r="H293" s="20" t="s">
        <v>116</v>
      </c>
      <c r="I293" s="82" t="s">
        <v>63</v>
      </c>
      <c r="J293" s="28" t="s">
        <v>33</v>
      </c>
      <c r="K293" s="28"/>
      <c r="L293" s="28"/>
      <c r="M293" s="96">
        <v>46018</v>
      </c>
      <c r="N293" s="96">
        <v>46181</v>
      </c>
      <c r="O293" s="223" t="str">
        <f t="shared" si="17"/>
        <v xml:space="preserve">Đỗ Minh Ngọc, , </v>
      </c>
    </row>
    <row r="294" spans="1:15">
      <c r="A294" s="28" t="str">
        <f>"3."&amp;D294&amp;"."&amp;B294</f>
        <v>3.N.HCM.CGIO.NTD.202</v>
      </c>
      <c r="B294" s="28" t="str">
        <f>TEXT(COUNTIFS($C$3:C294,C294,$D$3:D294,D294,$F$3:F294,F294)+IF(F294="KT",100,IF(F294="KC",200,IF(F294="DI",300,IF(F294="DN",400,IF(F294="NU",500,IF(F294="DH",600,IF(F294="PC",700,0))))))),"000")</f>
        <v>202</v>
      </c>
      <c r="C294" s="28" t="s">
        <v>10</v>
      </c>
      <c r="D294" s="100" t="s">
        <v>297</v>
      </c>
      <c r="E294" s="28" t="s">
        <v>298</v>
      </c>
      <c r="F294" s="88" t="s">
        <v>132</v>
      </c>
      <c r="G294" s="6" t="s">
        <v>28</v>
      </c>
      <c r="H294" s="20" t="s">
        <v>116</v>
      </c>
      <c r="I294" s="82" t="s">
        <v>63</v>
      </c>
      <c r="J294" s="28" t="s">
        <v>32</v>
      </c>
      <c r="K294" s="28"/>
      <c r="L294" s="28"/>
      <c r="M294" s="96">
        <v>46155</v>
      </c>
      <c r="N294" s="96">
        <v>46156</v>
      </c>
      <c r="O294" s="223" t="str">
        <f t="shared" si="17"/>
        <v xml:space="preserve">Nguyễn Hải Nam, , </v>
      </c>
    </row>
    <row r="295" spans="1:15">
      <c r="A295" s="28" t="str">
        <f>"3."&amp;D295&amp;"."&amp;B295</f>
        <v>3.N.HCM.CGIO.NTD.301</v>
      </c>
      <c r="B295" s="28" t="str">
        <f>TEXT(COUNTIFS($C$3:C295,C295,$D$3:D295,D295,$F$3:F295,F295)+IF(F295="KT",100,IF(F295="KC",200,IF(F295="DI",300,IF(F295="DN",400,IF(F295="NU",500,IF(F295="DH",600,IF(F295="PC",700,0))))))),"000")</f>
        <v>301</v>
      </c>
      <c r="C295" s="28" t="s">
        <v>10</v>
      </c>
      <c r="D295" s="100" t="s">
        <v>297</v>
      </c>
      <c r="E295" s="28" t="s">
        <v>298</v>
      </c>
      <c r="F295" s="87" t="s">
        <v>140</v>
      </c>
      <c r="G295" s="6" t="s">
        <v>23</v>
      </c>
      <c r="H295" s="6" t="s">
        <v>116</v>
      </c>
      <c r="I295" s="82" t="s">
        <v>63</v>
      </c>
      <c r="J295" s="20" t="s">
        <v>180</v>
      </c>
      <c r="K295" s="20"/>
      <c r="L295" s="20"/>
      <c r="M295" s="96">
        <v>46031</v>
      </c>
      <c r="N295" s="96">
        <v>46164</v>
      </c>
      <c r="O295" s="223" t="str">
        <f t="shared" si="17"/>
        <v xml:space="preserve">Phan Trường Giang, , </v>
      </c>
    </row>
    <row r="296" spans="1:15">
      <c r="A296" s="28" t="str">
        <f>"3."&amp;D296&amp;"."&amp;B296</f>
        <v>3.N.HCM.CGIO.NTD.401</v>
      </c>
      <c r="B296" s="28" t="str">
        <f>TEXT(COUNTIFS($C$3:C296,C296,$D$3:D296,D296,$F$3:F296,F296)+IF(F296="KT",100,IF(F296="KC",200,IF(F296="DI",300,IF(F296="DN",400,IF(F296="NU",500,IF(F296="DH",600,IF(F296="PC",700,0))))))),"000")</f>
        <v>401</v>
      </c>
      <c r="C296" s="28" t="s">
        <v>10</v>
      </c>
      <c r="D296" s="100" t="s">
        <v>297</v>
      </c>
      <c r="E296" s="28" t="s">
        <v>298</v>
      </c>
      <c r="F296" s="87" t="s">
        <v>148</v>
      </c>
      <c r="G296" s="6" t="s">
        <v>23</v>
      </c>
      <c r="H296" s="6" t="s">
        <v>116</v>
      </c>
      <c r="I296" s="82" t="s">
        <v>63</v>
      </c>
      <c r="J296" s="20" t="s">
        <v>180</v>
      </c>
      <c r="K296" s="20"/>
      <c r="L296" s="20"/>
      <c r="M296" s="96">
        <v>46031</v>
      </c>
      <c r="N296" s="96">
        <v>46164</v>
      </c>
      <c r="O296" s="223" t="str">
        <f t="shared" si="17"/>
        <v xml:space="preserve">Phan Trường Giang, , </v>
      </c>
    </row>
    <row r="297" spans="1:15">
      <c r="A297" s="28" t="str">
        <f>"3."&amp;D297&amp;"."&amp;B297</f>
        <v>3.N.HCM.CGIO.NTD.501</v>
      </c>
      <c r="B297" s="28" t="str">
        <f>TEXT(COUNTIFS($C$3:C297,C297,$D$3:D297,D297,$F$3:F297,F297)+IF(F297="KT",100,IF(F297="KC",200,IF(F297="DI",300,IF(F297="DN",400,IF(F297="NU",500,IF(F297="DH",600,IF(F297="PC",700,0))))))),"000")</f>
        <v>501</v>
      </c>
      <c r="C297" s="28" t="s">
        <v>10</v>
      </c>
      <c r="D297" s="100" t="s">
        <v>297</v>
      </c>
      <c r="E297" s="28" t="s">
        <v>298</v>
      </c>
      <c r="F297" s="87" t="s">
        <v>154</v>
      </c>
      <c r="G297" s="6" t="s">
        <v>23</v>
      </c>
      <c r="H297" s="6" t="s">
        <v>116</v>
      </c>
      <c r="I297" s="82" t="s">
        <v>63</v>
      </c>
      <c r="J297" s="20" t="s">
        <v>180</v>
      </c>
      <c r="K297" s="20"/>
      <c r="L297" s="20"/>
      <c r="M297" s="96">
        <v>46031</v>
      </c>
      <c r="N297" s="96">
        <v>46164</v>
      </c>
      <c r="O297" s="223" t="str">
        <f t="shared" ref="O297" si="35">J297&amp;", "&amp;K297&amp;", "&amp;L297</f>
        <v xml:space="preserve">Phan Trường Giang, , </v>
      </c>
    </row>
    <row r="298" spans="1:15">
      <c r="A298" s="28" t="str">
        <f>"3."&amp;D298&amp;"."&amp;B298</f>
        <v>3.N.HCM.CGIO.NTD.601</v>
      </c>
      <c r="B298" s="28" t="str">
        <f>TEXT(COUNTIFS($C$3:C298,C298,$D$3:D298,D298,$F$3:F298,F298)+IF(F298="KT",100,IF(F298="KC",200,IF(F298="DI",300,IF(F298="DN",400,IF(F298="NU",500,IF(F298="DH",600,IF(F298="PC",700,0))))))),"000")</f>
        <v>601</v>
      </c>
      <c r="C298" s="28" t="s">
        <v>10</v>
      </c>
      <c r="D298" s="100" t="s">
        <v>297</v>
      </c>
      <c r="E298" s="28" t="s">
        <v>298</v>
      </c>
      <c r="F298" s="87" t="s">
        <v>164</v>
      </c>
      <c r="G298" s="6" t="s">
        <v>23</v>
      </c>
      <c r="H298" s="6" t="s">
        <v>116</v>
      </c>
      <c r="I298" s="82" t="s">
        <v>63</v>
      </c>
      <c r="J298" s="20" t="s">
        <v>180</v>
      </c>
      <c r="K298" s="20"/>
      <c r="L298" s="20"/>
      <c r="M298" s="96">
        <v>46031</v>
      </c>
      <c r="N298" s="96">
        <v>46164</v>
      </c>
      <c r="O298" s="223" t="str">
        <f t="shared" ref="O298" si="36">J298&amp;", "&amp;K298&amp;", "&amp;L298</f>
        <v xml:space="preserve">Phan Trường Giang, , </v>
      </c>
    </row>
    <row r="299" spans="1:15">
      <c r="A299" s="28" t="str">
        <f>"3."&amp;D299&amp;"."&amp;B299</f>
        <v>3.N.HCM.CGIO.NTD.701</v>
      </c>
      <c r="B299" s="28" t="str">
        <f>TEXT(COUNTIFS($C$3:C299,C299,$D$3:D299,D299,$F$3:F299,F299)+IF(F299="KT",100,IF(F299="KC",200,IF(F299="DI",300,IF(F299="DN",400,IF(F299="NU",500,IF(F299="DH",600,IF(F299="PC",700,0))))))),"000")</f>
        <v>701</v>
      </c>
      <c r="C299" s="28" t="s">
        <v>10</v>
      </c>
      <c r="D299" s="100" t="s">
        <v>297</v>
      </c>
      <c r="E299" s="28" t="s">
        <v>298</v>
      </c>
      <c r="F299" s="87" t="s">
        <v>159</v>
      </c>
      <c r="G299" s="6" t="s">
        <v>23</v>
      </c>
      <c r="H299" s="6" t="s">
        <v>116</v>
      </c>
      <c r="I299" s="82" t="s">
        <v>63</v>
      </c>
      <c r="J299" s="20" t="s">
        <v>180</v>
      </c>
      <c r="K299" s="20"/>
      <c r="L299" s="20"/>
      <c r="M299" s="96">
        <v>46031</v>
      </c>
      <c r="N299" s="96">
        <v>46164</v>
      </c>
      <c r="O299" s="223" t="str">
        <f t="shared" si="17"/>
        <v xml:space="preserve">Phan Trường Giang, , </v>
      </c>
    </row>
    <row r="300" spans="1:15">
      <c r="A300" s="28" t="str">
        <f>"3."&amp;D300&amp;"."&amp;B300</f>
        <v>3.N.HCM.CGIO.NH.101</v>
      </c>
      <c r="B300" s="28" t="str">
        <f>TEXT(COUNTIFS($C$3:C300,C300,$D$3:D300,D300,$F$3:F300,F300)+IF(F300="KT",100,IF(F300="KC",200,IF(F300="DI",300,IF(F300="DN",400,IF(F300="NU",500,IF(F300="DH",600,IF(F300="PC",700,0))))))),"000")</f>
        <v>101</v>
      </c>
      <c r="C300" s="28" t="s">
        <v>10</v>
      </c>
      <c r="D300" s="100" t="s">
        <v>294</v>
      </c>
      <c r="E300" s="28" t="s">
        <v>295</v>
      </c>
      <c r="F300" s="88" t="s">
        <v>123</v>
      </c>
      <c r="G300" s="6" t="s">
        <v>23</v>
      </c>
      <c r="H300" s="20" t="s">
        <v>116</v>
      </c>
      <c r="I300" s="82" t="s">
        <v>63</v>
      </c>
      <c r="J300" s="28" t="s">
        <v>34</v>
      </c>
      <c r="K300" s="28"/>
      <c r="L300" s="28"/>
      <c r="M300" s="96">
        <v>45908</v>
      </c>
      <c r="N300" s="96">
        <v>46204</v>
      </c>
      <c r="O300" s="223" t="str">
        <f t="shared" si="17"/>
        <v xml:space="preserve">Trần Văn Diện, , </v>
      </c>
    </row>
    <row r="301" spans="1:15">
      <c r="A301" s="28" t="str">
        <f>"3."&amp;D301&amp;"."&amp;B301</f>
        <v>3.N.HCM.CGIO.NH.201</v>
      </c>
      <c r="B301" s="28" t="str">
        <f>TEXT(COUNTIFS($C$3:C301,C301,$D$3:D301,D301,$F$3:F301,F301)+IF(F301="KT",100,IF(F301="KC",200,IF(F301="DI",300,IF(F301="DN",400,IF(F301="NU",500,IF(F301="DH",600,IF(F301="PC",700,0))))))),"000")</f>
        <v>201</v>
      </c>
      <c r="C301" s="28" t="s">
        <v>10</v>
      </c>
      <c r="D301" s="100" t="s">
        <v>294</v>
      </c>
      <c r="E301" s="28" t="s">
        <v>295</v>
      </c>
      <c r="F301" s="88" t="s">
        <v>132</v>
      </c>
      <c r="G301" s="6" t="s">
        <v>23</v>
      </c>
      <c r="H301" s="20" t="s">
        <v>116</v>
      </c>
      <c r="I301" s="82" t="s">
        <v>63</v>
      </c>
      <c r="J301" s="28" t="s">
        <v>34</v>
      </c>
      <c r="K301" s="28"/>
      <c r="L301" s="28"/>
      <c r="M301" s="96">
        <v>45908</v>
      </c>
      <c r="N301" s="96">
        <v>46204</v>
      </c>
      <c r="O301" s="223" t="str">
        <f t="shared" si="17"/>
        <v xml:space="preserve">Trần Văn Diện, , </v>
      </c>
    </row>
    <row r="302" spans="1:15">
      <c r="A302" s="28" t="str">
        <f>"3."&amp;D302&amp;"."&amp;B302</f>
        <v>3.N.HCM.CGIO.NH.301</v>
      </c>
      <c r="B302" s="28" t="str">
        <f>TEXT(COUNTIFS($C$3:C302,C302,$D$3:D302,D302,$F$3:F302,F302)+IF(F302="KT",100,IF(F302="KC",200,IF(F302="DI",300,IF(F302="DN",400,IF(F302="NU",500,IF(F302="DH",600,IF(F302="PC",700,0))))))),"000")</f>
        <v>301</v>
      </c>
      <c r="C302" s="28" t="s">
        <v>10</v>
      </c>
      <c r="D302" s="100" t="s">
        <v>294</v>
      </c>
      <c r="E302" s="28" t="s">
        <v>295</v>
      </c>
      <c r="F302" s="87" t="s">
        <v>140</v>
      </c>
      <c r="G302" s="6" t="s">
        <v>23</v>
      </c>
      <c r="H302" s="6" t="s">
        <v>116</v>
      </c>
      <c r="I302" s="82" t="s">
        <v>63</v>
      </c>
      <c r="J302" s="19" t="s">
        <v>175</v>
      </c>
      <c r="K302" s="19"/>
      <c r="L302" s="19"/>
      <c r="M302" s="96">
        <v>46033</v>
      </c>
      <c r="N302" s="96">
        <v>46204</v>
      </c>
      <c r="O302" s="223" t="str">
        <f t="shared" si="17"/>
        <v xml:space="preserve">Đặng Thái Sơn, , </v>
      </c>
    </row>
    <row r="303" spans="1:15">
      <c r="A303" s="28" t="str">
        <f>"3."&amp;D303&amp;"."&amp;B303</f>
        <v>3.N.HCM.CGIO.NH.401</v>
      </c>
      <c r="B303" s="28" t="str">
        <f>TEXT(COUNTIFS($C$3:C303,C303,$D$3:D303,D303,$F$3:F303,F303)+IF(F303="KT",100,IF(F303="KC",200,IF(F303="DI",300,IF(F303="DN",400,IF(F303="NU",500,IF(F303="DH",600,IF(F303="PC",700,0))))))),"000")</f>
        <v>401</v>
      </c>
      <c r="C303" s="28" t="s">
        <v>10</v>
      </c>
      <c r="D303" s="100" t="s">
        <v>294</v>
      </c>
      <c r="E303" s="28" t="s">
        <v>295</v>
      </c>
      <c r="F303" s="87" t="s">
        <v>148</v>
      </c>
      <c r="G303" s="6" t="s">
        <v>23</v>
      </c>
      <c r="H303" s="6" t="s">
        <v>116</v>
      </c>
      <c r="I303" s="82" t="s">
        <v>63</v>
      </c>
      <c r="J303" s="19" t="s">
        <v>175</v>
      </c>
      <c r="K303" s="19"/>
      <c r="L303" s="19"/>
      <c r="M303" s="96">
        <v>46033</v>
      </c>
      <c r="N303" s="96">
        <v>46204</v>
      </c>
      <c r="O303" s="223" t="str">
        <f t="shared" si="17"/>
        <v xml:space="preserve">Đặng Thái Sơn, , </v>
      </c>
    </row>
    <row r="304" spans="1:15">
      <c r="A304" s="28" t="str">
        <f>"3."&amp;D304&amp;"."&amp;B304</f>
        <v>3.N.HCM.CGIO.NH.501</v>
      </c>
      <c r="B304" s="28" t="str">
        <f>TEXT(COUNTIFS($C$3:C304,C304,$D$3:D304,D304,$F$3:F304,F304)+IF(F304="KT",100,IF(F304="KC",200,IF(F304="DI",300,IF(F304="DN",400,IF(F304="NU",500,IF(F304="DH",600,IF(F304="PC",700,0))))))),"000")</f>
        <v>501</v>
      </c>
      <c r="C304" s="28" t="s">
        <v>10</v>
      </c>
      <c r="D304" s="100" t="s">
        <v>294</v>
      </c>
      <c r="E304" s="28" t="s">
        <v>295</v>
      </c>
      <c r="F304" s="87" t="s">
        <v>154</v>
      </c>
      <c r="G304" s="6" t="s">
        <v>23</v>
      </c>
      <c r="H304" s="6" t="s">
        <v>116</v>
      </c>
      <c r="I304" s="82" t="s">
        <v>63</v>
      </c>
      <c r="J304" s="19" t="s">
        <v>175</v>
      </c>
      <c r="K304" s="19"/>
      <c r="L304" s="19"/>
      <c r="M304" s="96">
        <v>46033</v>
      </c>
      <c r="N304" s="96">
        <v>46204</v>
      </c>
      <c r="O304" s="223" t="str">
        <f t="shared" ref="O304" si="37">J304&amp;", "&amp;K304&amp;", "&amp;L304</f>
        <v xml:space="preserve">Đặng Thái Sơn, , </v>
      </c>
    </row>
    <row r="305" spans="1:15">
      <c r="A305" s="28" t="str">
        <f>"3."&amp;D305&amp;"."&amp;B305</f>
        <v>3.N.HCM.CGIO.NH.601</v>
      </c>
      <c r="B305" s="28" t="str">
        <f>TEXT(COUNTIFS($C$3:C305,C305,$D$3:D305,D305,$F$3:F305,F305)+IF(F305="KT",100,IF(F305="KC",200,IF(F305="DI",300,IF(F305="DN",400,IF(F305="NU",500,IF(F305="DH",600,IF(F305="PC",700,0))))))),"000")</f>
        <v>601</v>
      </c>
      <c r="C305" s="28" t="s">
        <v>10</v>
      </c>
      <c r="D305" s="100" t="s">
        <v>294</v>
      </c>
      <c r="E305" s="28" t="s">
        <v>295</v>
      </c>
      <c r="F305" s="87" t="s">
        <v>164</v>
      </c>
      <c r="G305" s="6" t="s">
        <v>23</v>
      </c>
      <c r="H305" s="6" t="s">
        <v>116</v>
      </c>
      <c r="I305" s="82" t="s">
        <v>63</v>
      </c>
      <c r="J305" s="19" t="s">
        <v>175</v>
      </c>
      <c r="K305" s="19"/>
      <c r="L305" s="19"/>
      <c r="M305" s="96">
        <v>46033</v>
      </c>
      <c r="N305" s="96">
        <v>46204</v>
      </c>
      <c r="O305" s="223" t="str">
        <f t="shared" ref="O305" si="38">J305&amp;", "&amp;K305&amp;", "&amp;L305</f>
        <v xml:space="preserve">Đặng Thái Sơn, , </v>
      </c>
    </row>
    <row r="306" spans="1:15">
      <c r="A306" s="28" t="str">
        <f>"3."&amp;D306&amp;"."&amp;B306</f>
        <v>3.N.HCM.CGIO.NH.701</v>
      </c>
      <c r="B306" s="28" t="str">
        <f>TEXT(COUNTIFS($C$3:C306,C306,$D$3:D306,D306,$F$3:F306,F306)+IF(F306="KT",100,IF(F306="KC",200,IF(F306="DI",300,IF(F306="DN",400,IF(F306="NU",500,IF(F306="DH",600,IF(F306="PC",700,0))))))),"000")</f>
        <v>701</v>
      </c>
      <c r="C306" s="28" t="s">
        <v>10</v>
      </c>
      <c r="D306" s="100" t="s">
        <v>294</v>
      </c>
      <c r="E306" s="28" t="s">
        <v>295</v>
      </c>
      <c r="F306" s="87" t="s">
        <v>159</v>
      </c>
      <c r="G306" s="6" t="s">
        <v>23</v>
      </c>
      <c r="H306" s="6" t="s">
        <v>116</v>
      </c>
      <c r="I306" s="82" t="s">
        <v>63</v>
      </c>
      <c r="J306" s="19" t="s">
        <v>175</v>
      </c>
      <c r="K306" s="19"/>
      <c r="L306" s="19"/>
      <c r="M306" s="96">
        <v>46033</v>
      </c>
      <c r="N306" s="96">
        <v>46204</v>
      </c>
      <c r="O306" s="223" t="str">
        <f t="shared" si="17"/>
        <v xml:space="preserve">Đặng Thái Sơn, , </v>
      </c>
    </row>
    <row r="307" spans="1:15">
      <c r="A307" s="28" t="str">
        <f>"3."&amp;D307&amp;"."&amp;B307</f>
        <v>3.N.HCM.CGIO.VSC.101</v>
      </c>
      <c r="B307" s="28" t="str">
        <f>TEXT(COUNTIFS($C$3:C307,C307,$D$3:D307,D307,$F$3:F307,F307)+IF(F307="KT",100,IF(F307="KC",200,IF(F307="DI",300,IF(F307="DN",400,IF(F307="NU",500,IF(F307="DH",600,IF(F307="PC",700,0))))))),"000")</f>
        <v>101</v>
      </c>
      <c r="C307" s="28" t="s">
        <v>10</v>
      </c>
      <c r="D307" s="100" t="s">
        <v>300</v>
      </c>
      <c r="E307" s="28" t="s">
        <v>301</v>
      </c>
      <c r="F307" s="88" t="s">
        <v>123</v>
      </c>
      <c r="G307" s="6" t="s">
        <v>23</v>
      </c>
      <c r="H307" s="20" t="s">
        <v>116</v>
      </c>
      <c r="I307" s="82" t="s">
        <v>63</v>
      </c>
      <c r="J307" s="28" t="s">
        <v>32</v>
      </c>
      <c r="K307" s="82"/>
      <c r="L307" s="82"/>
      <c r="M307" s="96">
        <v>46112</v>
      </c>
      <c r="N307" s="96">
        <v>46227</v>
      </c>
      <c r="O307" s="223" t="str">
        <f t="shared" si="17"/>
        <v xml:space="preserve">Nguyễn Hải Nam, , </v>
      </c>
    </row>
    <row r="308" spans="1:15">
      <c r="A308" s="28" t="str">
        <f>"3."&amp;D308&amp;"."&amp;B308</f>
        <v>3.N.HCM.CGIO.VSC.201</v>
      </c>
      <c r="B308" s="28" t="str">
        <f>TEXT(COUNTIFS($C$3:C308,C308,$D$3:D308,D308,$F$3:F308,F308)+IF(F308="KT",100,IF(F308="KC",200,IF(F308="DI",300,IF(F308="DN",400,IF(F308="NU",500,IF(F308="DH",600,IF(F308="PC",700,0))))))),"000")</f>
        <v>201</v>
      </c>
      <c r="C308" s="28" t="s">
        <v>10</v>
      </c>
      <c r="D308" s="100" t="s">
        <v>300</v>
      </c>
      <c r="E308" s="28" t="s">
        <v>301</v>
      </c>
      <c r="F308" s="88" t="s">
        <v>132</v>
      </c>
      <c r="G308" s="6" t="s">
        <v>23</v>
      </c>
      <c r="H308" s="20" t="s">
        <v>116</v>
      </c>
      <c r="I308" s="82" t="s">
        <v>63</v>
      </c>
      <c r="J308" s="28" t="s">
        <v>32</v>
      </c>
      <c r="K308" s="28"/>
      <c r="L308" s="28"/>
      <c r="M308" s="96">
        <v>46128</v>
      </c>
      <c r="N308" s="96">
        <v>46227</v>
      </c>
      <c r="O308" s="223" t="str">
        <f t="shared" si="17"/>
        <v xml:space="preserve">Nguyễn Hải Nam, , </v>
      </c>
    </row>
    <row r="309" spans="1:15">
      <c r="A309" s="28" t="str">
        <f>"3."&amp;D309&amp;"."&amp;B309</f>
        <v>3.N.HCM.CGIO.VSC.301</v>
      </c>
      <c r="B309" s="28" t="str">
        <f>TEXT(COUNTIFS($C$3:C309,C309,$D$3:D309,D309,$F$3:F309,F309)+IF(F309="KT",100,IF(F309="KC",200,IF(F309="DI",300,IF(F309="DN",400,IF(F309="NU",500,IF(F309="DH",600,IF(F309="PC",700,0))))))),"000")</f>
        <v>301</v>
      </c>
      <c r="C309" s="28" t="s">
        <v>10</v>
      </c>
      <c r="D309" s="100" t="s">
        <v>300</v>
      </c>
      <c r="E309" s="28" t="s">
        <v>301</v>
      </c>
      <c r="F309" s="87" t="s">
        <v>140</v>
      </c>
      <c r="G309" s="6" t="s">
        <v>23</v>
      </c>
      <c r="H309" s="6" t="s">
        <v>116</v>
      </c>
      <c r="I309" s="82" t="s">
        <v>63</v>
      </c>
      <c r="J309" s="20" t="s">
        <v>165</v>
      </c>
      <c r="K309" s="20"/>
      <c r="L309" s="20"/>
      <c r="M309" s="96">
        <v>46174</v>
      </c>
      <c r="N309" s="96">
        <v>46295</v>
      </c>
      <c r="O309" s="223" t="str">
        <f t="shared" si="17"/>
        <v xml:space="preserve">Nguyễn Văn Hải, , </v>
      </c>
    </row>
    <row r="310" spans="1:15">
      <c r="A310" s="28" t="str">
        <f>"3."&amp;D310&amp;"."&amp;B310</f>
        <v>3.N.HCM.CGIO.VSC.401</v>
      </c>
      <c r="B310" s="28" t="str">
        <f>TEXT(COUNTIFS($C$3:C310,C310,$D$3:D310,D310,$F$3:F310,F310)+IF(F310="KT",100,IF(F310="KC",200,IF(F310="DI",300,IF(F310="DN",400,IF(F310="NU",500,IF(F310="DH",600,IF(F310="PC",700,0))))))),"000")</f>
        <v>401</v>
      </c>
      <c r="C310" s="28" t="s">
        <v>10</v>
      </c>
      <c r="D310" s="100" t="s">
        <v>300</v>
      </c>
      <c r="E310" s="28" t="s">
        <v>301</v>
      </c>
      <c r="F310" s="87" t="s">
        <v>148</v>
      </c>
      <c r="G310" s="6" t="s">
        <v>23</v>
      </c>
      <c r="H310" s="6" t="s">
        <v>116</v>
      </c>
      <c r="I310" s="82" t="s">
        <v>63</v>
      </c>
      <c r="J310" s="20" t="s">
        <v>165</v>
      </c>
      <c r="K310" s="20"/>
      <c r="L310" s="20"/>
      <c r="M310" s="96">
        <v>46174</v>
      </c>
      <c r="N310" s="96">
        <v>46295</v>
      </c>
      <c r="O310" s="223" t="str">
        <f t="shared" si="17"/>
        <v xml:space="preserve">Nguyễn Văn Hải, , </v>
      </c>
    </row>
    <row r="311" spans="1:15">
      <c r="A311" s="28" t="str">
        <f>"3."&amp;D311&amp;"."&amp;B311</f>
        <v>3.N.HCM.CGIO.VSC.501</v>
      </c>
      <c r="B311" s="28" t="str">
        <f>TEXT(COUNTIFS($C$3:C311,C311,$D$3:D311,D311,$F$3:F311,F311)+IF(F311="KT",100,IF(F311="KC",200,IF(F311="DI",300,IF(F311="DN",400,IF(F311="NU",500,IF(F311="DH",600,IF(F311="PC",700,0))))))),"000")</f>
        <v>501</v>
      </c>
      <c r="C311" s="28" t="s">
        <v>10</v>
      </c>
      <c r="D311" s="100" t="s">
        <v>300</v>
      </c>
      <c r="E311" s="28" t="s">
        <v>301</v>
      </c>
      <c r="F311" s="87" t="s">
        <v>154</v>
      </c>
      <c r="G311" s="6" t="s">
        <v>23</v>
      </c>
      <c r="H311" s="6" t="s">
        <v>116</v>
      </c>
      <c r="I311" s="82" t="s">
        <v>63</v>
      </c>
      <c r="J311" s="20" t="s">
        <v>165</v>
      </c>
      <c r="K311" s="20"/>
      <c r="L311" s="20"/>
      <c r="M311" s="96">
        <v>46174</v>
      </c>
      <c r="N311" s="96">
        <v>46295</v>
      </c>
      <c r="O311" s="223" t="str">
        <f t="shared" ref="O311" si="39">J311&amp;", "&amp;K311&amp;", "&amp;L311</f>
        <v xml:space="preserve">Nguyễn Văn Hải, , </v>
      </c>
    </row>
    <row r="312" spans="1:15">
      <c r="A312" s="28" t="str">
        <f>"3."&amp;D312&amp;"."&amp;B312</f>
        <v>3.N.HCM.CGIO.VSC.601</v>
      </c>
      <c r="B312" s="28" t="str">
        <f>TEXT(COUNTIFS($C$3:C312,C312,$D$3:D312,D312,$F$3:F312,F312)+IF(F312="KT",100,IF(F312="KC",200,IF(F312="DI",300,IF(F312="DN",400,IF(F312="NU",500,IF(F312="DH",600,IF(F312="PC",700,0))))))),"000")</f>
        <v>601</v>
      </c>
      <c r="C312" s="28" t="s">
        <v>10</v>
      </c>
      <c r="D312" s="100" t="s">
        <v>300</v>
      </c>
      <c r="E312" s="28" t="s">
        <v>301</v>
      </c>
      <c r="F312" s="87" t="s">
        <v>164</v>
      </c>
      <c r="G312" s="6" t="s">
        <v>23</v>
      </c>
      <c r="H312" s="6" t="s">
        <v>116</v>
      </c>
      <c r="I312" s="82" t="s">
        <v>63</v>
      </c>
      <c r="J312" s="20" t="s">
        <v>165</v>
      </c>
      <c r="K312" s="20"/>
      <c r="L312" s="20"/>
      <c r="M312" s="96">
        <v>46174</v>
      </c>
      <c r="N312" s="96">
        <v>46295</v>
      </c>
      <c r="O312" s="223" t="str">
        <f t="shared" ref="O312" si="40">J312&amp;", "&amp;K312&amp;", "&amp;L312</f>
        <v xml:space="preserve">Nguyễn Văn Hải, , </v>
      </c>
    </row>
    <row r="313" spans="1:15">
      <c r="A313" s="28" t="str">
        <f>"3."&amp;D313&amp;"."&amp;B313</f>
        <v>3.N.HCM.CGIO.VSC.701</v>
      </c>
      <c r="B313" s="28" t="str">
        <f>TEXT(COUNTIFS($C$3:C313,C313,$D$3:D313,D313,$F$3:F313,F313)+IF(F313="KT",100,IF(F313="KC",200,IF(F313="DI",300,IF(F313="DN",400,IF(F313="NU",500,IF(F313="DH",600,IF(F313="PC",700,0))))))),"000")</f>
        <v>701</v>
      </c>
      <c r="C313" s="28" t="s">
        <v>10</v>
      </c>
      <c r="D313" s="100" t="s">
        <v>300</v>
      </c>
      <c r="E313" s="28" t="s">
        <v>301</v>
      </c>
      <c r="F313" s="87" t="s">
        <v>159</v>
      </c>
      <c r="G313" s="6" t="s">
        <v>23</v>
      </c>
      <c r="H313" s="6" t="s">
        <v>116</v>
      </c>
      <c r="I313" s="82" t="s">
        <v>63</v>
      </c>
      <c r="J313" s="20" t="s">
        <v>165</v>
      </c>
      <c r="K313" s="20"/>
      <c r="L313" s="20"/>
      <c r="M313" s="96">
        <v>46174</v>
      </c>
      <c r="N313" s="96">
        <v>46295</v>
      </c>
      <c r="O313" s="223" t="str">
        <f t="shared" si="17"/>
        <v xml:space="preserve">Nguyễn Văn Hải, , </v>
      </c>
    </row>
    <row r="314" spans="1:15">
      <c r="A314" s="28" t="str">
        <f>"3."&amp;D314&amp;"."&amp;B314</f>
        <v>3.N.HCM.CGIO.VSC.102</v>
      </c>
      <c r="B314" s="28" t="str">
        <f>TEXT(COUNTIFS($C$3:C314,C314,$D$3:D314,D314,$F$3:F314,F314)+IF(F314="KT",100,IF(F314="KC",200,IF(F314="DI",300,IF(F314="DN",400,IF(F314="NU",500,IF(F314="DH",600,IF(F314="PC",700,0))))))),"000")</f>
        <v>102</v>
      </c>
      <c r="C314" s="28" t="s">
        <v>10</v>
      </c>
      <c r="D314" s="100" t="s">
        <v>300</v>
      </c>
      <c r="E314" s="28" t="s">
        <v>303</v>
      </c>
      <c r="F314" s="88" t="s">
        <v>123</v>
      </c>
      <c r="G314" s="6" t="s">
        <v>23</v>
      </c>
      <c r="H314" s="20" t="s">
        <v>116</v>
      </c>
      <c r="I314" s="82" t="s">
        <v>63</v>
      </c>
      <c r="J314" s="28" t="s">
        <v>32</v>
      </c>
      <c r="K314" s="28"/>
      <c r="L314" s="28"/>
      <c r="M314" s="96">
        <v>46112</v>
      </c>
      <c r="N314" s="96">
        <v>46227</v>
      </c>
      <c r="O314" s="223" t="str">
        <f t="shared" si="17"/>
        <v xml:space="preserve">Nguyễn Hải Nam, , </v>
      </c>
    </row>
    <row r="315" spans="1:15">
      <c r="A315" s="28" t="str">
        <f>"3."&amp;D315&amp;"."&amp;B315</f>
        <v>3.N.HCM.CGIO.VSC.202</v>
      </c>
      <c r="B315" s="28" t="str">
        <f>TEXT(COUNTIFS($C$3:C315,C315,$D$3:D315,D315,$F$3:F315,F315)+IF(F315="KT",100,IF(F315="KC",200,IF(F315="DI",300,IF(F315="DN",400,IF(F315="NU",500,IF(F315="DH",600,IF(F315="PC",700,0))))))),"000")</f>
        <v>202</v>
      </c>
      <c r="C315" s="28" t="s">
        <v>10</v>
      </c>
      <c r="D315" s="100" t="s">
        <v>300</v>
      </c>
      <c r="E315" s="28" t="s">
        <v>303</v>
      </c>
      <c r="F315" s="88" t="s">
        <v>132</v>
      </c>
      <c r="G315" s="6" t="s">
        <v>23</v>
      </c>
      <c r="H315" s="20" t="s">
        <v>116</v>
      </c>
      <c r="I315" s="82" t="s">
        <v>63</v>
      </c>
      <c r="J315" s="28" t="s">
        <v>32</v>
      </c>
      <c r="K315" s="28"/>
      <c r="L315" s="28"/>
      <c r="M315" s="96">
        <v>46128</v>
      </c>
      <c r="N315" s="96">
        <v>46227</v>
      </c>
      <c r="O315" s="223" t="str">
        <f t="shared" si="17"/>
        <v xml:space="preserve">Nguyễn Hải Nam, , </v>
      </c>
    </row>
    <row r="316" spans="1:15">
      <c r="A316" s="28" t="str">
        <f>"3."&amp;D316&amp;"."&amp;B316</f>
        <v>3.N.HCM.CGIO.VSC.302</v>
      </c>
      <c r="B316" s="28" t="str">
        <f>TEXT(COUNTIFS($C$3:C316,C316,$D$3:D316,D316,$F$3:F316,F316)+IF(F316="KT",100,IF(F316="KC",200,IF(F316="DI",300,IF(F316="DN",400,IF(F316="NU",500,IF(F316="DH",600,IF(F316="PC",700,0))))))),"000")</f>
        <v>302</v>
      </c>
      <c r="C316" s="28" t="s">
        <v>10</v>
      </c>
      <c r="D316" s="100" t="s">
        <v>300</v>
      </c>
      <c r="E316" s="28" t="s">
        <v>303</v>
      </c>
      <c r="F316" s="87" t="s">
        <v>140</v>
      </c>
      <c r="G316" s="6" t="s">
        <v>23</v>
      </c>
      <c r="H316" s="6" t="s">
        <v>116</v>
      </c>
      <c r="I316" s="82" t="s">
        <v>63</v>
      </c>
      <c r="J316" s="20" t="s">
        <v>175</v>
      </c>
      <c r="K316" s="20"/>
      <c r="L316" s="20"/>
      <c r="M316" s="96">
        <v>46156</v>
      </c>
      <c r="N316" s="96">
        <v>46171</v>
      </c>
      <c r="O316" s="223" t="str">
        <f t="shared" si="17"/>
        <v xml:space="preserve">Đặng Thái Sơn, , </v>
      </c>
    </row>
    <row r="317" spans="1:15">
      <c r="A317" s="28" t="str">
        <f>"3."&amp;D317&amp;"."&amp;B317</f>
        <v>3.N.HCM.CGIO.VSC.402</v>
      </c>
      <c r="B317" s="28" t="str">
        <f>TEXT(COUNTIFS($C$3:C317,C317,$D$3:D317,D317,$F$3:F317,F317)+IF(F317="KT",100,IF(F317="KC",200,IF(F317="DI",300,IF(F317="DN",400,IF(F317="NU",500,IF(F317="DH",600,IF(F317="PC",700,0))))))),"000")</f>
        <v>402</v>
      </c>
      <c r="C317" s="28" t="s">
        <v>10</v>
      </c>
      <c r="D317" s="100" t="s">
        <v>300</v>
      </c>
      <c r="E317" s="28" t="s">
        <v>303</v>
      </c>
      <c r="F317" s="87" t="s">
        <v>148</v>
      </c>
      <c r="G317" s="6" t="s">
        <v>23</v>
      </c>
      <c r="H317" s="6" t="s">
        <v>116</v>
      </c>
      <c r="I317" s="82" t="s">
        <v>63</v>
      </c>
      <c r="J317" s="20" t="s">
        <v>175</v>
      </c>
      <c r="K317" s="20"/>
      <c r="L317" s="20"/>
      <c r="M317" s="96">
        <v>46156</v>
      </c>
      <c r="N317" s="96">
        <v>46171</v>
      </c>
      <c r="O317" s="223" t="str">
        <f t="shared" si="17"/>
        <v xml:space="preserve">Đặng Thái Sơn, , </v>
      </c>
    </row>
    <row r="318" spans="1:15">
      <c r="A318" s="28" t="str">
        <f>"3."&amp;D318&amp;"."&amp;B318</f>
        <v>3.N.HCM.CGIO.VSC.502</v>
      </c>
      <c r="B318" s="28" t="str">
        <f>TEXT(COUNTIFS($C$3:C318,C318,$D$3:D318,D318,$F$3:F318,F318)+IF(F318="KT",100,IF(F318="KC",200,IF(F318="DI",300,IF(F318="DN",400,IF(F318="NU",500,IF(F318="DH",600,IF(F318="PC",700,0))))))),"000")</f>
        <v>502</v>
      </c>
      <c r="C318" s="28" t="s">
        <v>10</v>
      </c>
      <c r="D318" s="100" t="s">
        <v>300</v>
      </c>
      <c r="E318" s="28" t="s">
        <v>303</v>
      </c>
      <c r="F318" s="87" t="s">
        <v>154</v>
      </c>
      <c r="G318" s="6" t="s">
        <v>23</v>
      </c>
      <c r="H318" s="6" t="s">
        <v>116</v>
      </c>
      <c r="I318" s="82" t="s">
        <v>63</v>
      </c>
      <c r="J318" s="20" t="s">
        <v>175</v>
      </c>
      <c r="K318" s="20"/>
      <c r="L318" s="20"/>
      <c r="M318" s="96">
        <v>46156</v>
      </c>
      <c r="N318" s="96">
        <v>46171</v>
      </c>
      <c r="O318" s="223" t="str">
        <f t="shared" ref="O318" si="41">J318&amp;", "&amp;K318&amp;", "&amp;L318</f>
        <v xml:space="preserve">Đặng Thái Sơn, , </v>
      </c>
    </row>
    <row r="319" spans="1:15">
      <c r="A319" s="28" t="str">
        <f>"3."&amp;D319&amp;"."&amp;B319</f>
        <v>3.N.HCM.CGIO.VSC.602</v>
      </c>
      <c r="B319" s="28" t="str">
        <f>TEXT(COUNTIFS($C$3:C319,C319,$D$3:D319,D319,$F$3:F319,F319)+IF(F319="KT",100,IF(F319="KC",200,IF(F319="DI",300,IF(F319="DN",400,IF(F319="NU",500,IF(F319="DH",600,IF(F319="PC",700,0))))))),"000")</f>
        <v>602</v>
      </c>
      <c r="C319" s="28" t="s">
        <v>10</v>
      </c>
      <c r="D319" s="100" t="s">
        <v>300</v>
      </c>
      <c r="E319" s="28" t="s">
        <v>303</v>
      </c>
      <c r="F319" s="87" t="s">
        <v>164</v>
      </c>
      <c r="G319" s="6" t="s">
        <v>23</v>
      </c>
      <c r="H319" s="6" t="s">
        <v>116</v>
      </c>
      <c r="I319" s="82" t="s">
        <v>63</v>
      </c>
      <c r="J319" s="20" t="s">
        <v>175</v>
      </c>
      <c r="K319" s="20"/>
      <c r="L319" s="20"/>
      <c r="M319" s="96">
        <v>46156</v>
      </c>
      <c r="N319" s="96">
        <v>46171</v>
      </c>
      <c r="O319" s="223" t="str">
        <f t="shared" ref="O319" si="42">J319&amp;", "&amp;K319&amp;", "&amp;L319</f>
        <v xml:space="preserve">Đặng Thái Sơn, , </v>
      </c>
    </row>
    <row r="320" spans="1:15">
      <c r="A320" s="28" t="str">
        <f>"3."&amp;D320&amp;"."&amp;B320</f>
        <v>3.N.HCM.CGIO.VSC.702</v>
      </c>
      <c r="B320" s="28" t="str">
        <f>TEXT(COUNTIFS($C$3:C320,C320,$D$3:D320,D320,$F$3:F320,F320)+IF(F320="KT",100,IF(F320="KC",200,IF(F320="DI",300,IF(F320="DN",400,IF(F320="NU",500,IF(F320="DH",600,IF(F320="PC",700,0))))))),"000")</f>
        <v>702</v>
      </c>
      <c r="C320" s="28" t="s">
        <v>10</v>
      </c>
      <c r="D320" s="100" t="s">
        <v>300</v>
      </c>
      <c r="E320" s="28" t="s">
        <v>303</v>
      </c>
      <c r="F320" s="87" t="s">
        <v>159</v>
      </c>
      <c r="G320" s="6" t="s">
        <v>23</v>
      </c>
      <c r="H320" s="6" t="s">
        <v>116</v>
      </c>
      <c r="I320" s="82" t="s">
        <v>63</v>
      </c>
      <c r="J320" s="20" t="s">
        <v>175</v>
      </c>
      <c r="K320" s="20"/>
      <c r="L320" s="20"/>
      <c r="M320" s="96">
        <v>46156</v>
      </c>
      <c r="N320" s="96">
        <v>46171</v>
      </c>
      <c r="O320" s="223" t="str">
        <f t="shared" si="17"/>
        <v xml:space="preserve">Đặng Thái Sơn, , </v>
      </c>
    </row>
    <row r="321" spans="1:15">
      <c r="A321" s="28" t="str">
        <f>"3."&amp;D321&amp;"."&amp;B321</f>
        <v>3.N.HCM.CGIO.VSC.103</v>
      </c>
      <c r="B321" s="28" t="str">
        <f>TEXT(COUNTIFS($C$3:C321,C321,$D$3:D321,D321,$F$3:F321,F321)+IF(F321="KT",100,IF(F321="KC",200,IF(F321="DI",300,IF(F321="DN",400,IF(F321="NU",500,IF(F321="DH",600,IF(F321="PC",700,0))))))),"000")</f>
        <v>103</v>
      </c>
      <c r="C321" s="28" t="s">
        <v>10</v>
      </c>
      <c r="D321" s="100" t="s">
        <v>300</v>
      </c>
      <c r="E321" s="28" t="s">
        <v>305</v>
      </c>
      <c r="F321" s="88" t="s">
        <v>123</v>
      </c>
      <c r="G321" s="6" t="s">
        <v>23</v>
      </c>
      <c r="H321" s="20" t="s">
        <v>116</v>
      </c>
      <c r="I321" s="82" t="s">
        <v>63</v>
      </c>
      <c r="J321" s="28" t="s">
        <v>32</v>
      </c>
      <c r="K321" s="28"/>
      <c r="L321" s="28"/>
      <c r="M321" s="97">
        <v>46112</v>
      </c>
      <c r="N321" s="97">
        <v>46227</v>
      </c>
      <c r="O321" s="223" t="str">
        <f t="shared" si="17"/>
        <v xml:space="preserve">Nguyễn Hải Nam, , </v>
      </c>
    </row>
    <row r="322" spans="1:15">
      <c r="A322" s="28" t="str">
        <f>"3."&amp;D322&amp;"."&amp;B322</f>
        <v>3.N.HCM.CGIO.VSC.203</v>
      </c>
      <c r="B322" s="28" t="str">
        <f>TEXT(COUNTIFS($C$3:C322,C322,$D$3:D322,D322,$F$3:F322,F322)+IF(F322="KT",100,IF(F322="KC",200,IF(F322="DI",300,IF(F322="DN",400,IF(F322="NU",500,IF(F322="DH",600,IF(F322="PC",700,0))))))),"000")</f>
        <v>203</v>
      </c>
      <c r="C322" s="28" t="s">
        <v>10</v>
      </c>
      <c r="D322" s="100" t="s">
        <v>300</v>
      </c>
      <c r="E322" s="28" t="s">
        <v>305</v>
      </c>
      <c r="F322" s="88" t="s">
        <v>132</v>
      </c>
      <c r="G322" s="6" t="s">
        <v>23</v>
      </c>
      <c r="H322" s="20" t="s">
        <v>116</v>
      </c>
      <c r="I322" s="82" t="s">
        <v>63</v>
      </c>
      <c r="J322" s="28" t="s">
        <v>32</v>
      </c>
      <c r="K322" s="105"/>
      <c r="L322" s="105"/>
      <c r="M322" s="97">
        <v>46128</v>
      </c>
      <c r="N322" s="97">
        <v>46227</v>
      </c>
      <c r="O322" s="223" t="str">
        <f t="shared" si="17"/>
        <v xml:space="preserve">Nguyễn Hải Nam, , </v>
      </c>
    </row>
    <row r="323" spans="1:15">
      <c r="A323" s="28" t="str">
        <f>"3."&amp;D323&amp;"."&amp;B323</f>
        <v>3.N.HCM.CGIO.VSC.303</v>
      </c>
      <c r="B323" s="28" t="str">
        <f>TEXT(COUNTIFS($C$3:C323,C323,$D$3:D323,D323,$F$3:F323,F323)+IF(F323="KT",100,IF(F323="KC",200,IF(F323="DI",300,IF(F323="DN",400,IF(F323="NU",500,IF(F323="DH",600,IF(F323="PC",700,0))))))),"000")</f>
        <v>303</v>
      </c>
      <c r="C323" s="28" t="s">
        <v>10</v>
      </c>
      <c r="D323" s="100" t="s">
        <v>300</v>
      </c>
      <c r="E323" s="28" t="s">
        <v>305</v>
      </c>
      <c r="F323" s="87" t="s">
        <v>140</v>
      </c>
      <c r="G323" s="6" t="s">
        <v>23</v>
      </c>
      <c r="H323" s="6" t="s">
        <v>116</v>
      </c>
      <c r="I323" s="82" t="s">
        <v>63</v>
      </c>
      <c r="J323" s="20" t="s">
        <v>180</v>
      </c>
      <c r="K323" s="20"/>
      <c r="L323" s="20"/>
      <c r="M323" s="96">
        <v>46156</v>
      </c>
      <c r="N323" s="96">
        <v>46295</v>
      </c>
      <c r="O323" s="223" t="str">
        <f t="shared" si="17"/>
        <v xml:space="preserve">Phan Trường Giang, , </v>
      </c>
    </row>
    <row r="324" spans="1:15">
      <c r="A324" s="28" t="str">
        <f>"3."&amp;D324&amp;"."&amp;B324</f>
        <v>3.N.HCM.CGIO.VSC.403</v>
      </c>
      <c r="B324" s="28" t="str">
        <f>TEXT(COUNTIFS($C$3:C324,C324,$D$3:D324,D324,$F$3:F324,F324)+IF(F324="KT",100,IF(F324="KC",200,IF(F324="DI",300,IF(F324="DN",400,IF(F324="NU",500,IF(F324="DH",600,IF(F324="PC",700,0))))))),"000")</f>
        <v>403</v>
      </c>
      <c r="C324" s="28" t="s">
        <v>10</v>
      </c>
      <c r="D324" s="100" t="s">
        <v>300</v>
      </c>
      <c r="E324" s="28" t="s">
        <v>305</v>
      </c>
      <c r="F324" s="87" t="s">
        <v>148</v>
      </c>
      <c r="G324" s="6" t="s">
        <v>23</v>
      </c>
      <c r="H324" s="6" t="s">
        <v>116</v>
      </c>
      <c r="I324" s="82" t="s">
        <v>63</v>
      </c>
      <c r="J324" s="20" t="s">
        <v>180</v>
      </c>
      <c r="K324" s="20"/>
      <c r="L324" s="20"/>
      <c r="M324" s="96">
        <v>46156</v>
      </c>
      <c r="N324" s="96">
        <v>46295</v>
      </c>
      <c r="O324" s="223" t="str">
        <f t="shared" si="17"/>
        <v xml:space="preserve">Phan Trường Giang, , </v>
      </c>
    </row>
    <row r="325" spans="1:15">
      <c r="A325" s="28" t="str">
        <f>"3."&amp;D325&amp;"."&amp;B325</f>
        <v>3.N.HCM.CGIO.VSC.503</v>
      </c>
      <c r="B325" s="28" t="str">
        <f>TEXT(COUNTIFS($C$3:C325,C325,$D$3:D325,D325,$F$3:F325,F325)+IF(F325="KT",100,IF(F325="KC",200,IF(F325="DI",300,IF(F325="DN",400,IF(F325="NU",500,IF(F325="DH",600,IF(F325="PC",700,0))))))),"000")</f>
        <v>503</v>
      </c>
      <c r="C325" s="28" t="s">
        <v>10</v>
      </c>
      <c r="D325" s="100" t="s">
        <v>300</v>
      </c>
      <c r="E325" s="28" t="s">
        <v>305</v>
      </c>
      <c r="F325" s="87" t="s">
        <v>154</v>
      </c>
      <c r="G325" s="6" t="s">
        <v>23</v>
      </c>
      <c r="H325" s="6" t="s">
        <v>116</v>
      </c>
      <c r="I325" s="82" t="s">
        <v>63</v>
      </c>
      <c r="J325" s="20" t="s">
        <v>180</v>
      </c>
      <c r="K325" s="20"/>
      <c r="L325" s="20"/>
      <c r="M325" s="96">
        <v>46156</v>
      </c>
      <c r="N325" s="96">
        <v>46295</v>
      </c>
      <c r="O325" s="223" t="str">
        <f t="shared" ref="O325" si="43">J325&amp;", "&amp;K325&amp;", "&amp;L325</f>
        <v xml:space="preserve">Phan Trường Giang, , </v>
      </c>
    </row>
    <row r="326" spans="1:15">
      <c r="A326" s="28" t="str">
        <f>"3."&amp;D326&amp;"."&amp;B326</f>
        <v>3.N.HCM.CGIO.VSC.603</v>
      </c>
      <c r="B326" s="28" t="str">
        <f>TEXT(COUNTIFS($C$3:C326,C326,$D$3:D326,D326,$F$3:F326,F326)+IF(F326="KT",100,IF(F326="KC",200,IF(F326="DI",300,IF(F326="DN",400,IF(F326="NU",500,IF(F326="DH",600,IF(F326="PC",700,0))))))),"000")</f>
        <v>603</v>
      </c>
      <c r="C326" s="28" t="s">
        <v>10</v>
      </c>
      <c r="D326" s="100" t="s">
        <v>300</v>
      </c>
      <c r="E326" s="28" t="s">
        <v>305</v>
      </c>
      <c r="F326" s="87" t="s">
        <v>164</v>
      </c>
      <c r="G326" s="6" t="s">
        <v>23</v>
      </c>
      <c r="H326" s="6" t="s">
        <v>116</v>
      </c>
      <c r="I326" s="82" t="s">
        <v>63</v>
      </c>
      <c r="J326" s="20" t="s">
        <v>180</v>
      </c>
      <c r="K326" s="20"/>
      <c r="L326" s="20"/>
      <c r="M326" s="96">
        <v>46156</v>
      </c>
      <c r="N326" s="96">
        <v>46295</v>
      </c>
      <c r="O326" s="223" t="str">
        <f t="shared" ref="O326" si="44">J326&amp;", "&amp;K326&amp;", "&amp;L326</f>
        <v xml:space="preserve">Phan Trường Giang, , </v>
      </c>
    </row>
    <row r="327" spans="1:15">
      <c r="A327" s="28" t="str">
        <f>"3."&amp;D327&amp;"."&amp;B327</f>
        <v>3.N.HCM.CGIO.VSC.703</v>
      </c>
      <c r="B327" s="28" t="str">
        <f>TEXT(COUNTIFS($C$3:C327,C327,$D$3:D327,D327,$F$3:F327,F327)+IF(F327="KT",100,IF(F327="KC",200,IF(F327="DI",300,IF(F327="DN",400,IF(F327="NU",500,IF(F327="DH",600,IF(F327="PC",700,0))))))),"000")</f>
        <v>703</v>
      </c>
      <c r="C327" s="28" t="s">
        <v>10</v>
      </c>
      <c r="D327" s="100" t="s">
        <v>300</v>
      </c>
      <c r="E327" s="28" t="s">
        <v>305</v>
      </c>
      <c r="F327" s="87" t="s">
        <v>159</v>
      </c>
      <c r="G327" s="6" t="s">
        <v>23</v>
      </c>
      <c r="H327" s="6" t="s">
        <v>116</v>
      </c>
      <c r="I327" s="82" t="s">
        <v>63</v>
      </c>
      <c r="J327" s="20" t="s">
        <v>180</v>
      </c>
      <c r="K327" s="20"/>
      <c r="L327" s="20"/>
      <c r="M327" s="96">
        <v>46156</v>
      </c>
      <c r="N327" s="96">
        <v>46295</v>
      </c>
      <c r="O327" s="223" t="str">
        <f t="shared" si="17"/>
        <v xml:space="preserve">Phan Trường Giang, , </v>
      </c>
    </row>
    <row r="328" spans="1:15">
      <c r="A328" s="28" t="str">
        <f>"3."&amp;D328&amp;"."&amp;B328</f>
        <v>3.N.HCM.CGIO.VSC.104</v>
      </c>
      <c r="B328" s="28" t="str">
        <f>TEXT(COUNTIFS($C$3:C328,C328,$D$3:D328,D328,$F$3:F328,F328)+IF(F328="KT",100,IF(F328="KC",200,IF(F328="DI",300,IF(F328="DN",400,IF(F328="NU",500,IF(F328="DH",600,IF(F328="PC",700,0))))))),"000")</f>
        <v>104</v>
      </c>
      <c r="C328" s="28" t="s">
        <v>10</v>
      </c>
      <c r="D328" s="100" t="s">
        <v>300</v>
      </c>
      <c r="E328" s="28" t="s">
        <v>307</v>
      </c>
      <c r="F328" s="88" t="s">
        <v>123</v>
      </c>
      <c r="G328" s="6" t="s">
        <v>23</v>
      </c>
      <c r="H328" s="20" t="s">
        <v>116</v>
      </c>
      <c r="I328" s="82" t="s">
        <v>63</v>
      </c>
      <c r="J328" s="28" t="s">
        <v>32</v>
      </c>
      <c r="K328" s="28"/>
      <c r="L328" s="28"/>
      <c r="M328" s="96">
        <v>46112</v>
      </c>
      <c r="N328" s="96">
        <v>46227</v>
      </c>
      <c r="O328" s="223" t="str">
        <f t="shared" si="17"/>
        <v xml:space="preserve">Nguyễn Hải Nam, , </v>
      </c>
    </row>
    <row r="329" spans="1:15">
      <c r="A329" s="28" t="str">
        <f>"3."&amp;D329&amp;"."&amp;B329</f>
        <v>3.N.HCM.CGIO.VSC.204</v>
      </c>
      <c r="B329" s="28" t="str">
        <f>TEXT(COUNTIFS($C$3:C329,C329,$D$3:D329,D329,$F$3:F329,F329)+IF(F329="KT",100,IF(F329="KC",200,IF(F329="DI",300,IF(F329="DN",400,IF(F329="NU",500,IF(F329="DH",600,IF(F329="PC",700,0))))))),"000")</f>
        <v>204</v>
      </c>
      <c r="C329" s="28" t="s">
        <v>10</v>
      </c>
      <c r="D329" s="100" t="s">
        <v>300</v>
      </c>
      <c r="E329" s="28" t="s">
        <v>307</v>
      </c>
      <c r="F329" s="88" t="s">
        <v>132</v>
      </c>
      <c r="G329" s="6" t="s">
        <v>23</v>
      </c>
      <c r="H329" s="20" t="s">
        <v>116</v>
      </c>
      <c r="I329" s="82" t="s">
        <v>63</v>
      </c>
      <c r="J329" s="28" t="s">
        <v>32</v>
      </c>
      <c r="K329" s="28"/>
      <c r="L329" s="28"/>
      <c r="M329" s="97">
        <v>46128</v>
      </c>
      <c r="N329" s="97">
        <v>46227</v>
      </c>
      <c r="O329" s="223" t="str">
        <f t="shared" si="17"/>
        <v xml:space="preserve">Nguyễn Hải Nam, , </v>
      </c>
    </row>
    <row r="330" spans="1:15">
      <c r="A330" s="28" t="str">
        <f>"3."&amp;D330&amp;"."&amp;B330</f>
        <v>3.N.HCM.CGIO.VSC.304</v>
      </c>
      <c r="B330" s="28" t="str">
        <f>TEXT(COUNTIFS($C$3:C330,C330,$D$3:D330,D330,$F$3:F330,F330)+IF(F330="KT",100,IF(F330="KC",200,IF(F330="DI",300,IF(F330="DN",400,IF(F330="NU",500,IF(F330="DH",600,IF(F330="PC",700,0))))))),"000")</f>
        <v>304</v>
      </c>
      <c r="C330" s="28" t="s">
        <v>10</v>
      </c>
      <c r="D330" s="100" t="s">
        <v>300</v>
      </c>
      <c r="E330" s="28" t="s">
        <v>307</v>
      </c>
      <c r="F330" s="87" t="s">
        <v>140</v>
      </c>
      <c r="G330" s="6" t="s">
        <v>23</v>
      </c>
      <c r="H330" s="6" t="s">
        <v>116</v>
      </c>
      <c r="I330" s="82" t="s">
        <v>63</v>
      </c>
      <c r="J330" s="20" t="s">
        <v>160</v>
      </c>
      <c r="K330" s="20"/>
      <c r="L330" s="20"/>
      <c r="M330" s="96">
        <v>46156</v>
      </c>
      <c r="N330" s="96">
        <v>46295</v>
      </c>
      <c r="O330" s="223" t="str">
        <f t="shared" si="17"/>
        <v xml:space="preserve">Ngô Tuấn Vũ, , </v>
      </c>
    </row>
    <row r="331" spans="1:15">
      <c r="A331" s="28" t="str">
        <f>"3."&amp;D331&amp;"."&amp;B331</f>
        <v>3.N.HCM.CGIO.VSC.404</v>
      </c>
      <c r="B331" s="28" t="str">
        <f>TEXT(COUNTIFS($C$3:C331,C331,$D$3:D331,D331,$F$3:F331,F331)+IF(F331="KT",100,IF(F331="KC",200,IF(F331="DI",300,IF(F331="DN",400,IF(F331="NU",500,IF(F331="DH",600,IF(F331="PC",700,0))))))),"000")</f>
        <v>404</v>
      </c>
      <c r="C331" s="28" t="s">
        <v>10</v>
      </c>
      <c r="D331" s="100" t="s">
        <v>300</v>
      </c>
      <c r="E331" s="28" t="s">
        <v>307</v>
      </c>
      <c r="F331" s="87" t="s">
        <v>148</v>
      </c>
      <c r="G331" s="6" t="s">
        <v>23</v>
      </c>
      <c r="H331" s="6" t="s">
        <v>116</v>
      </c>
      <c r="I331" s="82" t="s">
        <v>63</v>
      </c>
      <c r="J331" s="20" t="s">
        <v>160</v>
      </c>
      <c r="K331" s="20"/>
      <c r="L331" s="20"/>
      <c r="M331" s="96">
        <v>46156</v>
      </c>
      <c r="N331" s="96">
        <v>46295</v>
      </c>
      <c r="O331" s="223" t="str">
        <f t="shared" si="17"/>
        <v xml:space="preserve">Ngô Tuấn Vũ, , </v>
      </c>
    </row>
    <row r="332" spans="1:15">
      <c r="A332" s="28" t="str">
        <f>"3."&amp;D332&amp;"."&amp;B332</f>
        <v>3.N.HCM.CGIO.VSC.504</v>
      </c>
      <c r="B332" s="28" t="str">
        <f>TEXT(COUNTIFS($C$3:C332,C332,$D$3:D332,D332,$F$3:F332,F332)+IF(F332="KT",100,IF(F332="KC",200,IF(F332="DI",300,IF(F332="DN",400,IF(F332="NU",500,IF(F332="DH",600,IF(F332="PC",700,0))))))),"000")</f>
        <v>504</v>
      </c>
      <c r="C332" s="28" t="s">
        <v>10</v>
      </c>
      <c r="D332" s="100" t="s">
        <v>300</v>
      </c>
      <c r="E332" s="28" t="s">
        <v>307</v>
      </c>
      <c r="F332" s="87" t="s">
        <v>154</v>
      </c>
      <c r="G332" s="6" t="s">
        <v>23</v>
      </c>
      <c r="H332" s="6" t="s">
        <v>116</v>
      </c>
      <c r="I332" s="82" t="s">
        <v>63</v>
      </c>
      <c r="J332" s="20" t="s">
        <v>160</v>
      </c>
      <c r="K332" s="20"/>
      <c r="L332" s="20"/>
      <c r="M332" s="96">
        <v>46156</v>
      </c>
      <c r="N332" s="96">
        <v>46295</v>
      </c>
      <c r="O332" s="223" t="str">
        <f t="shared" ref="O332" si="45">J332&amp;", "&amp;K332&amp;", "&amp;L332</f>
        <v xml:space="preserve">Ngô Tuấn Vũ, , </v>
      </c>
    </row>
    <row r="333" spans="1:15">
      <c r="A333" s="28" t="str">
        <f>"3."&amp;D333&amp;"."&amp;B333</f>
        <v>3.N.HCM.CGIO.VSC.604</v>
      </c>
      <c r="B333" s="28" t="str">
        <f>TEXT(COUNTIFS($C$3:C333,C333,$D$3:D333,D333,$F$3:F333,F333)+IF(F333="KT",100,IF(F333="KC",200,IF(F333="DI",300,IF(F333="DN",400,IF(F333="NU",500,IF(F333="DH",600,IF(F333="PC",700,0))))))),"000")</f>
        <v>604</v>
      </c>
      <c r="C333" s="28" t="s">
        <v>10</v>
      </c>
      <c r="D333" s="100" t="s">
        <v>300</v>
      </c>
      <c r="E333" s="28" t="s">
        <v>307</v>
      </c>
      <c r="F333" s="87" t="s">
        <v>164</v>
      </c>
      <c r="G333" s="6" t="s">
        <v>23</v>
      </c>
      <c r="H333" s="6" t="s">
        <v>116</v>
      </c>
      <c r="I333" s="82" t="s">
        <v>63</v>
      </c>
      <c r="J333" s="20" t="s">
        <v>160</v>
      </c>
      <c r="K333" s="20"/>
      <c r="L333" s="20"/>
      <c r="M333" s="96">
        <v>46156</v>
      </c>
      <c r="N333" s="96">
        <v>46295</v>
      </c>
      <c r="O333" s="223" t="str">
        <f t="shared" ref="O333" si="46">J333&amp;", "&amp;K333&amp;", "&amp;L333</f>
        <v xml:space="preserve">Ngô Tuấn Vũ, , </v>
      </c>
    </row>
    <row r="334" spans="1:15">
      <c r="A334" s="28" t="str">
        <f>"3."&amp;D334&amp;"."&amp;B334</f>
        <v>3.N.HCM.CGIO.VSC.704</v>
      </c>
      <c r="B334" s="28" t="str">
        <f>TEXT(COUNTIFS($C$3:C334,C334,$D$3:D334,D334,$F$3:F334,F334)+IF(F334="KT",100,IF(F334="KC",200,IF(F334="DI",300,IF(F334="DN",400,IF(F334="NU",500,IF(F334="DH",600,IF(F334="PC",700,0))))))),"000")</f>
        <v>704</v>
      </c>
      <c r="C334" s="28" t="s">
        <v>10</v>
      </c>
      <c r="D334" s="100" t="s">
        <v>300</v>
      </c>
      <c r="E334" s="28" t="s">
        <v>307</v>
      </c>
      <c r="F334" s="87" t="s">
        <v>159</v>
      </c>
      <c r="G334" s="6" t="s">
        <v>23</v>
      </c>
      <c r="H334" s="6" t="s">
        <v>116</v>
      </c>
      <c r="I334" s="82" t="s">
        <v>63</v>
      </c>
      <c r="J334" s="20" t="s">
        <v>160</v>
      </c>
      <c r="K334" s="20"/>
      <c r="L334" s="20"/>
      <c r="M334" s="96">
        <v>46156</v>
      </c>
      <c r="N334" s="96">
        <v>46295</v>
      </c>
      <c r="O334" s="223" t="str">
        <f t="shared" si="17"/>
        <v xml:space="preserve">Ngô Tuấn Vũ, , </v>
      </c>
    </row>
    <row r="335" spans="1:15">
      <c r="A335" s="28" t="str">
        <f>"3."&amp;D335&amp;"."&amp;B335</f>
        <v>3.N.HCM.Q9.VP.101</v>
      </c>
      <c r="B335" s="28" t="str">
        <f>TEXT(COUNTIFS($C$3:C335,C335,$D$3:D335,D335,$F$3:F335,F335)+IF(F335="KT",100,IF(F335="KC",200,IF(F335="DI",300,IF(F335="DN",400,IF(F335="NU",500,IF(F335="DH",600,IF(F335="PC",700,0))))))),"000")</f>
        <v>101</v>
      </c>
      <c r="C335" s="28" t="s">
        <v>10</v>
      </c>
      <c r="D335" s="100" t="s">
        <v>308</v>
      </c>
      <c r="E335" s="28" t="s">
        <v>309</v>
      </c>
      <c r="F335" s="88" t="s">
        <v>123</v>
      </c>
      <c r="G335" s="82" t="s">
        <v>28</v>
      </c>
      <c r="H335" s="20" t="s">
        <v>116</v>
      </c>
      <c r="I335" s="82" t="s">
        <v>63</v>
      </c>
      <c r="J335" s="20" t="s">
        <v>31</v>
      </c>
      <c r="K335" s="20"/>
      <c r="L335" s="20"/>
      <c r="M335" s="96">
        <v>46171</v>
      </c>
      <c r="N335" s="96">
        <v>46174</v>
      </c>
      <c r="O335" s="223" t="str">
        <f t="shared" si="17"/>
        <v xml:space="preserve">Lý Huy Thành, , </v>
      </c>
    </row>
    <row r="336" spans="1:15">
      <c r="A336" s="28" t="str">
        <f>"3."&amp;D336&amp;"."&amp;B336</f>
        <v>3.N.HCM.Q9.VP.102</v>
      </c>
      <c r="B336" s="28" t="str">
        <f>TEXT(COUNTIFS($C$3:C336,C336,$D$3:D336,D336,$F$3:F336,F336)+IF(F336="KT",100,IF(F336="KC",200,IF(F336="DI",300,IF(F336="DN",400,IF(F336="NU",500,IF(F336="DH",600,IF(F336="PC",700,0))))))),"000")</f>
        <v>102</v>
      </c>
      <c r="C336" s="28" t="s">
        <v>10</v>
      </c>
      <c r="D336" s="100" t="s">
        <v>308</v>
      </c>
      <c r="E336" s="28" t="s">
        <v>309</v>
      </c>
      <c r="F336" s="88" t="s">
        <v>123</v>
      </c>
      <c r="G336" s="82" t="s">
        <v>27</v>
      </c>
      <c r="H336" s="20" t="s">
        <v>116</v>
      </c>
      <c r="I336" s="82" t="s">
        <v>63</v>
      </c>
      <c r="J336" s="20" t="s">
        <v>31</v>
      </c>
      <c r="K336" s="20"/>
      <c r="L336" s="20"/>
      <c r="M336" s="96">
        <v>46171</v>
      </c>
      <c r="N336" s="96">
        <v>46174</v>
      </c>
      <c r="O336" s="223" t="str">
        <f t="shared" si="17"/>
        <v xml:space="preserve">Lý Huy Thành, , </v>
      </c>
    </row>
    <row r="337" spans="1:15">
      <c r="A337" s="28" t="str">
        <f>"3."&amp;D337&amp;"."&amp;B337</f>
        <v>3.N.HCM.Q9.VP.201</v>
      </c>
      <c r="B337" s="28" t="str">
        <f>TEXT(COUNTIFS($C$3:C337,C337,$D$3:D337,D337,$F$3:F337,F337)+IF(F337="KT",100,IF(F337="KC",200,IF(F337="DI",300,IF(F337="DN",400,IF(F337="NU",500,IF(F337="DH",600,IF(F337="PC",700,0))))))),"000")</f>
        <v>201</v>
      </c>
      <c r="C337" s="28" t="s">
        <v>10</v>
      </c>
      <c r="D337" s="100" t="s">
        <v>308</v>
      </c>
      <c r="E337" s="28" t="s">
        <v>309</v>
      </c>
      <c r="F337" s="88" t="s">
        <v>132</v>
      </c>
      <c r="G337" s="82" t="s">
        <v>28</v>
      </c>
      <c r="H337" s="20" t="s">
        <v>116</v>
      </c>
      <c r="I337" s="82" t="s">
        <v>63</v>
      </c>
      <c r="J337" s="20" t="s">
        <v>32</v>
      </c>
      <c r="K337" s="20"/>
      <c r="L337" s="20"/>
      <c r="M337" s="97">
        <v>46171</v>
      </c>
      <c r="N337" s="97">
        <v>46174</v>
      </c>
      <c r="O337" s="223" t="str">
        <f t="shared" si="17"/>
        <v xml:space="preserve">Nguyễn Hải Nam, , </v>
      </c>
    </row>
    <row r="338" spans="1:15">
      <c r="A338" s="28" t="str">
        <f>"3."&amp;D338&amp;"."&amp;B338</f>
        <v>3.N.HCM.Q9.VP.202</v>
      </c>
      <c r="B338" s="28" t="str">
        <f>TEXT(COUNTIFS($C$3:C338,C338,$D$3:D338,D338,$F$3:F338,F338)+IF(F338="KT",100,IF(F338="KC",200,IF(F338="DI",300,IF(F338="DN",400,IF(F338="NU",500,IF(F338="DH",600,IF(F338="PC",700,0))))))),"000")</f>
        <v>202</v>
      </c>
      <c r="C338" s="28" t="s">
        <v>10</v>
      </c>
      <c r="D338" s="100" t="s">
        <v>308</v>
      </c>
      <c r="E338" s="28" t="s">
        <v>309</v>
      </c>
      <c r="F338" s="88" t="s">
        <v>132</v>
      </c>
      <c r="G338" s="82" t="s">
        <v>27</v>
      </c>
      <c r="H338" s="82" t="s">
        <v>116</v>
      </c>
      <c r="I338" s="82" t="s">
        <v>63</v>
      </c>
      <c r="J338" s="20" t="s">
        <v>32</v>
      </c>
      <c r="K338" s="20"/>
      <c r="L338" s="20"/>
      <c r="M338" s="97">
        <v>46171</v>
      </c>
      <c r="N338" s="97">
        <v>46174</v>
      </c>
      <c r="O338" s="223" t="str">
        <f t="shared" si="17"/>
        <v xml:space="preserve">Nguyễn Hải Nam, , </v>
      </c>
    </row>
    <row r="339" spans="1:15">
      <c r="A339" s="28" t="str">
        <f>"3."&amp;D339&amp;"."&amp;B339</f>
        <v>3.N.HCM.Q9.VP.301</v>
      </c>
      <c r="B339" s="28" t="str">
        <f>TEXT(COUNTIFS($C$3:C339,C339,$D$3:D339,D339,$F$3:F339,F339)+IF(F339="KT",100,IF(F339="KC",200,IF(F339="DI",300,IF(F339="DN",400,IF(F339="NU",500,IF(F339="DH",600,IF(F339="PC",700,0))))))),"000")</f>
        <v>301</v>
      </c>
      <c r="C339" s="28" t="s">
        <v>10</v>
      </c>
      <c r="D339" s="100" t="s">
        <v>308</v>
      </c>
      <c r="E339" s="28" t="s">
        <v>309</v>
      </c>
      <c r="F339" s="87" t="s">
        <v>140</v>
      </c>
      <c r="G339" s="82" t="s">
        <v>28</v>
      </c>
      <c r="H339" s="82" t="s">
        <v>116</v>
      </c>
      <c r="I339" s="82" t="s">
        <v>63</v>
      </c>
      <c r="J339" s="20" t="s">
        <v>180</v>
      </c>
      <c r="K339" s="20"/>
      <c r="L339" s="20"/>
      <c r="M339" s="97">
        <v>46174</v>
      </c>
      <c r="N339" s="97">
        <v>46174</v>
      </c>
      <c r="O339" s="223" t="str">
        <f t="shared" si="17"/>
        <v xml:space="preserve">Phan Trường Giang, , </v>
      </c>
    </row>
    <row r="340" spans="1:15">
      <c r="A340" s="28" t="str">
        <f>"3."&amp;D340&amp;"."&amp;B340</f>
        <v>3.N.HCM.Q9.VP.401</v>
      </c>
      <c r="B340" s="28" t="str">
        <f>TEXT(COUNTIFS($C$3:C340,C340,$D$3:D340,D340,$F$3:F340,F340)+IF(F340="KT",100,IF(F340="KC",200,IF(F340="DI",300,IF(F340="DN",400,IF(F340="NU",500,IF(F340="DH",600,IF(F340="PC",700,0))))))),"000")</f>
        <v>401</v>
      </c>
      <c r="C340" s="28" t="s">
        <v>10</v>
      </c>
      <c r="D340" s="100" t="s">
        <v>308</v>
      </c>
      <c r="E340" s="28" t="s">
        <v>309</v>
      </c>
      <c r="F340" s="87" t="s">
        <v>148</v>
      </c>
      <c r="G340" s="82" t="s">
        <v>28</v>
      </c>
      <c r="H340" s="82" t="s">
        <v>116</v>
      </c>
      <c r="I340" s="82" t="s">
        <v>63</v>
      </c>
      <c r="J340" s="20" t="s">
        <v>180</v>
      </c>
      <c r="K340" s="20"/>
      <c r="L340" s="20"/>
      <c r="M340" s="97">
        <v>46174</v>
      </c>
      <c r="N340" s="97">
        <v>46174</v>
      </c>
      <c r="O340" s="223" t="str">
        <f t="shared" si="17"/>
        <v xml:space="preserve">Phan Trường Giang, , </v>
      </c>
    </row>
    <row r="341" spans="1:15">
      <c r="A341" s="28" t="str">
        <f>"3."&amp;D341&amp;"."&amp;B341</f>
        <v>3.N.HCM.Q9.VP.501</v>
      </c>
      <c r="B341" s="28" t="str">
        <f>TEXT(COUNTIFS($C$3:C341,C341,$D$3:D341,D341,$F$3:F341,F341)+IF(F341="KT",100,IF(F341="KC",200,IF(F341="DI",300,IF(F341="DN",400,IF(F341="NU",500,IF(F341="DH",600,IF(F341="PC",700,0))))))),"000")</f>
        <v>501</v>
      </c>
      <c r="C341" s="28" t="s">
        <v>10</v>
      </c>
      <c r="D341" s="100" t="s">
        <v>308</v>
      </c>
      <c r="E341" s="28" t="s">
        <v>309</v>
      </c>
      <c r="F341" s="87" t="s">
        <v>154</v>
      </c>
      <c r="G341" s="82" t="s">
        <v>28</v>
      </c>
      <c r="H341" s="82" t="s">
        <v>116</v>
      </c>
      <c r="I341" s="82" t="s">
        <v>63</v>
      </c>
      <c r="J341" s="20" t="s">
        <v>165</v>
      </c>
      <c r="K341" s="20"/>
      <c r="L341" s="20"/>
      <c r="M341" s="97">
        <v>46174</v>
      </c>
      <c r="N341" s="97">
        <v>46174</v>
      </c>
      <c r="O341" s="223" t="str">
        <f t="shared" ref="O341" si="47">J341&amp;", "&amp;K341&amp;", "&amp;L341</f>
        <v xml:space="preserve">Nguyễn Văn Hải, , </v>
      </c>
    </row>
    <row r="342" spans="1:15">
      <c r="A342" s="28" t="str">
        <f>"3."&amp;D342&amp;"."&amp;B342</f>
        <v>3.N.HCM.Q9.VP.601</v>
      </c>
      <c r="B342" s="28" t="str">
        <f>TEXT(COUNTIFS($C$3:C342,C342,$D$3:D342,D342,$F$3:F342,F342)+IF(F342="KT",100,IF(F342="KC",200,IF(F342="DI",300,IF(F342="DN",400,IF(F342="NU",500,IF(F342="DH",600,IF(F342="PC",700,0))))))),"000")</f>
        <v>601</v>
      </c>
      <c r="C342" s="28" t="s">
        <v>10</v>
      </c>
      <c r="D342" s="100" t="s">
        <v>308</v>
      </c>
      <c r="E342" s="28" t="s">
        <v>309</v>
      </c>
      <c r="F342" s="87" t="s">
        <v>164</v>
      </c>
      <c r="G342" s="82" t="s">
        <v>28</v>
      </c>
      <c r="H342" s="82" t="s">
        <v>116</v>
      </c>
      <c r="I342" s="82" t="s">
        <v>63</v>
      </c>
      <c r="J342" s="20" t="s">
        <v>175</v>
      </c>
      <c r="K342" s="20"/>
      <c r="L342" s="20"/>
      <c r="M342" s="97">
        <v>46174</v>
      </c>
      <c r="N342" s="97">
        <v>46174</v>
      </c>
      <c r="O342" s="223" t="str">
        <f t="shared" ref="O342" si="48">J342&amp;", "&amp;K342&amp;", "&amp;L342</f>
        <v xml:space="preserve">Đặng Thái Sơn, , </v>
      </c>
    </row>
    <row r="343" spans="1:15">
      <c r="A343" s="28" t="str">
        <f>"3."&amp;D343&amp;"."&amp;B343</f>
        <v>3.N.HCM.Q9.VP.701</v>
      </c>
      <c r="B343" s="28" t="str">
        <f>TEXT(COUNTIFS($C$3:C343,C343,$D$3:D343,D343,$F$3:F343,F343)+IF(F343="KT",100,IF(F343="KC",200,IF(F343="DI",300,IF(F343="DN",400,IF(F343="NU",500,IF(F343="DH",600,IF(F343="PC",700,0))))))),"000")</f>
        <v>701</v>
      </c>
      <c r="C343" s="28" t="s">
        <v>10</v>
      </c>
      <c r="D343" s="100" t="s">
        <v>308</v>
      </c>
      <c r="E343" s="28" t="s">
        <v>309</v>
      </c>
      <c r="F343" s="87" t="s">
        <v>159</v>
      </c>
      <c r="G343" s="82" t="s">
        <v>27</v>
      </c>
      <c r="H343" s="6" t="s">
        <v>116</v>
      </c>
      <c r="I343" s="82" t="s">
        <v>63</v>
      </c>
      <c r="J343" s="20" t="s">
        <v>160</v>
      </c>
      <c r="K343" s="20"/>
      <c r="L343" s="20"/>
      <c r="M343" s="97">
        <v>46174</v>
      </c>
      <c r="N343" s="97">
        <v>46183</v>
      </c>
      <c r="O343" s="223" t="str">
        <f t="shared" si="17"/>
        <v xml:space="preserve">Ngô Tuấn Vũ, , </v>
      </c>
    </row>
    <row r="344" spans="1:15">
      <c r="A344" s="28" t="str">
        <f>"3."&amp;D344&amp;"."&amp;B344</f>
        <v>3.N.HCM.Q9.VP.602</v>
      </c>
      <c r="B344" s="28" t="str">
        <f>TEXT(COUNTIFS($C$3:C344,C344,$D$3:D344,D344,$F$3:F344,F344)+IF(F344="KT",100,IF(F344="KC",200,IF(F344="DI",300,IF(F344="DN",400,IF(F344="NU",500,IF(F344="DH",600,IF(F344="PC",700,0))))))),"000")</f>
        <v>602</v>
      </c>
      <c r="C344" s="28" t="s">
        <v>10</v>
      </c>
      <c r="D344" s="100" t="s">
        <v>308</v>
      </c>
      <c r="E344" s="28" t="s">
        <v>309</v>
      </c>
      <c r="F344" s="87" t="s">
        <v>164</v>
      </c>
      <c r="G344" s="82" t="s">
        <v>27</v>
      </c>
      <c r="H344" s="6" t="s">
        <v>116</v>
      </c>
      <c r="I344" s="82" t="s">
        <v>63</v>
      </c>
      <c r="J344" s="20" t="s">
        <v>175</v>
      </c>
      <c r="K344" s="20"/>
      <c r="L344" s="20"/>
      <c r="M344" s="97">
        <v>46175</v>
      </c>
      <c r="N344" s="97">
        <v>46183</v>
      </c>
      <c r="O344" s="223" t="str">
        <f>J344&amp;", "&amp;K344&amp;", "&amp;L344</f>
        <v xml:space="preserve">Đặng Thái Sơn, , </v>
      </c>
    </row>
    <row r="345" spans="1:15">
      <c r="A345" s="28" t="str">
        <f>"3."&amp;D345&amp;"."&amp;B345</f>
        <v>3.N.HCM.Q9.VP.603</v>
      </c>
      <c r="B345" s="28" t="str">
        <f>TEXT(COUNTIFS($C$3:C345,C345,$D$3:D345,D345,$F$3:F345,F345)+IF(F345="KT",100,IF(F345="KC",200,IF(F345="DI",300,IF(F345="DN",400,IF(F345="NU",500,IF(F345="DH",600,IF(F345="PC",700,0))))))),"000")</f>
        <v>603</v>
      </c>
      <c r="C345" s="28" t="s">
        <v>10</v>
      </c>
      <c r="D345" s="100" t="s">
        <v>308</v>
      </c>
      <c r="E345" s="28" t="s">
        <v>309</v>
      </c>
      <c r="F345" s="87" t="s">
        <v>164</v>
      </c>
      <c r="G345" s="82" t="s">
        <v>28</v>
      </c>
      <c r="H345" s="6" t="s">
        <v>116</v>
      </c>
      <c r="I345" s="82" t="s">
        <v>63</v>
      </c>
      <c r="J345" s="20" t="s">
        <v>175</v>
      </c>
      <c r="K345" s="20"/>
      <c r="L345" s="20"/>
      <c r="M345" s="97">
        <v>46175</v>
      </c>
      <c r="N345" s="97">
        <v>46183</v>
      </c>
      <c r="O345" s="223" t="str">
        <f>J345&amp;", "&amp;K345&amp;", "&amp;L345</f>
        <v xml:space="preserve">Đặng Thái Sơn, , </v>
      </c>
    </row>
    <row r="346" spans="1:15">
      <c r="A346" s="28" t="str">
        <f>"3."&amp;D346&amp;"."&amp;B346</f>
        <v>3.N.HCM.Q9.VSC.THCS.101</v>
      </c>
      <c r="B346" s="28" t="str">
        <f>TEXT(COUNTIFS($C$3:C346,C346,$D$3:D346,D346,$F$3:F346,F346)+IF(F346="KT",100,IF(F346="KC",200,IF(F346="DI",300,IF(F346="DN",400,IF(F346="NU",500,IF(F346="DH",600,IF(F346="PC",700,0))))))),"000")</f>
        <v>101</v>
      </c>
      <c r="C346" s="28" t="s">
        <v>10</v>
      </c>
      <c r="D346" s="100" t="s">
        <v>311</v>
      </c>
      <c r="E346" s="28" t="s">
        <v>312</v>
      </c>
      <c r="F346" s="88" t="s">
        <v>123</v>
      </c>
      <c r="G346" s="6" t="s">
        <v>23</v>
      </c>
      <c r="H346" s="20" t="s">
        <v>116</v>
      </c>
      <c r="I346" s="82" t="s">
        <v>63</v>
      </c>
      <c r="J346" s="28" t="s">
        <v>35</v>
      </c>
      <c r="K346" s="28"/>
      <c r="L346" s="28"/>
      <c r="M346" s="97">
        <v>46000</v>
      </c>
      <c r="N346" s="97">
        <v>46183</v>
      </c>
      <c r="O346" s="223" t="str">
        <f t="shared" si="17"/>
        <v xml:space="preserve">Đặng Minh Quang, , </v>
      </c>
    </row>
    <row r="347" spans="1:15">
      <c r="A347" s="28" t="str">
        <f>"3."&amp;D347&amp;"."&amp;B347</f>
        <v>3.N.HCM.Q9.VSC.THCS.201</v>
      </c>
      <c r="B347" s="28" t="str">
        <f>TEXT(COUNTIFS($C$3:C347,C347,$D$3:D347,D347,$F$3:F347,F347)+IF(F347="KT",100,IF(F347="KC",200,IF(F347="DI",300,IF(F347="DN",400,IF(F347="NU",500,IF(F347="DH",600,IF(F347="PC",700,0))))))),"000")</f>
        <v>201</v>
      </c>
      <c r="C347" s="28" t="s">
        <v>10</v>
      </c>
      <c r="D347" s="100" t="s">
        <v>311</v>
      </c>
      <c r="E347" s="28" t="s">
        <v>312</v>
      </c>
      <c r="F347" s="88" t="s">
        <v>132</v>
      </c>
      <c r="G347" s="6" t="s">
        <v>23</v>
      </c>
      <c r="H347" s="20" t="s">
        <v>116</v>
      </c>
      <c r="I347" s="82" t="s">
        <v>63</v>
      </c>
      <c r="J347" s="28" t="s">
        <v>35</v>
      </c>
      <c r="K347" s="28"/>
      <c r="L347" s="28"/>
      <c r="M347" s="96">
        <v>46000</v>
      </c>
      <c r="N347" s="96">
        <v>46183</v>
      </c>
      <c r="O347" s="223" t="str">
        <f t="shared" si="17"/>
        <v xml:space="preserve">Đặng Minh Quang, , </v>
      </c>
    </row>
    <row r="348" spans="1:15">
      <c r="A348" s="28" t="str">
        <f>"3."&amp;D348&amp;"."&amp;B348</f>
        <v>3.N.HCM.Q9.VSC.THCS.301</v>
      </c>
      <c r="B348" s="28" t="str">
        <f>TEXT(COUNTIFS($C$3:C348,C348,$D$3:D348,D348,$F$3:F348,F348)+IF(F348="KT",100,IF(F348="KC",200,IF(F348="DI",300,IF(F348="DN",400,IF(F348="NU",500,IF(F348="DH",600,IF(F348="PC",700,0))))))),"000")</f>
        <v>301</v>
      </c>
      <c r="C348" s="28" t="s">
        <v>10</v>
      </c>
      <c r="D348" s="100" t="s">
        <v>311</v>
      </c>
      <c r="E348" s="28" t="s">
        <v>312</v>
      </c>
      <c r="F348" s="87" t="s">
        <v>140</v>
      </c>
      <c r="G348" s="20" t="s">
        <v>23</v>
      </c>
      <c r="H348" s="6" t="s">
        <v>116</v>
      </c>
      <c r="I348" s="28" t="s">
        <v>63</v>
      </c>
      <c r="J348" s="20" t="s">
        <v>180</v>
      </c>
      <c r="K348" s="20"/>
      <c r="L348" s="20"/>
      <c r="M348" s="96">
        <v>46059</v>
      </c>
      <c r="N348" s="96">
        <v>46183</v>
      </c>
      <c r="O348" s="223" t="str">
        <f t="shared" si="17"/>
        <v xml:space="preserve">Phan Trường Giang, , </v>
      </c>
    </row>
    <row r="349" spans="1:15">
      <c r="A349" s="28" t="str">
        <f>"3."&amp;D349&amp;"."&amp;B349</f>
        <v>3.N.HCM.Q9.VSC.THCS.401</v>
      </c>
      <c r="B349" s="28" t="str">
        <f>TEXT(COUNTIFS($C$3:C349,C349,$D$3:D349,D349,$F$3:F349,F349)+IF(F349="KT",100,IF(F349="KC",200,IF(F349="DI",300,IF(F349="DN",400,IF(F349="NU",500,IF(F349="DH",600,IF(F349="PC",700,0))))))),"000")</f>
        <v>401</v>
      </c>
      <c r="C349" s="28" t="s">
        <v>10</v>
      </c>
      <c r="D349" s="100" t="s">
        <v>311</v>
      </c>
      <c r="E349" s="28" t="s">
        <v>312</v>
      </c>
      <c r="F349" s="87" t="s">
        <v>148</v>
      </c>
      <c r="G349" s="20" t="s">
        <v>23</v>
      </c>
      <c r="H349" s="6" t="s">
        <v>116</v>
      </c>
      <c r="I349" s="28" t="s">
        <v>63</v>
      </c>
      <c r="J349" s="20" t="s">
        <v>180</v>
      </c>
      <c r="K349" s="20"/>
      <c r="L349" s="20"/>
      <c r="M349" s="96">
        <v>46059</v>
      </c>
      <c r="N349" s="96">
        <v>46183</v>
      </c>
      <c r="O349" s="223" t="str">
        <f t="shared" si="17"/>
        <v xml:space="preserve">Phan Trường Giang, , </v>
      </c>
    </row>
    <row r="350" spans="1:15">
      <c r="A350" s="28" t="str">
        <f>"3."&amp;D350&amp;"."&amp;B350</f>
        <v>3.N.HCM.Q9.VSC.THCS.501</v>
      </c>
      <c r="B350" s="28" t="str">
        <f>TEXT(COUNTIFS($C$3:C350,C350,$D$3:D350,D350,$F$3:F350,F350)+IF(F350="KT",100,IF(F350="KC",200,IF(F350="DI",300,IF(F350="DN",400,IF(F350="NU",500,IF(F350="DH",600,IF(F350="PC",700,0))))))),"000")</f>
        <v>501</v>
      </c>
      <c r="C350" s="28" t="s">
        <v>10</v>
      </c>
      <c r="D350" s="100" t="s">
        <v>311</v>
      </c>
      <c r="E350" s="28" t="s">
        <v>312</v>
      </c>
      <c r="F350" s="87" t="s">
        <v>154</v>
      </c>
      <c r="G350" s="20" t="s">
        <v>23</v>
      </c>
      <c r="H350" s="6" t="s">
        <v>116</v>
      </c>
      <c r="I350" s="28" t="s">
        <v>63</v>
      </c>
      <c r="J350" s="20" t="s">
        <v>180</v>
      </c>
      <c r="K350" s="20"/>
      <c r="L350" s="20"/>
      <c r="M350" s="96">
        <v>46059</v>
      </c>
      <c r="N350" s="96">
        <v>46183</v>
      </c>
      <c r="O350" s="223" t="str">
        <f t="shared" ref="O350" si="49">J350&amp;", "&amp;K350&amp;", "&amp;L350</f>
        <v xml:space="preserve">Phan Trường Giang, , </v>
      </c>
    </row>
    <row r="351" spans="1:15">
      <c r="A351" s="28" t="str">
        <f>"3."&amp;D351&amp;"."&amp;B351</f>
        <v>3.N.HCM.Q9.VSC.THCS.601</v>
      </c>
      <c r="B351" s="28" t="str">
        <f>TEXT(COUNTIFS($C$3:C351,C351,$D$3:D351,D351,$F$3:F351,F351)+IF(F351="KT",100,IF(F351="KC",200,IF(F351="DI",300,IF(F351="DN",400,IF(F351="NU",500,IF(F351="DH",600,IF(F351="PC",700,0))))))),"000")</f>
        <v>601</v>
      </c>
      <c r="C351" s="28" t="s">
        <v>10</v>
      </c>
      <c r="D351" s="100" t="s">
        <v>311</v>
      </c>
      <c r="E351" s="28" t="s">
        <v>312</v>
      </c>
      <c r="F351" s="87" t="s">
        <v>164</v>
      </c>
      <c r="G351" s="20" t="s">
        <v>23</v>
      </c>
      <c r="H351" s="6" t="s">
        <v>116</v>
      </c>
      <c r="I351" s="28" t="s">
        <v>63</v>
      </c>
      <c r="J351" s="20" t="s">
        <v>180</v>
      </c>
      <c r="K351" s="20"/>
      <c r="L351" s="20"/>
      <c r="M351" s="96">
        <v>46059</v>
      </c>
      <c r="N351" s="96">
        <v>46183</v>
      </c>
      <c r="O351" s="223" t="str">
        <f t="shared" ref="O351" si="50">J351&amp;", "&amp;K351&amp;", "&amp;L351</f>
        <v xml:space="preserve">Phan Trường Giang, , </v>
      </c>
    </row>
    <row r="352" spans="1:15">
      <c r="A352" s="28" t="str">
        <f>"3."&amp;D352&amp;"."&amp;B352</f>
        <v>3.N.HCM.Q9.VSC.THCS.701</v>
      </c>
      <c r="B352" s="28" t="str">
        <f>TEXT(COUNTIFS($C$3:C352,C352,$D$3:D352,D352,$F$3:F352,F352)+IF(F352="KT",100,IF(F352="KC",200,IF(F352="DI",300,IF(F352="DN",400,IF(F352="NU",500,IF(F352="DH",600,IF(F352="PC",700,0))))))),"000")</f>
        <v>701</v>
      </c>
      <c r="C352" s="28" t="s">
        <v>10</v>
      </c>
      <c r="D352" s="100" t="s">
        <v>311</v>
      </c>
      <c r="E352" s="28" t="s">
        <v>312</v>
      </c>
      <c r="F352" s="87" t="s">
        <v>159</v>
      </c>
      <c r="G352" s="20" t="s">
        <v>23</v>
      </c>
      <c r="H352" s="6" t="s">
        <v>116</v>
      </c>
      <c r="I352" s="28" t="s">
        <v>63</v>
      </c>
      <c r="J352" s="20" t="s">
        <v>180</v>
      </c>
      <c r="K352" s="20"/>
      <c r="L352" s="20"/>
      <c r="M352" s="96">
        <v>46059</v>
      </c>
      <c r="N352" s="96">
        <v>46183</v>
      </c>
      <c r="O352" s="223" t="str">
        <f t="shared" si="17"/>
        <v xml:space="preserve">Phan Trường Giang, , </v>
      </c>
    </row>
    <row r="353" spans="1:15">
      <c r="A353" s="28" t="str">
        <f>"3."&amp;D353&amp;"."&amp;B353</f>
        <v>3.N.TNI.HNLA.VSC.101</v>
      </c>
      <c r="B353" s="28" t="str">
        <f>TEXT(COUNTIFS($C$3:C353,C353,$D$3:D353,D353,$F$3:F353,F353)+IF(F353="KT",100,IF(F353="KC",200,IF(F353="DI",300,IF(F353="DN",400,IF(F353="NU",500,IF(F353="DH",600,IF(F353="PC",700,0))))))),"000")</f>
        <v>101</v>
      </c>
      <c r="C353" s="28" t="s">
        <v>10</v>
      </c>
      <c r="D353" s="100" t="s">
        <v>314</v>
      </c>
      <c r="E353" s="28" t="s">
        <v>315</v>
      </c>
      <c r="F353" s="88" t="s">
        <v>123</v>
      </c>
      <c r="G353" s="20" t="s">
        <v>23</v>
      </c>
      <c r="H353" s="20" t="s">
        <v>116</v>
      </c>
      <c r="I353" s="28" t="s">
        <v>63</v>
      </c>
      <c r="J353" s="28" t="s">
        <v>32</v>
      </c>
      <c r="K353" s="28"/>
      <c r="L353" s="28"/>
      <c r="M353" s="96">
        <v>45996</v>
      </c>
      <c r="N353" s="96">
        <v>46188</v>
      </c>
      <c r="O353" s="223" t="str">
        <f t="shared" si="17"/>
        <v xml:space="preserve">Nguyễn Hải Nam, , </v>
      </c>
    </row>
    <row r="354" spans="1:15">
      <c r="A354" s="28" t="str">
        <f>"3."&amp;D354&amp;"."&amp;B354</f>
        <v>3.N.TNI.HNLA.VSC.201</v>
      </c>
      <c r="B354" s="28" t="str">
        <f>TEXT(COUNTIFS($C$3:C354,C354,$D$3:D354,D354,$F$3:F354,F354)+IF(F354="KT",100,IF(F354="KC",200,IF(F354="DI",300,IF(F354="DN",400,IF(F354="NU",500,IF(F354="DH",600,IF(F354="PC",700,0))))))),"000")</f>
        <v>201</v>
      </c>
      <c r="C354" s="28" t="s">
        <v>10</v>
      </c>
      <c r="D354" s="100" t="s">
        <v>314</v>
      </c>
      <c r="E354" s="28" t="s">
        <v>315</v>
      </c>
      <c r="F354" s="88" t="s">
        <v>132</v>
      </c>
      <c r="G354" s="20" t="s">
        <v>23</v>
      </c>
      <c r="H354" s="20" t="s">
        <v>116</v>
      </c>
      <c r="I354" s="28" t="s">
        <v>63</v>
      </c>
      <c r="J354" s="28" t="s">
        <v>32</v>
      </c>
      <c r="K354" s="28"/>
      <c r="L354" s="28"/>
      <c r="M354" s="96">
        <v>45996</v>
      </c>
      <c r="N354" s="96">
        <v>46188</v>
      </c>
      <c r="O354" s="223" t="str">
        <f t="shared" si="17"/>
        <v xml:space="preserve">Nguyễn Hải Nam, , </v>
      </c>
    </row>
    <row r="355" spans="1:15">
      <c r="A355" s="28" t="str">
        <f>"3."&amp;D355&amp;"."&amp;B355</f>
        <v>3.T.DAN.LVDN.KS.101</v>
      </c>
      <c r="B355" s="28" t="str">
        <f>TEXT(COUNTIFS($C$3:C355,C355,$D$3:D355,D355,$F$3:F355,F355)+IF(F355="KT",100,IF(F355="KC",200,IF(F355="DI",300,IF(F355="DN",400,IF(F355="NU",500,IF(F355="DH",600,IF(F355="PC",700,0))))))),"000")</f>
        <v>101</v>
      </c>
      <c r="C355" s="28" t="s">
        <v>10</v>
      </c>
      <c r="D355" s="100" t="s">
        <v>317</v>
      </c>
      <c r="E355" s="28" t="s">
        <v>318</v>
      </c>
      <c r="F355" s="88" t="s">
        <v>123</v>
      </c>
      <c r="G355" s="6" t="s">
        <v>128</v>
      </c>
      <c r="H355" s="6" t="s">
        <v>116</v>
      </c>
      <c r="I355" s="28" t="s">
        <v>63</v>
      </c>
      <c r="J355" s="20" t="s">
        <v>155</v>
      </c>
      <c r="K355" s="20" t="s">
        <v>33</v>
      </c>
      <c r="L355" s="20" t="s">
        <v>35</v>
      </c>
      <c r="M355" s="96">
        <v>46193</v>
      </c>
      <c r="N355" s="96">
        <v>46337</v>
      </c>
      <c r="O355" s="223" t="str">
        <f t="shared" si="17"/>
        <v>Vũ Thị Thêu, Đỗ Minh Ngọc, Đặng Minh Quang</v>
      </c>
    </row>
    <row r="356" spans="1:15">
      <c r="A356" s="28" t="str">
        <f>"3."&amp;D356&amp;"."&amp;B356</f>
        <v>3.T.DAN.LVDN.KS.201</v>
      </c>
      <c r="B356" s="28" t="str">
        <f>TEXT(COUNTIFS($C$3:C356,C356,$D$3:D356,D356,$F$3:F356,F356)+IF(F356="KT",100,IF(F356="KC",200,IF(F356="DI",300,IF(F356="DN",400,IF(F356="NU",500,IF(F356="DH",600,IF(F356="PC",700,0))))))),"000")</f>
        <v>201</v>
      </c>
      <c r="C356" s="28" t="s">
        <v>10</v>
      </c>
      <c r="D356" s="100" t="s">
        <v>317</v>
      </c>
      <c r="E356" s="28" t="s">
        <v>318</v>
      </c>
      <c r="F356" s="88" t="s">
        <v>132</v>
      </c>
      <c r="G356" s="6" t="s">
        <v>128</v>
      </c>
      <c r="H356" s="6" t="s">
        <v>116</v>
      </c>
      <c r="I356" s="28" t="s">
        <v>63</v>
      </c>
      <c r="J356" s="20" t="s">
        <v>155</v>
      </c>
      <c r="K356" s="20" t="s">
        <v>33</v>
      </c>
      <c r="L356" s="20" t="s">
        <v>35</v>
      </c>
      <c r="M356" s="96">
        <v>46223</v>
      </c>
      <c r="N356" s="96">
        <v>46315</v>
      </c>
      <c r="O356" s="223" t="str">
        <f t="shared" si="17"/>
        <v>Vũ Thị Thêu, Đỗ Minh Ngọc, Đặng Minh Quang</v>
      </c>
    </row>
    <row r="357" spans="1:15">
      <c r="A357" s="28" t="str">
        <f>"3."&amp;D357&amp;"."&amp;B357</f>
        <v>3.T.HTI.STHT.NOXH.CT.101</v>
      </c>
      <c r="B357" s="28" t="str">
        <f>TEXT(COUNTIFS($C$3:C357,C357,$D$3:D357,D357,$F$3:F357,F357)+IF(F357="KT",100,IF(F357="KC",200,IF(F357="DI",300,IF(F357="DN",400,IF(F357="NU",500,IF(F357="DH",600,IF(F357="PC",700,0))))))),"000")</f>
        <v>101</v>
      </c>
      <c r="C357" s="28" t="s">
        <v>10</v>
      </c>
      <c r="D357" s="100" t="s">
        <v>320</v>
      </c>
      <c r="E357" s="28" t="s">
        <v>323</v>
      </c>
      <c r="F357" s="88" t="s">
        <v>123</v>
      </c>
      <c r="G357" s="20" t="s">
        <v>23</v>
      </c>
      <c r="H357" s="20" t="s">
        <v>116</v>
      </c>
      <c r="I357" s="28" t="s">
        <v>63</v>
      </c>
      <c r="J357" s="28" t="s">
        <v>31</v>
      </c>
      <c r="K357" s="28"/>
      <c r="L357" s="28"/>
      <c r="M357" s="220"/>
      <c r="N357" s="220"/>
      <c r="O357" s="223" t="str">
        <f t="shared" si="17"/>
        <v xml:space="preserve">Lý Huy Thành, , </v>
      </c>
    </row>
    <row r="358" spans="1:15">
      <c r="A358" s="28" t="str">
        <f>"3."&amp;D358&amp;"."&amp;B358</f>
        <v>3.T.HTI.STHT.NOXH.CT.201</v>
      </c>
      <c r="B358" s="28" t="str">
        <f>TEXT(COUNTIFS($C$3:C358,C358,$D$3:D358,D358,$F$3:F358,F358)+IF(F358="KT",100,IF(F358="KC",200,IF(F358="DI",300,IF(F358="DN",400,IF(F358="NU",500,IF(F358="DH",600,IF(F358="PC",700,0))))))),"000")</f>
        <v>201</v>
      </c>
      <c r="C358" s="28" t="s">
        <v>10</v>
      </c>
      <c r="D358" s="100" t="s">
        <v>320</v>
      </c>
      <c r="E358" s="28" t="s">
        <v>323</v>
      </c>
      <c r="F358" s="88" t="s">
        <v>132</v>
      </c>
      <c r="G358" s="20" t="s">
        <v>23</v>
      </c>
      <c r="H358" s="20" t="s">
        <v>116</v>
      </c>
      <c r="I358" s="28" t="s">
        <v>63</v>
      </c>
      <c r="J358" s="28" t="s">
        <v>31</v>
      </c>
      <c r="K358" s="28"/>
      <c r="L358" s="28"/>
      <c r="M358" s="220"/>
      <c r="N358" s="220"/>
      <c r="O358" s="223" t="str">
        <f t="shared" ref="O358:O444" si="51">J358&amp;", "&amp;K358&amp;", "&amp;L358</f>
        <v xml:space="preserve">Lý Huy Thành, , </v>
      </c>
    </row>
    <row r="359" spans="1:15">
      <c r="A359" s="28" t="str">
        <f>"3."&amp;D359&amp;"."&amp;B359</f>
        <v>3.T.HTI.STHT.NOXH.CT.301</v>
      </c>
      <c r="B359" s="28" t="str">
        <f>TEXT(COUNTIFS($C$3:C359,C359,$D$3:D359,D359,$F$3:F359,F359)+IF(F359="KT",100,IF(F359="KC",200,IF(F359="DI",300,IF(F359="DN",400,IF(F359="NU",500,IF(F359="DH",600,IF(F359="PC",700,0))))))),"000")</f>
        <v>301</v>
      </c>
      <c r="C359" s="28" t="s">
        <v>10</v>
      </c>
      <c r="D359" s="100" t="s">
        <v>320</v>
      </c>
      <c r="E359" s="28" t="s">
        <v>323</v>
      </c>
      <c r="F359" s="87" t="s">
        <v>140</v>
      </c>
      <c r="G359" s="20" t="s">
        <v>23</v>
      </c>
      <c r="H359" s="6" t="s">
        <v>116</v>
      </c>
      <c r="I359" s="28" t="s">
        <v>63</v>
      </c>
      <c r="J359" s="20" t="s">
        <v>160</v>
      </c>
      <c r="K359" s="20"/>
      <c r="L359" s="20"/>
      <c r="M359" s="96">
        <v>46153</v>
      </c>
      <c r="N359" s="96">
        <v>46174</v>
      </c>
      <c r="O359" s="223" t="str">
        <f t="shared" si="51"/>
        <v xml:space="preserve">Ngô Tuấn Vũ, , </v>
      </c>
    </row>
    <row r="360" spans="1:15">
      <c r="A360" s="28" t="str">
        <f>"3."&amp;D360&amp;"."&amp;B360</f>
        <v>3.T.HTI.STHT.NOXH.CT.401</v>
      </c>
      <c r="B360" s="28" t="str">
        <f>TEXT(COUNTIFS($C$3:C360,C360,$D$3:D360,D360,$F$3:F360,F360)+IF(F360="KT",100,IF(F360="KC",200,IF(F360="DI",300,IF(F360="DN",400,IF(F360="NU",500,IF(F360="DH",600,IF(F360="PC",700,0))))))),"000")</f>
        <v>401</v>
      </c>
      <c r="C360" s="28" t="s">
        <v>10</v>
      </c>
      <c r="D360" s="100" t="s">
        <v>320</v>
      </c>
      <c r="E360" s="28" t="s">
        <v>323</v>
      </c>
      <c r="F360" s="87" t="s">
        <v>148</v>
      </c>
      <c r="G360" s="20" t="s">
        <v>23</v>
      </c>
      <c r="H360" s="6" t="s">
        <v>116</v>
      </c>
      <c r="I360" s="28" t="s">
        <v>63</v>
      </c>
      <c r="J360" s="20" t="s">
        <v>160</v>
      </c>
      <c r="K360" s="20"/>
      <c r="L360" s="20"/>
      <c r="M360" s="96">
        <v>46153</v>
      </c>
      <c r="N360" s="96">
        <v>46174</v>
      </c>
      <c r="O360" s="223" t="str">
        <f t="shared" si="51"/>
        <v xml:space="preserve">Ngô Tuấn Vũ, , </v>
      </c>
    </row>
    <row r="361" spans="1:15">
      <c r="A361" s="28" t="str">
        <f>"3."&amp;D361&amp;"."&amp;B361</f>
        <v>3.T.HTI.STHT.NOXH.CT.501</v>
      </c>
      <c r="B361" s="28" t="str">
        <f>TEXT(COUNTIFS($C$3:C361,C361,$D$3:D361,D361,$F$3:F361,F361)+IF(F361="KT",100,IF(F361="KC",200,IF(F361="DI",300,IF(F361="DN",400,IF(F361="NU",500,IF(F361="DH",600,IF(F361="PC",700,0))))))),"000")</f>
        <v>501</v>
      </c>
      <c r="C361" s="28" t="s">
        <v>10</v>
      </c>
      <c r="D361" s="100" t="s">
        <v>320</v>
      </c>
      <c r="E361" s="28" t="s">
        <v>323</v>
      </c>
      <c r="F361" s="87" t="s">
        <v>154</v>
      </c>
      <c r="G361" s="20" t="s">
        <v>23</v>
      </c>
      <c r="H361" s="6" t="s">
        <v>116</v>
      </c>
      <c r="I361" s="28" t="s">
        <v>63</v>
      </c>
      <c r="J361" s="20" t="s">
        <v>160</v>
      </c>
      <c r="K361" s="20"/>
      <c r="L361" s="20"/>
      <c r="M361" s="96">
        <v>46153</v>
      </c>
      <c r="N361" s="96">
        <v>46174</v>
      </c>
      <c r="O361" s="223" t="str">
        <f t="shared" si="51"/>
        <v xml:space="preserve">Ngô Tuấn Vũ, , </v>
      </c>
    </row>
    <row r="362" spans="1:15">
      <c r="A362" s="28" t="str">
        <f>"3."&amp;D362&amp;"."&amp;B362</f>
        <v>3.T.HTI.STHT.NOXH.CT.601</v>
      </c>
      <c r="B362" s="28" t="str">
        <f>TEXT(COUNTIFS($C$3:C362,C362,$D$3:D362,D362,$F$3:F362,F362)+IF(F362="KT",100,IF(F362="KC",200,IF(F362="DI",300,IF(F362="DN",400,IF(F362="NU",500,IF(F362="DH",600,IF(F362="PC",700,0))))))),"000")</f>
        <v>601</v>
      </c>
      <c r="C362" s="28" t="s">
        <v>10</v>
      </c>
      <c r="D362" s="100" t="s">
        <v>320</v>
      </c>
      <c r="E362" s="28" t="s">
        <v>323</v>
      </c>
      <c r="F362" s="87" t="s">
        <v>164</v>
      </c>
      <c r="G362" s="20" t="s">
        <v>23</v>
      </c>
      <c r="H362" s="6" t="s">
        <v>116</v>
      </c>
      <c r="I362" s="28" t="s">
        <v>63</v>
      </c>
      <c r="J362" s="20" t="s">
        <v>160</v>
      </c>
      <c r="K362" s="20"/>
      <c r="L362" s="20"/>
      <c r="M362" s="96">
        <v>46153</v>
      </c>
      <c r="N362" s="96">
        <v>46174</v>
      </c>
      <c r="O362" s="223" t="str">
        <f t="shared" ref="O362" si="52">J362&amp;", "&amp;K362&amp;", "&amp;L362</f>
        <v xml:space="preserve">Ngô Tuấn Vũ, , </v>
      </c>
    </row>
    <row r="363" spans="1:15">
      <c r="A363" s="28" t="str">
        <f>"3."&amp;D363&amp;"."&amp;B363</f>
        <v>3.T.HTI.STHT.NOXH.CT.701</v>
      </c>
      <c r="B363" s="28" t="str">
        <f>TEXT(COUNTIFS($C$3:C363,C363,$D$3:D363,D363,$F$3:F363,F363)+IF(F363="KT",100,IF(F363="KC",200,IF(F363="DI",300,IF(F363="DN",400,IF(F363="NU",500,IF(F363="DH",600,IF(F363="PC",700,0))))))),"000")</f>
        <v>701</v>
      </c>
      <c r="C363" s="28" t="s">
        <v>10</v>
      </c>
      <c r="D363" s="100" t="s">
        <v>320</v>
      </c>
      <c r="E363" s="28" t="s">
        <v>323</v>
      </c>
      <c r="F363" s="87" t="s">
        <v>159</v>
      </c>
      <c r="G363" s="20" t="s">
        <v>23</v>
      </c>
      <c r="H363" s="6" t="s">
        <v>116</v>
      </c>
      <c r="I363" s="28" t="s">
        <v>63</v>
      </c>
      <c r="J363" s="20" t="s">
        <v>160</v>
      </c>
      <c r="K363" s="20"/>
      <c r="L363" s="20"/>
      <c r="M363" s="96">
        <v>46153</v>
      </c>
      <c r="N363" s="96">
        <v>46174</v>
      </c>
      <c r="O363" s="223" t="str">
        <f t="shared" si="51"/>
        <v xml:space="preserve">Ngô Tuấn Vũ, , </v>
      </c>
    </row>
    <row r="364" spans="1:15">
      <c r="A364" s="28" t="str">
        <f>"3."&amp;D364&amp;"."&amp;B364</f>
        <v>3.T.HTI.STHT.NOXH.CT.502</v>
      </c>
      <c r="B364" s="28" t="str">
        <f>TEXT(COUNTIFS($C$3:C364,C364,$D$3:D364,D364,$F$3:F364,F364)+IF(F364="KT",100,IF(F364="KC",200,IF(F364="DI",300,IF(F364="DN",400,IF(F364="NU",500,IF(F364="DH",600,IF(F364="PC",700,0))))))),"000")</f>
        <v>502</v>
      </c>
      <c r="C364" s="28" t="s">
        <v>10</v>
      </c>
      <c r="D364" s="100" t="s">
        <v>320</v>
      </c>
      <c r="E364" s="28" t="s">
        <v>323</v>
      </c>
      <c r="F364" s="88" t="s">
        <v>154</v>
      </c>
      <c r="G364" s="28" t="s">
        <v>18</v>
      </c>
      <c r="H364" s="6" t="s">
        <v>116</v>
      </c>
      <c r="I364" s="28" t="s">
        <v>63</v>
      </c>
      <c r="J364" s="20" t="s">
        <v>165</v>
      </c>
      <c r="K364" s="20"/>
      <c r="L364" s="20"/>
      <c r="M364" s="96">
        <v>46174</v>
      </c>
      <c r="N364" s="96">
        <v>46174</v>
      </c>
      <c r="O364" s="223" t="str">
        <f t="shared" ref="O364" si="53">J364&amp;", "&amp;K364&amp;", "&amp;L364</f>
        <v xml:space="preserve">Nguyễn Văn Hải, , </v>
      </c>
    </row>
    <row r="365" spans="1:15">
      <c r="A365" s="28" t="str">
        <f>"3."&amp;D365&amp;"."&amp;B365</f>
        <v>3.T.KHO.VPNT.KSMN.101</v>
      </c>
      <c r="B365" s="28" t="str">
        <f>TEXT(COUNTIFS($C$3:C365,C365,$D$3:D365,D365,$F$3:F365,F365)+IF(F365="KT",100,IF(F365="KC",200,IF(F365="DI",300,IF(F365="DN",400,IF(F365="NU",500,IF(F365="DH",600,IF(F365="PC",700,0))))))),"000")</f>
        <v>101</v>
      </c>
      <c r="C365" s="28" t="s">
        <v>10</v>
      </c>
      <c r="D365" s="100" t="s">
        <v>325</v>
      </c>
      <c r="E365" s="28" t="s">
        <v>326</v>
      </c>
      <c r="F365" s="88" t="s">
        <v>123</v>
      </c>
      <c r="G365" s="28" t="s">
        <v>23</v>
      </c>
      <c r="H365" s="20" t="s">
        <v>116</v>
      </c>
      <c r="I365" s="28" t="s">
        <v>63</v>
      </c>
      <c r="J365" s="20" t="s">
        <v>33</v>
      </c>
      <c r="K365" s="20"/>
      <c r="L365" s="20"/>
      <c r="M365" s="96">
        <v>46163</v>
      </c>
      <c r="N365" s="96">
        <v>46223</v>
      </c>
      <c r="O365" s="223" t="str">
        <f t="shared" si="51"/>
        <v xml:space="preserve">Đỗ Minh Ngọc, , </v>
      </c>
    </row>
    <row r="366" spans="1:15">
      <c r="A366" s="28" t="str">
        <f>"3."&amp;D366&amp;"."&amp;B366</f>
        <v>3.T.KHO.VPNT.KSMN.102</v>
      </c>
      <c r="B366" s="28" t="str">
        <f>TEXT(COUNTIFS($C$3:C366,C366,$D$3:D366,D366,$F$3:F366,F366)+IF(F366="KT",100,IF(F366="KC",200,IF(F366="DI",300,IF(F366="DN",400,IF(F366="NU",500,IF(F366="DH",600,IF(F366="PC",700,0))))))),"000")</f>
        <v>102</v>
      </c>
      <c r="C366" s="28" t="s">
        <v>10</v>
      </c>
      <c r="D366" s="100" t="s">
        <v>325</v>
      </c>
      <c r="E366" s="28" t="s">
        <v>326</v>
      </c>
      <c r="F366" s="88" t="s">
        <v>123</v>
      </c>
      <c r="G366" s="6" t="s">
        <v>128</v>
      </c>
      <c r="H366" s="6" t="s">
        <v>116</v>
      </c>
      <c r="I366" s="28" t="s">
        <v>63</v>
      </c>
      <c r="J366" s="20" t="s">
        <v>33</v>
      </c>
      <c r="K366" s="20"/>
      <c r="L366" s="20"/>
      <c r="M366" s="96">
        <v>46122</v>
      </c>
      <c r="N366" s="96">
        <v>46176</v>
      </c>
      <c r="O366" s="223" t="str">
        <f t="shared" si="51"/>
        <v xml:space="preserve">Đỗ Minh Ngọc, , </v>
      </c>
    </row>
    <row r="367" spans="1:15">
      <c r="A367" s="28" t="str">
        <f>"3."&amp;D367&amp;"."&amp;B367</f>
        <v>3.T.KHO.VPNT.KSMN.201</v>
      </c>
      <c r="B367" s="28" t="str">
        <f>TEXT(COUNTIFS($C$3:C367,C367,$D$3:D367,D367,$F$3:F367,F367)+IF(F367="KT",100,IF(F367="KC",200,IF(F367="DI",300,IF(F367="DN",400,IF(F367="NU",500,IF(F367="DH",600,IF(F367="PC",700,0))))))),"000")</f>
        <v>201</v>
      </c>
      <c r="C367" s="28" t="s">
        <v>10</v>
      </c>
      <c r="D367" s="100" t="s">
        <v>325</v>
      </c>
      <c r="E367" s="28" t="s">
        <v>326</v>
      </c>
      <c r="F367" s="88" t="s">
        <v>132</v>
      </c>
      <c r="G367" s="28" t="s">
        <v>23</v>
      </c>
      <c r="H367" s="20" t="s">
        <v>116</v>
      </c>
      <c r="I367" s="28" t="s">
        <v>63</v>
      </c>
      <c r="J367" s="20" t="s">
        <v>33</v>
      </c>
      <c r="K367" s="20"/>
      <c r="L367" s="20"/>
      <c r="M367" s="96">
        <v>46188</v>
      </c>
      <c r="N367" s="96">
        <v>46228</v>
      </c>
      <c r="O367" s="223" t="str">
        <f t="shared" si="51"/>
        <v xml:space="preserve">Đỗ Minh Ngọc, , </v>
      </c>
    </row>
    <row r="368" spans="1:15">
      <c r="A368" s="28" t="str">
        <f>"3."&amp;D368&amp;"."&amp;B368</f>
        <v>3.T.KHO.VPNT.KSMN.301</v>
      </c>
      <c r="B368" s="28" t="str">
        <f>TEXT(COUNTIFS($C$3:C368,C368,$D$3:D368,D368,$F$3:F368,F368)+IF(F368="KT",100,IF(F368="KC",200,IF(F368="DI",300,IF(F368="DN",400,IF(F368="NU",500,IF(F368="DH",600,IF(F368="PC",700,0))))))),"000")</f>
        <v>301</v>
      </c>
      <c r="C368" s="28" t="s">
        <v>10</v>
      </c>
      <c r="D368" s="100" t="s">
        <v>325</v>
      </c>
      <c r="E368" s="28" t="s">
        <v>326</v>
      </c>
      <c r="F368" s="87" t="s">
        <v>140</v>
      </c>
      <c r="G368" s="28" t="s">
        <v>23</v>
      </c>
      <c r="H368" s="6" t="s">
        <v>116</v>
      </c>
      <c r="I368" s="28" t="s">
        <v>63</v>
      </c>
      <c r="J368" s="20" t="s">
        <v>160</v>
      </c>
      <c r="K368" s="20"/>
      <c r="L368" s="20"/>
      <c r="M368" s="96">
        <v>46187</v>
      </c>
      <c r="N368" s="96">
        <v>46233</v>
      </c>
      <c r="O368" s="223" t="str">
        <f>J368&amp;", "&amp;K368&amp;", "&amp;L368</f>
        <v xml:space="preserve">Ngô Tuấn Vũ, , </v>
      </c>
    </row>
    <row r="369" spans="1:15">
      <c r="A369" s="28" t="str">
        <f>"3."&amp;D369&amp;"."&amp;B369</f>
        <v>3.T.KHO.VPNT.KSMN.401</v>
      </c>
      <c r="B369" s="28" t="str">
        <f>TEXT(COUNTIFS($C$3:C369,C369,$D$3:D369,D369,$F$3:F369,F369)+IF(F369="KT",100,IF(F369="KC",200,IF(F369="DI",300,IF(F369="DN",400,IF(F369="NU",500,IF(F369="DH",600,IF(F369="PC",700,0))))))),"000")</f>
        <v>401</v>
      </c>
      <c r="C369" s="28" t="s">
        <v>10</v>
      </c>
      <c r="D369" s="100" t="s">
        <v>325</v>
      </c>
      <c r="E369" s="28" t="s">
        <v>326</v>
      </c>
      <c r="F369" s="87" t="s">
        <v>148</v>
      </c>
      <c r="G369" s="28" t="s">
        <v>23</v>
      </c>
      <c r="H369" s="6" t="s">
        <v>116</v>
      </c>
      <c r="I369" s="28" t="s">
        <v>63</v>
      </c>
      <c r="J369" s="20" t="s">
        <v>160</v>
      </c>
      <c r="K369" s="20"/>
      <c r="L369" s="20"/>
      <c r="M369" s="96">
        <v>46187</v>
      </c>
      <c r="N369" s="96">
        <v>46233</v>
      </c>
      <c r="O369" s="223" t="str">
        <f>J369&amp;", "&amp;K369&amp;", "&amp;L369</f>
        <v xml:space="preserve">Ngô Tuấn Vũ, , </v>
      </c>
    </row>
    <row r="370" spans="1:15">
      <c r="A370" s="28" t="str">
        <f>"3."&amp;D370&amp;"."&amp;B370</f>
        <v>3.T.KHO.VPNT.KSMN.501</v>
      </c>
      <c r="B370" s="28" t="str">
        <f>TEXT(COUNTIFS($C$3:C370,C370,$D$3:D370,D370,$F$3:F370,F370)+IF(F370="KT",100,IF(F370="KC",200,IF(F370="DI",300,IF(F370="DN",400,IF(F370="NU",500,IF(F370="DH",600,IF(F370="PC",700,0))))))),"000")</f>
        <v>501</v>
      </c>
      <c r="C370" s="28" t="s">
        <v>10</v>
      </c>
      <c r="D370" s="100" t="s">
        <v>325</v>
      </c>
      <c r="E370" s="28" t="s">
        <v>326</v>
      </c>
      <c r="F370" s="87" t="s">
        <v>154</v>
      </c>
      <c r="G370" s="28" t="s">
        <v>23</v>
      </c>
      <c r="H370" s="6" t="s">
        <v>116</v>
      </c>
      <c r="I370" s="28" t="s">
        <v>63</v>
      </c>
      <c r="J370" s="20" t="s">
        <v>160</v>
      </c>
      <c r="K370" s="20"/>
      <c r="L370" s="20"/>
      <c r="M370" s="96">
        <v>46187</v>
      </c>
      <c r="N370" s="96">
        <v>46233</v>
      </c>
      <c r="O370" s="223" t="str">
        <f>J370&amp;", "&amp;K370&amp;", "&amp;L370</f>
        <v xml:space="preserve">Ngô Tuấn Vũ, , </v>
      </c>
    </row>
    <row r="371" spans="1:15">
      <c r="A371" s="28" t="str">
        <f>"3."&amp;D371&amp;"."&amp;B371</f>
        <v>3.T.KHO.VPNT.KSMN.601</v>
      </c>
      <c r="B371" s="28" t="str">
        <f>TEXT(COUNTIFS($C$3:C371,C371,$D$3:D371,D371,$F$3:F371,F371)+IF(F371="KT",100,IF(F371="KC",200,IF(F371="DI",300,IF(F371="DN",400,IF(F371="NU",500,IF(F371="DH",600,IF(F371="PC",700,0))))))),"000")</f>
        <v>601</v>
      </c>
      <c r="C371" s="28" t="s">
        <v>10</v>
      </c>
      <c r="D371" s="100" t="s">
        <v>325</v>
      </c>
      <c r="E371" s="28" t="s">
        <v>326</v>
      </c>
      <c r="F371" s="87" t="s">
        <v>164</v>
      </c>
      <c r="G371" s="28" t="s">
        <v>23</v>
      </c>
      <c r="H371" s="6" t="s">
        <v>116</v>
      </c>
      <c r="I371" s="28" t="s">
        <v>63</v>
      </c>
      <c r="J371" s="20" t="s">
        <v>160</v>
      </c>
      <c r="K371" s="20"/>
      <c r="L371" s="20"/>
      <c r="M371" s="96">
        <v>46187</v>
      </c>
      <c r="N371" s="96">
        <v>46233</v>
      </c>
      <c r="O371" s="223" t="str">
        <f>J371&amp;", "&amp;K371&amp;", "&amp;L371</f>
        <v xml:space="preserve">Ngô Tuấn Vũ, , </v>
      </c>
    </row>
    <row r="372" spans="1:15">
      <c r="A372" s="28" t="str">
        <f>"3."&amp;D372&amp;"."&amp;B372</f>
        <v>3.T.KHO.VPNT.KSMN.701</v>
      </c>
      <c r="B372" s="28" t="str">
        <f>TEXT(COUNTIFS($C$3:C372,C372,$D$3:D372,D372,$F$3:F372,F372)+IF(F372="KT",100,IF(F372="KC",200,IF(F372="DI",300,IF(F372="DN",400,IF(F372="NU",500,IF(F372="DH",600,IF(F372="PC",700,0))))))),"000")</f>
        <v>701</v>
      </c>
      <c r="C372" s="28" t="s">
        <v>10</v>
      </c>
      <c r="D372" s="100" t="s">
        <v>325</v>
      </c>
      <c r="E372" s="28" t="s">
        <v>326</v>
      </c>
      <c r="F372" s="87" t="s">
        <v>159</v>
      </c>
      <c r="G372" s="28" t="s">
        <v>23</v>
      </c>
      <c r="H372" s="6" t="s">
        <v>116</v>
      </c>
      <c r="I372" s="28" t="s">
        <v>63</v>
      </c>
      <c r="J372" s="20" t="s">
        <v>160</v>
      </c>
      <c r="K372" s="20"/>
      <c r="L372" s="20"/>
      <c r="M372" s="96">
        <v>46187</v>
      </c>
      <c r="N372" s="96">
        <v>46233</v>
      </c>
      <c r="O372" s="223" t="str">
        <f t="shared" si="51"/>
        <v xml:space="preserve">Ngô Tuấn Vũ, , </v>
      </c>
    </row>
    <row r="373" spans="1:15">
      <c r="A373" s="28" t="str">
        <f>"3."&amp;D373&amp;"."&amp;B373</f>
        <v>3.T.KHO.VPNT.KSMN.103</v>
      </c>
      <c r="B373" s="28" t="str">
        <f>TEXT(COUNTIFS($C$3:C373,C373,$D$3:D373,D373,$F$3:F373,F373)+IF(F373="KT",100,IF(F373="KC",200,IF(F373="DI",300,IF(F373="DN",400,IF(F373="NU",500,IF(F373="DH",600,IF(F373="PC",700,0))))))),"000")</f>
        <v>103</v>
      </c>
      <c r="C373" s="28" t="s">
        <v>10</v>
      </c>
      <c r="D373" s="100" t="s">
        <v>325</v>
      </c>
      <c r="E373" s="28" t="s">
        <v>328</v>
      </c>
      <c r="F373" s="88" t="s">
        <v>123</v>
      </c>
      <c r="G373" s="28" t="s">
        <v>23</v>
      </c>
      <c r="H373" s="20" t="s">
        <v>116</v>
      </c>
      <c r="I373" s="28" t="s">
        <v>63</v>
      </c>
      <c r="J373" s="20" t="s">
        <v>155</v>
      </c>
      <c r="K373" s="20"/>
      <c r="L373" s="20"/>
      <c r="M373" s="96">
        <v>46163</v>
      </c>
      <c r="N373" s="96">
        <v>46223</v>
      </c>
      <c r="O373" s="223" t="str">
        <f t="shared" si="51"/>
        <v xml:space="preserve">Vũ Thị Thêu, , </v>
      </c>
    </row>
    <row r="374" spans="1:15">
      <c r="A374" s="28" t="str">
        <f>"3."&amp;D374&amp;"."&amp;B374</f>
        <v>3.T.KHO.VPNT.KSMN.104</v>
      </c>
      <c r="B374" s="28" t="str">
        <f>TEXT(COUNTIFS($C$3:C374,C374,$D$3:D374,D374,$F$3:F374,F374)+IF(F374="KT",100,IF(F374="KC",200,IF(F374="DI",300,IF(F374="DN",400,IF(F374="NU",500,IF(F374="DH",600,IF(F374="PC",700,0))))))),"000")</f>
        <v>104</v>
      </c>
      <c r="C374" s="28" t="s">
        <v>10</v>
      </c>
      <c r="D374" s="100" t="s">
        <v>325</v>
      </c>
      <c r="E374" s="28" t="s">
        <v>328</v>
      </c>
      <c r="F374" s="88" t="s">
        <v>123</v>
      </c>
      <c r="G374" s="6" t="s">
        <v>128</v>
      </c>
      <c r="H374" s="20" t="s">
        <v>116</v>
      </c>
      <c r="I374" s="28" t="s">
        <v>63</v>
      </c>
      <c r="J374" s="76" t="s">
        <v>155</v>
      </c>
      <c r="K374" s="20"/>
      <c r="L374" s="20"/>
      <c r="M374" s="96">
        <v>46122</v>
      </c>
      <c r="N374" s="96">
        <v>46176</v>
      </c>
      <c r="O374" s="223" t="str">
        <f t="shared" si="51"/>
        <v xml:space="preserve">Vũ Thị Thêu, , </v>
      </c>
    </row>
    <row r="375" spans="1:15">
      <c r="A375" s="28" t="str">
        <f>"3."&amp;D375&amp;"."&amp;B375</f>
        <v>3.T.KHO.VPNT.KSMN.202</v>
      </c>
      <c r="B375" s="28" t="str">
        <f>TEXT(COUNTIFS($C$3:C375,C375,$D$3:D375,D375,$F$3:F375,F375)+IF(F375="KT",100,IF(F375="KC",200,IF(F375="DI",300,IF(F375="DN",400,IF(F375="NU",500,IF(F375="DH",600,IF(F375="PC",700,0))))))),"000")</f>
        <v>202</v>
      </c>
      <c r="C375" s="28" t="s">
        <v>10</v>
      </c>
      <c r="D375" s="100" t="s">
        <v>325</v>
      </c>
      <c r="E375" s="28" t="s">
        <v>328</v>
      </c>
      <c r="F375" s="88" t="s">
        <v>132</v>
      </c>
      <c r="G375" s="28" t="s">
        <v>23</v>
      </c>
      <c r="H375" s="20" t="s">
        <v>116</v>
      </c>
      <c r="I375" s="28" t="s">
        <v>63</v>
      </c>
      <c r="J375" s="20" t="s">
        <v>155</v>
      </c>
      <c r="K375" s="20"/>
      <c r="L375" s="20"/>
      <c r="M375" s="96">
        <v>46188</v>
      </c>
      <c r="N375" s="96">
        <v>46228</v>
      </c>
      <c r="O375" s="223" t="str">
        <f t="shared" si="51"/>
        <v xml:space="preserve">Vũ Thị Thêu, , </v>
      </c>
    </row>
    <row r="376" spans="1:15">
      <c r="A376" s="28" t="str">
        <f>"3."&amp;D376&amp;"."&amp;B376</f>
        <v>3.T.KHO.VPNT.KSMN.302</v>
      </c>
      <c r="B376" s="28" t="str">
        <f>TEXT(COUNTIFS($C$3:C376,C376,$D$3:D376,D376,$F$3:F376,F376)+IF(F376="KT",100,IF(F376="KC",200,IF(F376="DI",300,IF(F376="DN",400,IF(F376="NU",500,IF(F376="DH",600,IF(F376="PC",700,0))))))),"000")</f>
        <v>302</v>
      </c>
      <c r="C376" s="28" t="s">
        <v>10</v>
      </c>
      <c r="D376" s="100" t="s">
        <v>325</v>
      </c>
      <c r="E376" s="28" t="s">
        <v>328</v>
      </c>
      <c r="F376" s="87" t="s">
        <v>140</v>
      </c>
      <c r="G376" s="28" t="s">
        <v>23</v>
      </c>
      <c r="H376" s="6" t="s">
        <v>116</v>
      </c>
      <c r="I376" s="28" t="s">
        <v>63</v>
      </c>
      <c r="J376" s="20" t="s">
        <v>165</v>
      </c>
      <c r="K376" s="20"/>
      <c r="L376" s="20"/>
      <c r="M376" s="96">
        <v>46187</v>
      </c>
      <c r="N376" s="96">
        <v>46233</v>
      </c>
      <c r="O376" s="223" t="str">
        <f>J376&amp;", "&amp;K376&amp;", "&amp;L376</f>
        <v xml:space="preserve">Nguyễn Văn Hải, , </v>
      </c>
    </row>
    <row r="377" spans="1:15">
      <c r="A377" s="28" t="str">
        <f>"3."&amp;D377&amp;"."&amp;B377</f>
        <v>3.T.KHO.VPNT.KSMN.402</v>
      </c>
      <c r="B377" s="28" t="str">
        <f>TEXT(COUNTIFS($C$3:C377,C377,$D$3:D377,D377,$F$3:F377,F377)+IF(F377="KT",100,IF(F377="KC",200,IF(F377="DI",300,IF(F377="DN",400,IF(F377="NU",500,IF(F377="DH",600,IF(F377="PC",700,0))))))),"000")</f>
        <v>402</v>
      </c>
      <c r="C377" s="28" t="s">
        <v>10</v>
      </c>
      <c r="D377" s="100" t="s">
        <v>325</v>
      </c>
      <c r="E377" s="28" t="s">
        <v>328</v>
      </c>
      <c r="F377" s="87" t="s">
        <v>148</v>
      </c>
      <c r="G377" s="28" t="s">
        <v>23</v>
      </c>
      <c r="H377" s="6" t="s">
        <v>116</v>
      </c>
      <c r="I377" s="28" t="s">
        <v>63</v>
      </c>
      <c r="J377" s="20" t="s">
        <v>165</v>
      </c>
      <c r="K377" s="20"/>
      <c r="L377" s="20"/>
      <c r="M377" s="96">
        <v>46187</v>
      </c>
      <c r="N377" s="96">
        <v>46233</v>
      </c>
      <c r="O377" s="223" t="str">
        <f>J377&amp;", "&amp;K377&amp;", "&amp;L377</f>
        <v xml:space="preserve">Nguyễn Văn Hải, , </v>
      </c>
    </row>
    <row r="378" spans="1:15">
      <c r="A378" s="28" t="str">
        <f>"3."&amp;D378&amp;"."&amp;B378</f>
        <v>3.T.KHO.VPNT.KSMN.502</v>
      </c>
      <c r="B378" s="28" t="str">
        <f>TEXT(COUNTIFS($C$3:C378,C378,$D$3:D378,D378,$F$3:F378,F378)+IF(F378="KT",100,IF(F378="KC",200,IF(F378="DI",300,IF(F378="DN",400,IF(F378="NU",500,IF(F378="DH",600,IF(F378="PC",700,0))))))),"000")</f>
        <v>502</v>
      </c>
      <c r="C378" s="28" t="s">
        <v>10</v>
      </c>
      <c r="D378" s="100" t="s">
        <v>325</v>
      </c>
      <c r="E378" s="28" t="s">
        <v>328</v>
      </c>
      <c r="F378" s="87" t="s">
        <v>154</v>
      </c>
      <c r="G378" s="28" t="s">
        <v>23</v>
      </c>
      <c r="H378" s="6" t="s">
        <v>116</v>
      </c>
      <c r="I378" s="28" t="s">
        <v>63</v>
      </c>
      <c r="J378" s="20" t="s">
        <v>165</v>
      </c>
      <c r="K378" s="20"/>
      <c r="L378" s="20"/>
      <c r="M378" s="96">
        <v>46187</v>
      </c>
      <c r="N378" s="96">
        <v>46233</v>
      </c>
      <c r="O378" s="223" t="str">
        <f>J378&amp;", "&amp;K378&amp;", "&amp;L378</f>
        <v xml:space="preserve">Nguyễn Văn Hải, , </v>
      </c>
    </row>
    <row r="379" spans="1:15">
      <c r="A379" s="28" t="str">
        <f>"3."&amp;D379&amp;"."&amp;B379</f>
        <v>3.T.KHO.VPNT.KSMN.602</v>
      </c>
      <c r="B379" s="28" t="str">
        <f>TEXT(COUNTIFS($C$3:C379,C379,$D$3:D379,D379,$F$3:F379,F379)+IF(F379="KT",100,IF(F379="KC",200,IF(F379="DI",300,IF(F379="DN",400,IF(F379="NU",500,IF(F379="DH",600,IF(F379="PC",700,0))))))),"000")</f>
        <v>602</v>
      </c>
      <c r="C379" s="28" t="s">
        <v>10</v>
      </c>
      <c r="D379" s="100" t="s">
        <v>325</v>
      </c>
      <c r="E379" s="28" t="s">
        <v>328</v>
      </c>
      <c r="F379" s="87" t="s">
        <v>164</v>
      </c>
      <c r="G379" s="28" t="s">
        <v>23</v>
      </c>
      <c r="H379" s="6" t="s">
        <v>116</v>
      </c>
      <c r="I379" s="28" t="s">
        <v>63</v>
      </c>
      <c r="J379" s="20" t="s">
        <v>165</v>
      </c>
      <c r="K379" s="20"/>
      <c r="L379" s="20"/>
      <c r="M379" s="96">
        <v>46187</v>
      </c>
      <c r="N379" s="96">
        <v>46233</v>
      </c>
      <c r="O379" s="223" t="str">
        <f>J379&amp;", "&amp;K379&amp;", "&amp;L379</f>
        <v xml:space="preserve">Nguyễn Văn Hải, , </v>
      </c>
    </row>
    <row r="380" spans="1:15">
      <c r="A380" s="28" t="str">
        <f>"3."&amp;D380&amp;"."&amp;B380</f>
        <v>3.T.KHO.VPNT.KSMN.702</v>
      </c>
      <c r="B380" s="28" t="str">
        <f>TEXT(COUNTIFS($C$3:C380,C380,$D$3:D380,D380,$F$3:F380,F380)+IF(F380="KT",100,IF(F380="KC",200,IF(F380="DI",300,IF(F380="DN",400,IF(F380="NU",500,IF(F380="DH",600,IF(F380="PC",700,0))))))),"000")</f>
        <v>702</v>
      </c>
      <c r="C380" s="28" t="s">
        <v>10</v>
      </c>
      <c r="D380" s="100" t="s">
        <v>325</v>
      </c>
      <c r="E380" s="28" t="s">
        <v>328</v>
      </c>
      <c r="F380" s="87" t="s">
        <v>159</v>
      </c>
      <c r="G380" s="28" t="s">
        <v>23</v>
      </c>
      <c r="H380" s="6" t="s">
        <v>116</v>
      </c>
      <c r="I380" s="28" t="s">
        <v>63</v>
      </c>
      <c r="J380" s="20" t="s">
        <v>165</v>
      </c>
      <c r="K380" s="20"/>
      <c r="L380" s="20"/>
      <c r="M380" s="96">
        <v>46187</v>
      </c>
      <c r="N380" s="96">
        <v>46233</v>
      </c>
      <c r="O380" s="223" t="str">
        <f t="shared" si="51"/>
        <v xml:space="preserve">Nguyễn Văn Hải, , </v>
      </c>
    </row>
    <row r="381" spans="1:15">
      <c r="A381" s="28" t="str">
        <f>"3."&amp;D381&amp;"."&amp;B381</f>
        <v>3.T.KHO.VPNT.KSMN.105</v>
      </c>
      <c r="B381" s="28" t="str">
        <f>TEXT(COUNTIFS($C$3:C381,C381,$D$3:D381,D381,$F$3:F381,F381)+IF(F381="KT",100,IF(F381="KC",200,IF(F381="DI",300,IF(F381="DN",400,IF(F381="NU",500,IF(F381="DH",600,IF(F381="PC",700,0))))))),"000")</f>
        <v>105</v>
      </c>
      <c r="C381" s="28" t="s">
        <v>10</v>
      </c>
      <c r="D381" s="100" t="s">
        <v>325</v>
      </c>
      <c r="E381" s="28" t="s">
        <v>330</v>
      </c>
      <c r="F381" s="88" t="s">
        <v>123</v>
      </c>
      <c r="G381" s="28" t="s">
        <v>23</v>
      </c>
      <c r="H381" s="20" t="s">
        <v>116</v>
      </c>
      <c r="I381" s="28" t="s">
        <v>63</v>
      </c>
      <c r="J381" s="20" t="s">
        <v>32</v>
      </c>
      <c r="K381" s="20"/>
      <c r="L381" s="20"/>
      <c r="M381" s="96">
        <v>46163</v>
      </c>
      <c r="N381" s="96">
        <v>46223</v>
      </c>
      <c r="O381" s="223" t="str">
        <f t="shared" si="51"/>
        <v xml:space="preserve">Nguyễn Hải Nam, , </v>
      </c>
    </row>
    <row r="382" spans="1:15">
      <c r="A382" s="28" t="str">
        <f>"3."&amp;D382&amp;"."&amp;B382</f>
        <v>3.T.KHO.VPNT.KSMN.106</v>
      </c>
      <c r="B382" s="28" t="str">
        <f>TEXT(COUNTIFS($C$3:C382,C382,$D$3:D382,D382,$F$3:F382,F382)+IF(F382="KT",100,IF(F382="KC",200,IF(F382="DI",300,IF(F382="DN",400,IF(F382="NU",500,IF(F382="DH",600,IF(F382="PC",700,0))))))),"000")</f>
        <v>106</v>
      </c>
      <c r="C382" s="28" t="s">
        <v>10</v>
      </c>
      <c r="D382" s="100" t="s">
        <v>325</v>
      </c>
      <c r="E382" s="28" t="s">
        <v>330</v>
      </c>
      <c r="F382" s="88" t="s">
        <v>123</v>
      </c>
      <c r="G382" s="6" t="s">
        <v>128</v>
      </c>
      <c r="H382" s="20" t="s">
        <v>116</v>
      </c>
      <c r="I382" s="28" t="s">
        <v>63</v>
      </c>
      <c r="J382" s="20" t="s">
        <v>32</v>
      </c>
      <c r="K382" s="20"/>
      <c r="L382" s="20"/>
      <c r="M382" s="96">
        <v>46122</v>
      </c>
      <c r="N382" s="96">
        <v>46176</v>
      </c>
      <c r="O382" s="223" t="str">
        <f t="shared" si="51"/>
        <v xml:space="preserve">Nguyễn Hải Nam, , </v>
      </c>
    </row>
    <row r="383" spans="1:15">
      <c r="A383" s="28" t="str">
        <f>"3."&amp;D383&amp;"."&amp;B383</f>
        <v>3.T.KHO.VPNT.KSMN.203</v>
      </c>
      <c r="B383" s="28" t="str">
        <f>TEXT(COUNTIFS($C$3:C383,C383,$D$3:D383,D383,$F$3:F383,F383)+IF(F383="KT",100,IF(F383="KC",200,IF(F383="DI",300,IF(F383="DN",400,IF(F383="NU",500,IF(F383="DH",600,IF(F383="PC",700,0))))))),"000")</f>
        <v>203</v>
      </c>
      <c r="C383" s="28" t="s">
        <v>10</v>
      </c>
      <c r="D383" s="100" t="s">
        <v>325</v>
      </c>
      <c r="E383" s="28" t="s">
        <v>330</v>
      </c>
      <c r="F383" s="88" t="s">
        <v>132</v>
      </c>
      <c r="G383" s="28" t="s">
        <v>23</v>
      </c>
      <c r="H383" s="20" t="s">
        <v>116</v>
      </c>
      <c r="I383" s="28" t="s">
        <v>63</v>
      </c>
      <c r="J383" s="101" t="s">
        <v>32</v>
      </c>
      <c r="K383" s="20"/>
      <c r="L383" s="20"/>
      <c r="M383" s="96">
        <v>46188</v>
      </c>
      <c r="N383" s="96">
        <v>46228</v>
      </c>
      <c r="O383" s="223" t="str">
        <f t="shared" si="51"/>
        <v xml:space="preserve">Nguyễn Hải Nam, , </v>
      </c>
    </row>
    <row r="384" spans="1:15">
      <c r="A384" s="28" t="str">
        <f>"3."&amp;D384&amp;"."&amp;B384</f>
        <v>3.T.KHO.VPNT.KSMN.303</v>
      </c>
      <c r="B384" s="28" t="str">
        <f>TEXT(COUNTIFS($C$3:C384,C384,$D$3:D384,D384,$F$3:F384,F384)+IF(F384="KT",100,IF(F384="KC",200,IF(F384="DI",300,IF(F384="DN",400,IF(F384="NU",500,IF(F384="DH",600,IF(F384="PC",700,0))))))),"000")</f>
        <v>303</v>
      </c>
      <c r="C384" s="28" t="s">
        <v>10</v>
      </c>
      <c r="D384" s="100" t="s">
        <v>325</v>
      </c>
      <c r="E384" s="28" t="s">
        <v>330</v>
      </c>
      <c r="F384" s="87" t="s">
        <v>140</v>
      </c>
      <c r="G384" s="28" t="s">
        <v>23</v>
      </c>
      <c r="H384" s="6" t="s">
        <v>116</v>
      </c>
      <c r="I384" s="28" t="s">
        <v>63</v>
      </c>
      <c r="J384" s="20" t="s">
        <v>180</v>
      </c>
      <c r="K384" s="20"/>
      <c r="L384" s="20"/>
      <c r="M384" s="96">
        <v>46187</v>
      </c>
      <c r="N384" s="96">
        <v>46233</v>
      </c>
      <c r="O384" s="223" t="str">
        <f>J384&amp;", "&amp;K384&amp;", "&amp;L384</f>
        <v xml:space="preserve">Phan Trường Giang, , </v>
      </c>
    </row>
    <row r="385" spans="1:15">
      <c r="A385" s="28" t="str">
        <f>"3."&amp;D385&amp;"."&amp;B385</f>
        <v>3.T.KHO.VPNT.KSMN.403</v>
      </c>
      <c r="B385" s="28" t="str">
        <f>TEXT(COUNTIFS($C$3:C385,C385,$D$3:D385,D385,$F$3:F385,F385)+IF(F385="KT",100,IF(F385="KC",200,IF(F385="DI",300,IF(F385="DN",400,IF(F385="NU",500,IF(F385="DH",600,IF(F385="PC",700,0))))))),"000")</f>
        <v>403</v>
      </c>
      <c r="C385" s="28" t="s">
        <v>10</v>
      </c>
      <c r="D385" s="100" t="s">
        <v>325</v>
      </c>
      <c r="E385" s="28" t="s">
        <v>330</v>
      </c>
      <c r="F385" s="87" t="s">
        <v>148</v>
      </c>
      <c r="G385" s="28" t="s">
        <v>23</v>
      </c>
      <c r="H385" s="6" t="s">
        <v>116</v>
      </c>
      <c r="I385" s="28" t="s">
        <v>63</v>
      </c>
      <c r="J385" s="20" t="s">
        <v>180</v>
      </c>
      <c r="K385" s="20"/>
      <c r="L385" s="20"/>
      <c r="M385" s="96">
        <v>46187</v>
      </c>
      <c r="N385" s="96">
        <v>46233</v>
      </c>
      <c r="O385" s="223" t="str">
        <f>J385&amp;", "&amp;K385&amp;", "&amp;L385</f>
        <v xml:space="preserve">Phan Trường Giang, , </v>
      </c>
    </row>
    <row r="386" spans="1:15">
      <c r="A386" s="28" t="str">
        <f>"3."&amp;D386&amp;"."&amp;B386</f>
        <v>3.T.KHO.VPNT.KSMN.503</v>
      </c>
      <c r="B386" s="28" t="str">
        <f>TEXT(COUNTIFS($C$3:C386,C386,$D$3:D386,D386,$F$3:F386,F386)+IF(F386="KT",100,IF(F386="KC",200,IF(F386="DI",300,IF(F386="DN",400,IF(F386="NU",500,IF(F386="DH",600,IF(F386="PC",700,0))))))),"000")</f>
        <v>503</v>
      </c>
      <c r="C386" s="28" t="s">
        <v>10</v>
      </c>
      <c r="D386" s="100" t="s">
        <v>325</v>
      </c>
      <c r="E386" s="28" t="s">
        <v>330</v>
      </c>
      <c r="F386" s="87" t="s">
        <v>154</v>
      </c>
      <c r="G386" s="28" t="s">
        <v>23</v>
      </c>
      <c r="H386" s="6" t="s">
        <v>116</v>
      </c>
      <c r="I386" s="28" t="s">
        <v>63</v>
      </c>
      <c r="J386" s="20" t="s">
        <v>180</v>
      </c>
      <c r="K386" s="20"/>
      <c r="L386" s="20"/>
      <c r="M386" s="96">
        <v>46187</v>
      </c>
      <c r="N386" s="96">
        <v>46233</v>
      </c>
      <c r="O386" s="223" t="str">
        <f>J386&amp;", "&amp;K386&amp;", "&amp;L386</f>
        <v xml:space="preserve">Phan Trường Giang, , </v>
      </c>
    </row>
    <row r="387" spans="1:15">
      <c r="A387" s="28" t="str">
        <f>"3."&amp;D387&amp;"."&amp;B387</f>
        <v>3.T.KHO.VPNT.KSMN.603</v>
      </c>
      <c r="B387" s="28" t="str">
        <f>TEXT(COUNTIFS($C$3:C387,C387,$D$3:D387,D387,$F$3:F387,F387)+IF(F387="KT",100,IF(F387="KC",200,IF(F387="DI",300,IF(F387="DN",400,IF(F387="NU",500,IF(F387="DH",600,IF(F387="PC",700,0))))))),"000")</f>
        <v>603</v>
      </c>
      <c r="C387" s="28" t="s">
        <v>10</v>
      </c>
      <c r="D387" s="100" t="s">
        <v>325</v>
      </c>
      <c r="E387" s="28" t="s">
        <v>330</v>
      </c>
      <c r="F387" s="87" t="s">
        <v>164</v>
      </c>
      <c r="G387" s="28" t="s">
        <v>23</v>
      </c>
      <c r="H387" s="6" t="s">
        <v>116</v>
      </c>
      <c r="I387" s="28" t="s">
        <v>63</v>
      </c>
      <c r="J387" s="20" t="s">
        <v>180</v>
      </c>
      <c r="K387" s="20"/>
      <c r="L387" s="20"/>
      <c r="M387" s="96">
        <v>46187</v>
      </c>
      <c r="N387" s="96">
        <v>46233</v>
      </c>
      <c r="O387" s="223" t="str">
        <f>J387&amp;", "&amp;K387&amp;", "&amp;L387</f>
        <v xml:space="preserve">Phan Trường Giang, , </v>
      </c>
    </row>
    <row r="388" spans="1:15">
      <c r="A388" s="28" t="str">
        <f>"3."&amp;D388&amp;"."&amp;B388</f>
        <v>3.T.KHO.VPNT.KSMN.703</v>
      </c>
      <c r="B388" s="28" t="str">
        <f>TEXT(COUNTIFS($C$3:C388,C388,$D$3:D388,D388,$F$3:F388,F388)+IF(F388="KT",100,IF(F388="KC",200,IF(F388="DI",300,IF(F388="DN",400,IF(F388="NU",500,IF(F388="DH",600,IF(F388="PC",700,0))))))),"000")</f>
        <v>703</v>
      </c>
      <c r="C388" s="28" t="s">
        <v>10</v>
      </c>
      <c r="D388" s="100" t="s">
        <v>325</v>
      </c>
      <c r="E388" s="28" t="s">
        <v>330</v>
      </c>
      <c r="F388" s="87" t="s">
        <v>159</v>
      </c>
      <c r="G388" s="28" t="s">
        <v>23</v>
      </c>
      <c r="H388" s="6" t="s">
        <v>116</v>
      </c>
      <c r="I388" s="28" t="s">
        <v>63</v>
      </c>
      <c r="J388" s="20" t="s">
        <v>180</v>
      </c>
      <c r="K388" s="20"/>
      <c r="L388" s="20"/>
      <c r="M388" s="96">
        <v>46187</v>
      </c>
      <c r="N388" s="96">
        <v>46233</v>
      </c>
      <c r="O388" s="223" t="str">
        <f t="shared" si="51"/>
        <v xml:space="preserve">Phan Trường Giang, , </v>
      </c>
    </row>
    <row r="389" spans="1:15">
      <c r="A389" s="28" t="str">
        <f>"3."&amp;D389&amp;"."&amp;B389</f>
        <v>3.T.KHO.VPNT.KSMN.107</v>
      </c>
      <c r="B389" s="28" t="str">
        <f>TEXT(COUNTIFS($C$3:C389,C389,$D$3:D389,D389,$F$3:F389,F389)+IF(F389="KT",100,IF(F389="KC",200,IF(F389="DI",300,IF(F389="DN",400,IF(F389="NU",500,IF(F389="DH",600,IF(F389="PC",700,0))))))),"000")</f>
        <v>107</v>
      </c>
      <c r="C389" s="28" t="s">
        <v>10</v>
      </c>
      <c r="D389" s="100" t="s">
        <v>325</v>
      </c>
      <c r="E389" s="28" t="s">
        <v>332</v>
      </c>
      <c r="F389" s="88" t="s">
        <v>123</v>
      </c>
      <c r="G389" s="28" t="s">
        <v>23</v>
      </c>
      <c r="H389" s="20" t="s">
        <v>116</v>
      </c>
      <c r="I389" s="28" t="s">
        <v>63</v>
      </c>
      <c r="J389" s="20" t="s">
        <v>35</v>
      </c>
      <c r="K389" s="20"/>
      <c r="L389" s="20"/>
      <c r="M389" s="96">
        <v>46163</v>
      </c>
      <c r="N389" s="96">
        <v>46223</v>
      </c>
      <c r="O389" s="223" t="str">
        <f t="shared" si="51"/>
        <v xml:space="preserve">Đặng Minh Quang, , </v>
      </c>
    </row>
    <row r="390" spans="1:15">
      <c r="A390" s="28" t="str">
        <f>"3."&amp;D390&amp;"."&amp;B390</f>
        <v>3.T.KHO.VPNT.KSMN.108</v>
      </c>
      <c r="B390" s="28" t="str">
        <f>TEXT(COUNTIFS($C$3:C390,C390,$D$3:D390,D390,$F$3:F390,F390)+IF(F390="KT",100,IF(F390="KC",200,IF(F390="DI",300,IF(F390="DN",400,IF(F390="NU",500,IF(F390="DH",600,IF(F390="PC",700,0))))))),"000")</f>
        <v>108</v>
      </c>
      <c r="C390" s="28" t="s">
        <v>10</v>
      </c>
      <c r="D390" s="100" t="s">
        <v>325</v>
      </c>
      <c r="E390" s="28" t="s">
        <v>332</v>
      </c>
      <c r="F390" s="88" t="s">
        <v>123</v>
      </c>
      <c r="G390" s="6" t="s">
        <v>128</v>
      </c>
      <c r="H390" s="20" t="s">
        <v>116</v>
      </c>
      <c r="I390" s="28" t="s">
        <v>63</v>
      </c>
      <c r="J390" s="20" t="s">
        <v>35</v>
      </c>
      <c r="K390" s="20"/>
      <c r="L390" s="20"/>
      <c r="M390" s="96">
        <v>46122</v>
      </c>
      <c r="N390" s="96">
        <v>46176</v>
      </c>
      <c r="O390" s="223" t="str">
        <f t="shared" si="51"/>
        <v xml:space="preserve">Đặng Minh Quang, , </v>
      </c>
    </row>
    <row r="391" spans="1:15">
      <c r="A391" s="28" t="str">
        <f>"3."&amp;D391&amp;"."&amp;B391</f>
        <v>3.T.KHO.VPNT.KSMN.204</v>
      </c>
      <c r="B391" s="28" t="str">
        <f>TEXT(COUNTIFS($C$3:C391,C391,$D$3:D391,D391,$F$3:F391,F391)+IF(F391="KT",100,IF(F391="KC",200,IF(F391="DI",300,IF(F391="DN",400,IF(F391="NU",500,IF(F391="DH",600,IF(F391="PC",700,0))))))),"000")</f>
        <v>204</v>
      </c>
      <c r="C391" s="28" t="s">
        <v>10</v>
      </c>
      <c r="D391" s="100" t="s">
        <v>325</v>
      </c>
      <c r="E391" s="28" t="s">
        <v>332</v>
      </c>
      <c r="F391" s="88" t="s">
        <v>132</v>
      </c>
      <c r="G391" s="28" t="s">
        <v>23</v>
      </c>
      <c r="H391" s="6" t="s">
        <v>116</v>
      </c>
      <c r="I391" s="28" t="s">
        <v>63</v>
      </c>
      <c r="J391" s="20" t="s">
        <v>35</v>
      </c>
      <c r="K391" s="20"/>
      <c r="L391" s="20"/>
      <c r="M391" s="96">
        <v>46188</v>
      </c>
      <c r="N391" s="96">
        <v>46228</v>
      </c>
      <c r="O391" s="223" t="str">
        <f t="shared" si="51"/>
        <v xml:space="preserve">Đặng Minh Quang, , </v>
      </c>
    </row>
    <row r="392" spans="1:15">
      <c r="A392" s="28" t="str">
        <f>"3."&amp;D392&amp;"."&amp;B392</f>
        <v>3.T.KHO.VPNT.KSMN.304</v>
      </c>
      <c r="B392" s="28" t="str">
        <f>TEXT(COUNTIFS($C$3:C392,C392,$D$3:D392,D392,$F$3:F392,F392)+IF(F392="KT",100,IF(F392="KC",200,IF(F392="DI",300,IF(F392="DN",400,IF(F392="NU",500,IF(F392="DH",600,IF(F392="PC",700,0))))))),"000")</f>
        <v>304</v>
      </c>
      <c r="C392" s="28" t="s">
        <v>10</v>
      </c>
      <c r="D392" s="100" t="s">
        <v>325</v>
      </c>
      <c r="E392" s="28" t="s">
        <v>332</v>
      </c>
      <c r="F392" s="87" t="s">
        <v>140</v>
      </c>
      <c r="G392" s="28" t="s">
        <v>23</v>
      </c>
      <c r="H392" s="6" t="s">
        <v>116</v>
      </c>
      <c r="I392" s="28" t="s">
        <v>63</v>
      </c>
      <c r="J392" s="20" t="s">
        <v>175</v>
      </c>
      <c r="K392" s="20"/>
      <c r="L392" s="20"/>
      <c r="M392" s="96">
        <v>46187</v>
      </c>
      <c r="N392" s="96">
        <v>46233</v>
      </c>
      <c r="O392" s="223" t="str">
        <f>J392&amp;", "&amp;K392&amp;", "&amp;L392</f>
        <v xml:space="preserve">Đặng Thái Sơn, , </v>
      </c>
    </row>
    <row r="393" spans="1:15">
      <c r="A393" s="28" t="str">
        <f>"3."&amp;D393&amp;"."&amp;B393</f>
        <v>3.T.KHO.VPNT.KSMN.404</v>
      </c>
      <c r="B393" s="28" t="str">
        <f>TEXT(COUNTIFS($C$3:C393,C393,$D$3:D393,D393,$F$3:F393,F393)+IF(F393="KT",100,IF(F393="KC",200,IF(F393="DI",300,IF(F393="DN",400,IF(F393="NU",500,IF(F393="DH",600,IF(F393="PC",700,0))))))),"000")</f>
        <v>404</v>
      </c>
      <c r="C393" s="28" t="s">
        <v>10</v>
      </c>
      <c r="D393" s="100" t="s">
        <v>325</v>
      </c>
      <c r="E393" s="28" t="s">
        <v>332</v>
      </c>
      <c r="F393" s="87" t="s">
        <v>148</v>
      </c>
      <c r="G393" s="28" t="s">
        <v>23</v>
      </c>
      <c r="H393" s="6" t="s">
        <v>116</v>
      </c>
      <c r="I393" s="28" t="s">
        <v>63</v>
      </c>
      <c r="J393" s="20" t="s">
        <v>175</v>
      </c>
      <c r="K393" s="20"/>
      <c r="L393" s="20"/>
      <c r="M393" s="96">
        <v>46187</v>
      </c>
      <c r="N393" s="96">
        <v>46233</v>
      </c>
      <c r="O393" s="223" t="str">
        <f>J393&amp;", "&amp;K393&amp;", "&amp;L393</f>
        <v xml:space="preserve">Đặng Thái Sơn, , </v>
      </c>
    </row>
    <row r="394" spans="1:15">
      <c r="A394" s="28" t="str">
        <f>"3."&amp;D394&amp;"."&amp;B394</f>
        <v>3.T.KHO.VPNT.KSMN.504</v>
      </c>
      <c r="B394" s="28" t="str">
        <f>TEXT(COUNTIFS($C$3:C394,C394,$D$3:D394,D394,$F$3:F394,F394)+IF(F394="KT",100,IF(F394="KC",200,IF(F394="DI",300,IF(F394="DN",400,IF(F394="NU",500,IF(F394="DH",600,IF(F394="PC",700,0))))))),"000")</f>
        <v>504</v>
      </c>
      <c r="C394" s="28" t="s">
        <v>10</v>
      </c>
      <c r="D394" s="100" t="s">
        <v>325</v>
      </c>
      <c r="E394" s="28" t="s">
        <v>332</v>
      </c>
      <c r="F394" s="87" t="s">
        <v>154</v>
      </c>
      <c r="G394" s="28" t="s">
        <v>23</v>
      </c>
      <c r="H394" s="6" t="s">
        <v>116</v>
      </c>
      <c r="I394" s="28" t="s">
        <v>63</v>
      </c>
      <c r="J394" s="20" t="s">
        <v>175</v>
      </c>
      <c r="K394" s="20"/>
      <c r="L394" s="20"/>
      <c r="M394" s="96">
        <v>46187</v>
      </c>
      <c r="N394" s="96">
        <v>46233</v>
      </c>
      <c r="O394" s="223" t="str">
        <f>J394&amp;", "&amp;K394&amp;", "&amp;L394</f>
        <v xml:space="preserve">Đặng Thái Sơn, , </v>
      </c>
    </row>
    <row r="395" spans="1:15">
      <c r="A395" s="28" t="str">
        <f>"3."&amp;D395&amp;"."&amp;B395</f>
        <v>3.T.KHO.VPNT.KSMN.604</v>
      </c>
      <c r="B395" s="28" t="str">
        <f>TEXT(COUNTIFS($C$3:C395,C395,$D$3:D395,D395,$F$3:F395,F395)+IF(F395="KT",100,IF(F395="KC",200,IF(F395="DI",300,IF(F395="DN",400,IF(F395="NU",500,IF(F395="DH",600,IF(F395="PC",700,0))))))),"000")</f>
        <v>604</v>
      </c>
      <c r="C395" s="28" t="s">
        <v>10</v>
      </c>
      <c r="D395" s="100" t="s">
        <v>325</v>
      </c>
      <c r="E395" s="28" t="s">
        <v>332</v>
      </c>
      <c r="F395" s="87" t="s">
        <v>164</v>
      </c>
      <c r="G395" s="28" t="s">
        <v>23</v>
      </c>
      <c r="H395" s="6" t="s">
        <v>116</v>
      </c>
      <c r="I395" s="28" t="s">
        <v>63</v>
      </c>
      <c r="J395" s="20" t="s">
        <v>175</v>
      </c>
      <c r="K395" s="20"/>
      <c r="L395" s="20"/>
      <c r="M395" s="96">
        <v>46187</v>
      </c>
      <c r="N395" s="96">
        <v>46233</v>
      </c>
      <c r="O395" s="223" t="str">
        <f>J395&amp;", "&amp;K395&amp;", "&amp;L395</f>
        <v xml:space="preserve">Đặng Thái Sơn, , </v>
      </c>
    </row>
    <row r="396" spans="1:15">
      <c r="A396" s="28" t="str">
        <f>"3."&amp;D396&amp;"."&amp;B396</f>
        <v>3.T.KHO.VPNT.KSMN.704</v>
      </c>
      <c r="B396" s="28" t="str">
        <f>TEXT(COUNTIFS($C$3:C396,C396,$D$3:D396,D396,$F$3:F396,F396)+IF(F396="KT",100,IF(F396="KC",200,IF(F396="DI",300,IF(F396="DN",400,IF(F396="NU",500,IF(F396="DH",600,IF(F396="PC",700,0))))))),"000")</f>
        <v>704</v>
      </c>
      <c r="C396" s="28" t="s">
        <v>10</v>
      </c>
      <c r="D396" s="100" t="s">
        <v>325</v>
      </c>
      <c r="E396" s="28" t="s">
        <v>332</v>
      </c>
      <c r="F396" s="87" t="s">
        <v>159</v>
      </c>
      <c r="G396" s="28" t="s">
        <v>23</v>
      </c>
      <c r="H396" s="6" t="s">
        <v>116</v>
      </c>
      <c r="I396" s="28" t="s">
        <v>63</v>
      </c>
      <c r="J396" s="20" t="s">
        <v>175</v>
      </c>
      <c r="K396" s="20"/>
      <c r="L396" s="20"/>
      <c r="M396" s="96">
        <v>46187</v>
      </c>
      <c r="N396" s="96">
        <v>46233</v>
      </c>
      <c r="O396" s="223" t="str">
        <f t="shared" si="51"/>
        <v xml:space="preserve">Đặng Thái Sơn, , </v>
      </c>
    </row>
    <row r="397" spans="1:15">
      <c r="A397" s="28" t="str">
        <f>"3."&amp;D397&amp;"."&amp;B397</f>
        <v>3.T.KHO.VPNT.KSMN.109</v>
      </c>
      <c r="B397" s="28" t="str">
        <f>TEXT(COUNTIFS($C$3:C397,C397,$D$3:D397,D397,$F$3:F397,F397)+IF(F397="KT",100,IF(F397="KC",200,IF(F397="DI",300,IF(F397="DN",400,IF(F397="NU",500,IF(F397="DH",600,IF(F397="PC",700,0))))))),"000")</f>
        <v>109</v>
      </c>
      <c r="C397" s="28" t="s">
        <v>10</v>
      </c>
      <c r="D397" s="100" t="s">
        <v>325</v>
      </c>
      <c r="E397" s="28" t="s">
        <v>334</v>
      </c>
      <c r="F397" s="88" t="s">
        <v>123</v>
      </c>
      <c r="G397" s="28" t="s">
        <v>23</v>
      </c>
      <c r="H397" s="20" t="s">
        <v>116</v>
      </c>
      <c r="I397" s="28" t="s">
        <v>63</v>
      </c>
      <c r="J397" s="20" t="s">
        <v>36</v>
      </c>
      <c r="K397" s="20"/>
      <c r="L397" s="20"/>
      <c r="M397" s="96">
        <v>46163</v>
      </c>
      <c r="N397" s="96">
        <v>46223</v>
      </c>
      <c r="O397" s="223" t="str">
        <f t="shared" si="51"/>
        <v xml:space="preserve">Trần Văn Toản, , </v>
      </c>
    </row>
    <row r="398" spans="1:15">
      <c r="A398" s="28" t="str">
        <f>"3."&amp;D398&amp;"."&amp;B398</f>
        <v>3.T.KHO.VPNT.KSMN.110</v>
      </c>
      <c r="B398" s="28" t="str">
        <f>TEXT(COUNTIFS($C$3:C398,C398,$D$3:D398,D398,$F$3:F398,F398)+IF(F398="KT",100,IF(F398="KC",200,IF(F398="DI",300,IF(F398="DN",400,IF(F398="NU",500,IF(F398="DH",600,IF(F398="PC",700,0))))))),"000")</f>
        <v>110</v>
      </c>
      <c r="C398" s="28" t="s">
        <v>10</v>
      </c>
      <c r="D398" s="100" t="s">
        <v>325</v>
      </c>
      <c r="E398" s="28" t="s">
        <v>334</v>
      </c>
      <c r="F398" s="88" t="s">
        <v>123</v>
      </c>
      <c r="G398" s="6" t="s">
        <v>128</v>
      </c>
      <c r="H398" s="20" t="s">
        <v>116</v>
      </c>
      <c r="I398" s="28" t="s">
        <v>63</v>
      </c>
      <c r="J398" s="20" t="s">
        <v>36</v>
      </c>
      <c r="K398" s="20"/>
      <c r="L398" s="20"/>
      <c r="M398" s="96">
        <v>46122</v>
      </c>
      <c r="N398" s="96">
        <v>46176</v>
      </c>
      <c r="O398" s="223" t="str">
        <f t="shared" si="51"/>
        <v xml:space="preserve">Trần Văn Toản, , </v>
      </c>
    </row>
    <row r="399" spans="1:15">
      <c r="A399" s="28" t="str">
        <f>"3."&amp;D399&amp;"."&amp;B399</f>
        <v>3.T.KHO.VPNT.KSMN.205</v>
      </c>
      <c r="B399" s="28" t="str">
        <f>TEXT(COUNTIFS($C$3:C399,C399,$D$3:D399,D399,$F$3:F399,F399)+IF(F399="KT",100,IF(F399="KC",200,IF(F399="DI",300,IF(F399="DN",400,IF(F399="NU",500,IF(F399="DH",600,IF(F399="PC",700,0))))))),"000")</f>
        <v>205</v>
      </c>
      <c r="C399" s="28" t="s">
        <v>10</v>
      </c>
      <c r="D399" s="100" t="s">
        <v>325</v>
      </c>
      <c r="E399" s="28" t="s">
        <v>334</v>
      </c>
      <c r="F399" s="88" t="s">
        <v>132</v>
      </c>
      <c r="G399" s="28" t="s">
        <v>23</v>
      </c>
      <c r="H399" s="20" t="s">
        <v>116</v>
      </c>
      <c r="I399" s="28" t="s">
        <v>63</v>
      </c>
      <c r="J399" s="20" t="s">
        <v>36</v>
      </c>
      <c r="K399" s="20"/>
      <c r="L399" s="20"/>
      <c r="M399" s="96">
        <v>46188</v>
      </c>
      <c r="N399" s="96">
        <v>46228</v>
      </c>
      <c r="O399" s="223" t="str">
        <f t="shared" si="51"/>
        <v xml:space="preserve">Trần Văn Toản, , </v>
      </c>
    </row>
    <row r="400" spans="1:15">
      <c r="A400" s="28" t="str">
        <f>"3."&amp;D400&amp;"."&amp;B400</f>
        <v>3.T.KHO.VPNT.KSMN.305</v>
      </c>
      <c r="B400" s="28" t="str">
        <f>TEXT(COUNTIFS($C$3:C400,C400,$D$3:D400,D400,$F$3:F400,F400)+IF(F400="KT",100,IF(F400="KC",200,IF(F400="DI",300,IF(F400="DN",400,IF(F400="NU",500,IF(F400="DH",600,IF(F400="PC",700,0))))))),"000")</f>
        <v>305</v>
      </c>
      <c r="C400" s="28" t="s">
        <v>10</v>
      </c>
      <c r="D400" s="139" t="s">
        <v>325</v>
      </c>
      <c r="E400" s="71" t="s">
        <v>334</v>
      </c>
      <c r="F400" s="87" t="s">
        <v>140</v>
      </c>
      <c r="G400" s="28" t="s">
        <v>23</v>
      </c>
      <c r="H400" s="6" t="s">
        <v>116</v>
      </c>
      <c r="I400" s="28" t="s">
        <v>63</v>
      </c>
      <c r="J400" s="20" t="s">
        <v>160</v>
      </c>
      <c r="K400" s="20"/>
      <c r="L400" s="20"/>
      <c r="M400" s="96">
        <v>46187</v>
      </c>
      <c r="N400" s="96">
        <v>46233</v>
      </c>
      <c r="O400" s="223" t="str">
        <f>J400&amp;", "&amp;K400&amp;", "&amp;L400</f>
        <v xml:space="preserve">Ngô Tuấn Vũ, , </v>
      </c>
    </row>
    <row r="401" spans="1:15">
      <c r="A401" s="28" t="str">
        <f>"3."&amp;D401&amp;"."&amp;B401</f>
        <v>3.T.KHO.VPNT.KSMN.405</v>
      </c>
      <c r="B401" s="28" t="str">
        <f>TEXT(COUNTIFS($C$3:C401,C401,$D$3:D401,D401,$F$3:F401,F401)+IF(F401="KT",100,IF(F401="KC",200,IF(F401="DI",300,IF(F401="DN",400,IF(F401="NU",500,IF(F401="DH",600,IF(F401="PC",700,0))))))),"000")</f>
        <v>405</v>
      </c>
      <c r="C401" s="28" t="s">
        <v>10</v>
      </c>
      <c r="D401" s="139" t="s">
        <v>325</v>
      </c>
      <c r="E401" s="71" t="s">
        <v>334</v>
      </c>
      <c r="F401" s="87" t="s">
        <v>148</v>
      </c>
      <c r="G401" s="28" t="s">
        <v>23</v>
      </c>
      <c r="H401" s="6" t="s">
        <v>116</v>
      </c>
      <c r="I401" s="28" t="s">
        <v>63</v>
      </c>
      <c r="J401" s="20" t="s">
        <v>160</v>
      </c>
      <c r="K401" s="20"/>
      <c r="L401" s="20"/>
      <c r="M401" s="96">
        <v>46187</v>
      </c>
      <c r="N401" s="96">
        <v>46233</v>
      </c>
      <c r="O401" s="223" t="str">
        <f>J401&amp;", "&amp;K401&amp;", "&amp;L401</f>
        <v xml:space="preserve">Ngô Tuấn Vũ, , </v>
      </c>
    </row>
    <row r="402" spans="1:15">
      <c r="A402" s="28" t="str">
        <f>"3."&amp;D402&amp;"."&amp;B402</f>
        <v>3.T.KHO.VPNT.KSMN.505</v>
      </c>
      <c r="B402" s="28" t="str">
        <f>TEXT(COUNTIFS($C$3:C402,C402,$D$3:D402,D402,$F$3:F402,F402)+IF(F402="KT",100,IF(F402="KC",200,IF(F402="DI",300,IF(F402="DN",400,IF(F402="NU",500,IF(F402="DH",600,IF(F402="PC",700,0))))))),"000")</f>
        <v>505</v>
      </c>
      <c r="C402" s="28" t="s">
        <v>10</v>
      </c>
      <c r="D402" s="139" t="s">
        <v>325</v>
      </c>
      <c r="E402" s="71" t="s">
        <v>334</v>
      </c>
      <c r="F402" s="87" t="s">
        <v>154</v>
      </c>
      <c r="G402" s="28" t="s">
        <v>23</v>
      </c>
      <c r="H402" s="6" t="s">
        <v>116</v>
      </c>
      <c r="I402" s="28" t="s">
        <v>63</v>
      </c>
      <c r="J402" s="20" t="s">
        <v>160</v>
      </c>
      <c r="K402" s="20"/>
      <c r="L402" s="20"/>
      <c r="M402" s="96">
        <v>46187</v>
      </c>
      <c r="N402" s="96">
        <v>46233</v>
      </c>
      <c r="O402" s="223" t="str">
        <f>J402&amp;", "&amp;K402&amp;", "&amp;L402</f>
        <v xml:space="preserve">Ngô Tuấn Vũ, , </v>
      </c>
    </row>
    <row r="403" spans="1:15">
      <c r="A403" s="28" t="str">
        <f>"3."&amp;D403&amp;"."&amp;B403</f>
        <v>3.T.KHO.VPNT.KSMN.605</v>
      </c>
      <c r="B403" s="28" t="str">
        <f>TEXT(COUNTIFS($C$3:C403,C403,$D$3:D403,D403,$F$3:F403,F403)+IF(F403="KT",100,IF(F403="KC",200,IF(F403="DI",300,IF(F403="DN",400,IF(F403="NU",500,IF(F403="DH",600,IF(F403="PC",700,0))))))),"000")</f>
        <v>605</v>
      </c>
      <c r="C403" s="28" t="s">
        <v>10</v>
      </c>
      <c r="D403" s="139" t="s">
        <v>325</v>
      </c>
      <c r="E403" s="71" t="s">
        <v>334</v>
      </c>
      <c r="F403" s="87" t="s">
        <v>164</v>
      </c>
      <c r="G403" s="28" t="s">
        <v>23</v>
      </c>
      <c r="H403" s="6" t="s">
        <v>116</v>
      </c>
      <c r="I403" s="28" t="s">
        <v>63</v>
      </c>
      <c r="J403" s="20" t="s">
        <v>160</v>
      </c>
      <c r="K403" s="20"/>
      <c r="L403" s="20"/>
      <c r="M403" s="96">
        <v>46187</v>
      </c>
      <c r="N403" s="96">
        <v>46233</v>
      </c>
      <c r="O403" s="223" t="str">
        <f>J403&amp;", "&amp;K403&amp;", "&amp;L403</f>
        <v xml:space="preserve">Ngô Tuấn Vũ, , </v>
      </c>
    </row>
    <row r="404" spans="1:15">
      <c r="A404" s="28" t="str">
        <f>"3."&amp;D404&amp;"."&amp;B404</f>
        <v>3.T.KHO.VPNT.KSMN.705</v>
      </c>
      <c r="B404" s="28" t="str">
        <f>TEXT(COUNTIFS($C$3:C404,C404,$D$3:D404,D404,$F$3:F404,F404)+IF(F404="KT",100,IF(F404="KC",200,IF(F404="DI",300,IF(F404="DN",400,IF(F404="NU",500,IF(F404="DH",600,IF(F404="PC",700,0))))))),"000")</f>
        <v>705</v>
      </c>
      <c r="C404" s="28" t="s">
        <v>10</v>
      </c>
      <c r="D404" s="139" t="s">
        <v>325</v>
      </c>
      <c r="E404" s="71" t="s">
        <v>334</v>
      </c>
      <c r="F404" s="87" t="s">
        <v>159</v>
      </c>
      <c r="G404" s="28" t="s">
        <v>23</v>
      </c>
      <c r="H404" s="6" t="s">
        <v>116</v>
      </c>
      <c r="I404" s="28" t="s">
        <v>63</v>
      </c>
      <c r="J404" s="20" t="s">
        <v>160</v>
      </c>
      <c r="K404" s="20"/>
      <c r="L404" s="20"/>
      <c r="M404" s="96">
        <v>46187</v>
      </c>
      <c r="N404" s="96">
        <v>46233</v>
      </c>
      <c r="O404" s="223" t="str">
        <f t="shared" si="51"/>
        <v xml:space="preserve">Ngô Tuấn Vũ, , </v>
      </c>
    </row>
    <row r="405" spans="1:15">
      <c r="A405" s="28" t="str">
        <f>"3."&amp;D405&amp;"."&amp;B405</f>
        <v>3.T.KHO.VPNT.KSMN.111</v>
      </c>
      <c r="B405" s="28" t="str">
        <f>TEXT(COUNTIFS($C$3:C405,C405,$D$3:D405,D405,$F$3:F405,F405)+IF(F405="KT",100,IF(F405="KC",200,IF(F405="DI",300,IF(F405="DN",400,IF(F405="NU",500,IF(F405="DH",600,IF(F405="PC",700,0))))))),"000")</f>
        <v>111</v>
      </c>
      <c r="C405" s="28" t="s">
        <v>10</v>
      </c>
      <c r="D405" s="139" t="s">
        <v>325</v>
      </c>
      <c r="E405" s="71" t="s">
        <v>336</v>
      </c>
      <c r="F405" s="88" t="s">
        <v>123</v>
      </c>
      <c r="G405" s="28" t="s">
        <v>23</v>
      </c>
      <c r="H405" s="20" t="s">
        <v>116</v>
      </c>
      <c r="I405" s="28" t="s">
        <v>63</v>
      </c>
      <c r="J405" s="20" t="s">
        <v>34</v>
      </c>
      <c r="K405" s="20"/>
      <c r="L405" s="20"/>
      <c r="M405" s="96">
        <v>46163</v>
      </c>
      <c r="N405" s="96">
        <v>46223</v>
      </c>
      <c r="O405" s="223" t="str">
        <f t="shared" si="51"/>
        <v xml:space="preserve">Trần Văn Diện, , </v>
      </c>
    </row>
    <row r="406" spans="1:15">
      <c r="A406" s="28" t="str">
        <f>"3."&amp;D406&amp;"."&amp;B406</f>
        <v>3.T.KHO.VPNT.KSMN.112</v>
      </c>
      <c r="B406" s="28" t="str">
        <f>TEXT(COUNTIFS($C$3:C406,C406,$D$3:D406,D406,$F$3:F406,F406)+IF(F406="KT",100,IF(F406="KC",200,IF(F406="DI",300,IF(F406="DN",400,IF(F406="NU",500,IF(F406="DH",600,IF(F406="PC",700,0))))))),"000")</f>
        <v>112</v>
      </c>
      <c r="C406" s="28" t="s">
        <v>10</v>
      </c>
      <c r="D406" s="100" t="s">
        <v>325</v>
      </c>
      <c r="E406" s="28" t="s">
        <v>336</v>
      </c>
      <c r="F406" s="88" t="s">
        <v>123</v>
      </c>
      <c r="G406" s="6" t="s">
        <v>128</v>
      </c>
      <c r="H406" s="20" t="s">
        <v>116</v>
      </c>
      <c r="I406" s="28" t="s">
        <v>63</v>
      </c>
      <c r="J406" s="20" t="s">
        <v>34</v>
      </c>
      <c r="K406" s="20"/>
      <c r="L406" s="20"/>
      <c r="M406" s="96">
        <v>46122</v>
      </c>
      <c r="N406" s="96">
        <v>46176</v>
      </c>
      <c r="O406" s="223" t="str">
        <f t="shared" si="51"/>
        <v xml:space="preserve">Trần Văn Diện, , </v>
      </c>
    </row>
    <row r="407" spans="1:15">
      <c r="A407" s="28" t="str">
        <f>"3."&amp;D407&amp;"."&amp;B407</f>
        <v>3.T.KHO.VPNT.KSMN.206</v>
      </c>
      <c r="B407" s="28" t="str">
        <f>TEXT(COUNTIFS($C$3:C407,C407,$D$3:D407,D407,$F$3:F407,F407)+IF(F407="KT",100,IF(F407="KC",200,IF(F407="DI",300,IF(F407="DN",400,IF(F407="NU",500,IF(F407="DH",600,IF(F407="PC",700,0))))))),"000")</f>
        <v>206</v>
      </c>
      <c r="C407" s="28" t="s">
        <v>10</v>
      </c>
      <c r="D407" s="100" t="s">
        <v>325</v>
      </c>
      <c r="E407" s="28" t="s">
        <v>336</v>
      </c>
      <c r="F407" s="88" t="s">
        <v>132</v>
      </c>
      <c r="G407" s="28" t="s">
        <v>23</v>
      </c>
      <c r="H407" s="20" t="s">
        <v>116</v>
      </c>
      <c r="I407" s="28" t="s">
        <v>63</v>
      </c>
      <c r="J407" s="20" t="s">
        <v>34</v>
      </c>
      <c r="K407" s="20"/>
      <c r="L407" s="20"/>
      <c r="M407" s="96">
        <v>46188</v>
      </c>
      <c r="N407" s="96">
        <v>46228</v>
      </c>
      <c r="O407" s="223" t="str">
        <f t="shared" si="51"/>
        <v xml:space="preserve">Trần Văn Diện, , </v>
      </c>
    </row>
    <row r="408" spans="1:15">
      <c r="A408" s="28" t="str">
        <f>"3."&amp;D408&amp;"."&amp;B408</f>
        <v>3.T.KHO.VPNT.KSMN.306</v>
      </c>
      <c r="B408" s="28" t="str">
        <f>TEXT(COUNTIFS($C$3:C408,C408,$D$3:D408,D408,$F$3:F408,F408)+IF(F408="KT",100,IF(F408="KC",200,IF(F408="DI",300,IF(F408="DN",400,IF(F408="NU",500,IF(F408="DH",600,IF(F408="PC",700,0))))))),"000")</f>
        <v>306</v>
      </c>
      <c r="C408" s="28" t="s">
        <v>10</v>
      </c>
      <c r="D408" s="100" t="s">
        <v>325</v>
      </c>
      <c r="E408" s="28" t="s">
        <v>336</v>
      </c>
      <c r="F408" s="87" t="s">
        <v>140</v>
      </c>
      <c r="G408" s="28" t="s">
        <v>23</v>
      </c>
      <c r="H408" s="6" t="s">
        <v>116</v>
      </c>
      <c r="I408" s="28" t="s">
        <v>63</v>
      </c>
      <c r="J408" s="20" t="s">
        <v>165</v>
      </c>
      <c r="K408" s="20"/>
      <c r="L408" s="20"/>
      <c r="M408" s="96">
        <v>46187</v>
      </c>
      <c r="N408" s="96">
        <v>46233</v>
      </c>
      <c r="O408" s="223" t="str">
        <f>J408&amp;", "&amp;K408&amp;", "&amp;L408</f>
        <v xml:space="preserve">Nguyễn Văn Hải, , </v>
      </c>
    </row>
    <row r="409" spans="1:15">
      <c r="A409" s="28" t="str">
        <f>"3."&amp;D409&amp;"."&amp;B409</f>
        <v>3.T.KHO.VPNT.KSMN.406</v>
      </c>
      <c r="B409" s="28" t="str">
        <f>TEXT(COUNTIFS($C$3:C409,C409,$D$3:D409,D409,$F$3:F409,F409)+IF(F409="KT",100,IF(F409="KC",200,IF(F409="DI",300,IF(F409="DN",400,IF(F409="NU",500,IF(F409="DH",600,IF(F409="PC",700,0))))))),"000")</f>
        <v>406</v>
      </c>
      <c r="C409" s="28" t="s">
        <v>10</v>
      </c>
      <c r="D409" s="100" t="s">
        <v>325</v>
      </c>
      <c r="E409" s="28" t="s">
        <v>336</v>
      </c>
      <c r="F409" s="87" t="s">
        <v>148</v>
      </c>
      <c r="G409" s="28" t="s">
        <v>23</v>
      </c>
      <c r="H409" s="6" t="s">
        <v>116</v>
      </c>
      <c r="I409" s="28" t="s">
        <v>63</v>
      </c>
      <c r="J409" s="20" t="s">
        <v>165</v>
      </c>
      <c r="K409" s="20"/>
      <c r="L409" s="20"/>
      <c r="M409" s="96">
        <v>46187</v>
      </c>
      <c r="N409" s="96">
        <v>46233</v>
      </c>
      <c r="O409" s="223" t="str">
        <f>J409&amp;", "&amp;K409&amp;", "&amp;L409</f>
        <v xml:space="preserve">Nguyễn Văn Hải, , </v>
      </c>
    </row>
    <row r="410" spans="1:15">
      <c r="A410" s="28" t="str">
        <f>"3."&amp;D410&amp;"."&amp;B410</f>
        <v>3.T.KHO.VPNT.KSMN.506</v>
      </c>
      <c r="B410" s="28" t="str">
        <f>TEXT(COUNTIFS($C$3:C410,C410,$D$3:D410,D410,$F$3:F410,F410)+IF(F410="KT",100,IF(F410="KC",200,IF(F410="DI",300,IF(F410="DN",400,IF(F410="NU",500,IF(F410="DH",600,IF(F410="PC",700,0))))))),"000")</f>
        <v>506</v>
      </c>
      <c r="C410" s="28" t="s">
        <v>10</v>
      </c>
      <c r="D410" s="100" t="s">
        <v>325</v>
      </c>
      <c r="E410" s="28" t="s">
        <v>336</v>
      </c>
      <c r="F410" s="87" t="s">
        <v>154</v>
      </c>
      <c r="G410" s="28" t="s">
        <v>23</v>
      </c>
      <c r="H410" s="6" t="s">
        <v>116</v>
      </c>
      <c r="I410" s="28" t="s">
        <v>63</v>
      </c>
      <c r="J410" s="20" t="s">
        <v>165</v>
      </c>
      <c r="K410" s="20"/>
      <c r="L410" s="20"/>
      <c r="M410" s="96">
        <v>46187</v>
      </c>
      <c r="N410" s="96">
        <v>46233</v>
      </c>
      <c r="O410" s="223" t="str">
        <f t="shared" ref="O410" si="54">J410&amp;", "&amp;K410&amp;", "&amp;L410</f>
        <v xml:space="preserve">Nguyễn Văn Hải, , </v>
      </c>
    </row>
    <row r="411" spans="1:15">
      <c r="A411" s="28" t="str">
        <f>"3."&amp;D411&amp;"."&amp;B411</f>
        <v>3.T.KHO.VPNT.KSMN.606</v>
      </c>
      <c r="B411" s="28" t="str">
        <f>TEXT(COUNTIFS($C$3:C411,C411,$D$3:D411,D411,$F$3:F411,F411)+IF(F411="KT",100,IF(F411="KC",200,IF(F411="DI",300,IF(F411="DN",400,IF(F411="NU",500,IF(F411="DH",600,IF(F411="PC",700,0))))))),"000")</f>
        <v>606</v>
      </c>
      <c r="C411" s="28" t="s">
        <v>10</v>
      </c>
      <c r="D411" s="100" t="s">
        <v>325</v>
      </c>
      <c r="E411" s="28" t="s">
        <v>336</v>
      </c>
      <c r="F411" s="87" t="s">
        <v>164</v>
      </c>
      <c r="G411" s="28" t="s">
        <v>23</v>
      </c>
      <c r="H411" s="6" t="s">
        <v>116</v>
      </c>
      <c r="I411" s="28" t="s">
        <v>63</v>
      </c>
      <c r="J411" s="20" t="s">
        <v>165</v>
      </c>
      <c r="K411" s="20"/>
      <c r="L411" s="20"/>
      <c r="M411" s="96">
        <v>46187</v>
      </c>
      <c r="N411" s="96">
        <v>46233</v>
      </c>
      <c r="O411" s="223" t="str">
        <f>J411&amp;", "&amp;K411&amp;", "&amp;L411</f>
        <v xml:space="preserve">Nguyễn Văn Hải, , </v>
      </c>
    </row>
    <row r="412" spans="1:15">
      <c r="A412" s="28" t="str">
        <f>"3."&amp;D412&amp;"."&amp;B412</f>
        <v>3.T.KHO.VPNT.KSMN.706</v>
      </c>
      <c r="B412" s="28" t="str">
        <f>TEXT(COUNTIFS($C$3:C412,C412,$D$3:D412,D412,$F$3:F412,F412)+IF(F412="KT",100,IF(F412="KC",200,IF(F412="DI",300,IF(F412="DN",400,IF(F412="NU",500,IF(F412="DH",600,IF(F412="PC",700,0))))))),"000")</f>
        <v>706</v>
      </c>
      <c r="C412" s="28" t="s">
        <v>10</v>
      </c>
      <c r="D412" s="100" t="s">
        <v>325</v>
      </c>
      <c r="E412" s="28" t="s">
        <v>336</v>
      </c>
      <c r="F412" s="87" t="s">
        <v>159</v>
      </c>
      <c r="G412" s="28" t="s">
        <v>23</v>
      </c>
      <c r="H412" s="6" t="s">
        <v>116</v>
      </c>
      <c r="I412" s="28" t="s">
        <v>63</v>
      </c>
      <c r="J412" s="20" t="s">
        <v>165</v>
      </c>
      <c r="K412" s="20"/>
      <c r="L412" s="20"/>
      <c r="M412" s="96">
        <v>46187</v>
      </c>
      <c r="N412" s="96">
        <v>46233</v>
      </c>
      <c r="O412" s="223" t="str">
        <f t="shared" si="51"/>
        <v xml:space="preserve">Nguyễn Văn Hải, , </v>
      </c>
    </row>
    <row r="413" spans="1:15">
      <c r="A413" s="28"/>
      <c r="B413" s="110"/>
      <c r="C413" s="28"/>
      <c r="D413" s="100"/>
      <c r="E413" s="28"/>
      <c r="F413" s="88"/>
      <c r="G413" s="28"/>
      <c r="H413" s="28"/>
      <c r="I413" s="28"/>
      <c r="J413" s="20"/>
      <c r="K413" s="20"/>
      <c r="L413" s="20"/>
      <c r="M413" s="96"/>
      <c r="N413" s="96"/>
      <c r="O413" s="223" t="str">
        <f t="shared" si="51"/>
        <v xml:space="preserve">, , </v>
      </c>
    </row>
    <row r="414" spans="1:15">
      <c r="A414" s="28"/>
      <c r="B414" s="110"/>
      <c r="C414" s="28"/>
      <c r="D414" s="100"/>
      <c r="E414" s="28"/>
      <c r="F414" s="88"/>
      <c r="G414" s="28"/>
      <c r="H414" s="28"/>
      <c r="I414" s="28"/>
      <c r="J414" s="20"/>
      <c r="K414" s="20"/>
      <c r="L414" s="20"/>
      <c r="M414" s="96"/>
      <c r="N414" s="96"/>
      <c r="O414" s="223" t="str">
        <f t="shared" si="51"/>
        <v xml:space="preserve">, , </v>
      </c>
    </row>
    <row r="415" spans="1:15">
      <c r="A415" s="28"/>
      <c r="B415" s="110"/>
      <c r="C415" s="28"/>
      <c r="D415" s="100"/>
      <c r="E415" s="28"/>
      <c r="F415" s="88"/>
      <c r="G415" s="28"/>
      <c r="H415" s="28"/>
      <c r="I415" s="28"/>
      <c r="J415" s="20"/>
      <c r="K415" s="20"/>
      <c r="L415" s="20"/>
      <c r="M415" s="96"/>
      <c r="N415" s="96"/>
      <c r="O415" s="223" t="str">
        <f t="shared" si="51"/>
        <v xml:space="preserve">, , </v>
      </c>
    </row>
    <row r="416" spans="1:15">
      <c r="A416" s="28"/>
      <c r="B416" s="110"/>
      <c r="C416" s="28"/>
      <c r="D416" s="100"/>
      <c r="E416" s="28"/>
      <c r="F416" s="88"/>
      <c r="G416" s="28"/>
      <c r="H416" s="28"/>
      <c r="I416" s="28"/>
      <c r="J416" s="20"/>
      <c r="K416" s="20"/>
      <c r="L416" s="20"/>
      <c r="M416" s="96"/>
      <c r="N416" s="96"/>
      <c r="O416" s="223" t="str">
        <f t="shared" si="51"/>
        <v xml:space="preserve">, , </v>
      </c>
    </row>
    <row r="417" spans="1:15">
      <c r="A417" s="28"/>
      <c r="B417" s="110"/>
      <c r="C417" s="28"/>
      <c r="D417" s="100"/>
      <c r="E417" s="28"/>
      <c r="F417" s="88"/>
      <c r="G417" s="28"/>
      <c r="H417" s="28"/>
      <c r="I417" s="28"/>
      <c r="J417" s="20"/>
      <c r="K417" s="20"/>
      <c r="L417" s="20"/>
      <c r="M417" s="96"/>
      <c r="N417" s="96"/>
      <c r="O417" s="223" t="str">
        <f t="shared" si="51"/>
        <v xml:space="preserve">, , </v>
      </c>
    </row>
    <row r="418" spans="1:15">
      <c r="A418" s="28"/>
      <c r="B418" s="110"/>
      <c r="C418" s="28"/>
      <c r="D418" s="100"/>
      <c r="E418" s="28"/>
      <c r="F418" s="88"/>
      <c r="G418" s="28"/>
      <c r="H418" s="28"/>
      <c r="I418" s="28"/>
      <c r="J418" s="20"/>
      <c r="K418" s="20"/>
      <c r="L418" s="20"/>
      <c r="M418" s="96"/>
      <c r="N418" s="96"/>
      <c r="O418" s="223" t="str">
        <f t="shared" si="51"/>
        <v xml:space="preserve">, , </v>
      </c>
    </row>
    <row r="419" spans="1:15">
      <c r="A419" s="28"/>
      <c r="B419" s="110"/>
      <c r="C419" s="28"/>
      <c r="D419" s="100"/>
      <c r="E419" s="28"/>
      <c r="F419" s="88"/>
      <c r="G419" s="28"/>
      <c r="H419" s="28"/>
      <c r="I419" s="28"/>
      <c r="J419" s="20"/>
      <c r="K419" s="20"/>
      <c r="L419" s="20"/>
      <c r="M419" s="96"/>
      <c r="N419" s="96"/>
      <c r="O419" s="223" t="str">
        <f t="shared" si="51"/>
        <v xml:space="preserve">, , </v>
      </c>
    </row>
    <row r="420" spans="1:15">
      <c r="A420" s="28"/>
      <c r="B420" s="110"/>
      <c r="C420" s="28"/>
      <c r="D420" s="100"/>
      <c r="E420" s="28"/>
      <c r="F420" s="88"/>
      <c r="G420" s="28"/>
      <c r="H420" s="28"/>
      <c r="I420" s="28"/>
      <c r="J420" s="20"/>
      <c r="K420" s="20"/>
      <c r="L420" s="20"/>
      <c r="M420" s="96"/>
      <c r="N420" s="96"/>
      <c r="O420" s="223" t="str">
        <f t="shared" si="51"/>
        <v xml:space="preserve">, , </v>
      </c>
    </row>
    <row r="421" spans="1:15">
      <c r="A421" s="28"/>
      <c r="B421" s="28"/>
      <c r="C421" s="28"/>
      <c r="D421" s="100"/>
      <c r="E421" s="28"/>
      <c r="F421" s="88"/>
      <c r="G421" s="28"/>
      <c r="H421" s="28"/>
      <c r="I421" s="28"/>
      <c r="J421" s="20"/>
      <c r="K421" s="20"/>
      <c r="L421" s="20"/>
      <c r="M421" s="96"/>
      <c r="N421" s="96"/>
      <c r="O421" s="223" t="str">
        <f t="shared" si="51"/>
        <v xml:space="preserve">, , </v>
      </c>
    </row>
    <row r="422" spans="1:15">
      <c r="A422" s="28"/>
      <c r="B422" s="28"/>
      <c r="C422" s="28"/>
      <c r="D422" s="100"/>
      <c r="E422" s="28"/>
      <c r="F422" s="88"/>
      <c r="G422" s="28"/>
      <c r="H422" s="28"/>
      <c r="I422" s="28"/>
      <c r="J422" s="20"/>
      <c r="K422" s="20"/>
      <c r="L422" s="20"/>
      <c r="M422" s="96"/>
      <c r="N422" s="96"/>
      <c r="O422" s="223" t="str">
        <f t="shared" si="51"/>
        <v xml:space="preserve">, , </v>
      </c>
    </row>
    <row r="423" spans="1:15">
      <c r="A423" s="28"/>
      <c r="B423" s="28"/>
      <c r="C423" s="28"/>
      <c r="D423" s="100"/>
      <c r="E423" s="28"/>
      <c r="F423" s="88"/>
      <c r="G423" s="28"/>
      <c r="H423" s="28"/>
      <c r="I423" s="28"/>
      <c r="J423" s="20"/>
      <c r="K423" s="20"/>
      <c r="L423" s="20"/>
      <c r="M423" s="96"/>
      <c r="N423" s="96"/>
      <c r="O423" s="223" t="str">
        <f t="shared" si="51"/>
        <v xml:space="preserve">, , </v>
      </c>
    </row>
    <row r="424" spans="1:15">
      <c r="A424" s="28"/>
      <c r="B424" s="28"/>
      <c r="C424" s="28"/>
      <c r="D424" s="100"/>
      <c r="E424" s="28"/>
      <c r="F424" s="88"/>
      <c r="G424" s="28"/>
      <c r="H424" s="28"/>
      <c r="I424" s="28"/>
      <c r="J424" s="20"/>
      <c r="K424" s="20"/>
      <c r="L424" s="20"/>
      <c r="M424" s="96"/>
      <c r="N424" s="96"/>
      <c r="O424" s="223" t="str">
        <f t="shared" si="51"/>
        <v xml:space="preserve">, , </v>
      </c>
    </row>
    <row r="425" spans="1:15">
      <c r="A425" s="28"/>
      <c r="B425" s="28"/>
      <c r="C425" s="28"/>
      <c r="D425" s="100"/>
      <c r="E425" s="28"/>
      <c r="F425" s="88"/>
      <c r="G425" s="28"/>
      <c r="H425" s="28"/>
      <c r="I425" s="28"/>
      <c r="J425" s="20"/>
      <c r="K425" s="20"/>
      <c r="L425" s="20"/>
      <c r="M425" s="96"/>
      <c r="N425" s="96"/>
      <c r="O425" s="223" t="str">
        <f t="shared" si="51"/>
        <v xml:space="preserve">, , </v>
      </c>
    </row>
    <row r="426" spans="1:15">
      <c r="A426" s="28"/>
      <c r="B426" s="28"/>
      <c r="C426" s="28"/>
      <c r="D426" s="100"/>
      <c r="E426" s="28"/>
      <c r="F426" s="88"/>
      <c r="G426" s="28"/>
      <c r="H426" s="28"/>
      <c r="I426" s="28"/>
      <c r="J426" s="20"/>
      <c r="K426" s="20"/>
      <c r="L426" s="20"/>
      <c r="M426" s="96"/>
      <c r="N426" s="96"/>
      <c r="O426" s="223" t="str">
        <f t="shared" si="51"/>
        <v xml:space="preserve">, , </v>
      </c>
    </row>
    <row r="427" spans="1:15">
      <c r="A427" s="28"/>
      <c r="B427" s="28"/>
      <c r="C427" s="28"/>
      <c r="D427" s="100"/>
      <c r="E427" s="28"/>
      <c r="F427" s="88"/>
      <c r="G427" s="28"/>
      <c r="H427" s="28"/>
      <c r="I427" s="28"/>
      <c r="J427" s="20"/>
      <c r="K427" s="20"/>
      <c r="L427" s="20"/>
      <c r="M427" s="96"/>
      <c r="N427" s="96"/>
      <c r="O427" s="223" t="str">
        <f t="shared" si="51"/>
        <v xml:space="preserve">, , </v>
      </c>
    </row>
    <row r="428" spans="1:15">
      <c r="A428" s="28"/>
      <c r="B428" s="28"/>
      <c r="C428" s="28"/>
      <c r="D428" s="100"/>
      <c r="E428" s="28"/>
      <c r="F428" s="88"/>
      <c r="G428" s="28"/>
      <c r="H428" s="28"/>
      <c r="I428" s="28"/>
      <c r="J428" s="20"/>
      <c r="K428" s="20"/>
      <c r="L428" s="20"/>
      <c r="M428" s="96"/>
      <c r="N428" s="96"/>
      <c r="O428" s="223" t="str">
        <f t="shared" si="51"/>
        <v xml:space="preserve">, , </v>
      </c>
    </row>
    <row r="429" spans="1:15">
      <c r="A429" s="28"/>
      <c r="B429" s="28"/>
      <c r="C429" s="28"/>
      <c r="D429" s="100"/>
      <c r="E429" s="28"/>
      <c r="F429" s="88"/>
      <c r="G429" s="28"/>
      <c r="H429" s="28"/>
      <c r="I429" s="28"/>
      <c r="J429" s="20"/>
      <c r="K429" s="20"/>
      <c r="L429" s="20"/>
      <c r="M429" s="96"/>
      <c r="N429" s="96"/>
      <c r="O429" s="223" t="str">
        <f t="shared" si="51"/>
        <v xml:space="preserve">, , </v>
      </c>
    </row>
    <row r="430" spans="1:15">
      <c r="A430" s="28"/>
      <c r="B430" s="28"/>
      <c r="C430" s="28"/>
      <c r="D430" s="100"/>
      <c r="E430" s="28"/>
      <c r="F430" s="88"/>
      <c r="G430" s="28"/>
      <c r="H430" s="28"/>
      <c r="I430" s="28"/>
      <c r="J430" s="20"/>
      <c r="K430" s="20"/>
      <c r="L430" s="20"/>
      <c r="M430" s="96"/>
      <c r="N430" s="96"/>
      <c r="O430" s="223" t="str">
        <f t="shared" si="51"/>
        <v xml:space="preserve">, , </v>
      </c>
    </row>
    <row r="431" spans="1:15">
      <c r="A431" s="28"/>
      <c r="B431" s="28"/>
      <c r="C431" s="28"/>
      <c r="D431" s="100"/>
      <c r="E431" s="28"/>
      <c r="F431" s="88"/>
      <c r="G431" s="28"/>
      <c r="H431" s="28"/>
      <c r="I431" s="28"/>
      <c r="J431" s="20"/>
      <c r="K431" s="20"/>
      <c r="L431" s="20"/>
      <c r="M431" s="96"/>
      <c r="N431" s="96"/>
      <c r="O431" s="223" t="str">
        <f t="shared" si="51"/>
        <v xml:space="preserve">, , </v>
      </c>
    </row>
    <row r="432" spans="1:15">
      <c r="A432" s="28"/>
      <c r="B432" s="28"/>
      <c r="C432" s="28"/>
      <c r="D432" s="100"/>
      <c r="E432" s="28"/>
      <c r="F432" s="88"/>
      <c r="G432" s="28"/>
      <c r="H432" s="28"/>
      <c r="I432" s="28"/>
      <c r="J432" s="20"/>
      <c r="K432" s="20"/>
      <c r="L432" s="20"/>
      <c r="M432" s="96"/>
      <c r="N432" s="96"/>
      <c r="O432" s="223" t="str">
        <f t="shared" si="51"/>
        <v xml:space="preserve">, , </v>
      </c>
    </row>
    <row r="433" spans="1:15">
      <c r="A433" s="28"/>
      <c r="B433" s="28"/>
      <c r="C433" s="28"/>
      <c r="D433" s="100"/>
      <c r="E433" s="28"/>
      <c r="F433" s="88"/>
      <c r="G433" s="28"/>
      <c r="H433" s="28"/>
      <c r="I433" s="28"/>
      <c r="J433" s="20"/>
      <c r="K433" s="20"/>
      <c r="L433" s="20"/>
      <c r="M433" s="96"/>
      <c r="N433" s="96"/>
      <c r="O433" s="223" t="str">
        <f t="shared" si="51"/>
        <v xml:space="preserve">, , </v>
      </c>
    </row>
    <row r="434" spans="1:15">
      <c r="A434" s="28"/>
      <c r="B434" s="28"/>
      <c r="C434" s="28"/>
      <c r="D434" s="100"/>
      <c r="E434" s="28"/>
      <c r="F434" s="88"/>
      <c r="G434" s="28"/>
      <c r="H434" s="28"/>
      <c r="I434" s="28"/>
      <c r="J434" s="20"/>
      <c r="K434" s="20"/>
      <c r="L434" s="20"/>
      <c r="M434" s="96"/>
      <c r="N434" s="96"/>
      <c r="O434" s="223" t="str">
        <f t="shared" si="51"/>
        <v xml:space="preserve">, , </v>
      </c>
    </row>
    <row r="435" spans="1:15">
      <c r="A435" s="28"/>
      <c r="B435" s="28"/>
      <c r="C435" s="28"/>
      <c r="D435" s="100"/>
      <c r="E435" s="28"/>
      <c r="F435" s="88"/>
      <c r="G435" s="28"/>
      <c r="H435" s="28"/>
      <c r="I435" s="28"/>
      <c r="J435" s="20"/>
      <c r="K435" s="20"/>
      <c r="L435" s="20"/>
      <c r="M435" s="96"/>
      <c r="N435" s="96"/>
      <c r="O435" s="223" t="str">
        <f t="shared" si="51"/>
        <v xml:space="preserve">, , </v>
      </c>
    </row>
    <row r="436" spans="1:15">
      <c r="A436" s="28"/>
      <c r="B436" s="28"/>
      <c r="C436" s="28"/>
      <c r="D436" s="100"/>
      <c r="E436" s="28"/>
      <c r="F436" s="88"/>
      <c r="G436" s="28"/>
      <c r="H436" s="28"/>
      <c r="I436" s="28"/>
      <c r="J436" s="20"/>
      <c r="K436" s="20"/>
      <c r="L436" s="20"/>
      <c r="M436" s="96"/>
      <c r="N436" s="96"/>
      <c r="O436" s="223" t="str">
        <f t="shared" si="51"/>
        <v xml:space="preserve">, , </v>
      </c>
    </row>
    <row r="437" spans="1:15">
      <c r="A437" s="28"/>
      <c r="B437" s="28"/>
      <c r="C437" s="28"/>
      <c r="D437" s="100"/>
      <c r="E437" s="28"/>
      <c r="F437" s="88"/>
      <c r="G437" s="28"/>
      <c r="H437" s="28"/>
      <c r="I437" s="28"/>
      <c r="J437" s="20"/>
      <c r="K437" s="20"/>
      <c r="L437" s="20"/>
      <c r="M437" s="96"/>
      <c r="N437" s="96"/>
      <c r="O437" s="223" t="str">
        <f t="shared" si="51"/>
        <v xml:space="preserve">, , </v>
      </c>
    </row>
    <row r="438" spans="1:15">
      <c r="A438" s="28"/>
      <c r="B438" s="28"/>
      <c r="C438" s="28"/>
      <c r="D438" s="100"/>
      <c r="E438" s="28"/>
      <c r="F438" s="88"/>
      <c r="G438" s="28"/>
      <c r="H438" s="28"/>
      <c r="I438" s="28"/>
      <c r="J438" s="20"/>
      <c r="K438" s="20"/>
      <c r="L438" s="20"/>
      <c r="M438" s="96"/>
      <c r="N438" s="96"/>
      <c r="O438" s="223" t="str">
        <f t="shared" si="51"/>
        <v xml:space="preserve">, , </v>
      </c>
    </row>
    <row r="439" spans="1:15">
      <c r="A439" s="28"/>
      <c r="B439" s="28"/>
      <c r="C439" s="28"/>
      <c r="D439" s="100"/>
      <c r="E439" s="28"/>
      <c r="F439" s="88"/>
      <c r="G439" s="28"/>
      <c r="H439" s="28"/>
      <c r="I439" s="28"/>
      <c r="J439" s="20"/>
      <c r="K439" s="20"/>
      <c r="L439" s="20"/>
      <c r="M439" s="96"/>
      <c r="N439" s="96"/>
      <c r="O439" s="223" t="str">
        <f t="shared" si="51"/>
        <v xml:space="preserve">, , </v>
      </c>
    </row>
    <row r="440" spans="1:15">
      <c r="A440" s="28"/>
      <c r="B440" s="28"/>
      <c r="C440" s="28"/>
      <c r="D440" s="100"/>
      <c r="E440" s="28"/>
      <c r="F440" s="88"/>
      <c r="G440" s="28"/>
      <c r="H440" s="28"/>
      <c r="I440" s="28"/>
      <c r="J440" s="20"/>
      <c r="K440" s="20"/>
      <c r="L440" s="20"/>
      <c r="M440" s="96"/>
      <c r="N440" s="96"/>
      <c r="O440" s="223" t="str">
        <f t="shared" si="51"/>
        <v xml:space="preserve">, , </v>
      </c>
    </row>
    <row r="441" spans="1:15">
      <c r="A441" s="28"/>
      <c r="B441" s="28"/>
      <c r="C441" s="28"/>
      <c r="D441" s="100"/>
      <c r="E441" s="28"/>
      <c r="F441" s="88"/>
      <c r="G441" s="28"/>
      <c r="H441" s="28"/>
      <c r="I441" s="28"/>
      <c r="J441" s="20"/>
      <c r="K441" s="20"/>
      <c r="L441" s="20"/>
      <c r="M441" s="96"/>
      <c r="N441" s="96"/>
      <c r="O441" s="223" t="str">
        <f t="shared" si="51"/>
        <v xml:space="preserve">, , </v>
      </c>
    </row>
    <row r="442" spans="1:15">
      <c r="A442" s="28"/>
      <c r="B442" s="28"/>
      <c r="C442" s="28"/>
      <c r="D442" s="100"/>
      <c r="E442" s="28"/>
      <c r="F442" s="88"/>
      <c r="G442" s="28"/>
      <c r="H442" s="28"/>
      <c r="I442" s="28"/>
      <c r="J442" s="20"/>
      <c r="K442" s="20"/>
      <c r="L442" s="20"/>
      <c r="M442" s="96"/>
      <c r="N442" s="96"/>
      <c r="O442" s="223" t="str">
        <f t="shared" si="51"/>
        <v xml:space="preserve">, , </v>
      </c>
    </row>
    <row r="443" spans="1:15">
      <c r="A443" s="28"/>
      <c r="B443" s="28"/>
      <c r="C443" s="28"/>
      <c r="D443" s="100"/>
      <c r="E443" s="28"/>
      <c r="F443" s="88"/>
      <c r="G443" s="28"/>
      <c r="H443" s="28"/>
      <c r="I443" s="28"/>
      <c r="J443" s="20"/>
      <c r="K443" s="20"/>
      <c r="L443" s="20"/>
      <c r="M443" s="96"/>
      <c r="N443" s="96"/>
      <c r="O443" s="223" t="str">
        <f t="shared" si="51"/>
        <v xml:space="preserve">, , </v>
      </c>
    </row>
    <row r="444" spans="1:15">
      <c r="A444" s="28"/>
      <c r="B444" s="28"/>
      <c r="C444" s="28"/>
      <c r="D444" s="100"/>
      <c r="E444" s="28"/>
      <c r="F444" s="88"/>
      <c r="G444" s="28"/>
      <c r="H444" s="28"/>
      <c r="I444" s="28"/>
      <c r="J444" s="20"/>
      <c r="K444" s="20"/>
      <c r="L444" s="20"/>
      <c r="M444" s="96"/>
      <c r="N444" s="96"/>
      <c r="O444" s="223" t="str">
        <f t="shared" si="51"/>
        <v xml:space="preserve">, , </v>
      </c>
    </row>
    <row r="445" spans="1:15">
      <c r="A445" s="28"/>
      <c r="B445" s="28"/>
      <c r="C445" s="28"/>
      <c r="D445" s="100"/>
      <c r="E445" s="28"/>
      <c r="F445" s="88"/>
      <c r="G445" s="28"/>
      <c r="H445" s="28"/>
      <c r="I445" s="28"/>
      <c r="J445" s="20"/>
      <c r="K445" s="20"/>
      <c r="L445" s="20"/>
      <c r="M445" s="96"/>
      <c r="N445" s="96"/>
      <c r="O445" s="223" t="str">
        <f t="shared" ref="O445:O504" si="55">J445&amp;", "&amp;K445&amp;", "&amp;L445</f>
        <v xml:space="preserve">, , </v>
      </c>
    </row>
    <row r="446" spans="1:15">
      <c r="A446" s="28"/>
      <c r="B446" s="28"/>
      <c r="C446" s="28"/>
      <c r="D446" s="100"/>
      <c r="E446" s="28"/>
      <c r="F446" s="88"/>
      <c r="G446" s="28"/>
      <c r="H446" s="28"/>
      <c r="I446" s="28"/>
      <c r="J446" s="20"/>
      <c r="K446" s="20"/>
      <c r="L446" s="20"/>
      <c r="M446" s="96"/>
      <c r="N446" s="96"/>
      <c r="O446" s="223" t="str">
        <f t="shared" si="55"/>
        <v xml:space="preserve">, , </v>
      </c>
    </row>
    <row r="447" spans="1:15">
      <c r="A447" s="28"/>
      <c r="B447" s="28"/>
      <c r="C447" s="28"/>
      <c r="D447" s="100"/>
      <c r="E447" s="28"/>
      <c r="F447" s="88"/>
      <c r="G447" s="28"/>
      <c r="H447" s="28"/>
      <c r="I447" s="28"/>
      <c r="J447" s="20"/>
      <c r="K447" s="20"/>
      <c r="L447" s="20"/>
      <c r="M447" s="96"/>
      <c r="N447" s="96"/>
      <c r="O447" s="223" t="str">
        <f t="shared" si="55"/>
        <v xml:space="preserve">, , </v>
      </c>
    </row>
    <row r="448" spans="1:15">
      <c r="A448" s="28"/>
      <c r="B448" s="28"/>
      <c r="C448" s="28"/>
      <c r="D448" s="100"/>
      <c r="E448" s="28"/>
      <c r="F448" s="88"/>
      <c r="G448" s="28"/>
      <c r="H448" s="28"/>
      <c r="I448" s="28"/>
      <c r="J448" s="20"/>
      <c r="K448" s="20"/>
      <c r="L448" s="20"/>
      <c r="M448" s="96"/>
      <c r="N448" s="96"/>
      <c r="O448" s="223" t="str">
        <f t="shared" si="55"/>
        <v xml:space="preserve">, , </v>
      </c>
    </row>
    <row r="449" spans="1:15">
      <c r="A449" s="28"/>
      <c r="B449" s="28"/>
      <c r="C449" s="28"/>
      <c r="D449" s="100"/>
      <c r="E449" s="28"/>
      <c r="F449" s="88"/>
      <c r="G449" s="28"/>
      <c r="H449" s="28"/>
      <c r="I449" s="28"/>
      <c r="J449" s="20"/>
      <c r="K449" s="20"/>
      <c r="L449" s="20"/>
      <c r="M449" s="96"/>
      <c r="N449" s="96"/>
      <c r="O449" s="223" t="str">
        <f t="shared" si="55"/>
        <v xml:space="preserve">, , </v>
      </c>
    </row>
    <row r="450" spans="1:15">
      <c r="A450" s="28"/>
      <c r="B450" s="28"/>
      <c r="C450" s="28"/>
      <c r="D450" s="100"/>
      <c r="E450" s="28"/>
      <c r="F450" s="88"/>
      <c r="G450" s="28"/>
      <c r="H450" s="28"/>
      <c r="I450" s="28"/>
      <c r="J450" s="20"/>
      <c r="K450" s="20"/>
      <c r="L450" s="20"/>
      <c r="M450" s="96"/>
      <c r="N450" s="96"/>
      <c r="O450" s="223" t="str">
        <f t="shared" si="55"/>
        <v xml:space="preserve">, , </v>
      </c>
    </row>
    <row r="451" spans="1:15">
      <c r="A451" s="28"/>
      <c r="B451" s="28"/>
      <c r="C451" s="28"/>
      <c r="D451" s="100"/>
      <c r="E451" s="28"/>
      <c r="F451" s="88"/>
      <c r="G451" s="28"/>
      <c r="H451" s="28"/>
      <c r="I451" s="28"/>
      <c r="J451" s="20"/>
      <c r="K451" s="20"/>
      <c r="L451" s="20"/>
      <c r="M451" s="96"/>
      <c r="N451" s="96"/>
      <c r="O451" s="223" t="str">
        <f t="shared" si="55"/>
        <v xml:space="preserve">, , </v>
      </c>
    </row>
    <row r="452" spans="1:15">
      <c r="A452" s="28"/>
      <c r="B452" s="28"/>
      <c r="C452" s="28"/>
      <c r="D452" s="100"/>
      <c r="E452" s="28"/>
      <c r="F452" s="88"/>
      <c r="G452" s="28"/>
      <c r="H452" s="28"/>
      <c r="I452" s="28"/>
      <c r="J452" s="20"/>
      <c r="K452" s="20"/>
      <c r="L452" s="20"/>
      <c r="M452" s="96"/>
      <c r="N452" s="96"/>
      <c r="O452" s="223" t="str">
        <f t="shared" si="55"/>
        <v xml:space="preserve">, , </v>
      </c>
    </row>
    <row r="453" spans="1:15">
      <c r="A453" s="28"/>
      <c r="B453" s="28"/>
      <c r="C453" s="28"/>
      <c r="D453" s="100"/>
      <c r="E453" s="28"/>
      <c r="F453" s="88"/>
      <c r="G453" s="28"/>
      <c r="H453" s="28"/>
      <c r="I453" s="28"/>
      <c r="J453" s="20"/>
      <c r="K453" s="20"/>
      <c r="L453" s="20"/>
      <c r="M453" s="96"/>
      <c r="N453" s="96"/>
      <c r="O453" s="223" t="str">
        <f t="shared" si="55"/>
        <v xml:space="preserve">, , </v>
      </c>
    </row>
    <row r="454" spans="1:15">
      <c r="A454" s="28"/>
      <c r="B454" s="28"/>
      <c r="C454" s="28"/>
      <c r="D454" s="100"/>
      <c r="E454" s="28"/>
      <c r="F454" s="88"/>
      <c r="G454" s="28"/>
      <c r="H454" s="28"/>
      <c r="I454" s="28"/>
      <c r="J454" s="20"/>
      <c r="K454" s="20"/>
      <c r="L454" s="20"/>
      <c r="M454" s="96"/>
      <c r="N454" s="96"/>
      <c r="O454" s="223" t="str">
        <f t="shared" si="55"/>
        <v xml:space="preserve">, , </v>
      </c>
    </row>
    <row r="455" spans="1:15">
      <c r="A455" s="28"/>
      <c r="B455" s="28"/>
      <c r="C455" s="28"/>
      <c r="D455" s="100"/>
      <c r="E455" s="28"/>
      <c r="F455" s="88"/>
      <c r="G455" s="28"/>
      <c r="H455" s="28"/>
      <c r="I455" s="28"/>
      <c r="J455" s="20"/>
      <c r="K455" s="20"/>
      <c r="L455" s="20"/>
      <c r="M455" s="96"/>
      <c r="N455" s="96"/>
      <c r="O455" s="223" t="str">
        <f t="shared" si="55"/>
        <v xml:space="preserve">, , </v>
      </c>
    </row>
    <row r="456" spans="1:15">
      <c r="A456" s="28"/>
      <c r="B456" s="28"/>
      <c r="C456" s="28"/>
      <c r="D456" s="100"/>
      <c r="E456" s="28"/>
      <c r="F456" s="88"/>
      <c r="G456" s="28"/>
      <c r="H456" s="28"/>
      <c r="I456" s="28"/>
      <c r="J456" s="20"/>
      <c r="K456" s="20"/>
      <c r="L456" s="20"/>
      <c r="M456" s="96"/>
      <c r="N456" s="96"/>
      <c r="O456" s="223" t="str">
        <f t="shared" si="55"/>
        <v xml:space="preserve">, , </v>
      </c>
    </row>
    <row r="457" spans="1:15">
      <c r="A457" s="28"/>
      <c r="B457" s="28"/>
      <c r="C457" s="28"/>
      <c r="D457" s="100"/>
      <c r="E457" s="28"/>
      <c r="F457" s="88"/>
      <c r="G457" s="28"/>
      <c r="H457" s="28"/>
      <c r="I457" s="28"/>
      <c r="J457" s="20"/>
      <c r="K457" s="20"/>
      <c r="L457" s="20"/>
      <c r="M457" s="96"/>
      <c r="N457" s="96"/>
      <c r="O457" s="223" t="str">
        <f t="shared" si="55"/>
        <v xml:space="preserve">, , </v>
      </c>
    </row>
    <row r="458" spans="1:15">
      <c r="A458" s="28"/>
      <c r="B458" s="28"/>
      <c r="C458" s="28"/>
      <c r="D458" s="100"/>
      <c r="E458" s="28"/>
      <c r="F458" s="88"/>
      <c r="G458" s="28"/>
      <c r="H458" s="28"/>
      <c r="I458" s="28"/>
      <c r="J458" s="20"/>
      <c r="K458" s="20"/>
      <c r="L458" s="20"/>
      <c r="M458" s="96"/>
      <c r="N458" s="96"/>
      <c r="O458" s="223" t="str">
        <f t="shared" si="55"/>
        <v xml:space="preserve">, , </v>
      </c>
    </row>
    <row r="459" spans="1:15">
      <c r="A459" s="28"/>
      <c r="B459" s="28"/>
      <c r="C459" s="28"/>
      <c r="D459" s="100"/>
      <c r="E459" s="28"/>
      <c r="F459" s="88"/>
      <c r="G459" s="28"/>
      <c r="H459" s="28"/>
      <c r="I459" s="28"/>
      <c r="J459" s="20"/>
      <c r="K459" s="20"/>
      <c r="L459" s="20"/>
      <c r="M459" s="96"/>
      <c r="N459" s="96"/>
      <c r="O459" s="223" t="str">
        <f t="shared" si="55"/>
        <v xml:space="preserve">, , </v>
      </c>
    </row>
    <row r="460" spans="1:15">
      <c r="A460" s="28"/>
      <c r="B460" s="28"/>
      <c r="C460" s="28"/>
      <c r="D460" s="100"/>
      <c r="E460" s="28"/>
      <c r="F460" s="88"/>
      <c r="G460" s="28"/>
      <c r="H460" s="28"/>
      <c r="I460" s="28"/>
      <c r="J460" s="20"/>
      <c r="K460" s="20"/>
      <c r="L460" s="20"/>
      <c r="M460" s="96"/>
      <c r="N460" s="96"/>
      <c r="O460" s="223" t="str">
        <f t="shared" si="55"/>
        <v xml:space="preserve">, , </v>
      </c>
    </row>
    <row r="461" spans="1:15">
      <c r="A461" s="28"/>
      <c r="B461" s="28"/>
      <c r="C461" s="28"/>
      <c r="D461" s="100"/>
      <c r="E461" s="28"/>
      <c r="F461" s="88"/>
      <c r="G461" s="28"/>
      <c r="H461" s="28"/>
      <c r="I461" s="28"/>
      <c r="J461" s="20"/>
      <c r="K461" s="20"/>
      <c r="L461" s="20"/>
      <c r="M461" s="96"/>
      <c r="N461" s="96"/>
      <c r="O461" s="223" t="str">
        <f t="shared" si="55"/>
        <v xml:space="preserve">, , </v>
      </c>
    </row>
    <row r="462" spans="1:15">
      <c r="A462" s="28"/>
      <c r="B462" s="28"/>
      <c r="C462" s="28"/>
      <c r="D462" s="100"/>
      <c r="E462" s="28"/>
      <c r="F462" s="88"/>
      <c r="G462" s="28"/>
      <c r="H462" s="28"/>
      <c r="I462" s="28"/>
      <c r="J462" s="20"/>
      <c r="K462" s="20"/>
      <c r="L462" s="20"/>
      <c r="M462" s="96"/>
      <c r="N462" s="96"/>
      <c r="O462" s="223" t="str">
        <f t="shared" si="55"/>
        <v xml:space="preserve">, , </v>
      </c>
    </row>
    <row r="463" spans="1:15">
      <c r="A463" s="28"/>
      <c r="B463" s="28"/>
      <c r="C463" s="28"/>
      <c r="D463" s="100"/>
      <c r="E463" s="28"/>
      <c r="F463" s="88"/>
      <c r="G463" s="28"/>
      <c r="H463" s="28"/>
      <c r="I463" s="28"/>
      <c r="J463" s="20"/>
      <c r="K463" s="20"/>
      <c r="L463" s="20"/>
      <c r="M463" s="96"/>
      <c r="N463" s="96"/>
      <c r="O463" s="223" t="str">
        <f t="shared" si="55"/>
        <v xml:space="preserve">, , </v>
      </c>
    </row>
    <row r="464" spans="1:15">
      <c r="A464" s="28"/>
      <c r="B464" s="28"/>
      <c r="C464" s="28"/>
      <c r="D464" s="100"/>
      <c r="E464" s="28"/>
      <c r="F464" s="88"/>
      <c r="G464" s="28"/>
      <c r="H464" s="28"/>
      <c r="I464" s="28"/>
      <c r="J464" s="20"/>
      <c r="K464" s="20"/>
      <c r="L464" s="20"/>
      <c r="M464" s="96"/>
      <c r="N464" s="96"/>
      <c r="O464" s="223" t="str">
        <f t="shared" si="55"/>
        <v xml:space="preserve">, , </v>
      </c>
    </row>
    <row r="465" spans="1:15">
      <c r="A465" s="28"/>
      <c r="B465" s="28"/>
      <c r="C465" s="28"/>
      <c r="D465" s="100"/>
      <c r="E465" s="28"/>
      <c r="F465" s="88"/>
      <c r="G465" s="28"/>
      <c r="H465" s="28"/>
      <c r="I465" s="28"/>
      <c r="J465" s="20"/>
      <c r="K465" s="20"/>
      <c r="L465" s="20"/>
      <c r="M465" s="96"/>
      <c r="N465" s="96"/>
      <c r="O465" s="223" t="str">
        <f t="shared" si="55"/>
        <v xml:space="preserve">, , </v>
      </c>
    </row>
    <row r="466" spans="1:15">
      <c r="A466" s="28"/>
      <c r="B466" s="28"/>
      <c r="C466" s="28"/>
      <c r="D466" s="100"/>
      <c r="E466" s="28"/>
      <c r="F466" s="88"/>
      <c r="G466" s="28"/>
      <c r="H466" s="28"/>
      <c r="I466" s="28"/>
      <c r="J466" s="20"/>
      <c r="K466" s="20"/>
      <c r="L466" s="20"/>
      <c r="M466" s="96"/>
      <c r="N466" s="96"/>
      <c r="O466" s="223" t="str">
        <f t="shared" si="55"/>
        <v xml:space="preserve">, , </v>
      </c>
    </row>
    <row r="467" spans="1:15">
      <c r="A467" s="28"/>
      <c r="B467" s="28"/>
      <c r="C467" s="28"/>
      <c r="D467" s="100"/>
      <c r="E467" s="28"/>
      <c r="F467" s="88"/>
      <c r="G467" s="28"/>
      <c r="H467" s="28"/>
      <c r="I467" s="28"/>
      <c r="J467" s="20"/>
      <c r="K467" s="20"/>
      <c r="L467" s="20"/>
      <c r="M467" s="96"/>
      <c r="N467" s="96"/>
      <c r="O467" s="223" t="str">
        <f t="shared" si="55"/>
        <v xml:space="preserve">, , </v>
      </c>
    </row>
    <row r="468" spans="1:15">
      <c r="A468" s="28"/>
      <c r="B468" s="28"/>
      <c r="C468" s="28"/>
      <c r="D468" s="100"/>
      <c r="E468" s="28"/>
      <c r="F468" s="88"/>
      <c r="G468" s="28"/>
      <c r="H468" s="28"/>
      <c r="I468" s="28"/>
      <c r="J468" s="20"/>
      <c r="K468" s="20"/>
      <c r="L468" s="20"/>
      <c r="M468" s="96"/>
      <c r="N468" s="96"/>
      <c r="O468" s="223" t="str">
        <f t="shared" si="55"/>
        <v xml:space="preserve">, , </v>
      </c>
    </row>
    <row r="469" spans="1:15">
      <c r="A469" s="28"/>
      <c r="B469" s="28"/>
      <c r="C469" s="28"/>
      <c r="D469" s="100"/>
      <c r="E469" s="28"/>
      <c r="F469" s="88"/>
      <c r="G469" s="28"/>
      <c r="H469" s="28"/>
      <c r="I469" s="28"/>
      <c r="J469" s="20"/>
      <c r="K469" s="20"/>
      <c r="L469" s="20"/>
      <c r="M469" s="96"/>
      <c r="N469" s="96"/>
      <c r="O469" s="223" t="str">
        <f t="shared" si="55"/>
        <v xml:space="preserve">, , </v>
      </c>
    </row>
    <row r="470" spans="1:15">
      <c r="A470" s="28"/>
      <c r="B470" s="28"/>
      <c r="C470" s="28"/>
      <c r="D470" s="100"/>
      <c r="E470" s="28"/>
      <c r="F470" s="88"/>
      <c r="G470" s="28"/>
      <c r="H470" s="28"/>
      <c r="I470" s="28"/>
      <c r="J470" s="20"/>
      <c r="K470" s="20"/>
      <c r="L470" s="20"/>
      <c r="M470" s="96"/>
      <c r="N470" s="96"/>
      <c r="O470" s="223" t="str">
        <f t="shared" si="55"/>
        <v xml:space="preserve">, , </v>
      </c>
    </row>
    <row r="471" spans="1:15">
      <c r="A471" s="28"/>
      <c r="B471" s="28"/>
      <c r="C471" s="28"/>
      <c r="D471" s="100"/>
      <c r="E471" s="28"/>
      <c r="F471" s="88"/>
      <c r="G471" s="28"/>
      <c r="H471" s="28"/>
      <c r="I471" s="28"/>
      <c r="J471" s="20"/>
      <c r="K471" s="20"/>
      <c r="L471" s="20"/>
      <c r="M471" s="96"/>
      <c r="N471" s="96"/>
      <c r="O471" s="223" t="str">
        <f t="shared" si="55"/>
        <v xml:space="preserve">, , </v>
      </c>
    </row>
    <row r="472" spans="1:15">
      <c r="A472" s="28"/>
      <c r="B472" s="28"/>
      <c r="C472" s="28"/>
      <c r="D472" s="100"/>
      <c r="E472" s="28"/>
      <c r="F472" s="88"/>
      <c r="G472" s="28"/>
      <c r="H472" s="28"/>
      <c r="I472" s="28"/>
      <c r="J472" s="20"/>
      <c r="K472" s="20"/>
      <c r="L472" s="20"/>
      <c r="M472" s="96"/>
      <c r="N472" s="96"/>
      <c r="O472" s="223" t="str">
        <f t="shared" si="55"/>
        <v xml:space="preserve">, , </v>
      </c>
    </row>
    <row r="473" spans="1:15">
      <c r="A473" s="28"/>
      <c r="B473" s="28"/>
      <c r="C473" s="28"/>
      <c r="D473" s="100"/>
      <c r="E473" s="28"/>
      <c r="F473" s="88"/>
      <c r="G473" s="28"/>
      <c r="H473" s="28"/>
      <c r="I473" s="28"/>
      <c r="J473" s="20"/>
      <c r="K473" s="20"/>
      <c r="L473" s="20"/>
      <c r="M473" s="96"/>
      <c r="N473" s="96"/>
      <c r="O473" s="223" t="str">
        <f t="shared" si="55"/>
        <v xml:space="preserve">, , </v>
      </c>
    </row>
    <row r="474" spans="1:15">
      <c r="A474" s="28"/>
      <c r="B474" s="28"/>
      <c r="C474" s="28"/>
      <c r="D474" s="100"/>
      <c r="E474" s="28"/>
      <c r="F474" s="88"/>
      <c r="G474" s="28"/>
      <c r="H474" s="28"/>
      <c r="I474" s="28"/>
      <c r="J474" s="20"/>
      <c r="K474" s="20"/>
      <c r="L474" s="20"/>
      <c r="M474" s="96"/>
      <c r="N474" s="96"/>
      <c r="O474" s="223" t="str">
        <f t="shared" si="55"/>
        <v xml:space="preserve">, , </v>
      </c>
    </row>
    <row r="475" spans="1:15">
      <c r="A475" s="28"/>
      <c r="B475" s="28"/>
      <c r="C475" s="28"/>
      <c r="D475" s="100"/>
      <c r="E475" s="28"/>
      <c r="F475" s="88"/>
      <c r="G475" s="28"/>
      <c r="H475" s="28"/>
      <c r="I475" s="28"/>
      <c r="J475" s="20"/>
      <c r="K475" s="20"/>
      <c r="L475" s="20"/>
      <c r="M475" s="96"/>
      <c r="N475" s="96"/>
      <c r="O475" s="223" t="str">
        <f t="shared" si="55"/>
        <v xml:space="preserve">, , </v>
      </c>
    </row>
    <row r="476" spans="1:15">
      <c r="A476" s="28"/>
      <c r="B476" s="28"/>
      <c r="C476" s="28"/>
      <c r="D476" s="100"/>
      <c r="E476" s="28"/>
      <c r="F476" s="88"/>
      <c r="G476" s="28"/>
      <c r="H476" s="28"/>
      <c r="I476" s="28"/>
      <c r="J476" s="20"/>
      <c r="K476" s="20"/>
      <c r="L476" s="20"/>
      <c r="M476" s="96"/>
      <c r="N476" s="96"/>
      <c r="O476" s="223" t="str">
        <f t="shared" si="55"/>
        <v xml:space="preserve">, , </v>
      </c>
    </row>
    <row r="477" spans="1:15">
      <c r="A477" s="28"/>
      <c r="B477" s="28"/>
      <c r="C477" s="28"/>
      <c r="D477" s="100"/>
      <c r="E477" s="28"/>
      <c r="F477" s="88"/>
      <c r="G477" s="28"/>
      <c r="H477" s="28"/>
      <c r="I477" s="28"/>
      <c r="J477" s="20"/>
      <c r="K477" s="20"/>
      <c r="L477" s="20"/>
      <c r="M477" s="96"/>
      <c r="N477" s="96"/>
      <c r="O477" s="223" t="str">
        <f t="shared" si="55"/>
        <v xml:space="preserve">, , </v>
      </c>
    </row>
    <row r="478" spans="1:15">
      <c r="A478" s="28"/>
      <c r="B478" s="28"/>
      <c r="C478" s="28"/>
      <c r="D478" s="100"/>
      <c r="E478" s="28"/>
      <c r="F478" s="88"/>
      <c r="G478" s="28"/>
      <c r="H478" s="28"/>
      <c r="I478" s="28"/>
      <c r="J478" s="20"/>
      <c r="K478" s="20"/>
      <c r="L478" s="20"/>
      <c r="M478" s="96"/>
      <c r="N478" s="96"/>
      <c r="O478" s="223" t="str">
        <f t="shared" si="55"/>
        <v xml:space="preserve">, , </v>
      </c>
    </row>
    <row r="479" spans="1:15">
      <c r="A479" s="28"/>
      <c r="B479" s="28"/>
      <c r="C479" s="28"/>
      <c r="D479" s="100"/>
      <c r="E479" s="28"/>
      <c r="F479" s="88"/>
      <c r="G479" s="28"/>
      <c r="H479" s="28"/>
      <c r="I479" s="28"/>
      <c r="J479" s="20"/>
      <c r="K479" s="20"/>
      <c r="L479" s="20"/>
      <c r="M479" s="96"/>
      <c r="N479" s="96"/>
      <c r="O479" s="223" t="str">
        <f t="shared" si="55"/>
        <v xml:space="preserve">, , </v>
      </c>
    </row>
    <row r="480" spans="1:15">
      <c r="A480" s="28"/>
      <c r="B480" s="28"/>
      <c r="C480" s="28"/>
      <c r="D480" s="100"/>
      <c r="E480" s="28"/>
      <c r="F480" s="88"/>
      <c r="G480" s="28"/>
      <c r="H480" s="28"/>
      <c r="I480" s="28"/>
      <c r="J480" s="20"/>
      <c r="K480" s="20"/>
      <c r="L480" s="20"/>
      <c r="M480" s="96"/>
      <c r="N480" s="96"/>
      <c r="O480" s="223" t="str">
        <f t="shared" si="55"/>
        <v xml:space="preserve">, , </v>
      </c>
    </row>
    <row r="481" spans="1:15">
      <c r="A481" s="28"/>
      <c r="B481" s="28"/>
      <c r="C481" s="28"/>
      <c r="D481" s="100"/>
      <c r="E481" s="28"/>
      <c r="F481" s="88"/>
      <c r="G481" s="28"/>
      <c r="H481" s="28"/>
      <c r="I481" s="28"/>
      <c r="J481" s="20"/>
      <c r="K481" s="20"/>
      <c r="L481" s="20"/>
      <c r="M481" s="96"/>
      <c r="N481" s="96"/>
      <c r="O481" s="223" t="str">
        <f t="shared" si="55"/>
        <v xml:space="preserve">, , </v>
      </c>
    </row>
    <row r="482" spans="1:15">
      <c r="A482" s="28"/>
      <c r="B482" s="28"/>
      <c r="C482" s="28"/>
      <c r="D482" s="100"/>
      <c r="E482" s="28"/>
      <c r="F482" s="88"/>
      <c r="G482" s="28"/>
      <c r="H482" s="28"/>
      <c r="I482" s="28"/>
      <c r="J482" s="20"/>
      <c r="K482" s="20"/>
      <c r="L482" s="20"/>
      <c r="M482" s="96"/>
      <c r="N482" s="96"/>
      <c r="O482" s="223" t="str">
        <f t="shared" si="55"/>
        <v xml:space="preserve">, , </v>
      </c>
    </row>
    <row r="483" spans="1:15">
      <c r="A483" s="28"/>
      <c r="B483" s="28"/>
      <c r="C483" s="28"/>
      <c r="D483" s="100"/>
      <c r="E483" s="28"/>
      <c r="F483" s="88"/>
      <c r="G483" s="28"/>
      <c r="H483" s="28"/>
      <c r="I483" s="28"/>
      <c r="J483" s="20"/>
      <c r="K483" s="20"/>
      <c r="L483" s="20"/>
      <c r="M483" s="96"/>
      <c r="N483" s="96"/>
      <c r="O483" s="223" t="str">
        <f t="shared" si="55"/>
        <v xml:space="preserve">, , </v>
      </c>
    </row>
    <row r="484" spans="1:15">
      <c r="A484" s="28"/>
      <c r="B484" s="28"/>
      <c r="C484" s="28"/>
      <c r="D484" s="100"/>
      <c r="E484" s="28"/>
      <c r="F484" s="88"/>
      <c r="G484" s="28"/>
      <c r="H484" s="28"/>
      <c r="I484" s="28"/>
      <c r="J484" s="20"/>
      <c r="K484" s="20"/>
      <c r="L484" s="20"/>
      <c r="M484" s="96"/>
      <c r="N484" s="96"/>
      <c r="O484" s="223" t="str">
        <f t="shared" si="55"/>
        <v xml:space="preserve">, , </v>
      </c>
    </row>
    <row r="485" spans="1:15">
      <c r="A485" s="28"/>
      <c r="B485" s="28"/>
      <c r="C485" s="28"/>
      <c r="D485" s="100"/>
      <c r="E485" s="28"/>
      <c r="F485" s="88"/>
      <c r="G485" s="28"/>
      <c r="H485" s="28"/>
      <c r="I485" s="28"/>
      <c r="J485" s="20"/>
      <c r="K485" s="20"/>
      <c r="L485" s="20"/>
      <c r="M485" s="96"/>
      <c r="N485" s="96"/>
      <c r="O485" s="223" t="str">
        <f t="shared" si="55"/>
        <v xml:space="preserve">, , </v>
      </c>
    </row>
    <row r="486" spans="1:15">
      <c r="A486" s="28"/>
      <c r="B486" s="28"/>
      <c r="C486" s="28"/>
      <c r="D486" s="100"/>
      <c r="E486" s="28"/>
      <c r="F486" s="88"/>
      <c r="G486" s="28"/>
      <c r="H486" s="28"/>
      <c r="I486" s="28"/>
      <c r="J486" s="20"/>
      <c r="K486" s="20"/>
      <c r="L486" s="20"/>
      <c r="M486" s="96"/>
      <c r="N486" s="96"/>
      <c r="O486" s="223" t="str">
        <f t="shared" si="55"/>
        <v xml:space="preserve">, , </v>
      </c>
    </row>
    <row r="487" spans="1:15">
      <c r="A487" s="28"/>
      <c r="B487" s="28"/>
      <c r="C487" s="28"/>
      <c r="D487" s="100"/>
      <c r="E487" s="28"/>
      <c r="F487" s="88"/>
      <c r="G487" s="28"/>
      <c r="H487" s="28"/>
      <c r="I487" s="28"/>
      <c r="J487" s="20"/>
      <c r="K487" s="20"/>
      <c r="L487" s="20"/>
      <c r="M487" s="96"/>
      <c r="N487" s="96"/>
      <c r="O487" s="223" t="str">
        <f t="shared" si="55"/>
        <v xml:space="preserve">, , </v>
      </c>
    </row>
    <row r="488" spans="1:15">
      <c r="A488" s="28"/>
      <c r="B488" s="28"/>
      <c r="C488" s="28"/>
      <c r="D488" s="100"/>
      <c r="E488" s="28"/>
      <c r="F488" s="88"/>
      <c r="G488" s="28"/>
      <c r="H488" s="28"/>
      <c r="I488" s="28"/>
      <c r="J488" s="20"/>
      <c r="K488" s="20"/>
      <c r="L488" s="20"/>
      <c r="M488" s="96"/>
      <c r="N488" s="96"/>
      <c r="O488" s="223" t="str">
        <f t="shared" si="55"/>
        <v xml:space="preserve">, , </v>
      </c>
    </row>
    <row r="489" spans="1:15">
      <c r="A489" s="28"/>
      <c r="B489" s="28"/>
      <c r="C489" s="28"/>
      <c r="D489" s="100"/>
      <c r="E489" s="28"/>
      <c r="F489" s="88"/>
      <c r="G489" s="28"/>
      <c r="H489" s="28"/>
      <c r="I489" s="28"/>
      <c r="J489" s="20"/>
      <c r="K489" s="20"/>
      <c r="L489" s="20"/>
      <c r="M489" s="96"/>
      <c r="N489" s="96"/>
      <c r="O489" s="223" t="str">
        <f t="shared" si="55"/>
        <v xml:space="preserve">, , </v>
      </c>
    </row>
    <row r="490" spans="1:15">
      <c r="A490" s="28"/>
      <c r="B490" s="28"/>
      <c r="C490" s="28"/>
      <c r="D490" s="100"/>
      <c r="E490" s="28"/>
      <c r="F490" s="88"/>
      <c r="G490" s="28"/>
      <c r="H490" s="28"/>
      <c r="I490" s="28"/>
      <c r="J490" s="20"/>
      <c r="K490" s="20"/>
      <c r="L490" s="20"/>
      <c r="M490" s="96"/>
      <c r="N490" s="96"/>
      <c r="O490" s="223" t="str">
        <f t="shared" si="55"/>
        <v xml:space="preserve">, , </v>
      </c>
    </row>
    <row r="491" spans="1:15">
      <c r="A491" s="28"/>
      <c r="B491" s="28"/>
      <c r="C491" s="28"/>
      <c r="D491" s="100"/>
      <c r="E491" s="28"/>
      <c r="F491" s="88"/>
      <c r="G491" s="28"/>
      <c r="H491" s="28"/>
      <c r="I491" s="28"/>
      <c r="J491" s="20"/>
      <c r="K491" s="20"/>
      <c r="L491" s="20"/>
      <c r="M491" s="96"/>
      <c r="N491" s="96"/>
      <c r="O491" s="223" t="str">
        <f t="shared" si="55"/>
        <v xml:space="preserve">, , </v>
      </c>
    </row>
    <row r="492" spans="1:15">
      <c r="A492" s="28"/>
      <c r="B492" s="28"/>
      <c r="C492" s="28"/>
      <c r="D492" s="100"/>
      <c r="E492" s="28"/>
      <c r="F492" s="88"/>
      <c r="G492" s="28"/>
      <c r="H492" s="28"/>
      <c r="I492" s="28"/>
      <c r="J492" s="20"/>
      <c r="K492" s="20"/>
      <c r="L492" s="20"/>
      <c r="M492" s="96"/>
      <c r="N492" s="96"/>
      <c r="O492" s="223" t="str">
        <f t="shared" si="55"/>
        <v xml:space="preserve">, , </v>
      </c>
    </row>
    <row r="493" spans="1:15">
      <c r="A493" s="28"/>
      <c r="B493" s="28"/>
      <c r="C493" s="28"/>
      <c r="D493" s="100"/>
      <c r="E493" s="28"/>
      <c r="F493" s="88"/>
      <c r="G493" s="28"/>
      <c r="H493" s="28"/>
      <c r="I493" s="28"/>
      <c r="J493" s="20"/>
      <c r="K493" s="20"/>
      <c r="L493" s="20"/>
      <c r="M493" s="96"/>
      <c r="N493" s="96"/>
      <c r="O493" s="223" t="str">
        <f t="shared" si="55"/>
        <v xml:space="preserve">, , </v>
      </c>
    </row>
    <row r="494" spans="1:15">
      <c r="A494" s="28"/>
      <c r="B494" s="28"/>
      <c r="C494" s="28"/>
      <c r="D494" s="100"/>
      <c r="E494" s="28"/>
      <c r="F494" s="88"/>
      <c r="G494" s="28"/>
      <c r="H494" s="28"/>
      <c r="I494" s="28"/>
      <c r="J494" s="20"/>
      <c r="K494" s="20"/>
      <c r="L494" s="20"/>
      <c r="M494" s="96"/>
      <c r="N494" s="96"/>
      <c r="O494" s="223" t="str">
        <f t="shared" si="55"/>
        <v xml:space="preserve">, , </v>
      </c>
    </row>
    <row r="495" spans="1:15">
      <c r="A495" s="28"/>
      <c r="B495" s="28"/>
      <c r="C495" s="28"/>
      <c r="D495" s="100"/>
      <c r="E495" s="28"/>
      <c r="F495" s="88"/>
      <c r="G495" s="28"/>
      <c r="H495" s="28"/>
      <c r="I495" s="28"/>
      <c r="J495" s="20"/>
      <c r="K495" s="20"/>
      <c r="L495" s="20"/>
      <c r="M495" s="96"/>
      <c r="N495" s="96"/>
      <c r="O495" s="223" t="str">
        <f t="shared" si="55"/>
        <v xml:space="preserve">, , </v>
      </c>
    </row>
    <row r="496" spans="1:15">
      <c r="A496" s="28"/>
      <c r="B496" s="28"/>
      <c r="C496" s="28"/>
      <c r="D496" s="100"/>
      <c r="E496" s="28"/>
      <c r="F496" s="88"/>
      <c r="G496" s="28"/>
      <c r="H496" s="28"/>
      <c r="I496" s="28"/>
      <c r="J496" s="20"/>
      <c r="K496" s="20"/>
      <c r="L496" s="20"/>
      <c r="M496" s="96"/>
      <c r="N496" s="96"/>
      <c r="O496" s="223" t="str">
        <f t="shared" si="55"/>
        <v xml:space="preserve">, , </v>
      </c>
    </row>
    <row r="497" spans="1:15">
      <c r="A497" s="28"/>
      <c r="B497" s="28"/>
      <c r="C497" s="28"/>
      <c r="D497" s="100"/>
      <c r="E497" s="28"/>
      <c r="F497" s="88"/>
      <c r="G497" s="28"/>
      <c r="H497" s="28"/>
      <c r="I497" s="28"/>
      <c r="J497" s="20"/>
      <c r="K497" s="20"/>
      <c r="L497" s="20"/>
      <c r="M497" s="96"/>
      <c r="N497" s="96"/>
      <c r="O497" s="223" t="str">
        <f t="shared" si="55"/>
        <v xml:space="preserve">, , </v>
      </c>
    </row>
    <row r="498" spans="1:15">
      <c r="A498" s="28"/>
      <c r="B498" s="28"/>
      <c r="C498" s="28"/>
      <c r="D498" s="100"/>
      <c r="E498" s="28"/>
      <c r="F498" s="88"/>
      <c r="G498" s="28"/>
      <c r="H498" s="28"/>
      <c r="I498" s="28"/>
      <c r="J498" s="20"/>
      <c r="K498" s="20"/>
      <c r="L498" s="20"/>
      <c r="M498" s="96"/>
      <c r="N498" s="96"/>
      <c r="O498" s="223" t="str">
        <f t="shared" si="55"/>
        <v xml:space="preserve">, , </v>
      </c>
    </row>
    <row r="499" spans="1:15">
      <c r="A499" s="28"/>
      <c r="B499" s="28"/>
      <c r="C499" s="28"/>
      <c r="D499" s="100"/>
      <c r="E499" s="28"/>
      <c r="F499" s="88"/>
      <c r="G499" s="28"/>
      <c r="H499" s="28"/>
      <c r="I499" s="28"/>
      <c r="J499" s="20"/>
      <c r="K499" s="20"/>
      <c r="L499" s="20"/>
      <c r="M499" s="96"/>
      <c r="N499" s="96"/>
      <c r="O499" s="223" t="str">
        <f t="shared" si="55"/>
        <v xml:space="preserve">, , </v>
      </c>
    </row>
    <row r="500" spans="1:15">
      <c r="A500" s="28"/>
      <c r="B500" s="28"/>
      <c r="C500" s="28"/>
      <c r="D500" s="100"/>
      <c r="E500" s="28"/>
      <c r="F500" s="88"/>
      <c r="G500" s="28"/>
      <c r="H500" s="28"/>
      <c r="I500" s="28"/>
      <c r="J500" s="20"/>
      <c r="K500" s="20"/>
      <c r="L500" s="20"/>
      <c r="M500" s="96"/>
      <c r="N500" s="96"/>
      <c r="O500" s="223" t="str">
        <f t="shared" si="55"/>
        <v xml:space="preserve">, , </v>
      </c>
    </row>
    <row r="501" spans="1:15">
      <c r="A501" s="28"/>
      <c r="B501" s="28"/>
      <c r="C501" s="28"/>
      <c r="D501" s="100"/>
      <c r="E501" s="28"/>
      <c r="F501" s="88"/>
      <c r="G501" s="28"/>
      <c r="H501" s="28"/>
      <c r="I501" s="28"/>
      <c r="J501" s="20"/>
      <c r="K501" s="20"/>
      <c r="L501" s="20"/>
      <c r="M501" s="96"/>
      <c r="N501" s="96"/>
      <c r="O501" s="223" t="str">
        <f t="shared" si="55"/>
        <v xml:space="preserve">, , </v>
      </c>
    </row>
    <row r="502" spans="1:15">
      <c r="A502" s="28"/>
      <c r="B502" s="28"/>
      <c r="C502" s="28"/>
      <c r="D502" s="100"/>
      <c r="E502" s="28"/>
      <c r="F502" s="88"/>
      <c r="G502" s="28"/>
      <c r="H502" s="28"/>
      <c r="I502" s="28"/>
      <c r="J502" s="20"/>
      <c r="K502" s="20"/>
      <c r="L502" s="20"/>
      <c r="M502" s="96"/>
      <c r="N502" s="96"/>
      <c r="O502" s="223" t="str">
        <f t="shared" si="55"/>
        <v xml:space="preserve">, , </v>
      </c>
    </row>
    <row r="503" spans="1:15">
      <c r="A503" s="28"/>
      <c r="B503" s="28"/>
      <c r="C503" s="28"/>
      <c r="D503" s="100"/>
      <c r="E503" s="28"/>
      <c r="F503" s="88"/>
      <c r="G503" s="28"/>
      <c r="H503" s="28"/>
      <c r="I503" s="28"/>
      <c r="J503" s="20"/>
      <c r="K503" s="20"/>
      <c r="L503" s="20"/>
      <c r="M503" s="96"/>
      <c r="N503" s="96"/>
      <c r="O503" s="223" t="str">
        <f t="shared" si="55"/>
        <v xml:space="preserve">, , </v>
      </c>
    </row>
    <row r="504" spans="1:15">
      <c r="A504" s="28"/>
      <c r="B504" s="28"/>
      <c r="C504" s="28"/>
      <c r="D504" s="100"/>
      <c r="E504" s="28"/>
      <c r="F504" s="88"/>
      <c r="G504" s="28"/>
      <c r="H504" s="28"/>
      <c r="I504" s="28"/>
      <c r="J504" s="20"/>
      <c r="K504" s="20"/>
      <c r="L504" s="20"/>
      <c r="M504" s="96"/>
      <c r="N504" s="96"/>
      <c r="O504" s="223" t="str">
        <f t="shared" si="55"/>
        <v xml:space="preserve">, , </v>
      </c>
    </row>
  </sheetData>
  <autoFilter ref="A2:O2" xr:uid="{421FA83D-2A5A-4C49-B9F4-6D373B3FB318}"/>
  <sortState xmlns:xlrd2="http://schemas.microsoft.com/office/spreadsheetml/2017/richdata2" ref="A2:N433">
    <sortCondition ref="C3:C433"/>
    <sortCondition ref="D3:D433"/>
    <sortCondition ref="E3:E433"/>
    <sortCondition descending="1" ref="F3:F433"/>
  </sortState>
  <conditionalFormatting sqref="M321:M322">
    <cfRule type="expression" dxfId="180" priority="221">
      <formula>$M321="Đến hạn"</formula>
    </cfRule>
  </conditionalFormatting>
  <conditionalFormatting sqref="M321:M322">
    <cfRule type="expression" dxfId="179" priority="215">
      <formula>$M321="Hủy"</formula>
    </cfRule>
  </conditionalFormatting>
  <conditionalFormatting sqref="M321:M322">
    <cfRule type="expression" dxfId="178" priority="216">
      <formula>$M321="Quá hạn"</formula>
    </cfRule>
  </conditionalFormatting>
  <conditionalFormatting sqref="M321:M322">
    <cfRule type="expression" dxfId="177" priority="217">
      <formula>$M321="Tạm dừng"</formula>
    </cfRule>
  </conditionalFormatting>
  <conditionalFormatting sqref="M321:M322">
    <cfRule type="expression" dxfId="176" priority="218">
      <formula>$M321="Đã hoàn thành"</formula>
    </cfRule>
  </conditionalFormatting>
  <conditionalFormatting sqref="M321:M322">
    <cfRule type="expression" dxfId="175" priority="219">
      <formula>$M321="Đang tiến hành"</formula>
    </cfRule>
  </conditionalFormatting>
  <conditionalFormatting sqref="M321:M322">
    <cfRule type="expression" dxfId="174" priority="220">
      <formula>$M321="Chưa bắt đầu"</formula>
    </cfRule>
  </conditionalFormatting>
  <conditionalFormatting sqref="M321:M322">
    <cfRule type="expression" dxfId="173" priority="214">
      <formula>$M321="Chưa triển khai"</formula>
    </cfRule>
  </conditionalFormatting>
  <conditionalFormatting sqref="N321:N322">
    <cfRule type="expression" dxfId="172" priority="213">
      <formula>$M321="Đến hạn"</formula>
    </cfRule>
  </conditionalFormatting>
  <conditionalFormatting sqref="N321:N322">
    <cfRule type="expression" dxfId="171" priority="207">
      <formula>$M321="Hủy"</formula>
    </cfRule>
  </conditionalFormatting>
  <conditionalFormatting sqref="N321:N322">
    <cfRule type="expression" dxfId="170" priority="208">
      <formula>$M321="Quá hạn"</formula>
    </cfRule>
  </conditionalFormatting>
  <conditionalFormatting sqref="N321:N322">
    <cfRule type="expression" dxfId="169" priority="209">
      <formula>$M321="Tạm dừng"</formula>
    </cfRule>
  </conditionalFormatting>
  <conditionalFormatting sqref="N321:N322">
    <cfRule type="expression" dxfId="168" priority="210">
      <formula>$M321="Đã hoàn thành"</formula>
    </cfRule>
  </conditionalFormatting>
  <conditionalFormatting sqref="N321:N322">
    <cfRule type="expression" dxfId="167" priority="211">
      <formula>$M321="Đang tiến hành"</formula>
    </cfRule>
  </conditionalFormatting>
  <conditionalFormatting sqref="N321:N322">
    <cfRule type="expression" dxfId="166" priority="212">
      <formula>$M321="Chưa bắt đầu"</formula>
    </cfRule>
  </conditionalFormatting>
  <conditionalFormatting sqref="N321:N322">
    <cfRule type="expression" dxfId="165" priority="206">
      <formula>$M321="Chưa triển khai"</formula>
    </cfRule>
  </conditionalFormatting>
  <conditionalFormatting sqref="M346:N346">
    <cfRule type="expression" dxfId="164" priority="197">
      <formula>$M346="Đến hạn"</formula>
    </cfRule>
  </conditionalFormatting>
  <conditionalFormatting sqref="M346:N346">
    <cfRule type="expression" dxfId="163" priority="191">
      <formula>$M346="Hủy"</formula>
    </cfRule>
  </conditionalFormatting>
  <conditionalFormatting sqref="M346:N346">
    <cfRule type="expression" dxfId="162" priority="192">
      <formula>$M346="Quá hạn"</formula>
    </cfRule>
  </conditionalFormatting>
  <conditionalFormatting sqref="M346:N346">
    <cfRule type="expression" dxfId="161" priority="193">
      <formula>$M346="Tạm dừng"</formula>
    </cfRule>
  </conditionalFormatting>
  <conditionalFormatting sqref="M346:N346">
    <cfRule type="expression" dxfId="160" priority="194">
      <formula>$M346="Đã hoàn thành"</formula>
    </cfRule>
  </conditionalFormatting>
  <conditionalFormatting sqref="M346:N346">
    <cfRule type="expression" dxfId="159" priority="195">
      <formula>$M346="Đang tiến hành"</formula>
    </cfRule>
  </conditionalFormatting>
  <conditionalFormatting sqref="M346:N346">
    <cfRule type="expression" dxfId="158" priority="196">
      <formula>$M346="Chưa bắt đầu"</formula>
    </cfRule>
  </conditionalFormatting>
  <conditionalFormatting sqref="M346:N346">
    <cfRule type="expression" dxfId="157" priority="190">
      <formula>$M346="Chưa triển khai"</formula>
    </cfRule>
  </conditionalFormatting>
  <conditionalFormatting sqref="K307">
    <cfRule type="expression" dxfId="156" priority="165">
      <formula>$M307="Đến hạn"</formula>
    </cfRule>
  </conditionalFormatting>
  <conditionalFormatting sqref="K307">
    <cfRule type="expression" dxfId="155" priority="159">
      <formula>$M307="Hủy"</formula>
    </cfRule>
  </conditionalFormatting>
  <conditionalFormatting sqref="K307">
    <cfRule type="expression" dxfId="154" priority="160">
      <formula>$M307="Quá hạn"</formula>
    </cfRule>
  </conditionalFormatting>
  <conditionalFormatting sqref="K307">
    <cfRule type="expression" dxfId="153" priority="161">
      <formula>$M307="Tạm dừng"</formula>
    </cfRule>
  </conditionalFormatting>
  <conditionalFormatting sqref="K307">
    <cfRule type="expression" dxfId="152" priority="162">
      <formula>$M307="Đã hoàn thành"</formula>
    </cfRule>
  </conditionalFormatting>
  <conditionalFormatting sqref="K307">
    <cfRule type="expression" dxfId="151" priority="163">
      <formula>$M307="Đang tiến hành"</formula>
    </cfRule>
  </conditionalFormatting>
  <conditionalFormatting sqref="K307">
    <cfRule type="expression" dxfId="150" priority="164">
      <formula>$M307="Chưa bắt đầu"</formula>
    </cfRule>
  </conditionalFormatting>
  <conditionalFormatting sqref="K307">
    <cfRule type="expression" dxfId="149" priority="158">
      <formula>$M307="Chưa triển khai"</formula>
    </cfRule>
  </conditionalFormatting>
  <conditionalFormatting sqref="L307">
    <cfRule type="expression" dxfId="148" priority="157">
      <formula>$M307="Đến hạn"</formula>
    </cfRule>
  </conditionalFormatting>
  <conditionalFormatting sqref="L307">
    <cfRule type="expression" dxfId="147" priority="151">
      <formula>$M307="Hủy"</formula>
    </cfRule>
  </conditionalFormatting>
  <conditionalFormatting sqref="L307">
    <cfRule type="expression" dxfId="146" priority="152">
      <formula>$M307="Quá hạn"</formula>
    </cfRule>
  </conditionalFormatting>
  <conditionalFormatting sqref="L307">
    <cfRule type="expression" dxfId="145" priority="153">
      <formula>$M307="Tạm dừng"</formula>
    </cfRule>
  </conditionalFormatting>
  <conditionalFormatting sqref="L307">
    <cfRule type="expression" dxfId="144" priority="154">
      <formula>$M307="Đã hoàn thành"</formula>
    </cfRule>
  </conditionalFormatting>
  <conditionalFormatting sqref="L307">
    <cfRule type="expression" dxfId="143" priority="155">
      <formula>$M307="Đang tiến hành"</formula>
    </cfRule>
  </conditionalFormatting>
  <conditionalFormatting sqref="L307">
    <cfRule type="expression" dxfId="142" priority="156">
      <formula>$M307="Chưa bắt đầu"</formula>
    </cfRule>
  </conditionalFormatting>
  <conditionalFormatting sqref="L307">
    <cfRule type="expression" dxfId="141" priority="150">
      <formula>$M307="Chưa triển khai"</formula>
    </cfRule>
  </conditionalFormatting>
  <conditionalFormatting sqref="M337:N338">
    <cfRule type="expression" dxfId="140" priority="133">
      <formula>$M337="Đến hạn"</formula>
    </cfRule>
  </conditionalFormatting>
  <conditionalFormatting sqref="M337:N338">
    <cfRule type="expression" dxfId="139" priority="127">
      <formula>$M337="Hủy"</formula>
    </cfRule>
  </conditionalFormatting>
  <conditionalFormatting sqref="M337:N338">
    <cfRule type="expression" dxfId="138" priority="128">
      <formula>$M337="Quá hạn"</formula>
    </cfRule>
  </conditionalFormatting>
  <conditionalFormatting sqref="M337:N338">
    <cfRule type="expression" dxfId="137" priority="129">
      <formula>$M337="Tạm dừng"</formula>
    </cfRule>
  </conditionalFormatting>
  <conditionalFormatting sqref="M337:N338">
    <cfRule type="expression" dxfId="136" priority="130">
      <formula>$M337="Đã hoàn thành"</formula>
    </cfRule>
  </conditionalFormatting>
  <conditionalFormatting sqref="M337:N338">
    <cfRule type="expression" dxfId="135" priority="131">
      <formula>$M337="Đang tiến hành"</formula>
    </cfRule>
  </conditionalFormatting>
  <conditionalFormatting sqref="M337:N338">
    <cfRule type="expression" dxfId="134" priority="132">
      <formula>$M337="Chưa bắt đầu"</formula>
    </cfRule>
  </conditionalFormatting>
  <conditionalFormatting sqref="M337:N338">
    <cfRule type="expression" dxfId="133" priority="126">
      <formula>$M337="Chưa triển khai"</formula>
    </cfRule>
  </conditionalFormatting>
  <conditionalFormatting sqref="M153:N153 M112:N112">
    <cfRule type="expression" dxfId="132" priority="125">
      <formula>$N112="Đến hạn"</formula>
    </cfRule>
  </conditionalFormatting>
  <conditionalFormatting sqref="M153 M112:N112">
    <cfRule type="expression" dxfId="131" priority="119">
      <formula>$N112="Hủy"</formula>
    </cfRule>
  </conditionalFormatting>
  <conditionalFormatting sqref="M153:N153 M112:N112">
    <cfRule type="expression" dxfId="130" priority="120">
      <formula>$N112="Quá hạn"</formula>
    </cfRule>
  </conditionalFormatting>
  <conditionalFormatting sqref="M153:N153 M112:N112">
    <cfRule type="expression" dxfId="129" priority="121">
      <formula>$N112="Tạm dừng"</formula>
    </cfRule>
  </conditionalFormatting>
  <conditionalFormatting sqref="M153:N153 M112:N112">
    <cfRule type="expression" dxfId="128" priority="122">
      <formula>$N112="Đã hoàn thành"</formula>
    </cfRule>
  </conditionalFormatting>
  <conditionalFormatting sqref="M153:N153 M112:N112">
    <cfRule type="expression" dxfId="127" priority="123">
      <formula>$N112="Đang tiến hành"</formula>
    </cfRule>
  </conditionalFormatting>
  <conditionalFormatting sqref="M153:N153 M112:N112">
    <cfRule type="expression" dxfId="126" priority="124">
      <formula>$N112="Chưa bắt đầu"</formula>
    </cfRule>
  </conditionalFormatting>
  <conditionalFormatting sqref="M153 M112:N112">
    <cfRule type="expression" dxfId="125" priority="118">
      <formula>$N112="Chưa triển khai"</formula>
    </cfRule>
  </conditionalFormatting>
  <conditionalFormatting sqref="N153">
    <cfRule type="expression" dxfId="124" priority="116">
      <formula>$N153="Chưa triển khai"</formula>
    </cfRule>
    <cfRule type="expression" dxfId="123" priority="117">
      <formula>$N153="Hủy"</formula>
    </cfRule>
  </conditionalFormatting>
  <conditionalFormatting sqref="M154:N154">
    <cfRule type="expression" dxfId="122" priority="115">
      <formula>$N154="Đến hạn"</formula>
    </cfRule>
  </conditionalFormatting>
  <conditionalFormatting sqref="M154">
    <cfRule type="expression" dxfId="121" priority="109">
      <formula>$N154="Hủy"</formula>
    </cfRule>
  </conditionalFormatting>
  <conditionalFormatting sqref="M154:N154">
    <cfRule type="expression" dxfId="120" priority="110">
      <formula>$N154="Quá hạn"</formula>
    </cfRule>
  </conditionalFormatting>
  <conditionalFormatting sqref="M154:N154">
    <cfRule type="expression" dxfId="119" priority="111">
      <formula>$N154="Tạm dừng"</formula>
    </cfRule>
  </conditionalFormatting>
  <conditionalFormatting sqref="M154:N154">
    <cfRule type="expression" dxfId="118" priority="112">
      <formula>$N154="Đã hoàn thành"</formula>
    </cfRule>
  </conditionalFormatting>
  <conditionalFormatting sqref="M154:N154">
    <cfRule type="expression" dxfId="117" priority="113">
      <formula>$N154="Đang tiến hành"</formula>
    </cfRule>
  </conditionalFormatting>
  <conditionalFormatting sqref="M154:N154">
    <cfRule type="expression" dxfId="116" priority="114">
      <formula>$N154="Chưa bắt đầu"</formula>
    </cfRule>
  </conditionalFormatting>
  <conditionalFormatting sqref="M154">
    <cfRule type="expression" dxfId="115" priority="108">
      <formula>$N154="Chưa triển khai"</formula>
    </cfRule>
  </conditionalFormatting>
  <conditionalFormatting sqref="N154">
    <cfRule type="expression" dxfId="114" priority="106">
      <formula>$N154="Chưa triển khai"</formula>
    </cfRule>
    <cfRule type="expression" dxfId="113" priority="107">
      <formula>$N154="Hủy"</formula>
    </cfRule>
  </conditionalFormatting>
  <conditionalFormatting sqref="M127:N127">
    <cfRule type="expression" dxfId="112" priority="105">
      <formula>$N127="Đến hạn"</formula>
    </cfRule>
  </conditionalFormatting>
  <conditionalFormatting sqref="M127:N127">
    <cfRule type="expression" dxfId="111" priority="99">
      <formula>$N127="Hủy"</formula>
    </cfRule>
  </conditionalFormatting>
  <conditionalFormatting sqref="M127:N127">
    <cfRule type="expression" dxfId="110" priority="100">
      <formula>$N127="Quá hạn"</formula>
    </cfRule>
  </conditionalFormatting>
  <conditionalFormatting sqref="M127:N127">
    <cfRule type="expression" dxfId="109" priority="101">
      <formula>$N127="Tạm dừng"</formula>
    </cfRule>
  </conditionalFormatting>
  <conditionalFormatting sqref="M127:N127">
    <cfRule type="expression" dxfId="108" priority="102">
      <formula>$N127="Đã hoàn thành"</formula>
    </cfRule>
  </conditionalFormatting>
  <conditionalFormatting sqref="M127:N127">
    <cfRule type="expression" dxfId="107" priority="103">
      <formula>$N127="Đang tiến hành"</formula>
    </cfRule>
  </conditionalFormatting>
  <conditionalFormatting sqref="M127:N127">
    <cfRule type="expression" dxfId="106" priority="104">
      <formula>$N127="Chưa bắt đầu"</formula>
    </cfRule>
  </conditionalFormatting>
  <conditionalFormatting sqref="M127:N127">
    <cfRule type="expression" dxfId="105" priority="98">
      <formula>$N127="Chưa triển khai"</formula>
    </cfRule>
  </conditionalFormatting>
  <conditionalFormatting sqref="M329">
    <cfRule type="expression" dxfId="104" priority="89">
      <formula>$M329="Đến hạn"</formula>
    </cfRule>
  </conditionalFormatting>
  <conditionalFormatting sqref="M329">
    <cfRule type="expression" dxfId="103" priority="83">
      <formula>$M329="Hủy"</formula>
    </cfRule>
  </conditionalFormatting>
  <conditionalFormatting sqref="M329">
    <cfRule type="expression" dxfId="102" priority="84">
      <formula>$M329="Quá hạn"</formula>
    </cfRule>
  </conditionalFormatting>
  <conditionalFormatting sqref="M329">
    <cfRule type="expression" dxfId="101" priority="85">
      <formula>$M329="Tạm dừng"</formula>
    </cfRule>
  </conditionalFormatting>
  <conditionalFormatting sqref="M329">
    <cfRule type="expression" dxfId="100" priority="86">
      <formula>$M329="Đã hoàn thành"</formula>
    </cfRule>
  </conditionalFormatting>
  <conditionalFormatting sqref="M329">
    <cfRule type="expression" dxfId="99" priority="87">
      <formula>$M329="Đang tiến hành"</formula>
    </cfRule>
  </conditionalFormatting>
  <conditionalFormatting sqref="M329">
    <cfRule type="expression" dxfId="98" priority="88">
      <formula>$M329="Chưa bắt đầu"</formula>
    </cfRule>
  </conditionalFormatting>
  <conditionalFormatting sqref="M329">
    <cfRule type="expression" dxfId="97" priority="82">
      <formula>$M329="Chưa triển khai"</formula>
    </cfRule>
  </conditionalFormatting>
  <conditionalFormatting sqref="N329">
    <cfRule type="expression" dxfId="96" priority="81">
      <formula>$M329="Đến hạn"</formula>
    </cfRule>
  </conditionalFormatting>
  <conditionalFormatting sqref="N329">
    <cfRule type="expression" dxfId="95" priority="75">
      <formula>$M329="Hủy"</formula>
    </cfRule>
  </conditionalFormatting>
  <conditionalFormatting sqref="N329">
    <cfRule type="expression" dxfId="94" priority="76">
      <formula>$M329="Quá hạn"</formula>
    </cfRule>
  </conditionalFormatting>
  <conditionalFormatting sqref="N329">
    <cfRule type="expression" dxfId="93" priority="77">
      <formula>$M329="Tạm dừng"</formula>
    </cfRule>
  </conditionalFormatting>
  <conditionalFormatting sqref="N329">
    <cfRule type="expression" dxfId="92" priority="78">
      <formula>$M329="Đã hoàn thành"</formula>
    </cfRule>
  </conditionalFormatting>
  <conditionalFormatting sqref="N329">
    <cfRule type="expression" dxfId="91" priority="79">
      <formula>$M329="Đang tiến hành"</formula>
    </cfRule>
  </conditionalFormatting>
  <conditionalFormatting sqref="N329">
    <cfRule type="expression" dxfId="90" priority="80">
      <formula>$M329="Chưa bắt đầu"</formula>
    </cfRule>
  </conditionalFormatting>
  <conditionalFormatting sqref="N329">
    <cfRule type="expression" dxfId="89" priority="74">
      <formula>$M329="Chưa triển khai"</formula>
    </cfRule>
  </conditionalFormatting>
  <conditionalFormatting sqref="A1:A1048576">
    <cfRule type="duplicateValues" dxfId="88" priority="65"/>
  </conditionalFormatting>
  <conditionalFormatting sqref="M342:N342">
    <cfRule type="expression" dxfId="87" priority="64">
      <formula>$M342="Đến hạn"</formula>
    </cfRule>
  </conditionalFormatting>
  <conditionalFormatting sqref="M342:N342">
    <cfRule type="expression" dxfId="86" priority="58">
      <formula>$M342="Hủy"</formula>
    </cfRule>
  </conditionalFormatting>
  <conditionalFormatting sqref="M342:N342">
    <cfRule type="expression" dxfId="85" priority="59">
      <formula>$M342="Quá hạn"</formula>
    </cfRule>
  </conditionalFormatting>
  <conditionalFormatting sqref="M342:N342">
    <cfRule type="expression" dxfId="84" priority="60">
      <formula>$M342="Tạm dừng"</formula>
    </cfRule>
  </conditionalFormatting>
  <conditionalFormatting sqref="M342:N342">
    <cfRule type="expression" dxfId="83" priority="61">
      <formula>$M342="Đã hoàn thành"</formula>
    </cfRule>
  </conditionalFormatting>
  <conditionalFormatting sqref="M342:N342">
    <cfRule type="expression" dxfId="82" priority="62">
      <formula>$M342="Đang tiến hành"</formula>
    </cfRule>
  </conditionalFormatting>
  <conditionalFormatting sqref="M342:N342">
    <cfRule type="expression" dxfId="81" priority="63">
      <formula>$M342="Chưa bắt đầu"</formula>
    </cfRule>
  </conditionalFormatting>
  <conditionalFormatting sqref="M342:N342">
    <cfRule type="expression" dxfId="80" priority="57">
      <formula>$M342="Chưa triển khai"</formula>
    </cfRule>
  </conditionalFormatting>
  <conditionalFormatting sqref="M341:N341">
    <cfRule type="expression" dxfId="79" priority="56">
      <formula>$M341="Đến hạn"</formula>
    </cfRule>
  </conditionalFormatting>
  <conditionalFormatting sqref="M341:N341">
    <cfRule type="expression" dxfId="78" priority="50">
      <formula>$M341="Hủy"</formula>
    </cfRule>
  </conditionalFormatting>
  <conditionalFormatting sqref="M341:N341">
    <cfRule type="expression" dxfId="77" priority="51">
      <formula>$M341="Quá hạn"</formula>
    </cfRule>
  </conditionalFormatting>
  <conditionalFormatting sqref="M341:N341">
    <cfRule type="expression" dxfId="76" priority="52">
      <formula>$M341="Tạm dừng"</formula>
    </cfRule>
  </conditionalFormatting>
  <conditionalFormatting sqref="M341:N341">
    <cfRule type="expression" dxfId="75" priority="53">
      <formula>$M341="Đã hoàn thành"</formula>
    </cfRule>
  </conditionalFormatting>
  <conditionalFormatting sqref="M341:N341">
    <cfRule type="expression" dxfId="74" priority="54">
      <formula>$M341="Đang tiến hành"</formula>
    </cfRule>
  </conditionalFormatting>
  <conditionalFormatting sqref="M341:N341">
    <cfRule type="expression" dxfId="73" priority="55">
      <formula>$M341="Chưa bắt đầu"</formula>
    </cfRule>
  </conditionalFormatting>
  <conditionalFormatting sqref="M341:N341">
    <cfRule type="expression" dxfId="72" priority="49">
      <formula>$M341="Chưa triển khai"</formula>
    </cfRule>
  </conditionalFormatting>
  <conditionalFormatting sqref="M339:N339">
    <cfRule type="expression" dxfId="71" priority="48">
      <formula>$M339="Đến hạn"</formula>
    </cfRule>
  </conditionalFormatting>
  <conditionalFormatting sqref="M339:N339">
    <cfRule type="expression" dxfId="70" priority="42">
      <formula>$M339="Hủy"</formula>
    </cfRule>
  </conditionalFormatting>
  <conditionalFormatting sqref="M339:N339">
    <cfRule type="expression" dxfId="69" priority="43">
      <formula>$M339="Quá hạn"</formula>
    </cfRule>
  </conditionalFormatting>
  <conditionalFormatting sqref="M339:N339">
    <cfRule type="expression" dxfId="68" priority="44">
      <formula>$M339="Tạm dừng"</formula>
    </cfRule>
  </conditionalFormatting>
  <conditionalFormatting sqref="M339:N339">
    <cfRule type="expression" dxfId="67" priority="45">
      <formula>$M339="Đã hoàn thành"</formula>
    </cfRule>
  </conditionalFormatting>
  <conditionalFormatting sqref="M339:N339">
    <cfRule type="expression" dxfId="66" priority="46">
      <formula>$M339="Đang tiến hành"</formula>
    </cfRule>
  </conditionalFormatting>
  <conditionalFormatting sqref="M339:N339">
    <cfRule type="expression" dxfId="65" priority="47">
      <formula>$M339="Chưa bắt đầu"</formula>
    </cfRule>
  </conditionalFormatting>
  <conditionalFormatting sqref="M339:N339">
    <cfRule type="expression" dxfId="64" priority="41">
      <formula>$M339="Chưa triển khai"</formula>
    </cfRule>
  </conditionalFormatting>
  <conditionalFormatting sqref="M340:N340">
    <cfRule type="expression" dxfId="63" priority="40">
      <formula>$M340="Đến hạn"</formula>
    </cfRule>
  </conditionalFormatting>
  <conditionalFormatting sqref="M340:N340">
    <cfRule type="expression" dxfId="62" priority="34">
      <formula>$M340="Hủy"</formula>
    </cfRule>
  </conditionalFormatting>
  <conditionalFormatting sqref="M340:N340">
    <cfRule type="expression" dxfId="61" priority="35">
      <formula>$M340="Quá hạn"</formula>
    </cfRule>
  </conditionalFormatting>
  <conditionalFormatting sqref="M340:N340">
    <cfRule type="expression" dxfId="60" priority="36">
      <formula>$M340="Tạm dừng"</formula>
    </cfRule>
  </conditionalFormatting>
  <conditionalFormatting sqref="M340:N340">
    <cfRule type="expression" dxfId="59" priority="37">
      <formula>$M340="Đã hoàn thành"</formula>
    </cfRule>
  </conditionalFormatting>
  <conditionalFormatting sqref="M340:N340">
    <cfRule type="expression" dxfId="58" priority="38">
      <formula>$M340="Đang tiến hành"</formula>
    </cfRule>
  </conditionalFormatting>
  <conditionalFormatting sqref="M340:N340">
    <cfRule type="expression" dxfId="57" priority="39">
      <formula>$M340="Chưa bắt đầu"</formula>
    </cfRule>
  </conditionalFormatting>
  <conditionalFormatting sqref="M340:N340">
    <cfRule type="expression" dxfId="56" priority="33">
      <formula>$M340="Chưa triển khai"</formula>
    </cfRule>
  </conditionalFormatting>
  <conditionalFormatting sqref="M345:N345">
    <cfRule type="expression" dxfId="55" priority="32">
      <formula>$M345="Đến hạn"</formula>
    </cfRule>
  </conditionalFormatting>
  <conditionalFormatting sqref="M345:N345">
    <cfRule type="expression" dxfId="54" priority="26">
      <formula>$M345="Hủy"</formula>
    </cfRule>
  </conditionalFormatting>
  <conditionalFormatting sqref="M345:N345">
    <cfRule type="expression" dxfId="53" priority="27">
      <formula>$M345="Quá hạn"</formula>
    </cfRule>
  </conditionalFormatting>
  <conditionalFormatting sqref="M345:N345">
    <cfRule type="expression" dxfId="52" priority="28">
      <formula>$M345="Tạm dừng"</formula>
    </cfRule>
  </conditionalFormatting>
  <conditionalFormatting sqref="M345:N345">
    <cfRule type="expression" dxfId="51" priority="29">
      <formula>$M345="Đã hoàn thành"</formula>
    </cfRule>
  </conditionalFormatting>
  <conditionalFormatting sqref="M345:N345">
    <cfRule type="expression" dxfId="50" priority="30">
      <formula>$M345="Đang tiến hành"</formula>
    </cfRule>
  </conditionalFormatting>
  <conditionalFormatting sqref="M345:N345">
    <cfRule type="expression" dxfId="49" priority="31">
      <formula>$M345="Chưa bắt đầu"</formula>
    </cfRule>
  </conditionalFormatting>
  <conditionalFormatting sqref="M345:N345">
    <cfRule type="expression" dxfId="48" priority="25">
      <formula>$M345="Chưa triển khai"</formula>
    </cfRule>
  </conditionalFormatting>
  <conditionalFormatting sqref="N343">
    <cfRule type="expression" dxfId="47" priority="24">
      <formula>$M343="Đến hạn"</formula>
    </cfRule>
  </conditionalFormatting>
  <conditionalFormatting sqref="N343">
    <cfRule type="expression" dxfId="46" priority="18">
      <formula>$M343="Hủy"</formula>
    </cfRule>
  </conditionalFormatting>
  <conditionalFormatting sqref="N343">
    <cfRule type="expression" dxfId="45" priority="19">
      <formula>$M343="Quá hạn"</formula>
    </cfRule>
  </conditionalFormatting>
  <conditionalFormatting sqref="N343">
    <cfRule type="expression" dxfId="44" priority="20">
      <formula>$M343="Tạm dừng"</formula>
    </cfRule>
  </conditionalFormatting>
  <conditionalFormatting sqref="N343">
    <cfRule type="expression" dxfId="43" priority="21">
      <formula>$M343="Đã hoàn thành"</formula>
    </cfRule>
  </conditionalFormatting>
  <conditionalFormatting sqref="N343">
    <cfRule type="expression" dxfId="42" priority="22">
      <formula>$M343="Đang tiến hành"</formula>
    </cfRule>
  </conditionalFormatting>
  <conditionalFormatting sqref="N343">
    <cfRule type="expression" dxfId="41" priority="23">
      <formula>$M343="Chưa bắt đầu"</formula>
    </cfRule>
  </conditionalFormatting>
  <conditionalFormatting sqref="N343">
    <cfRule type="expression" dxfId="40" priority="17">
      <formula>$M343="Chưa triển khai"</formula>
    </cfRule>
  </conditionalFormatting>
  <conditionalFormatting sqref="M343">
    <cfRule type="expression" dxfId="39" priority="16">
      <formula>$M343="Đến hạn"</formula>
    </cfRule>
  </conditionalFormatting>
  <conditionalFormatting sqref="M343">
    <cfRule type="expression" dxfId="38" priority="10">
      <formula>$M343="Hủy"</formula>
    </cfRule>
  </conditionalFormatting>
  <conditionalFormatting sqref="M343">
    <cfRule type="expression" dxfId="37" priority="11">
      <formula>$M343="Quá hạn"</formula>
    </cfRule>
  </conditionalFormatting>
  <conditionalFormatting sqref="M343">
    <cfRule type="expression" dxfId="36" priority="12">
      <formula>$M343="Tạm dừng"</formula>
    </cfRule>
  </conditionalFormatting>
  <conditionalFormatting sqref="M343">
    <cfRule type="expression" dxfId="35" priority="13">
      <formula>$M343="Đã hoàn thành"</formula>
    </cfRule>
  </conditionalFormatting>
  <conditionalFormatting sqref="M343">
    <cfRule type="expression" dxfId="34" priority="14">
      <formula>$M343="Đang tiến hành"</formula>
    </cfRule>
  </conditionalFormatting>
  <conditionalFormatting sqref="M343">
    <cfRule type="expression" dxfId="33" priority="15">
      <formula>$M343="Chưa bắt đầu"</formula>
    </cfRule>
  </conditionalFormatting>
  <conditionalFormatting sqref="M343">
    <cfRule type="expression" dxfId="32" priority="9">
      <formula>$M343="Chưa triển khai"</formula>
    </cfRule>
  </conditionalFormatting>
  <conditionalFormatting sqref="M344:N344">
    <cfRule type="expression" dxfId="31" priority="8">
      <formula>$M344="Đến hạn"</formula>
    </cfRule>
  </conditionalFormatting>
  <conditionalFormatting sqref="M344:N344">
    <cfRule type="expression" dxfId="30" priority="2">
      <formula>$M344="Hủy"</formula>
    </cfRule>
  </conditionalFormatting>
  <conditionalFormatting sqref="M344:N344">
    <cfRule type="expression" dxfId="29" priority="3">
      <formula>$M344="Quá hạn"</formula>
    </cfRule>
  </conditionalFormatting>
  <conditionalFormatting sqref="M344:N344">
    <cfRule type="expression" dxfId="28" priority="4">
      <formula>$M344="Tạm dừng"</formula>
    </cfRule>
  </conditionalFormatting>
  <conditionalFormatting sqref="M344:N344">
    <cfRule type="expression" dxfId="27" priority="5">
      <formula>$M344="Đã hoàn thành"</formula>
    </cfRule>
  </conditionalFormatting>
  <conditionalFormatting sqref="M344:N344">
    <cfRule type="expression" dxfId="26" priority="6">
      <formula>$M344="Đang tiến hành"</formula>
    </cfRule>
  </conditionalFormatting>
  <conditionalFormatting sqref="M344:N344">
    <cfRule type="expression" dxfId="25" priority="7">
      <formula>$M344="Chưa bắt đầu"</formula>
    </cfRule>
  </conditionalFormatting>
  <conditionalFormatting sqref="M344:N344">
    <cfRule type="expression" dxfId="24" priority="1">
      <formula>$M344="Chưa triển khai"</formula>
    </cfRule>
  </conditionalFormatting>
  <dataValidations count="1">
    <dataValidation allowBlank="1" showInputMessage="1" showErrorMessage="1" sqref="A1:B2 F1:F2 H1:XFD2" xr:uid="{9EFAA558-C1A1-48D6-80EE-435E576B3055}"/>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8">
        <x14:dataValidation type="list" allowBlank="1" showInputMessage="1" showErrorMessage="1" xr:uid="{CCB493A0-A1E5-4F1E-B0AD-CEF8D5B2B8B8}">
          <x14:formula1>
            <xm:f>Data!$Y$4:$Y$33</xm:f>
          </x14:formula1>
          <xm:sqref>J375:J1048576 J3:L127 K308:L1048576 J128:J373 K128:L306</xm:sqref>
        </x14:dataValidation>
        <x14:dataValidation type="list" allowBlank="1" showInputMessage="1" showErrorMessage="1" xr:uid="{A5F44423-03E9-4AA6-BB50-F4CEB4F536F3}">
          <x14:formula1>
            <xm:f>Data!$X$4:$X$33</xm:f>
          </x14:formula1>
          <xm:sqref>I3:I1048576</xm:sqref>
        </x14:dataValidation>
        <x14:dataValidation type="list" allowBlank="1" showInputMessage="1" showErrorMessage="1" xr:uid="{7751DDED-F7F3-4E7D-A9F2-5EAD99E3EE34}">
          <x14:formula1>
            <xm:f>Data!$V$4:$V$33</xm:f>
          </x14:formula1>
          <xm:sqref>F3:F1048576</xm:sqref>
        </x14:dataValidation>
        <x14:dataValidation type="list" allowBlank="1" showInputMessage="1" showErrorMessage="1" xr:uid="{3C6ED6D1-F8B4-4333-B2F5-AC774C91881D}">
          <x14:formula1>
            <xm:f>Data!$W$4:$W$117</xm:f>
          </x14:formula1>
          <xm:sqref>H3:H1048576</xm:sqref>
        </x14:dataValidation>
        <x14:dataValidation type="list" allowBlank="1" showInputMessage="1" showErrorMessage="1" xr:uid="{2A31C39B-D0FB-4676-95D9-21186C5EDEDB}">
          <x14:formula1>
            <xm:f>Data!$H$2</xm:f>
          </x14:formula1>
          <xm:sqref>C1:C1048576</xm:sqref>
        </x14:dataValidation>
        <x14:dataValidation type="list" allowBlank="1" showInputMessage="1" showErrorMessage="1" xr:uid="{B35F32B2-B8D1-4B3B-B07C-E4CCC4DE395C}">
          <x14:formula1>
            <xm:f>Data!$K$4:$K$117</xm:f>
          </x14:formula1>
          <xm:sqref>G1:G1048576</xm:sqref>
        </x14:dataValidation>
        <x14:dataValidation type="list" allowBlank="1" showInputMessage="1" showErrorMessage="1" xr:uid="{5FACB98E-16C1-4F53-85DB-532BF9B1178E}">
          <x14:formula1>
            <xm:f>Data!$H:$H</xm:f>
          </x14:formula1>
          <xm:sqref>D1:D1048576</xm:sqref>
        </x14:dataValidation>
        <x14:dataValidation type="list" allowBlank="1" showInputMessage="1" showErrorMessage="1" xr:uid="{5B2926D7-692D-4E58-B506-83BBEBE5AA71}">
          <x14:formula1>
            <xm:f>Data!$I:$I</xm:f>
          </x14:formula1>
          <xm:sqref>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B1889-5BFE-4B93-B5CB-7ED654E74296}">
  <dimension ref="A1:M17"/>
  <sheetViews>
    <sheetView zoomScale="115" zoomScaleNormal="115" workbookViewId="0">
      <pane ySplit="2" topLeftCell="A3" activePane="bottomLeft" state="frozen"/>
      <selection pane="bottomLeft" activeCell="A5" sqref="A5"/>
    </sheetView>
  </sheetViews>
  <sheetFormatPr defaultRowHeight="15"/>
  <cols>
    <col min="1" max="1" width="23" style="12" customWidth="1"/>
    <col min="2" max="2" width="6.85546875" style="12" bestFit="1" customWidth="1"/>
    <col min="3" max="3" width="16" style="12" bestFit="1" customWidth="1"/>
    <col min="4" max="4" width="20" style="12" customWidth="1"/>
    <col min="5" max="5" width="28.140625" style="12" customWidth="1"/>
    <col min="6" max="6" width="9.140625" style="12" customWidth="1"/>
    <col min="7" max="7" width="21.28515625" style="76" bestFit="1" customWidth="1"/>
    <col min="8" max="8" width="15.28515625" style="12" bestFit="1" customWidth="1"/>
    <col min="9" max="11" width="20.42578125" style="76" customWidth="1"/>
    <col min="12" max="13" width="11.85546875" style="77" customWidth="1"/>
    <col min="14" max="14" width="9.140625" style="12" customWidth="1"/>
    <col min="15" max="16384" width="9.140625" style="12"/>
  </cols>
  <sheetData>
    <row r="1" spans="1:13">
      <c r="A1" s="90"/>
      <c r="B1" s="90"/>
      <c r="C1" s="90" t="s">
        <v>446</v>
      </c>
      <c r="D1" s="90"/>
      <c r="E1" s="90"/>
      <c r="F1" s="90"/>
      <c r="G1" s="91"/>
      <c r="H1" s="90"/>
      <c r="I1" s="91"/>
      <c r="J1" s="91"/>
      <c r="K1" s="91"/>
      <c r="L1" s="92"/>
      <c r="M1" s="92"/>
    </row>
    <row r="2" spans="1:13" s="2" customFormat="1">
      <c r="A2" s="17" t="s">
        <v>396</v>
      </c>
      <c r="B2" s="17" t="s">
        <v>397</v>
      </c>
      <c r="C2" s="111" t="s">
        <v>398</v>
      </c>
      <c r="D2" s="17" t="s">
        <v>40</v>
      </c>
      <c r="E2" s="17" t="s">
        <v>41</v>
      </c>
      <c r="F2" s="17" t="s">
        <v>399</v>
      </c>
      <c r="G2" s="40" t="s">
        <v>42</v>
      </c>
      <c r="H2" s="17" t="s">
        <v>46</v>
      </c>
      <c r="I2" s="40" t="s">
        <v>400</v>
      </c>
      <c r="J2" s="40" t="s">
        <v>401</v>
      </c>
      <c r="K2" s="40" t="s">
        <v>402</v>
      </c>
      <c r="L2" s="45" t="s">
        <v>403</v>
      </c>
      <c r="M2" s="45" t="s">
        <v>404</v>
      </c>
    </row>
    <row r="3" spans="1:13">
      <c r="A3" s="28" t="str">
        <f>"4."&amp;D3&amp;"."&amp;B3</f>
        <v>4.B.HNO.VHOHN.SVD.001</v>
      </c>
      <c r="B3" s="110" t="s">
        <v>405</v>
      </c>
      <c r="C3" s="100" t="s">
        <v>11</v>
      </c>
      <c r="D3" s="28" t="s">
        <v>192</v>
      </c>
      <c r="E3" s="28" t="s">
        <v>447</v>
      </c>
      <c r="F3" s="28" t="s">
        <v>61</v>
      </c>
      <c r="G3" s="20" t="s">
        <v>55</v>
      </c>
      <c r="H3" s="69" t="s">
        <v>63</v>
      </c>
      <c r="I3" s="24"/>
      <c r="J3" s="24"/>
      <c r="K3" s="24"/>
      <c r="L3" s="70"/>
      <c r="M3" s="70"/>
    </row>
    <row r="4" spans="1:13">
      <c r="A4" s="28" t="str">
        <f>"4."&amp;D4&amp;"."&amp;B4</f>
        <v>4.B.HYE.PVF.002</v>
      </c>
      <c r="B4" s="110" t="s">
        <v>406</v>
      </c>
      <c r="C4" s="100" t="s">
        <v>11</v>
      </c>
      <c r="D4" s="28" t="s">
        <v>230</v>
      </c>
      <c r="E4" s="28"/>
      <c r="F4" s="28"/>
      <c r="G4" s="20" t="s">
        <v>74</v>
      </c>
      <c r="H4" s="69" t="s">
        <v>63</v>
      </c>
      <c r="I4" s="24"/>
      <c r="J4" s="24"/>
      <c r="K4" s="24"/>
      <c r="L4" s="70"/>
      <c r="M4" s="70"/>
    </row>
    <row r="5" spans="1:13">
      <c r="A5" s="28" t="str">
        <f>"4."&amp;D5&amp;"."&amp;B5</f>
        <v>4..003</v>
      </c>
      <c r="B5" s="110" t="s">
        <v>407</v>
      </c>
      <c r="C5" s="100" t="s">
        <v>11</v>
      </c>
      <c r="D5" s="28"/>
      <c r="E5" s="28"/>
      <c r="F5" s="28"/>
      <c r="G5" s="20" t="s">
        <v>87</v>
      </c>
      <c r="H5" s="69" t="s">
        <v>63</v>
      </c>
      <c r="I5" s="24"/>
      <c r="J5" s="24"/>
      <c r="K5" s="24"/>
      <c r="L5" s="70"/>
      <c r="M5" s="70"/>
    </row>
    <row r="6" spans="1:13">
      <c r="A6" s="28" t="str">
        <f>"4."&amp;D6&amp;"."&amp;B6</f>
        <v>4..004</v>
      </c>
      <c r="B6" s="110" t="s">
        <v>408</v>
      </c>
      <c r="C6" s="100" t="s">
        <v>11</v>
      </c>
      <c r="D6" s="28"/>
      <c r="E6" s="28"/>
      <c r="F6" s="28"/>
      <c r="G6" s="20"/>
      <c r="H6" s="69" t="s">
        <v>63</v>
      </c>
      <c r="I6" s="24"/>
      <c r="J6" s="24"/>
      <c r="K6" s="24"/>
      <c r="L6" s="70"/>
      <c r="M6" s="70"/>
    </row>
    <row r="7" spans="1:13">
      <c r="A7" s="28" t="str">
        <f>"4."&amp;D7&amp;"."&amp;B7</f>
        <v>4..005</v>
      </c>
      <c r="B7" s="110" t="s">
        <v>409</v>
      </c>
      <c r="C7" s="100" t="s">
        <v>11</v>
      </c>
      <c r="D7" s="28"/>
      <c r="E7" s="28"/>
      <c r="F7" s="28"/>
      <c r="G7" s="20"/>
      <c r="H7" s="69" t="s">
        <v>63</v>
      </c>
      <c r="I7" s="24"/>
      <c r="J7" s="24"/>
      <c r="K7" s="24"/>
      <c r="L7" s="70"/>
      <c r="M7" s="70"/>
    </row>
    <row r="8" spans="1:13">
      <c r="A8" s="28" t="str">
        <f>"4."&amp;D8&amp;"."&amp;B8</f>
        <v>4..006</v>
      </c>
      <c r="B8" s="110" t="s">
        <v>410</v>
      </c>
      <c r="C8" s="100" t="s">
        <v>11</v>
      </c>
      <c r="D8" s="28"/>
      <c r="E8" s="28"/>
      <c r="F8" s="28"/>
      <c r="G8" s="19"/>
      <c r="H8" s="69" t="s">
        <v>63</v>
      </c>
      <c r="I8" s="24"/>
      <c r="J8" s="24"/>
      <c r="K8" s="24"/>
      <c r="L8" s="70"/>
      <c r="M8" s="70"/>
    </row>
    <row r="9" spans="1:13">
      <c r="A9" s="28" t="str">
        <f>"4."&amp;D9&amp;"."&amp;B9</f>
        <v>4..007</v>
      </c>
      <c r="B9" s="110" t="s">
        <v>411</v>
      </c>
      <c r="C9" s="100" t="s">
        <v>11</v>
      </c>
      <c r="D9" s="28"/>
      <c r="E9" s="28"/>
      <c r="G9" s="28"/>
      <c r="H9" s="69" t="s">
        <v>63</v>
      </c>
      <c r="I9" s="24"/>
      <c r="J9" s="24"/>
      <c r="K9" s="24"/>
      <c r="L9" s="70"/>
      <c r="M9" s="70"/>
    </row>
    <row r="10" spans="1:13">
      <c r="A10" s="28" t="str">
        <f>"4."&amp;D10&amp;"."&amp;B10</f>
        <v>4..008</v>
      </c>
      <c r="B10" s="110" t="s">
        <v>412</v>
      </c>
      <c r="C10" s="100" t="s">
        <v>11</v>
      </c>
      <c r="D10" s="28"/>
      <c r="E10" s="28"/>
      <c r="F10" s="28"/>
      <c r="G10" s="19"/>
      <c r="H10" s="69" t="s">
        <v>63</v>
      </c>
      <c r="I10" s="24"/>
      <c r="J10" s="24"/>
      <c r="K10" s="24"/>
      <c r="L10" s="70"/>
      <c r="M10" s="70"/>
    </row>
    <row r="11" spans="1:13">
      <c r="A11" s="28" t="str">
        <f>"4."&amp;D11&amp;"."&amp;B11</f>
        <v>4..009</v>
      </c>
      <c r="B11" s="110" t="s">
        <v>413</v>
      </c>
      <c r="C11" s="100" t="s">
        <v>11</v>
      </c>
      <c r="D11" s="28"/>
      <c r="E11" s="28"/>
      <c r="F11" s="28"/>
      <c r="G11" s="19"/>
      <c r="H11" s="69" t="s">
        <v>63</v>
      </c>
      <c r="I11" s="24"/>
      <c r="J11" s="24"/>
      <c r="K11" s="24"/>
      <c r="L11" s="70"/>
      <c r="M11" s="70"/>
    </row>
    <row r="12" spans="1:13">
      <c r="A12" s="28" t="str">
        <f>"4."&amp;D12&amp;"."&amp;B12</f>
        <v>4..010</v>
      </c>
      <c r="B12" s="110" t="s">
        <v>414</v>
      </c>
      <c r="C12" s="100" t="s">
        <v>11</v>
      </c>
      <c r="D12" s="28"/>
      <c r="E12" s="28"/>
      <c r="F12" s="28"/>
      <c r="G12" s="19"/>
      <c r="H12" s="69" t="s">
        <v>63</v>
      </c>
      <c r="I12" s="24"/>
      <c r="J12" s="24"/>
      <c r="K12" s="24"/>
      <c r="L12" s="70"/>
      <c r="M12" s="70"/>
    </row>
    <row r="13" spans="1:13">
      <c r="A13" s="28" t="str">
        <f>"4."&amp;D13&amp;"."&amp;B13</f>
        <v>4..011</v>
      </c>
      <c r="B13" s="110" t="s">
        <v>415</v>
      </c>
      <c r="C13" s="100" t="s">
        <v>11</v>
      </c>
      <c r="D13" s="28"/>
      <c r="E13" s="28"/>
      <c r="F13" s="28"/>
      <c r="G13" s="19"/>
      <c r="H13" s="69" t="s">
        <v>63</v>
      </c>
      <c r="I13" s="24"/>
      <c r="J13" s="24"/>
      <c r="K13" s="24"/>
      <c r="L13" s="70"/>
      <c r="M13" s="70"/>
    </row>
    <row r="14" spans="1:13">
      <c r="A14" s="28" t="str">
        <f>"4."&amp;D14&amp;"."&amp;B14</f>
        <v>4..012</v>
      </c>
      <c r="B14" s="110" t="s">
        <v>416</v>
      </c>
      <c r="C14" s="100" t="s">
        <v>11</v>
      </c>
      <c r="D14" s="28"/>
      <c r="E14" s="28"/>
      <c r="F14" s="28"/>
      <c r="G14" s="19"/>
      <c r="H14" s="69" t="s">
        <v>63</v>
      </c>
      <c r="I14" s="24"/>
      <c r="J14" s="24"/>
      <c r="K14" s="24"/>
      <c r="L14" s="70"/>
      <c r="M14" s="70"/>
    </row>
    <row r="15" spans="1:13">
      <c r="A15" s="28" t="str">
        <f>"4."&amp;D15&amp;"."&amp;B15</f>
        <v>4..013</v>
      </c>
      <c r="B15" s="110" t="s">
        <v>417</v>
      </c>
      <c r="C15" s="100" t="s">
        <v>11</v>
      </c>
      <c r="D15" s="28"/>
      <c r="E15" s="28"/>
      <c r="F15" s="28"/>
      <c r="G15" s="20"/>
      <c r="H15" s="69" t="s">
        <v>63</v>
      </c>
      <c r="I15" s="24"/>
      <c r="J15" s="24"/>
      <c r="K15" s="24"/>
      <c r="L15" s="70"/>
      <c r="M15" s="70"/>
    </row>
    <row r="16" spans="1:13">
      <c r="A16" s="28" t="str">
        <f>"4."&amp;D16&amp;"."&amp;B16</f>
        <v>4..014</v>
      </c>
      <c r="B16" s="110" t="s">
        <v>418</v>
      </c>
      <c r="C16" s="100" t="s">
        <v>11</v>
      </c>
      <c r="D16" s="28"/>
      <c r="E16" s="28"/>
      <c r="F16" s="28"/>
      <c r="G16" s="19"/>
      <c r="H16" s="69" t="s">
        <v>63</v>
      </c>
      <c r="I16" s="25"/>
      <c r="J16" s="25"/>
      <c r="K16" s="25"/>
      <c r="L16" s="70"/>
      <c r="M16" s="70"/>
    </row>
    <row r="17" spans="1:13">
      <c r="A17" s="28" t="str">
        <f>"4."&amp;D17&amp;"."&amp;B17</f>
        <v>4..015</v>
      </c>
      <c r="B17" s="110" t="s">
        <v>419</v>
      </c>
      <c r="C17" s="100" t="s">
        <v>11</v>
      </c>
      <c r="D17" s="28"/>
      <c r="E17" s="28"/>
      <c r="F17" s="28"/>
      <c r="G17" s="19"/>
      <c r="H17" s="69" t="s">
        <v>63</v>
      </c>
      <c r="I17" s="25"/>
      <c r="J17" s="25"/>
      <c r="K17" s="25"/>
      <c r="L17" s="70"/>
      <c r="M17" s="70"/>
    </row>
  </sheetData>
  <phoneticPr fontId="4" type="noConversion"/>
  <dataValidations count="1">
    <dataValidation allowBlank="1" showInputMessage="1" showErrorMessage="1" sqref="I2:K2" xr:uid="{625B7AF6-1A4D-42AC-B1B6-20FAD94C9720}"/>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E20C053E-F4C9-44E8-9558-66B38A122AFC}">
          <x14:formula1>
            <xm:f>Data!$L$4:$L$33</xm:f>
          </x14:formula1>
          <xm:sqref>G1:G1048576</xm:sqref>
        </x14:dataValidation>
        <x14:dataValidation type="list" allowBlank="1" showInputMessage="1" showErrorMessage="1" xr:uid="{C590693A-8655-4629-BCB5-20CD0FFBD4FA}">
          <x14:formula1>
            <xm:f>Data!$X$4:$X$33</xm:f>
          </x14:formula1>
          <xm:sqref>H1:H1048576</xm:sqref>
        </x14:dataValidation>
        <x14:dataValidation type="list" allowBlank="1" showInputMessage="1" showErrorMessage="1" xr:uid="{31B321D4-93B7-4F75-8E6C-4E6937DAA3CC}">
          <x14:formula1>
            <xm:f>Data!$Y$4:$Y$33</xm:f>
          </x14:formula1>
          <xm:sqref>I1:K1 I3:K1048576</xm:sqref>
        </x14:dataValidation>
        <x14:dataValidation type="list" allowBlank="1" showInputMessage="1" showErrorMessage="1" xr:uid="{ED580E8E-88B3-4732-8CBB-006B61EA7051}">
          <x14:formula1>
            <xm:f>Data!$V$4:$V$33</xm:f>
          </x14:formula1>
          <xm:sqref>F1:F8 F10:F1048576 G9</xm:sqref>
        </x14:dataValidation>
        <x14:dataValidation type="list" allowBlank="1" showInputMessage="1" showErrorMessage="1" xr:uid="{DFD01EB6-7898-4373-AD13-B6D7E02322A5}">
          <x14:formula1>
            <xm:f>Data!$H:$H</xm:f>
          </x14:formula1>
          <xm:sqref>D1:D1048576</xm:sqref>
        </x14:dataValidation>
        <x14:dataValidation type="list" allowBlank="1" showInputMessage="1" showErrorMessage="1" xr:uid="{F22FFBC7-8513-48DB-9255-D4F4493C056E}">
          <x14:formula1>
            <xm:f>Data!$I:$I</xm:f>
          </x14:formula1>
          <xm:sqref>E1:E1048576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0C4F3-DC43-4C8B-A857-05F8A1F3BA9F}">
  <dimension ref="A1:M97"/>
  <sheetViews>
    <sheetView zoomScale="115" zoomScaleNormal="115" workbookViewId="0">
      <pane ySplit="2" topLeftCell="A57" activePane="bottomLeft" state="frozen"/>
      <selection pane="bottomLeft" activeCell="E73" sqref="E73"/>
    </sheetView>
  </sheetViews>
  <sheetFormatPr defaultRowHeight="15"/>
  <cols>
    <col min="1" max="1" width="26.85546875" style="12" customWidth="1"/>
    <col min="2" max="2" width="6.85546875" style="12" bestFit="1" customWidth="1"/>
    <col min="3" max="3" width="22.42578125" style="12" bestFit="1" customWidth="1"/>
    <col min="4" max="4" width="29.5703125" style="12" customWidth="1"/>
    <col min="5" max="5" width="55.5703125" style="75" customWidth="1"/>
    <col min="6" max="6" width="10.140625" style="9" customWidth="1"/>
    <col min="7" max="7" width="37.5703125" style="75" customWidth="1"/>
    <col min="8" max="8" width="15.28515625" style="12" bestFit="1" customWidth="1"/>
    <col min="9" max="9" width="21.5703125" style="76" bestFit="1" customWidth="1"/>
    <col min="10" max="10" width="20.5703125" style="76" bestFit="1" customWidth="1"/>
    <col min="11" max="11" width="21.5703125" style="76" customWidth="1"/>
    <col min="12" max="13" width="11.28515625" style="77" customWidth="1"/>
    <col min="14" max="14" width="9.140625" style="12" customWidth="1"/>
    <col min="15" max="16384" width="9.140625" style="12"/>
  </cols>
  <sheetData>
    <row r="1" spans="1:13">
      <c r="A1" s="49"/>
      <c r="B1" s="49"/>
      <c r="C1" s="49" t="s">
        <v>448</v>
      </c>
      <c r="D1" s="49"/>
      <c r="E1" s="62"/>
      <c r="F1" s="161"/>
      <c r="G1" s="62"/>
      <c r="H1" s="49"/>
      <c r="I1" s="63"/>
      <c r="J1" s="63"/>
      <c r="K1" s="63"/>
      <c r="L1" s="261"/>
      <c r="M1" s="64"/>
    </row>
    <row r="2" spans="1:13" s="2" customFormat="1" ht="30" customHeight="1">
      <c r="A2" s="17" t="s">
        <v>396</v>
      </c>
      <c r="B2" s="17" t="s">
        <v>397</v>
      </c>
      <c r="C2" s="17" t="s">
        <v>398</v>
      </c>
      <c r="D2" s="17" t="s">
        <v>40</v>
      </c>
      <c r="E2" s="61" t="s">
        <v>41</v>
      </c>
      <c r="F2" s="17" t="s">
        <v>399</v>
      </c>
      <c r="G2" s="61" t="s">
        <v>42</v>
      </c>
      <c r="H2" s="17" t="s">
        <v>46</v>
      </c>
      <c r="I2" s="40" t="s">
        <v>400</v>
      </c>
      <c r="J2" s="40" t="s">
        <v>401</v>
      </c>
      <c r="K2" s="40" t="s">
        <v>402</v>
      </c>
      <c r="L2" s="262" t="s">
        <v>403</v>
      </c>
      <c r="M2" s="43" t="s">
        <v>404</v>
      </c>
    </row>
    <row r="3" spans="1:13">
      <c r="A3" s="28" t="str">
        <f>"5."&amp;D3&amp;"."&amp;B3</f>
        <v>5.Revit.01</v>
      </c>
      <c r="B3" s="110" t="s">
        <v>449</v>
      </c>
      <c r="C3" s="28" t="s">
        <v>12</v>
      </c>
      <c r="D3" s="28" t="s">
        <v>56</v>
      </c>
      <c r="E3" s="67" t="s">
        <v>291</v>
      </c>
      <c r="F3" s="35" t="s">
        <v>115</v>
      </c>
      <c r="G3" s="68" t="s">
        <v>89</v>
      </c>
      <c r="H3" s="28" t="s">
        <v>63</v>
      </c>
      <c r="I3" s="20" t="s">
        <v>228</v>
      </c>
      <c r="J3" s="20"/>
      <c r="K3" s="20"/>
      <c r="L3" s="84">
        <v>46177</v>
      </c>
      <c r="M3" s="70">
        <v>46177</v>
      </c>
    </row>
    <row r="4" spans="1:13">
      <c r="A4" s="28" t="str">
        <f>"5."&amp;D4&amp;"."&amp;B4</f>
        <v>5.Revit.02</v>
      </c>
      <c r="B4" s="110" t="s">
        <v>450</v>
      </c>
      <c r="C4" s="28" t="s">
        <v>12</v>
      </c>
      <c r="D4" s="28" t="s">
        <v>56</v>
      </c>
      <c r="E4" s="67" t="s">
        <v>291</v>
      </c>
      <c r="F4" s="35" t="s">
        <v>115</v>
      </c>
      <c r="G4" s="68" t="s">
        <v>102</v>
      </c>
      <c r="H4" s="28" t="s">
        <v>63</v>
      </c>
      <c r="I4" s="20" t="s">
        <v>228</v>
      </c>
      <c r="J4" s="20"/>
      <c r="K4" s="20"/>
      <c r="L4" s="84">
        <v>46177</v>
      </c>
      <c r="M4" s="70">
        <v>46177</v>
      </c>
    </row>
    <row r="5" spans="1:13">
      <c r="A5" s="28" t="str">
        <f>"5."&amp;D5&amp;"."&amp;B5</f>
        <v>5.Revit.03</v>
      </c>
      <c r="B5" s="110" t="s">
        <v>451</v>
      </c>
      <c r="C5" s="28" t="s">
        <v>12</v>
      </c>
      <c r="D5" s="28" t="s">
        <v>56</v>
      </c>
      <c r="E5" s="67" t="s">
        <v>291</v>
      </c>
      <c r="F5" s="35" t="s">
        <v>115</v>
      </c>
      <c r="G5" s="68" t="s">
        <v>121</v>
      </c>
      <c r="H5" s="28" t="s">
        <v>63</v>
      </c>
      <c r="I5" s="20" t="s">
        <v>228</v>
      </c>
      <c r="J5" s="20"/>
      <c r="K5" s="20"/>
      <c r="L5" s="84">
        <v>46177</v>
      </c>
      <c r="M5" s="70">
        <v>46177</v>
      </c>
    </row>
    <row r="6" spans="1:13">
      <c r="A6" s="28" t="str">
        <f>"5."&amp;D6&amp;"."&amp;B6</f>
        <v>5.Revit.04</v>
      </c>
      <c r="B6" s="110" t="s">
        <v>452</v>
      </c>
      <c r="C6" s="28" t="s">
        <v>12</v>
      </c>
      <c r="D6" s="28" t="s">
        <v>56</v>
      </c>
      <c r="E6" s="67" t="s">
        <v>291</v>
      </c>
      <c r="F6" s="35" t="s">
        <v>115</v>
      </c>
      <c r="G6" s="68" t="s">
        <v>130</v>
      </c>
      <c r="H6" s="28" t="s">
        <v>63</v>
      </c>
      <c r="I6" s="20" t="s">
        <v>228</v>
      </c>
      <c r="J6" s="20"/>
      <c r="K6" s="20"/>
      <c r="L6" s="84">
        <v>46177</v>
      </c>
      <c r="M6" s="70">
        <v>46177</v>
      </c>
    </row>
    <row r="7" spans="1:13">
      <c r="A7" s="28" t="str">
        <f>"5."&amp;D7&amp;"."&amp;B7</f>
        <v>5.Revit.05</v>
      </c>
      <c r="B7" s="110" t="s">
        <v>453</v>
      </c>
      <c r="C7" s="28" t="s">
        <v>12</v>
      </c>
      <c r="D7" s="28" t="s">
        <v>56</v>
      </c>
      <c r="E7" s="73" t="s">
        <v>389</v>
      </c>
      <c r="F7" s="35" t="s">
        <v>115</v>
      </c>
      <c r="G7" s="68" t="s">
        <v>58</v>
      </c>
      <c r="H7" s="28" t="s">
        <v>81</v>
      </c>
      <c r="I7" s="20" t="s">
        <v>228</v>
      </c>
      <c r="J7" s="20"/>
      <c r="K7" s="20"/>
      <c r="L7" s="84">
        <v>46161</v>
      </c>
      <c r="M7" s="70">
        <v>46161</v>
      </c>
    </row>
    <row r="8" spans="1:13">
      <c r="A8" s="28" t="str">
        <f>"5."&amp;D8&amp;"."&amp;B8</f>
        <v>5.Revit.06</v>
      </c>
      <c r="B8" s="110" t="s">
        <v>454</v>
      </c>
      <c r="C8" s="28" t="s">
        <v>12</v>
      </c>
      <c r="D8" s="28" t="s">
        <v>56</v>
      </c>
      <c r="E8" s="73" t="s">
        <v>389</v>
      </c>
      <c r="F8" s="35" t="s">
        <v>115</v>
      </c>
      <c r="G8" s="68" t="s">
        <v>76</v>
      </c>
      <c r="H8" s="28" t="s">
        <v>81</v>
      </c>
      <c r="I8" s="20" t="s">
        <v>228</v>
      </c>
      <c r="J8" s="20"/>
      <c r="K8" s="20"/>
      <c r="L8" s="263"/>
      <c r="M8" s="145"/>
    </row>
    <row r="9" spans="1:13">
      <c r="A9" s="28" t="str">
        <f>"5."&amp;D9&amp;"."&amp;B9</f>
        <v>5.Revit.07</v>
      </c>
      <c r="B9" s="110" t="s">
        <v>455</v>
      </c>
      <c r="C9" s="28" t="s">
        <v>12</v>
      </c>
      <c r="D9" s="28" t="s">
        <v>56</v>
      </c>
      <c r="E9" s="73" t="s">
        <v>389</v>
      </c>
      <c r="F9" s="35" t="s">
        <v>115</v>
      </c>
      <c r="G9" s="68" t="s">
        <v>89</v>
      </c>
      <c r="H9" s="28" t="s">
        <v>81</v>
      </c>
      <c r="I9" s="20" t="s">
        <v>228</v>
      </c>
      <c r="J9" s="20"/>
      <c r="K9" s="20"/>
      <c r="L9" s="84">
        <v>46162</v>
      </c>
      <c r="M9" s="70">
        <v>46174</v>
      </c>
    </row>
    <row r="10" spans="1:13">
      <c r="A10" s="28" t="str">
        <f>"5."&amp;D10&amp;"."&amp;B10</f>
        <v>5.Revit.08</v>
      </c>
      <c r="B10" s="110" t="s">
        <v>456</v>
      </c>
      <c r="C10" s="28" t="s">
        <v>12</v>
      </c>
      <c r="D10" s="28" t="s">
        <v>56</v>
      </c>
      <c r="E10" s="73" t="s">
        <v>389</v>
      </c>
      <c r="F10" s="35" t="s">
        <v>115</v>
      </c>
      <c r="G10" s="68" t="s">
        <v>102</v>
      </c>
      <c r="H10" s="28" t="s">
        <v>81</v>
      </c>
      <c r="I10" s="20" t="s">
        <v>228</v>
      </c>
      <c r="J10" s="20"/>
      <c r="K10" s="20"/>
      <c r="L10" s="84">
        <v>46174</v>
      </c>
      <c r="M10" s="70">
        <v>46174</v>
      </c>
    </row>
    <row r="11" spans="1:13">
      <c r="A11" s="28" t="str">
        <f>"5."&amp;D11&amp;"."&amp;B11</f>
        <v>5.Revit.09</v>
      </c>
      <c r="B11" s="110" t="s">
        <v>457</v>
      </c>
      <c r="C11" s="28" t="s">
        <v>12</v>
      </c>
      <c r="D11" s="28" t="s">
        <v>56</v>
      </c>
      <c r="E11" s="73" t="s">
        <v>389</v>
      </c>
      <c r="F11" s="35" t="s">
        <v>115</v>
      </c>
      <c r="G11" s="68" t="s">
        <v>113</v>
      </c>
      <c r="H11" s="28" t="s">
        <v>81</v>
      </c>
      <c r="I11" s="20" t="s">
        <v>228</v>
      </c>
      <c r="J11" s="20"/>
      <c r="K11" s="20"/>
      <c r="L11" s="263"/>
      <c r="M11" s="145"/>
    </row>
    <row r="12" spans="1:13">
      <c r="A12" s="28" t="str">
        <f>"5."&amp;D12&amp;"."&amp;B12</f>
        <v>5.Revit.10</v>
      </c>
      <c r="B12" s="110" t="s">
        <v>458</v>
      </c>
      <c r="C12" s="28" t="s">
        <v>12</v>
      </c>
      <c r="D12" s="28" t="s">
        <v>56</v>
      </c>
      <c r="E12" s="73" t="s">
        <v>389</v>
      </c>
      <c r="F12" s="35" t="s">
        <v>115</v>
      </c>
      <c r="G12" s="68" t="s">
        <v>121</v>
      </c>
      <c r="H12" s="28" t="s">
        <v>81</v>
      </c>
      <c r="I12" s="20" t="s">
        <v>228</v>
      </c>
      <c r="J12" s="20"/>
      <c r="K12" s="20"/>
      <c r="L12" s="84">
        <v>46175</v>
      </c>
      <c r="M12" s="70">
        <v>46175</v>
      </c>
    </row>
    <row r="13" spans="1:13">
      <c r="A13" s="28" t="str">
        <f>"5."&amp;D13&amp;"."&amp;B13</f>
        <v>5.Revit.11</v>
      </c>
      <c r="B13" s="110" t="s">
        <v>459</v>
      </c>
      <c r="C13" s="28" t="s">
        <v>12</v>
      </c>
      <c r="D13" s="28" t="s">
        <v>56</v>
      </c>
      <c r="E13" s="73" t="s">
        <v>389</v>
      </c>
      <c r="F13" s="35" t="s">
        <v>115</v>
      </c>
      <c r="G13" s="68" t="s">
        <v>130</v>
      </c>
      <c r="H13" s="28" t="s">
        <v>81</v>
      </c>
      <c r="I13" s="20" t="s">
        <v>228</v>
      </c>
      <c r="J13" s="20"/>
      <c r="K13" s="20"/>
      <c r="L13" s="84">
        <v>46176</v>
      </c>
      <c r="M13" s="70">
        <v>46176</v>
      </c>
    </row>
    <row r="14" spans="1:13">
      <c r="A14" s="28" t="str">
        <f>"5."&amp;D14&amp;"."&amp;B14</f>
        <v>5.Revit.12</v>
      </c>
      <c r="B14" s="110" t="s">
        <v>460</v>
      </c>
      <c r="C14" s="28" t="s">
        <v>12</v>
      </c>
      <c r="D14" s="28" t="s">
        <v>56</v>
      </c>
      <c r="E14" s="73" t="s">
        <v>388</v>
      </c>
      <c r="F14" s="35" t="s">
        <v>115</v>
      </c>
      <c r="G14" s="68" t="s">
        <v>58</v>
      </c>
      <c r="H14" s="28" t="s">
        <v>63</v>
      </c>
      <c r="I14" s="20" t="s">
        <v>228</v>
      </c>
      <c r="J14" s="20"/>
      <c r="K14" s="20"/>
      <c r="L14" s="84">
        <v>46157</v>
      </c>
      <c r="M14" s="70">
        <v>46157</v>
      </c>
    </row>
    <row r="15" spans="1:13">
      <c r="A15" s="28" t="str">
        <f>"5."&amp;D15&amp;"."&amp;B15</f>
        <v>5.Revit.13</v>
      </c>
      <c r="B15" s="110" t="s">
        <v>461</v>
      </c>
      <c r="C15" s="28" t="s">
        <v>12</v>
      </c>
      <c r="D15" s="28" t="s">
        <v>56</v>
      </c>
      <c r="E15" s="73" t="s">
        <v>388</v>
      </c>
      <c r="F15" s="35" t="s">
        <v>115</v>
      </c>
      <c r="G15" s="68" t="s">
        <v>76</v>
      </c>
      <c r="H15" s="28" t="s">
        <v>63</v>
      </c>
      <c r="I15" s="20" t="s">
        <v>228</v>
      </c>
      <c r="J15" s="20"/>
      <c r="K15" s="20"/>
      <c r="L15" s="84"/>
      <c r="M15" s="70"/>
    </row>
    <row r="16" spans="1:13">
      <c r="A16" s="28" t="str">
        <f>"5."&amp;D16&amp;"."&amp;B16</f>
        <v>5.Revit.14</v>
      </c>
      <c r="B16" s="110" t="s">
        <v>462</v>
      </c>
      <c r="C16" s="28" t="s">
        <v>12</v>
      </c>
      <c r="D16" s="28" t="s">
        <v>56</v>
      </c>
      <c r="E16" s="73" t="s">
        <v>388</v>
      </c>
      <c r="F16" s="35" t="s">
        <v>115</v>
      </c>
      <c r="G16" s="68" t="s">
        <v>89</v>
      </c>
      <c r="H16" s="28" t="s">
        <v>63</v>
      </c>
      <c r="I16" s="20" t="s">
        <v>228</v>
      </c>
      <c r="J16" s="20"/>
      <c r="K16" s="20"/>
      <c r="L16" s="84">
        <v>46157</v>
      </c>
      <c r="M16" s="70">
        <v>46160</v>
      </c>
    </row>
    <row r="17" spans="1:13">
      <c r="A17" s="28" t="str">
        <f>"5."&amp;D17&amp;"."&amp;B17</f>
        <v>5.Revit.15</v>
      </c>
      <c r="B17" s="110" t="s">
        <v>463</v>
      </c>
      <c r="C17" s="28" t="s">
        <v>12</v>
      </c>
      <c r="D17" s="28" t="s">
        <v>56</v>
      </c>
      <c r="E17" s="73" t="s">
        <v>388</v>
      </c>
      <c r="F17" s="35" t="s">
        <v>115</v>
      </c>
      <c r="G17" s="68" t="s">
        <v>102</v>
      </c>
      <c r="H17" s="28" t="s">
        <v>63</v>
      </c>
      <c r="I17" s="20" t="s">
        <v>228</v>
      </c>
      <c r="J17" s="20"/>
      <c r="K17" s="20"/>
      <c r="L17" s="84"/>
      <c r="M17" s="70"/>
    </row>
    <row r="18" spans="1:13">
      <c r="A18" s="28" t="str">
        <f>"5."&amp;D18&amp;"."&amp;B18</f>
        <v>5.Revit.16</v>
      </c>
      <c r="B18" s="110" t="s">
        <v>464</v>
      </c>
      <c r="C18" s="28" t="s">
        <v>12</v>
      </c>
      <c r="D18" s="28" t="s">
        <v>56</v>
      </c>
      <c r="E18" s="73" t="s">
        <v>388</v>
      </c>
      <c r="F18" s="35" t="s">
        <v>115</v>
      </c>
      <c r="G18" s="68" t="s">
        <v>113</v>
      </c>
      <c r="H18" s="28" t="s">
        <v>63</v>
      </c>
      <c r="I18" s="20" t="s">
        <v>228</v>
      </c>
      <c r="J18" s="20"/>
      <c r="K18" s="20"/>
      <c r="L18" s="84"/>
      <c r="M18" s="70"/>
    </row>
    <row r="19" spans="1:13">
      <c r="A19" s="28" t="str">
        <f>"5."&amp;D19&amp;"."&amp;B19</f>
        <v>5.Revit.17</v>
      </c>
      <c r="B19" s="110" t="s">
        <v>465</v>
      </c>
      <c r="C19" s="28" t="s">
        <v>12</v>
      </c>
      <c r="D19" s="28" t="s">
        <v>56</v>
      </c>
      <c r="E19" s="73" t="s">
        <v>388</v>
      </c>
      <c r="F19" s="35" t="s">
        <v>115</v>
      </c>
      <c r="G19" s="68" t="s">
        <v>121</v>
      </c>
      <c r="H19" s="28" t="s">
        <v>63</v>
      </c>
      <c r="I19" s="20" t="s">
        <v>228</v>
      </c>
      <c r="J19" s="20"/>
      <c r="K19" s="20"/>
      <c r="L19" s="84">
        <v>46175</v>
      </c>
      <c r="M19" s="70">
        <v>46175</v>
      </c>
    </row>
    <row r="20" spans="1:13">
      <c r="A20" s="28" t="str">
        <f>"5."&amp;D20&amp;"."&amp;B20</f>
        <v>5.Revit.18</v>
      </c>
      <c r="B20" s="110" t="s">
        <v>466</v>
      </c>
      <c r="C20" s="28" t="s">
        <v>12</v>
      </c>
      <c r="D20" s="28" t="s">
        <v>56</v>
      </c>
      <c r="E20" s="74" t="s">
        <v>388</v>
      </c>
      <c r="F20" s="35" t="s">
        <v>115</v>
      </c>
      <c r="G20" s="68" t="s">
        <v>130</v>
      </c>
      <c r="H20" s="28" t="s">
        <v>63</v>
      </c>
      <c r="I20" s="20" t="s">
        <v>228</v>
      </c>
      <c r="J20" s="20"/>
      <c r="K20" s="20"/>
      <c r="L20" s="84">
        <v>46176</v>
      </c>
      <c r="M20" s="70">
        <v>46176</v>
      </c>
    </row>
    <row r="21" spans="1:13">
      <c r="A21" s="28" t="str">
        <f>"5."&amp;D21&amp;"."&amp;B21</f>
        <v>5.Revit.19</v>
      </c>
      <c r="B21" s="110" t="s">
        <v>467</v>
      </c>
      <c r="C21" s="71" t="s">
        <v>12</v>
      </c>
      <c r="D21" s="28" t="s">
        <v>56</v>
      </c>
      <c r="E21" s="101" t="s">
        <v>390</v>
      </c>
      <c r="F21" s="162" t="s">
        <v>115</v>
      </c>
      <c r="G21" s="68" t="s">
        <v>58</v>
      </c>
      <c r="H21" s="28" t="s">
        <v>63</v>
      </c>
      <c r="I21" s="20" t="s">
        <v>228</v>
      </c>
      <c r="J21" s="20"/>
      <c r="K21" s="20"/>
      <c r="L21" s="263">
        <v>46165</v>
      </c>
      <c r="M21" s="145">
        <v>46165</v>
      </c>
    </row>
    <row r="22" spans="1:13">
      <c r="A22" s="28" t="str">
        <f>"5."&amp;D22&amp;"."&amp;B22</f>
        <v>5.Revit.20</v>
      </c>
      <c r="B22" s="110" t="s">
        <v>468</v>
      </c>
      <c r="C22" s="71" t="s">
        <v>12</v>
      </c>
      <c r="D22" s="28" t="s">
        <v>56</v>
      </c>
      <c r="E22" s="101" t="s">
        <v>390</v>
      </c>
      <c r="F22" s="162" t="s">
        <v>115</v>
      </c>
      <c r="G22" s="68" t="s">
        <v>76</v>
      </c>
      <c r="H22" s="28" t="s">
        <v>63</v>
      </c>
      <c r="I22" s="20" t="s">
        <v>228</v>
      </c>
      <c r="J22" s="20"/>
      <c r="K22" s="176"/>
      <c r="L22" s="264"/>
      <c r="M22" s="70"/>
    </row>
    <row r="23" spans="1:13">
      <c r="A23" s="28" t="str">
        <f>"5."&amp;D23&amp;"."&amp;B23</f>
        <v>5.Revit.21</v>
      </c>
      <c r="B23" s="110" t="s">
        <v>469</v>
      </c>
      <c r="C23" s="71" t="s">
        <v>12</v>
      </c>
      <c r="D23" s="28" t="s">
        <v>56</v>
      </c>
      <c r="E23" s="101" t="s">
        <v>390</v>
      </c>
      <c r="F23" s="162" t="s">
        <v>115</v>
      </c>
      <c r="G23" s="68" t="s">
        <v>89</v>
      </c>
      <c r="H23" s="28" t="s">
        <v>63</v>
      </c>
      <c r="I23" s="20" t="s">
        <v>228</v>
      </c>
      <c r="J23" s="20"/>
      <c r="K23" s="176"/>
      <c r="L23" s="264"/>
      <c r="M23" s="70"/>
    </row>
    <row r="24" spans="1:13">
      <c r="A24" s="28" t="str">
        <f>"5."&amp;D24&amp;"."&amp;B24</f>
        <v>5.Revit.22</v>
      </c>
      <c r="B24" s="110" t="s">
        <v>470</v>
      </c>
      <c r="C24" s="71" t="s">
        <v>12</v>
      </c>
      <c r="D24" s="28" t="s">
        <v>56</v>
      </c>
      <c r="E24" s="101" t="s">
        <v>390</v>
      </c>
      <c r="F24" s="162" t="s">
        <v>115</v>
      </c>
      <c r="G24" s="68" t="s">
        <v>102</v>
      </c>
      <c r="H24" s="28" t="s">
        <v>63</v>
      </c>
      <c r="I24" s="20" t="s">
        <v>228</v>
      </c>
      <c r="J24" s="20"/>
      <c r="K24" s="176"/>
      <c r="L24" s="84">
        <v>46175</v>
      </c>
      <c r="M24" s="70">
        <v>46175</v>
      </c>
    </row>
    <row r="25" spans="1:13">
      <c r="A25" s="28" t="str">
        <f>"5."&amp;D25&amp;"."&amp;B25</f>
        <v>5.Revit.23</v>
      </c>
      <c r="B25" s="110" t="s">
        <v>471</v>
      </c>
      <c r="C25" s="71" t="s">
        <v>12</v>
      </c>
      <c r="D25" s="28" t="s">
        <v>56</v>
      </c>
      <c r="E25" s="101" t="s">
        <v>390</v>
      </c>
      <c r="F25" s="162" t="s">
        <v>115</v>
      </c>
      <c r="G25" s="68" t="s">
        <v>121</v>
      </c>
      <c r="H25" s="28" t="s">
        <v>63</v>
      </c>
      <c r="I25" s="20" t="s">
        <v>228</v>
      </c>
      <c r="J25" s="20"/>
      <c r="K25" s="176"/>
      <c r="L25" s="84">
        <v>46175</v>
      </c>
      <c r="M25" s="70">
        <v>46175</v>
      </c>
    </row>
    <row r="26" spans="1:13">
      <c r="A26" s="28" t="str">
        <f>"5."&amp;D26&amp;"."&amp;B26</f>
        <v>5.Revit.24</v>
      </c>
      <c r="B26" s="110" t="s">
        <v>472</v>
      </c>
      <c r="C26" s="71" t="s">
        <v>12</v>
      </c>
      <c r="D26" s="28" t="s">
        <v>56</v>
      </c>
      <c r="E26" s="101" t="s">
        <v>390</v>
      </c>
      <c r="F26" s="162" t="s">
        <v>115</v>
      </c>
      <c r="G26" s="68" t="s">
        <v>130</v>
      </c>
      <c r="H26" s="28" t="s">
        <v>63</v>
      </c>
      <c r="I26" s="20" t="s">
        <v>228</v>
      </c>
      <c r="J26" s="20"/>
      <c r="K26" s="176"/>
      <c r="L26" s="84">
        <v>46176</v>
      </c>
      <c r="M26" s="84">
        <v>46176</v>
      </c>
    </row>
    <row r="27" spans="1:13">
      <c r="A27" s="28" t="str">
        <f>"5."&amp;D27&amp;"."&amp;B27</f>
        <v>5.Web App.25</v>
      </c>
      <c r="B27" s="110" t="s">
        <v>473</v>
      </c>
      <c r="C27" s="71" t="s">
        <v>12</v>
      </c>
      <c r="D27" s="53" t="s">
        <v>391</v>
      </c>
      <c r="E27" s="101" t="s">
        <v>474</v>
      </c>
      <c r="F27" s="162" t="s">
        <v>115</v>
      </c>
      <c r="G27" s="68" t="s">
        <v>130</v>
      </c>
      <c r="H27" s="28" t="s">
        <v>63</v>
      </c>
      <c r="I27" s="20" t="s">
        <v>228</v>
      </c>
      <c r="J27" s="20"/>
      <c r="K27" s="176"/>
      <c r="L27" s="84">
        <v>46176</v>
      </c>
      <c r="M27" s="145">
        <v>46203</v>
      </c>
    </row>
    <row r="28" spans="1:13">
      <c r="A28" s="28" t="str">
        <f>"5."&amp;D28&amp;"."&amp;B28</f>
        <v>5.Revit.26</v>
      </c>
      <c r="B28" s="110" t="s">
        <v>475</v>
      </c>
      <c r="C28" s="71" t="s">
        <v>12</v>
      </c>
      <c r="D28" s="28" t="s">
        <v>56</v>
      </c>
      <c r="E28" s="102" t="s">
        <v>393</v>
      </c>
      <c r="F28" s="35" t="s">
        <v>115</v>
      </c>
      <c r="G28" s="68" t="s">
        <v>58</v>
      </c>
      <c r="H28" s="28" t="s">
        <v>81</v>
      </c>
      <c r="I28" s="20" t="s">
        <v>170</v>
      </c>
      <c r="J28" s="20"/>
      <c r="K28" s="20"/>
      <c r="L28" s="263">
        <v>46162</v>
      </c>
      <c r="M28" s="70">
        <v>46162</v>
      </c>
    </row>
    <row r="29" spans="1:13">
      <c r="A29" s="28" t="str">
        <f>"5."&amp;D29&amp;"."&amp;B29</f>
        <v>5.Revit.27</v>
      </c>
      <c r="B29" s="110" t="s">
        <v>476</v>
      </c>
      <c r="C29" s="71" t="s">
        <v>12</v>
      </c>
      <c r="D29" s="28" t="s">
        <v>56</v>
      </c>
      <c r="E29" s="67" t="s">
        <v>393</v>
      </c>
      <c r="F29" s="35" t="s">
        <v>115</v>
      </c>
      <c r="G29" s="68" t="s">
        <v>76</v>
      </c>
      <c r="H29" s="28" t="s">
        <v>81</v>
      </c>
      <c r="I29" s="20" t="s">
        <v>170</v>
      </c>
      <c r="J29" s="20"/>
      <c r="K29" s="20"/>
      <c r="L29" s="84">
        <v>46162</v>
      </c>
      <c r="M29" s="70">
        <v>46162</v>
      </c>
    </row>
    <row r="30" spans="1:13">
      <c r="A30" s="28" t="str">
        <f>"5."&amp;D30&amp;"."&amp;B30</f>
        <v>5.Revit.28</v>
      </c>
      <c r="B30" s="110" t="s">
        <v>477</v>
      </c>
      <c r="C30" s="71" t="s">
        <v>12</v>
      </c>
      <c r="D30" s="28" t="s">
        <v>56</v>
      </c>
      <c r="E30" s="67" t="s">
        <v>393</v>
      </c>
      <c r="F30" s="35" t="s">
        <v>115</v>
      </c>
      <c r="G30" s="68" t="s">
        <v>89</v>
      </c>
      <c r="H30" s="28" t="s">
        <v>81</v>
      </c>
      <c r="I30" s="20" t="s">
        <v>170</v>
      </c>
      <c r="J30" s="20"/>
      <c r="K30" s="20"/>
      <c r="L30" s="84">
        <v>46163</v>
      </c>
      <c r="M30" s="70">
        <v>46174</v>
      </c>
    </row>
    <row r="31" spans="1:13">
      <c r="A31" s="28" t="str">
        <f>"5."&amp;D31&amp;"."&amp;B31</f>
        <v>5.Revit.29</v>
      </c>
      <c r="B31" s="110" t="s">
        <v>478</v>
      </c>
      <c r="C31" s="71" t="s">
        <v>12</v>
      </c>
      <c r="D31" s="28" t="s">
        <v>56</v>
      </c>
      <c r="E31" s="67" t="s">
        <v>393</v>
      </c>
      <c r="F31" s="35" t="s">
        <v>115</v>
      </c>
      <c r="G31" s="68" t="s">
        <v>102</v>
      </c>
      <c r="H31" s="28" t="s">
        <v>81</v>
      </c>
      <c r="I31" s="20" t="s">
        <v>170</v>
      </c>
      <c r="J31" s="20"/>
      <c r="K31" s="20"/>
      <c r="L31" s="84">
        <v>46174</v>
      </c>
      <c r="M31" s="70">
        <v>46175</v>
      </c>
    </row>
    <row r="32" spans="1:13">
      <c r="A32" s="28" t="str">
        <f>"5."&amp;D32&amp;"."&amp;B32</f>
        <v>5.Revit.30</v>
      </c>
      <c r="B32" s="110" t="s">
        <v>479</v>
      </c>
      <c r="C32" s="71" t="s">
        <v>12</v>
      </c>
      <c r="D32" s="28" t="s">
        <v>56</v>
      </c>
      <c r="E32" s="67" t="s">
        <v>393</v>
      </c>
      <c r="F32" s="35" t="s">
        <v>115</v>
      </c>
      <c r="G32" s="68" t="s">
        <v>113</v>
      </c>
      <c r="H32" s="28" t="s">
        <v>81</v>
      </c>
      <c r="I32" s="20" t="s">
        <v>170</v>
      </c>
      <c r="J32" s="20"/>
      <c r="K32" s="20"/>
      <c r="L32" s="84">
        <v>46175</v>
      </c>
      <c r="M32" s="70">
        <v>46175</v>
      </c>
    </row>
    <row r="33" spans="1:13">
      <c r="A33" s="28" t="str">
        <f>"5."&amp;D33&amp;"."&amp;B33</f>
        <v>5.Revit.31</v>
      </c>
      <c r="B33" s="110" t="s">
        <v>480</v>
      </c>
      <c r="C33" s="71" t="s">
        <v>12</v>
      </c>
      <c r="D33" s="28" t="s">
        <v>56</v>
      </c>
      <c r="E33" s="67" t="s">
        <v>393</v>
      </c>
      <c r="F33" s="35" t="s">
        <v>115</v>
      </c>
      <c r="G33" s="68" t="s">
        <v>121</v>
      </c>
      <c r="H33" s="28" t="s">
        <v>81</v>
      </c>
      <c r="I33" s="20" t="s">
        <v>170</v>
      </c>
      <c r="J33" s="20"/>
      <c r="K33" s="20"/>
      <c r="L33" s="84">
        <v>46175</v>
      </c>
      <c r="M33" s="70">
        <v>46175</v>
      </c>
    </row>
    <row r="34" spans="1:13">
      <c r="A34" s="28" t="str">
        <f>"5."&amp;D34&amp;"."&amp;B34</f>
        <v>5.Revit.32</v>
      </c>
      <c r="B34" s="110" t="s">
        <v>481</v>
      </c>
      <c r="C34" s="71" t="s">
        <v>12</v>
      </c>
      <c r="D34" s="28" t="s">
        <v>56</v>
      </c>
      <c r="E34" s="67" t="s">
        <v>393</v>
      </c>
      <c r="F34" s="35" t="s">
        <v>115</v>
      </c>
      <c r="G34" s="68" t="s">
        <v>130</v>
      </c>
      <c r="H34" s="28" t="s">
        <v>81</v>
      </c>
      <c r="I34" s="20" t="s">
        <v>170</v>
      </c>
      <c r="J34" s="20"/>
      <c r="K34" s="20"/>
      <c r="L34" s="84">
        <v>46175</v>
      </c>
      <c r="M34" s="145">
        <v>46175</v>
      </c>
    </row>
    <row r="35" spans="1:13">
      <c r="A35" s="28" t="str">
        <f>"5."&amp;D35&amp;"."&amp;B35</f>
        <v>5.CAD.33</v>
      </c>
      <c r="B35" s="110" t="s">
        <v>482</v>
      </c>
      <c r="C35" s="71" t="s">
        <v>12</v>
      </c>
      <c r="D35" s="95" t="s">
        <v>394</v>
      </c>
      <c r="E35" s="98" t="s">
        <v>387</v>
      </c>
      <c r="F35" s="35" t="s">
        <v>115</v>
      </c>
      <c r="G35" s="98" t="s">
        <v>58</v>
      </c>
      <c r="H35" s="95" t="s">
        <v>63</v>
      </c>
      <c r="I35" s="99" t="s">
        <v>170</v>
      </c>
      <c r="J35" s="99"/>
      <c r="K35" s="99"/>
      <c r="L35" s="265">
        <v>46168</v>
      </c>
      <c r="M35" s="70">
        <v>46168</v>
      </c>
    </row>
    <row r="36" spans="1:13">
      <c r="A36" s="28" t="str">
        <f>"5."&amp;D36&amp;"."&amp;B36</f>
        <v>5.CAD.34</v>
      </c>
      <c r="B36" s="110" t="s">
        <v>483</v>
      </c>
      <c r="C36" s="71" t="s">
        <v>12</v>
      </c>
      <c r="D36" s="95" t="s">
        <v>394</v>
      </c>
      <c r="E36" s="98" t="s">
        <v>387</v>
      </c>
      <c r="F36" s="35" t="s">
        <v>115</v>
      </c>
      <c r="G36" s="68" t="s">
        <v>76</v>
      </c>
      <c r="H36" s="95" t="s">
        <v>63</v>
      </c>
      <c r="I36" s="99" t="s">
        <v>170</v>
      </c>
      <c r="J36" s="99"/>
      <c r="K36" s="99"/>
      <c r="L36" s="266">
        <v>46168</v>
      </c>
      <c r="M36" s="70">
        <v>46168</v>
      </c>
    </row>
    <row r="37" spans="1:13">
      <c r="A37" s="28" t="str">
        <f>"5."&amp;D37&amp;"."&amp;B37</f>
        <v>5.CAD.35</v>
      </c>
      <c r="B37" s="110" t="s">
        <v>484</v>
      </c>
      <c r="C37" s="71" t="s">
        <v>12</v>
      </c>
      <c r="D37" s="95" t="s">
        <v>394</v>
      </c>
      <c r="E37" s="98" t="s">
        <v>387</v>
      </c>
      <c r="F37" s="35" t="s">
        <v>115</v>
      </c>
      <c r="G37" s="68" t="s">
        <v>89</v>
      </c>
      <c r="H37" s="95" t="s">
        <v>63</v>
      </c>
      <c r="I37" s="99" t="s">
        <v>170</v>
      </c>
      <c r="J37" s="99"/>
      <c r="K37" s="99"/>
      <c r="L37" s="266">
        <v>46169</v>
      </c>
      <c r="M37" s="70">
        <v>46173</v>
      </c>
    </row>
    <row r="38" spans="1:13">
      <c r="A38" s="28" t="str">
        <f>"5."&amp;D38&amp;"."&amp;B38</f>
        <v>5.CAD.36</v>
      </c>
      <c r="B38" s="110" t="s">
        <v>485</v>
      </c>
      <c r="C38" s="71" t="s">
        <v>12</v>
      </c>
      <c r="D38" s="95" t="s">
        <v>394</v>
      </c>
      <c r="E38" s="98" t="s">
        <v>387</v>
      </c>
      <c r="F38" s="35" t="s">
        <v>115</v>
      </c>
      <c r="G38" s="68" t="s">
        <v>102</v>
      </c>
      <c r="H38" s="95" t="s">
        <v>63</v>
      </c>
      <c r="I38" s="99" t="s">
        <v>170</v>
      </c>
      <c r="J38" s="99"/>
      <c r="K38" s="99"/>
      <c r="L38" s="266">
        <v>46174</v>
      </c>
      <c r="M38" s="70">
        <v>46174</v>
      </c>
    </row>
    <row r="39" spans="1:13">
      <c r="A39" s="28" t="str">
        <f>"5."&amp;D39&amp;"."&amp;B39</f>
        <v>5.CAD.37</v>
      </c>
      <c r="B39" s="110" t="s">
        <v>486</v>
      </c>
      <c r="C39" s="71" t="s">
        <v>12</v>
      </c>
      <c r="D39" s="95" t="s">
        <v>394</v>
      </c>
      <c r="E39" s="98" t="s">
        <v>387</v>
      </c>
      <c r="F39" s="35" t="s">
        <v>115</v>
      </c>
      <c r="G39" s="68" t="s">
        <v>113</v>
      </c>
      <c r="H39" s="95" t="s">
        <v>63</v>
      </c>
      <c r="I39" s="99" t="s">
        <v>170</v>
      </c>
      <c r="J39" s="177"/>
      <c r="K39" s="177"/>
      <c r="L39" s="266">
        <v>46174</v>
      </c>
      <c r="M39" s="70">
        <v>46174</v>
      </c>
    </row>
    <row r="40" spans="1:13">
      <c r="A40" s="28" t="str">
        <f>"5."&amp;D40&amp;"."&amp;B40</f>
        <v>5.CAD.38</v>
      </c>
      <c r="B40" s="110" t="s">
        <v>487</v>
      </c>
      <c r="C40" s="71" t="s">
        <v>12</v>
      </c>
      <c r="D40" s="95" t="s">
        <v>394</v>
      </c>
      <c r="E40" s="98" t="s">
        <v>387</v>
      </c>
      <c r="F40" s="35" t="s">
        <v>115</v>
      </c>
      <c r="G40" s="72" t="s">
        <v>121</v>
      </c>
      <c r="H40" s="95" t="s">
        <v>63</v>
      </c>
      <c r="I40" s="103" t="s">
        <v>170</v>
      </c>
      <c r="J40" s="20"/>
      <c r="K40" s="20"/>
      <c r="L40" s="77">
        <v>46174</v>
      </c>
      <c r="M40" s="70">
        <v>46174</v>
      </c>
    </row>
    <row r="41" spans="1:13">
      <c r="A41" s="28" t="str">
        <f>"5."&amp;D41&amp;"."&amp;B41</f>
        <v>5.CAD.39</v>
      </c>
      <c r="B41" s="110" t="s">
        <v>488</v>
      </c>
      <c r="C41" s="71" t="s">
        <v>12</v>
      </c>
      <c r="D41" s="95" t="s">
        <v>394</v>
      </c>
      <c r="E41" s="98" t="s">
        <v>387</v>
      </c>
      <c r="F41" s="163" t="s">
        <v>115</v>
      </c>
      <c r="G41" s="68" t="s">
        <v>130</v>
      </c>
      <c r="H41" s="95" t="s">
        <v>63</v>
      </c>
      <c r="I41" s="103" t="s">
        <v>170</v>
      </c>
      <c r="J41" s="20"/>
      <c r="K41" s="20"/>
      <c r="L41" s="267">
        <v>46174</v>
      </c>
      <c r="M41" s="145">
        <v>46174</v>
      </c>
    </row>
    <row r="42" spans="1:13">
      <c r="A42" s="28" t="str">
        <f>"5."&amp;D42&amp;"."&amp;B42</f>
        <v>5.Didital Twin.40</v>
      </c>
      <c r="B42" s="110" t="s">
        <v>489</v>
      </c>
      <c r="C42" s="71" t="s">
        <v>12</v>
      </c>
      <c r="D42" s="28" t="s">
        <v>490</v>
      </c>
      <c r="E42" s="68" t="s">
        <v>491</v>
      </c>
      <c r="F42" s="35" t="s">
        <v>115</v>
      </c>
      <c r="G42" s="179" t="s">
        <v>58</v>
      </c>
      <c r="H42" s="28" t="s">
        <v>63</v>
      </c>
      <c r="I42" s="25" t="s">
        <v>170</v>
      </c>
      <c r="J42" s="103"/>
      <c r="K42" s="103"/>
      <c r="L42" s="268">
        <v>46153</v>
      </c>
      <c r="M42" s="30">
        <v>46159</v>
      </c>
    </row>
    <row r="43" spans="1:13">
      <c r="A43" s="28" t="str">
        <f>"5."&amp;D43&amp;"."&amp;B43</f>
        <v>5.Didital Twin.41</v>
      </c>
      <c r="B43" s="110" t="s">
        <v>492</v>
      </c>
      <c r="C43" s="28" t="s">
        <v>12</v>
      </c>
      <c r="D43" s="28" t="s">
        <v>490</v>
      </c>
      <c r="E43" s="68" t="s">
        <v>491</v>
      </c>
      <c r="F43" s="35" t="s">
        <v>115</v>
      </c>
      <c r="G43" s="180" t="s">
        <v>76</v>
      </c>
      <c r="H43" s="28" t="s">
        <v>63</v>
      </c>
      <c r="I43" s="25" t="s">
        <v>170</v>
      </c>
      <c r="J43" s="25"/>
      <c r="K43" s="25"/>
      <c r="L43" s="31">
        <v>46160</v>
      </c>
      <c r="M43" s="30">
        <v>46166</v>
      </c>
    </row>
    <row r="44" spans="1:13">
      <c r="A44" s="28" t="str">
        <f>"5."&amp;D44&amp;"."&amp;B44</f>
        <v>5.Didital Twin.42</v>
      </c>
      <c r="B44" s="110" t="s">
        <v>493</v>
      </c>
      <c r="C44" s="28" t="s">
        <v>12</v>
      </c>
      <c r="D44" s="28" t="s">
        <v>490</v>
      </c>
      <c r="E44" s="68" t="s">
        <v>491</v>
      </c>
      <c r="F44" s="35" t="s">
        <v>115</v>
      </c>
      <c r="G44" s="68" t="s">
        <v>89</v>
      </c>
      <c r="H44" s="28" t="s">
        <v>63</v>
      </c>
      <c r="I44" s="25" t="s">
        <v>170</v>
      </c>
      <c r="J44" s="25"/>
      <c r="K44" s="25"/>
      <c r="L44" s="31">
        <v>46167</v>
      </c>
      <c r="M44" s="30">
        <v>46201</v>
      </c>
    </row>
    <row r="45" spans="1:13">
      <c r="A45" s="28" t="str">
        <f>"5."&amp;D45&amp;"."&amp;B45</f>
        <v>5.Didital Twin.43</v>
      </c>
      <c r="B45" s="110" t="s">
        <v>494</v>
      </c>
      <c r="C45" s="28" t="s">
        <v>12</v>
      </c>
      <c r="D45" s="28" t="s">
        <v>490</v>
      </c>
      <c r="E45" s="68" t="s">
        <v>491</v>
      </c>
      <c r="F45" s="35" t="s">
        <v>115</v>
      </c>
      <c r="G45" s="68" t="s">
        <v>102</v>
      </c>
      <c r="H45" s="28" t="s">
        <v>63</v>
      </c>
      <c r="I45" s="25" t="s">
        <v>170</v>
      </c>
      <c r="J45" s="25"/>
      <c r="K45" s="25"/>
      <c r="L45" s="31">
        <v>46202</v>
      </c>
      <c r="M45" s="30">
        <v>46206</v>
      </c>
    </row>
    <row r="46" spans="1:13">
      <c r="A46" s="28" t="str">
        <f>"5."&amp;D46&amp;"."&amp;B46</f>
        <v>5.Didital Twin.44</v>
      </c>
      <c r="B46" s="110" t="s">
        <v>495</v>
      </c>
      <c r="C46" s="28" t="s">
        <v>12</v>
      </c>
      <c r="D46" s="28" t="s">
        <v>490</v>
      </c>
      <c r="E46" s="68" t="s">
        <v>491</v>
      </c>
      <c r="F46" s="35" t="s">
        <v>115</v>
      </c>
      <c r="G46" s="68" t="s">
        <v>113</v>
      </c>
      <c r="H46" s="28" t="s">
        <v>63</v>
      </c>
      <c r="I46" s="25" t="s">
        <v>170</v>
      </c>
      <c r="J46" s="25"/>
      <c r="K46" s="25"/>
      <c r="L46" s="31">
        <v>46207</v>
      </c>
      <c r="M46" s="30">
        <v>46210</v>
      </c>
    </row>
    <row r="47" spans="1:13">
      <c r="A47" s="28" t="str">
        <f>"5."&amp;D47&amp;"."&amp;B47</f>
        <v>5.Didital Twin.45</v>
      </c>
      <c r="B47" s="110" t="s">
        <v>496</v>
      </c>
      <c r="C47" s="28" t="s">
        <v>12</v>
      </c>
      <c r="D47" s="28" t="s">
        <v>490</v>
      </c>
      <c r="E47" s="68" t="s">
        <v>491</v>
      </c>
      <c r="F47" s="35" t="s">
        <v>115</v>
      </c>
      <c r="G47" s="72" t="s">
        <v>121</v>
      </c>
      <c r="H47" s="28" t="s">
        <v>63</v>
      </c>
      <c r="I47" s="25" t="s">
        <v>170</v>
      </c>
      <c r="J47" s="25"/>
      <c r="K47" s="25"/>
      <c r="L47" s="31">
        <v>46211</v>
      </c>
      <c r="M47" s="30">
        <v>46212</v>
      </c>
    </row>
    <row r="48" spans="1:13">
      <c r="A48" s="28" t="str">
        <f>"5."&amp;D48&amp;"."&amp;B48</f>
        <v>5.Didital Twin.46</v>
      </c>
      <c r="B48" s="110" t="s">
        <v>497</v>
      </c>
      <c r="C48" s="28" t="s">
        <v>12</v>
      </c>
      <c r="D48" s="28" t="s">
        <v>490</v>
      </c>
      <c r="E48" s="68" t="s">
        <v>491</v>
      </c>
      <c r="F48" s="55" t="s">
        <v>115</v>
      </c>
      <c r="G48" s="68" t="s">
        <v>130</v>
      </c>
      <c r="H48" s="100" t="s">
        <v>63</v>
      </c>
      <c r="I48" s="25" t="s">
        <v>170</v>
      </c>
      <c r="J48" s="25"/>
      <c r="K48" s="25"/>
      <c r="L48" s="31">
        <v>46213</v>
      </c>
      <c r="M48" s="178">
        <v>46214</v>
      </c>
    </row>
    <row r="49" spans="1:13">
      <c r="A49" s="33" t="s">
        <v>498</v>
      </c>
      <c r="B49" s="110" t="s">
        <v>499</v>
      </c>
      <c r="C49" s="142" t="s">
        <v>12</v>
      </c>
      <c r="D49" s="141" t="s">
        <v>490</v>
      </c>
      <c r="E49" s="201" t="s">
        <v>500</v>
      </c>
      <c r="F49" s="141" t="s">
        <v>115</v>
      </c>
      <c r="G49" s="202" t="s">
        <v>58</v>
      </c>
      <c r="H49" s="141" t="s">
        <v>63</v>
      </c>
      <c r="I49" s="203" t="s">
        <v>170</v>
      </c>
      <c r="J49" s="204" t="s">
        <v>501</v>
      </c>
      <c r="K49" s="204" t="s">
        <v>501</v>
      </c>
      <c r="L49" s="269">
        <v>46216</v>
      </c>
      <c r="M49" s="205">
        <v>46218</v>
      </c>
    </row>
    <row r="50" spans="1:13">
      <c r="A50" s="206" t="s">
        <v>502</v>
      </c>
      <c r="B50" s="110" t="s">
        <v>503</v>
      </c>
      <c r="C50" s="142" t="s">
        <v>12</v>
      </c>
      <c r="D50" s="207" t="s">
        <v>490</v>
      </c>
      <c r="E50" s="202" t="s">
        <v>500</v>
      </c>
      <c r="F50" s="207" t="s">
        <v>115</v>
      </c>
      <c r="G50" s="202" t="s">
        <v>76</v>
      </c>
      <c r="H50" s="207" t="s">
        <v>63</v>
      </c>
      <c r="I50" s="208" t="s">
        <v>170</v>
      </c>
      <c r="J50" s="204" t="s">
        <v>501</v>
      </c>
      <c r="K50" s="204" t="s">
        <v>501</v>
      </c>
      <c r="L50" s="270">
        <v>46219</v>
      </c>
      <c r="M50" s="205">
        <v>46221</v>
      </c>
    </row>
    <row r="51" spans="1:13">
      <c r="A51" s="206" t="s">
        <v>504</v>
      </c>
      <c r="B51" s="110" t="s">
        <v>505</v>
      </c>
      <c r="C51" s="142" t="s">
        <v>12</v>
      </c>
      <c r="D51" s="207" t="s">
        <v>490</v>
      </c>
      <c r="E51" s="202" t="s">
        <v>500</v>
      </c>
      <c r="F51" s="207" t="s">
        <v>115</v>
      </c>
      <c r="G51" s="202" t="s">
        <v>89</v>
      </c>
      <c r="H51" s="207" t="s">
        <v>63</v>
      </c>
      <c r="I51" s="208" t="s">
        <v>170</v>
      </c>
      <c r="J51" s="204" t="s">
        <v>501</v>
      </c>
      <c r="K51" s="204" t="s">
        <v>501</v>
      </c>
      <c r="L51" s="270">
        <v>46223</v>
      </c>
      <c r="M51" s="205">
        <v>46244</v>
      </c>
    </row>
    <row r="52" spans="1:13">
      <c r="A52" s="206" t="s">
        <v>506</v>
      </c>
      <c r="B52" s="110" t="s">
        <v>507</v>
      </c>
      <c r="C52" s="142" t="s">
        <v>12</v>
      </c>
      <c r="D52" s="207" t="s">
        <v>490</v>
      </c>
      <c r="E52" s="202" t="s">
        <v>500</v>
      </c>
      <c r="F52" s="207" t="s">
        <v>115</v>
      </c>
      <c r="G52" s="202" t="s">
        <v>102</v>
      </c>
      <c r="H52" s="207" t="s">
        <v>63</v>
      </c>
      <c r="I52" s="208" t="s">
        <v>170</v>
      </c>
      <c r="J52" s="204" t="s">
        <v>501</v>
      </c>
      <c r="K52" s="204" t="s">
        <v>501</v>
      </c>
      <c r="L52" s="270">
        <v>46245</v>
      </c>
      <c r="M52" s="205">
        <v>46247</v>
      </c>
    </row>
    <row r="53" spans="1:13">
      <c r="A53" s="206" t="s">
        <v>508</v>
      </c>
      <c r="B53" s="110" t="s">
        <v>509</v>
      </c>
      <c r="C53" s="142" t="s">
        <v>12</v>
      </c>
      <c r="D53" s="207" t="s">
        <v>490</v>
      </c>
      <c r="E53" s="202" t="s">
        <v>500</v>
      </c>
      <c r="F53" s="207" t="s">
        <v>115</v>
      </c>
      <c r="G53" s="202" t="s">
        <v>113</v>
      </c>
      <c r="H53" s="207" t="s">
        <v>63</v>
      </c>
      <c r="I53" s="208" t="s">
        <v>170</v>
      </c>
      <c r="J53" s="204" t="s">
        <v>501</v>
      </c>
      <c r="K53" s="204" t="s">
        <v>501</v>
      </c>
      <c r="L53" s="270">
        <v>46248</v>
      </c>
      <c r="M53" s="205">
        <v>46249</v>
      </c>
    </row>
    <row r="54" spans="1:13">
      <c r="A54" s="206" t="s">
        <v>510</v>
      </c>
      <c r="B54" s="110" t="s">
        <v>511</v>
      </c>
      <c r="C54" s="142" t="s">
        <v>12</v>
      </c>
      <c r="D54" s="207" t="s">
        <v>490</v>
      </c>
      <c r="E54" s="202" t="s">
        <v>500</v>
      </c>
      <c r="F54" s="207" t="s">
        <v>115</v>
      </c>
      <c r="G54" s="202" t="s">
        <v>121</v>
      </c>
      <c r="H54" s="207" t="s">
        <v>63</v>
      </c>
      <c r="I54" s="208" t="s">
        <v>170</v>
      </c>
      <c r="J54" s="204" t="s">
        <v>501</v>
      </c>
      <c r="K54" s="204" t="s">
        <v>501</v>
      </c>
      <c r="L54" s="270">
        <v>46251</v>
      </c>
      <c r="M54" s="205">
        <v>46251</v>
      </c>
    </row>
    <row r="55" spans="1:13">
      <c r="A55" s="206" t="s">
        <v>512</v>
      </c>
      <c r="B55" s="110" t="s">
        <v>513</v>
      </c>
      <c r="C55" s="142" t="s">
        <v>12</v>
      </c>
      <c r="D55" s="207" t="s">
        <v>490</v>
      </c>
      <c r="E55" s="202" t="s">
        <v>500</v>
      </c>
      <c r="F55" s="207" t="s">
        <v>115</v>
      </c>
      <c r="G55" s="202" t="s">
        <v>130</v>
      </c>
      <c r="H55" s="207" t="s">
        <v>63</v>
      </c>
      <c r="I55" s="208" t="s">
        <v>170</v>
      </c>
      <c r="J55" s="204" t="s">
        <v>501</v>
      </c>
      <c r="K55" s="204" t="s">
        <v>501</v>
      </c>
      <c r="L55" s="270">
        <v>46252</v>
      </c>
      <c r="M55" s="205">
        <v>46252</v>
      </c>
    </row>
    <row r="56" spans="1:13">
      <c r="A56" s="206" t="s">
        <v>514</v>
      </c>
      <c r="B56" s="110" t="s">
        <v>515</v>
      </c>
      <c r="C56" s="142" t="s">
        <v>12</v>
      </c>
      <c r="D56" s="207" t="s">
        <v>490</v>
      </c>
      <c r="E56" s="202" t="s">
        <v>516</v>
      </c>
      <c r="F56" s="207" t="s">
        <v>115</v>
      </c>
      <c r="G56" s="202" t="s">
        <v>58</v>
      </c>
      <c r="H56" s="207" t="s">
        <v>63</v>
      </c>
      <c r="I56" s="208" t="s">
        <v>170</v>
      </c>
      <c r="J56" s="204" t="s">
        <v>501</v>
      </c>
      <c r="K56" s="204" t="s">
        <v>501</v>
      </c>
      <c r="L56" s="270">
        <v>46253</v>
      </c>
      <c r="M56" s="205">
        <v>46255</v>
      </c>
    </row>
    <row r="57" spans="1:13">
      <c r="A57" s="206" t="s">
        <v>517</v>
      </c>
      <c r="B57" s="110" t="s">
        <v>518</v>
      </c>
      <c r="C57" s="142" t="s">
        <v>12</v>
      </c>
      <c r="D57" s="207" t="s">
        <v>490</v>
      </c>
      <c r="E57" s="202" t="s">
        <v>516</v>
      </c>
      <c r="F57" s="207" t="s">
        <v>115</v>
      </c>
      <c r="G57" s="202" t="s">
        <v>76</v>
      </c>
      <c r="H57" s="207" t="s">
        <v>63</v>
      </c>
      <c r="I57" s="208" t="s">
        <v>170</v>
      </c>
      <c r="J57" s="204" t="s">
        <v>501</v>
      </c>
      <c r="K57" s="204" t="s">
        <v>501</v>
      </c>
      <c r="L57" s="270">
        <v>46256</v>
      </c>
      <c r="M57" s="205">
        <v>46259</v>
      </c>
    </row>
    <row r="58" spans="1:13">
      <c r="A58" s="206" t="s">
        <v>519</v>
      </c>
      <c r="B58" s="110" t="s">
        <v>520</v>
      </c>
      <c r="C58" s="142" t="s">
        <v>12</v>
      </c>
      <c r="D58" s="207" t="s">
        <v>490</v>
      </c>
      <c r="E58" s="202" t="s">
        <v>516</v>
      </c>
      <c r="F58" s="207" t="s">
        <v>115</v>
      </c>
      <c r="G58" s="202" t="s">
        <v>89</v>
      </c>
      <c r="H58" s="207" t="s">
        <v>63</v>
      </c>
      <c r="I58" s="208" t="s">
        <v>170</v>
      </c>
      <c r="J58" s="204" t="s">
        <v>501</v>
      </c>
      <c r="K58" s="204" t="s">
        <v>501</v>
      </c>
      <c r="L58" s="270">
        <v>46260</v>
      </c>
      <c r="M58" s="205">
        <v>46281</v>
      </c>
    </row>
    <row r="59" spans="1:13">
      <c r="A59" s="206" t="s">
        <v>521</v>
      </c>
      <c r="B59" s="110" t="s">
        <v>522</v>
      </c>
      <c r="C59" s="142" t="s">
        <v>12</v>
      </c>
      <c r="D59" s="207" t="s">
        <v>490</v>
      </c>
      <c r="E59" s="202" t="s">
        <v>516</v>
      </c>
      <c r="F59" s="207" t="s">
        <v>115</v>
      </c>
      <c r="G59" s="202" t="s">
        <v>102</v>
      </c>
      <c r="H59" s="207" t="s">
        <v>63</v>
      </c>
      <c r="I59" s="208" t="s">
        <v>170</v>
      </c>
      <c r="J59" s="204" t="s">
        <v>501</v>
      </c>
      <c r="K59" s="204" t="s">
        <v>501</v>
      </c>
      <c r="L59" s="270">
        <v>46282</v>
      </c>
      <c r="M59" s="205">
        <v>46284</v>
      </c>
    </row>
    <row r="60" spans="1:13">
      <c r="A60" s="206" t="s">
        <v>523</v>
      </c>
      <c r="B60" s="110" t="s">
        <v>524</v>
      </c>
      <c r="C60" s="142" t="s">
        <v>12</v>
      </c>
      <c r="D60" s="207" t="s">
        <v>490</v>
      </c>
      <c r="E60" s="202" t="s">
        <v>516</v>
      </c>
      <c r="F60" s="207" t="s">
        <v>115</v>
      </c>
      <c r="G60" s="202" t="s">
        <v>113</v>
      </c>
      <c r="H60" s="207" t="s">
        <v>63</v>
      </c>
      <c r="I60" s="208" t="s">
        <v>170</v>
      </c>
      <c r="J60" s="204" t="s">
        <v>501</v>
      </c>
      <c r="K60" s="204" t="s">
        <v>501</v>
      </c>
      <c r="L60" s="270">
        <v>46286</v>
      </c>
      <c r="M60" s="205">
        <v>46287</v>
      </c>
    </row>
    <row r="61" spans="1:13">
      <c r="A61" s="206" t="s">
        <v>525</v>
      </c>
      <c r="B61" s="110" t="s">
        <v>526</v>
      </c>
      <c r="C61" s="142" t="s">
        <v>12</v>
      </c>
      <c r="D61" s="207" t="s">
        <v>490</v>
      </c>
      <c r="E61" s="202" t="s">
        <v>516</v>
      </c>
      <c r="F61" s="207" t="s">
        <v>115</v>
      </c>
      <c r="G61" s="202" t="s">
        <v>121</v>
      </c>
      <c r="H61" s="207" t="s">
        <v>63</v>
      </c>
      <c r="I61" s="208" t="s">
        <v>170</v>
      </c>
      <c r="J61" s="204" t="s">
        <v>501</v>
      </c>
      <c r="K61" s="204" t="s">
        <v>501</v>
      </c>
      <c r="L61" s="270">
        <v>46288</v>
      </c>
      <c r="M61" s="205">
        <v>46288</v>
      </c>
    </row>
    <row r="62" spans="1:13">
      <c r="A62" s="206" t="s">
        <v>527</v>
      </c>
      <c r="B62" s="110" t="s">
        <v>528</v>
      </c>
      <c r="C62" s="142" t="s">
        <v>12</v>
      </c>
      <c r="D62" s="207" t="s">
        <v>490</v>
      </c>
      <c r="E62" s="202" t="s">
        <v>516</v>
      </c>
      <c r="F62" s="207" t="s">
        <v>115</v>
      </c>
      <c r="G62" s="202" t="s">
        <v>130</v>
      </c>
      <c r="H62" s="207" t="s">
        <v>63</v>
      </c>
      <c r="I62" s="208" t="s">
        <v>170</v>
      </c>
      <c r="J62" s="204" t="s">
        <v>501</v>
      </c>
      <c r="K62" s="204" t="s">
        <v>501</v>
      </c>
      <c r="L62" s="270">
        <v>46289</v>
      </c>
      <c r="M62" s="205">
        <v>46289</v>
      </c>
    </row>
    <row r="63" spans="1:13">
      <c r="A63" s="206" t="s">
        <v>529</v>
      </c>
      <c r="B63" s="110" t="s">
        <v>530</v>
      </c>
      <c r="C63" s="142" t="s">
        <v>12</v>
      </c>
      <c r="D63" s="207" t="s">
        <v>490</v>
      </c>
      <c r="E63" s="202" t="s">
        <v>531</v>
      </c>
      <c r="F63" s="207" t="s">
        <v>115</v>
      </c>
      <c r="G63" s="202" t="s">
        <v>58</v>
      </c>
      <c r="H63" s="207" t="s">
        <v>63</v>
      </c>
      <c r="I63" s="208" t="s">
        <v>170</v>
      </c>
      <c r="J63" s="204" t="s">
        <v>501</v>
      </c>
      <c r="K63" s="204" t="s">
        <v>501</v>
      </c>
      <c r="L63" s="270">
        <v>46290</v>
      </c>
      <c r="M63" s="205">
        <v>46293</v>
      </c>
    </row>
    <row r="64" spans="1:13">
      <c r="A64" s="206" t="s">
        <v>532</v>
      </c>
      <c r="B64" s="110" t="s">
        <v>533</v>
      </c>
      <c r="C64" s="142" t="s">
        <v>12</v>
      </c>
      <c r="D64" s="207" t="s">
        <v>490</v>
      </c>
      <c r="E64" s="202" t="s">
        <v>531</v>
      </c>
      <c r="F64" s="207" t="s">
        <v>115</v>
      </c>
      <c r="G64" s="202" t="s">
        <v>76</v>
      </c>
      <c r="H64" s="207" t="s">
        <v>63</v>
      </c>
      <c r="I64" s="208" t="s">
        <v>170</v>
      </c>
      <c r="J64" s="204" t="s">
        <v>501</v>
      </c>
      <c r="K64" s="204" t="s">
        <v>501</v>
      </c>
      <c r="L64" s="270">
        <v>46294</v>
      </c>
      <c r="M64" s="205">
        <v>46296</v>
      </c>
    </row>
    <row r="65" spans="1:13">
      <c r="A65" s="209" t="s">
        <v>534</v>
      </c>
      <c r="B65" s="110" t="s">
        <v>535</v>
      </c>
      <c r="C65" s="142" t="s">
        <v>12</v>
      </c>
      <c r="D65" s="210" t="s">
        <v>490</v>
      </c>
      <c r="E65" s="211" t="s">
        <v>531</v>
      </c>
      <c r="F65" s="210" t="s">
        <v>115</v>
      </c>
      <c r="G65" s="211" t="s">
        <v>89</v>
      </c>
      <c r="H65" s="210" t="s">
        <v>63</v>
      </c>
      <c r="I65" s="212" t="s">
        <v>170</v>
      </c>
      <c r="J65" s="213" t="s">
        <v>501</v>
      </c>
      <c r="K65" s="213" t="s">
        <v>501</v>
      </c>
      <c r="L65" s="271">
        <v>46297</v>
      </c>
      <c r="M65" s="205">
        <v>46318</v>
      </c>
    </row>
    <row r="66" spans="1:13">
      <c r="A66" s="214" t="s">
        <v>536</v>
      </c>
      <c r="B66" s="110" t="s">
        <v>537</v>
      </c>
      <c r="C66" s="215" t="s">
        <v>12</v>
      </c>
      <c r="D66" s="215" t="s">
        <v>490</v>
      </c>
      <c r="E66" s="216" t="s">
        <v>531</v>
      </c>
      <c r="F66" s="215" t="s">
        <v>115</v>
      </c>
      <c r="G66" s="216" t="s">
        <v>102</v>
      </c>
      <c r="H66" s="215" t="s">
        <v>63</v>
      </c>
      <c r="I66" s="215" t="s">
        <v>170</v>
      </c>
      <c r="J66" s="215" t="s">
        <v>501</v>
      </c>
      <c r="K66" s="215" t="s">
        <v>501</v>
      </c>
      <c r="L66" s="272">
        <v>46319</v>
      </c>
      <c r="M66" s="205">
        <v>46322</v>
      </c>
    </row>
    <row r="67" spans="1:13">
      <c r="A67" s="217" t="s">
        <v>538</v>
      </c>
      <c r="B67" s="110" t="s">
        <v>539</v>
      </c>
      <c r="C67" s="218" t="s">
        <v>12</v>
      </c>
      <c r="D67" s="218" t="s">
        <v>490</v>
      </c>
      <c r="E67" s="219" t="s">
        <v>531</v>
      </c>
      <c r="F67" s="218" t="s">
        <v>115</v>
      </c>
      <c r="G67" s="219" t="s">
        <v>113</v>
      </c>
      <c r="H67" s="218" t="s">
        <v>63</v>
      </c>
      <c r="I67" s="218" t="s">
        <v>170</v>
      </c>
      <c r="J67" s="218" t="s">
        <v>501</v>
      </c>
      <c r="K67" s="218" t="s">
        <v>501</v>
      </c>
      <c r="L67" s="273">
        <v>46323</v>
      </c>
      <c r="M67" s="205">
        <v>46324</v>
      </c>
    </row>
    <row r="68" spans="1:13">
      <c r="A68" s="217" t="s">
        <v>540</v>
      </c>
      <c r="B68" s="110" t="s">
        <v>541</v>
      </c>
      <c r="C68" s="218" t="s">
        <v>12</v>
      </c>
      <c r="D68" s="218" t="s">
        <v>490</v>
      </c>
      <c r="E68" s="219" t="s">
        <v>531</v>
      </c>
      <c r="F68" s="218" t="s">
        <v>115</v>
      </c>
      <c r="G68" s="219" t="s">
        <v>121</v>
      </c>
      <c r="H68" s="218" t="s">
        <v>63</v>
      </c>
      <c r="I68" s="218" t="s">
        <v>170</v>
      </c>
      <c r="J68" s="218" t="s">
        <v>501</v>
      </c>
      <c r="K68" s="218" t="s">
        <v>501</v>
      </c>
      <c r="L68" s="273">
        <v>46325</v>
      </c>
      <c r="M68" s="205">
        <v>46325</v>
      </c>
    </row>
    <row r="69" spans="1:13">
      <c r="A69" s="217" t="s">
        <v>542</v>
      </c>
      <c r="B69" s="110" t="s">
        <v>543</v>
      </c>
      <c r="C69" s="218" t="s">
        <v>12</v>
      </c>
      <c r="D69" s="218" t="s">
        <v>490</v>
      </c>
      <c r="E69" s="219" t="s">
        <v>531</v>
      </c>
      <c r="F69" s="218" t="s">
        <v>115</v>
      </c>
      <c r="G69" s="219" t="s">
        <v>130</v>
      </c>
      <c r="H69" s="218" t="s">
        <v>63</v>
      </c>
      <c r="I69" s="218" t="s">
        <v>170</v>
      </c>
      <c r="J69" s="218" t="s">
        <v>501</v>
      </c>
      <c r="K69" s="218" t="s">
        <v>501</v>
      </c>
      <c r="L69" s="273">
        <v>46326</v>
      </c>
      <c r="M69" s="205">
        <v>46326</v>
      </c>
    </row>
    <row r="70" spans="1:13">
      <c r="A70" s="28"/>
      <c r="B70" s="225"/>
      <c r="C70" s="28"/>
      <c r="D70" s="28"/>
      <c r="E70" s="68"/>
      <c r="F70" s="55"/>
      <c r="G70" s="68"/>
      <c r="H70" s="100"/>
      <c r="I70" s="25"/>
      <c r="J70" s="25"/>
      <c r="K70" s="25"/>
      <c r="L70" s="31"/>
      <c r="M70" s="30"/>
    </row>
    <row r="71" spans="1:13">
      <c r="A71" s="28"/>
      <c r="B71" s="110"/>
      <c r="C71" s="28"/>
      <c r="D71" s="28"/>
      <c r="E71" s="68"/>
      <c r="F71" s="55"/>
      <c r="G71" s="68"/>
      <c r="H71" s="100"/>
      <c r="I71" s="25"/>
      <c r="J71" s="25"/>
      <c r="K71" s="25"/>
      <c r="L71" s="31"/>
      <c r="M71" s="30"/>
    </row>
    <row r="72" spans="1:13">
      <c r="A72" s="28"/>
      <c r="B72" s="110"/>
      <c r="C72" s="28"/>
      <c r="D72" s="28"/>
      <c r="E72" s="68"/>
      <c r="F72" s="55"/>
      <c r="G72" s="68"/>
      <c r="H72" s="100"/>
      <c r="I72" s="25"/>
      <c r="J72" s="25"/>
      <c r="K72" s="25"/>
      <c r="L72" s="30"/>
      <c r="M72" s="274"/>
    </row>
    <row r="73" spans="1:13">
      <c r="A73" s="28"/>
      <c r="B73" s="110"/>
      <c r="C73" s="28"/>
      <c r="D73" s="28"/>
      <c r="E73" s="68"/>
      <c r="F73" s="55"/>
      <c r="G73" s="68"/>
      <c r="H73" s="100"/>
      <c r="I73" s="25"/>
      <c r="J73" s="25"/>
      <c r="K73" s="25"/>
      <c r="L73" s="30"/>
      <c r="M73" s="30"/>
    </row>
    <row r="74" spans="1:13">
      <c r="A74" s="28"/>
      <c r="B74" s="110"/>
      <c r="C74" s="28"/>
      <c r="D74" s="28"/>
      <c r="E74" s="68"/>
      <c r="F74" s="55"/>
      <c r="G74" s="68"/>
      <c r="H74" s="100"/>
      <c r="I74" s="25"/>
      <c r="J74" s="25"/>
      <c r="K74" s="25"/>
      <c r="L74" s="30"/>
      <c r="M74" s="30"/>
    </row>
    <row r="75" spans="1:13">
      <c r="A75" s="28"/>
      <c r="B75" s="110"/>
      <c r="C75" s="28"/>
      <c r="D75" s="28"/>
      <c r="E75" s="68"/>
      <c r="F75" s="55"/>
      <c r="G75" s="68"/>
      <c r="H75" s="100"/>
      <c r="I75" s="25"/>
      <c r="J75" s="25"/>
      <c r="K75" s="25"/>
      <c r="L75" s="30"/>
      <c r="M75" s="30"/>
    </row>
    <row r="76" spans="1:13">
      <c r="A76" s="28"/>
      <c r="B76" s="110"/>
      <c r="C76" s="28"/>
      <c r="D76" s="28"/>
      <c r="E76" s="68"/>
      <c r="F76" s="55"/>
      <c r="G76" s="68"/>
      <c r="H76" s="100"/>
      <c r="I76" s="25"/>
      <c r="J76" s="25"/>
      <c r="K76" s="25"/>
      <c r="L76" s="30"/>
      <c r="M76" s="30"/>
    </row>
    <row r="77" spans="1:13">
      <c r="A77" s="28"/>
      <c r="B77" s="110"/>
      <c r="C77" s="28"/>
      <c r="D77" s="28"/>
      <c r="E77" s="68"/>
      <c r="F77" s="55"/>
      <c r="G77" s="68"/>
      <c r="H77" s="100"/>
      <c r="I77" s="25"/>
      <c r="J77" s="25"/>
      <c r="K77" s="25"/>
      <c r="L77" s="30"/>
      <c r="M77" s="30"/>
    </row>
    <row r="78" spans="1:13">
      <c r="A78" s="28"/>
      <c r="B78" s="110"/>
      <c r="C78" s="28"/>
      <c r="D78" s="28"/>
      <c r="E78" s="68"/>
      <c r="F78" s="55"/>
      <c r="G78" s="68"/>
      <c r="H78" s="100"/>
      <c r="I78" s="25"/>
      <c r="J78" s="25"/>
      <c r="K78" s="25"/>
      <c r="L78" s="30"/>
      <c r="M78" s="30"/>
    </row>
    <row r="79" spans="1:13">
      <c r="A79" s="28"/>
      <c r="B79" s="110"/>
      <c r="C79" s="28"/>
      <c r="D79" s="28"/>
      <c r="E79" s="68"/>
      <c r="F79" s="55"/>
      <c r="G79" s="68"/>
      <c r="H79" s="100"/>
      <c r="I79" s="25"/>
      <c r="J79" s="25"/>
      <c r="K79" s="25"/>
      <c r="L79" s="30"/>
      <c r="M79" s="30"/>
    </row>
    <row r="80" spans="1:13">
      <c r="A80" s="28"/>
      <c r="B80" s="110"/>
      <c r="C80" s="28"/>
      <c r="D80" s="28"/>
      <c r="E80" s="68"/>
      <c r="F80" s="55"/>
      <c r="G80" s="68"/>
      <c r="H80" s="100"/>
      <c r="I80" s="25"/>
      <c r="J80" s="25"/>
      <c r="K80" s="25"/>
      <c r="L80" s="30"/>
      <c r="M80" s="30"/>
    </row>
    <row r="81" spans="1:13">
      <c r="A81" s="28"/>
      <c r="B81" s="110"/>
      <c r="C81" s="28"/>
      <c r="D81" s="28"/>
      <c r="E81" s="68"/>
      <c r="F81" s="55"/>
      <c r="G81" s="68"/>
      <c r="H81" s="100"/>
      <c r="I81" s="25"/>
      <c r="J81" s="25"/>
      <c r="K81" s="25"/>
      <c r="L81" s="30"/>
      <c r="M81" s="30"/>
    </row>
    <row r="82" spans="1:13">
      <c r="A82" s="28"/>
      <c r="B82" s="110"/>
      <c r="C82" s="28"/>
      <c r="D82" s="28"/>
      <c r="E82" s="68"/>
      <c r="F82" s="55"/>
      <c r="G82" s="68"/>
      <c r="H82" s="100"/>
      <c r="I82" s="25"/>
      <c r="J82" s="25"/>
      <c r="K82" s="25"/>
      <c r="L82" s="30"/>
      <c r="M82" s="30"/>
    </row>
    <row r="83" spans="1:13">
      <c r="A83" s="28"/>
      <c r="B83" s="110"/>
      <c r="C83" s="28"/>
      <c r="D83" s="28"/>
      <c r="E83" s="68"/>
      <c r="F83" s="55"/>
      <c r="G83" s="68"/>
      <c r="H83" s="100"/>
      <c r="I83" s="25"/>
      <c r="J83" s="25"/>
      <c r="K83" s="25"/>
      <c r="L83" s="30"/>
      <c r="M83" s="30"/>
    </row>
    <row r="84" spans="1:13">
      <c r="A84" s="28"/>
      <c r="B84" s="110"/>
      <c r="C84" s="28"/>
      <c r="D84" s="28"/>
      <c r="E84" s="68"/>
      <c r="F84" s="55"/>
      <c r="G84" s="68"/>
      <c r="H84" s="100"/>
      <c r="I84" s="25"/>
      <c r="J84" s="25"/>
      <c r="K84" s="25"/>
      <c r="L84" s="30"/>
      <c r="M84" s="30"/>
    </row>
    <row r="85" spans="1:13">
      <c r="A85" s="28"/>
      <c r="B85" s="110"/>
      <c r="C85" s="28"/>
      <c r="D85" s="71"/>
      <c r="E85" s="72"/>
      <c r="F85" s="163"/>
      <c r="G85" s="72"/>
      <c r="H85" s="139"/>
      <c r="I85" s="143"/>
      <c r="J85" s="143"/>
      <c r="K85" s="143"/>
      <c r="L85" s="144"/>
      <c r="M85" s="144"/>
    </row>
    <row r="86" spans="1:13">
      <c r="A86" s="28"/>
      <c r="B86" s="110"/>
      <c r="C86" s="28"/>
      <c r="D86" s="71"/>
      <c r="E86" s="72"/>
      <c r="F86" s="163"/>
      <c r="G86" s="72"/>
      <c r="H86" s="139"/>
      <c r="I86" s="143"/>
      <c r="J86" s="143"/>
      <c r="K86" s="143"/>
      <c r="L86" s="144"/>
      <c r="M86" s="144"/>
    </row>
    <row r="87" spans="1:13">
      <c r="A87" s="28"/>
      <c r="B87" s="110"/>
      <c r="C87" s="28"/>
      <c r="D87" s="71"/>
      <c r="E87" s="72"/>
      <c r="F87" s="163"/>
      <c r="G87" s="72"/>
      <c r="H87" s="139"/>
      <c r="I87" s="143"/>
      <c r="J87" s="143"/>
      <c r="K87" s="143"/>
      <c r="L87" s="144"/>
      <c r="M87" s="144"/>
    </row>
    <row r="88" spans="1:13">
      <c r="A88" s="28"/>
      <c r="B88" s="110"/>
      <c r="C88" s="28"/>
      <c r="D88" s="71"/>
      <c r="E88" s="72"/>
      <c r="F88" s="163"/>
      <c r="G88" s="72"/>
      <c r="H88" s="139"/>
      <c r="I88" s="143"/>
      <c r="J88" s="143"/>
      <c r="K88" s="143"/>
      <c r="L88" s="144"/>
      <c r="M88" s="144"/>
    </row>
    <row r="89" spans="1:13">
      <c r="A89" s="28"/>
      <c r="B89" s="110"/>
      <c r="C89" s="28"/>
      <c r="D89" s="71"/>
      <c r="E89" s="72"/>
      <c r="F89" s="163"/>
      <c r="G89" s="72"/>
      <c r="H89" s="139"/>
      <c r="I89" s="143"/>
      <c r="J89" s="143"/>
      <c r="K89" s="143"/>
      <c r="L89" s="144"/>
      <c r="M89" s="144"/>
    </row>
    <row r="90" spans="1:13">
      <c r="A90" s="28"/>
      <c r="B90" s="110"/>
      <c r="C90" s="28"/>
      <c r="D90" s="71"/>
      <c r="E90" s="72"/>
      <c r="F90" s="163"/>
      <c r="G90" s="72"/>
      <c r="H90" s="139"/>
      <c r="I90" s="143"/>
      <c r="J90" s="143"/>
      <c r="K90" s="143"/>
      <c r="L90" s="144"/>
      <c r="M90" s="144"/>
    </row>
    <row r="91" spans="1:13">
      <c r="A91" s="28"/>
      <c r="B91" s="110"/>
      <c r="C91" s="53"/>
      <c r="D91" s="71"/>
      <c r="E91" s="72"/>
      <c r="F91" s="163"/>
      <c r="G91" s="72"/>
      <c r="H91" s="139"/>
      <c r="I91" s="143"/>
      <c r="J91" s="143"/>
      <c r="K91" s="143"/>
      <c r="L91" s="144"/>
      <c r="M91" s="144"/>
    </row>
    <row r="92" spans="1:13">
      <c r="A92" s="28"/>
      <c r="B92" s="110"/>
      <c r="C92" s="53"/>
      <c r="D92" s="71"/>
      <c r="E92" s="72"/>
      <c r="F92" s="163"/>
      <c r="G92" s="72"/>
      <c r="H92" s="139"/>
      <c r="I92" s="143"/>
      <c r="J92" s="143"/>
      <c r="K92" s="143"/>
      <c r="L92" s="144"/>
      <c r="M92" s="144"/>
    </row>
    <row r="93" spans="1:13">
      <c r="A93" s="28"/>
      <c r="B93" s="110"/>
      <c r="C93" s="53"/>
      <c r="D93" s="71"/>
      <c r="E93" s="72"/>
      <c r="F93" s="163"/>
      <c r="G93" s="72"/>
      <c r="H93" s="139"/>
      <c r="I93" s="143"/>
      <c r="J93" s="143"/>
      <c r="K93" s="143"/>
      <c r="L93" s="144"/>
      <c r="M93" s="144"/>
    </row>
    <row r="94" spans="1:13">
      <c r="A94" s="28"/>
      <c r="B94" s="110"/>
      <c r="C94" s="53"/>
      <c r="D94" s="71"/>
      <c r="E94" s="72"/>
      <c r="F94" s="163"/>
      <c r="G94" s="72"/>
      <c r="H94" s="139"/>
      <c r="I94" s="143"/>
      <c r="J94" s="143"/>
      <c r="K94" s="143"/>
      <c r="L94" s="144"/>
      <c r="M94" s="144"/>
    </row>
    <row r="95" spans="1:13">
      <c r="A95" s="28"/>
      <c r="B95" s="110"/>
      <c r="C95" s="53"/>
      <c r="D95" s="71"/>
      <c r="E95" s="72"/>
      <c r="F95" s="163"/>
      <c r="G95" s="72"/>
      <c r="H95" s="139"/>
      <c r="I95" s="143"/>
      <c r="J95" s="143"/>
      <c r="K95" s="143"/>
      <c r="L95" s="144"/>
      <c r="M95" s="144"/>
    </row>
    <row r="96" spans="1:13">
      <c r="A96" s="28"/>
      <c r="B96" s="110"/>
      <c r="C96" s="53"/>
      <c r="D96" s="71"/>
      <c r="E96" s="72"/>
      <c r="F96" s="163"/>
      <c r="G96" s="72"/>
      <c r="H96" s="139"/>
      <c r="I96" s="143"/>
      <c r="J96" s="143"/>
      <c r="K96" s="143"/>
      <c r="L96" s="144"/>
      <c r="M96" s="144"/>
    </row>
    <row r="97" spans="1:13">
      <c r="A97" s="28"/>
      <c r="B97" s="110"/>
      <c r="C97" s="53"/>
      <c r="D97" s="28"/>
      <c r="E97" s="68"/>
      <c r="F97" s="35"/>
      <c r="G97" s="68"/>
      <c r="H97" s="28"/>
      <c r="I97" s="20"/>
      <c r="J97" s="20"/>
      <c r="K97" s="20"/>
      <c r="L97" s="70"/>
      <c r="M97" s="70"/>
    </row>
  </sheetData>
  <dataValidations count="1">
    <dataValidation allowBlank="1" showInputMessage="1" showErrorMessage="1" sqref="D1 D70:D1048576 A2:XFD2 D3:D48" xr:uid="{F3675570-6029-4A0B-B569-F1F63CC8F417}"/>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9E398984-BDB4-4421-B9D5-283D40E2669A}">
          <x14:formula1>
            <xm:f>Data!$V$4:$V$33</xm:f>
          </x14:formula1>
          <xm:sqref>F1 F3:F48 F70:F1048576</xm:sqref>
        </x14:dataValidation>
        <x14:dataValidation type="list" allowBlank="1" showInputMessage="1" showErrorMessage="1" xr:uid="{B4F7252A-7942-4842-B703-583BAB929D73}">
          <x14:formula1>
            <xm:f>Data!$X$4:$X$33</xm:f>
          </x14:formula1>
          <xm:sqref>H1 H3:H48 H70:H1048576</xm:sqref>
        </x14:dataValidation>
        <x14:dataValidation type="list" allowBlank="1" showInputMessage="1" showErrorMessage="1" xr:uid="{5A11C4F2-A3E5-4A47-B685-85A223779983}">
          <x14:formula1>
            <xm:f>Data!$Y$4:$Y$33</xm:f>
          </x14:formula1>
          <xm:sqref>I1:K1 I3:K48 I70:K1048576</xm:sqref>
        </x14:dataValidation>
        <x14:dataValidation type="list" allowBlank="1" showInputMessage="1" showErrorMessage="1" xr:uid="{19BAB2C2-BB18-4E1A-A59D-F809BF8FDD03}">
          <x14:formula1>
            <xm:f>Data!$O$4:$O$33</xm:f>
          </x14:formula1>
          <xm:sqref>G1 G3:G48 G70:G1048576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58090-BBF1-4B7D-9B87-F5DDB00C91A1}">
  <dimension ref="A1:N17"/>
  <sheetViews>
    <sheetView zoomScale="115" zoomScaleNormal="115" workbookViewId="0">
      <pane ySplit="2" topLeftCell="B3" activePane="bottomLeft" state="frozen"/>
      <selection pane="bottomLeft" activeCell="G25" sqref="G25"/>
    </sheetView>
  </sheetViews>
  <sheetFormatPr defaultRowHeight="15"/>
  <cols>
    <col min="1" max="1" width="23.28515625" style="12" customWidth="1"/>
    <col min="2" max="2" width="6.85546875" style="12" bestFit="1" customWidth="1"/>
    <col min="3" max="3" width="20.28515625" style="12" bestFit="1" customWidth="1"/>
    <col min="4" max="4" width="17.85546875" style="12" customWidth="1"/>
    <col min="5" max="5" width="26.140625" style="12" customWidth="1"/>
    <col min="6" max="6" width="9.140625" style="12" customWidth="1"/>
    <col min="7" max="7" width="34.140625" style="12" bestFit="1" customWidth="1"/>
    <col min="8" max="8" width="15.28515625" style="12" bestFit="1" customWidth="1"/>
    <col min="9" max="9" width="18" style="76" bestFit="1" customWidth="1"/>
    <col min="10" max="12" width="12.42578125" style="77" customWidth="1"/>
    <col min="13" max="14" width="12.42578125" style="12" customWidth="1"/>
    <col min="15" max="16382" width="9.140625" style="12" customWidth="1"/>
    <col min="16383" max="16384" width="9.140625" style="12"/>
  </cols>
  <sheetData>
    <row r="1" spans="1:14">
      <c r="A1" s="49"/>
      <c r="B1" s="49"/>
      <c r="C1" s="78" t="s">
        <v>544</v>
      </c>
      <c r="D1" s="78"/>
      <c r="E1" s="78"/>
      <c r="F1" s="78"/>
      <c r="G1" s="78"/>
      <c r="H1" s="78"/>
      <c r="I1" s="79"/>
      <c r="J1" s="80"/>
      <c r="K1" s="80"/>
      <c r="L1" s="80"/>
      <c r="M1" s="65"/>
      <c r="N1" s="65"/>
    </row>
    <row r="2" spans="1:14" s="2" customFormat="1" ht="30" customHeight="1">
      <c r="A2" s="17" t="s">
        <v>396</v>
      </c>
      <c r="B2" s="17" t="s">
        <v>397</v>
      </c>
      <c r="C2" s="59" t="s">
        <v>398</v>
      </c>
      <c r="D2" s="3" t="s">
        <v>40</v>
      </c>
      <c r="E2" s="3" t="s">
        <v>41</v>
      </c>
      <c r="F2" s="3" t="s">
        <v>399</v>
      </c>
      <c r="G2" s="3" t="s">
        <v>42</v>
      </c>
      <c r="H2" s="3" t="s">
        <v>46</v>
      </c>
      <c r="I2" s="41" t="s">
        <v>545</v>
      </c>
      <c r="J2" s="45" t="s">
        <v>403</v>
      </c>
      <c r="K2" s="58" t="s">
        <v>404</v>
      </c>
      <c r="L2" s="107" t="s">
        <v>546</v>
      </c>
      <c r="M2" s="17" t="s">
        <v>547</v>
      </c>
      <c r="N2" s="61" t="s">
        <v>548</v>
      </c>
    </row>
    <row r="3" spans="1:14">
      <c r="A3" s="28" t="str">
        <f>"6."&amp;D3&amp;"."&amp;B3</f>
        <v>6.DuAn.LoaiHinh.001</v>
      </c>
      <c r="B3" s="110" t="s">
        <v>405</v>
      </c>
      <c r="C3" s="81" t="s">
        <v>13</v>
      </c>
      <c r="D3" s="82" t="s">
        <v>549</v>
      </c>
      <c r="E3" s="82" t="s">
        <v>550</v>
      </c>
      <c r="F3" s="82" t="s">
        <v>115</v>
      </c>
      <c r="G3" s="82" t="s">
        <v>59</v>
      </c>
      <c r="H3" s="83" t="s">
        <v>63</v>
      </c>
      <c r="I3" s="23" t="s">
        <v>223</v>
      </c>
      <c r="J3" s="70"/>
      <c r="K3" s="84"/>
      <c r="L3" s="70"/>
      <c r="M3" s="28"/>
      <c r="N3" s="28"/>
    </row>
    <row r="4" spans="1:14">
      <c r="A4" s="28" t="str">
        <f>"6."&amp;D4&amp;"."&amp;B4</f>
        <v>6..002</v>
      </c>
      <c r="B4" s="110" t="s">
        <v>406</v>
      </c>
      <c r="C4" s="81" t="s">
        <v>13</v>
      </c>
      <c r="D4" s="82"/>
      <c r="E4" s="82" t="s">
        <v>551</v>
      </c>
      <c r="F4" s="82" t="s">
        <v>115</v>
      </c>
      <c r="G4" s="82"/>
      <c r="H4" s="85" t="s">
        <v>81</v>
      </c>
      <c r="I4" s="23" t="s">
        <v>223</v>
      </c>
      <c r="J4" s="70"/>
      <c r="K4" s="84"/>
      <c r="L4" s="70"/>
      <c r="M4" s="28"/>
      <c r="N4" s="28"/>
    </row>
    <row r="5" spans="1:14">
      <c r="A5" s="28" t="str">
        <f>"6."&amp;D5&amp;"."&amp;B5</f>
        <v>6..003</v>
      </c>
      <c r="B5" s="110" t="s">
        <v>407</v>
      </c>
      <c r="C5" s="81" t="s">
        <v>13</v>
      </c>
      <c r="D5" s="82"/>
      <c r="E5" s="82" t="s">
        <v>552</v>
      </c>
      <c r="F5" s="82" t="s">
        <v>115</v>
      </c>
      <c r="G5" s="82"/>
      <c r="H5" s="86" t="s">
        <v>94</v>
      </c>
      <c r="I5" s="23" t="s">
        <v>223</v>
      </c>
      <c r="J5" s="70"/>
      <c r="K5" s="84"/>
      <c r="L5" s="70"/>
      <c r="M5" s="28"/>
      <c r="N5" s="28"/>
    </row>
    <row r="6" spans="1:14">
      <c r="A6" s="28" t="str">
        <f>"6."&amp;D6&amp;"."&amp;B6</f>
        <v>6..004</v>
      </c>
      <c r="B6" s="110" t="s">
        <v>408</v>
      </c>
      <c r="C6" s="81" t="s">
        <v>13</v>
      </c>
      <c r="D6" s="82"/>
      <c r="E6" s="82" t="s">
        <v>553</v>
      </c>
      <c r="F6" s="82" t="s">
        <v>115</v>
      </c>
      <c r="G6" s="82"/>
      <c r="H6" s="82"/>
      <c r="I6" s="23" t="s">
        <v>223</v>
      </c>
      <c r="J6" s="70"/>
      <c r="K6" s="84"/>
      <c r="L6" s="70"/>
      <c r="M6" s="28"/>
      <c r="N6" s="28"/>
    </row>
    <row r="7" spans="1:14">
      <c r="A7" s="28" t="str">
        <f>"6."&amp;D7&amp;"."&amp;B7</f>
        <v>6..005</v>
      </c>
      <c r="B7" s="110" t="s">
        <v>409</v>
      </c>
      <c r="C7" s="81" t="s">
        <v>13</v>
      </c>
      <c r="D7" s="82"/>
      <c r="E7" s="82" t="s">
        <v>554</v>
      </c>
      <c r="F7" s="82" t="s">
        <v>115</v>
      </c>
      <c r="G7" s="82"/>
      <c r="H7" s="83"/>
      <c r="I7" s="23" t="s">
        <v>223</v>
      </c>
      <c r="J7" s="70"/>
      <c r="K7" s="84"/>
      <c r="L7" s="70"/>
      <c r="M7" s="28"/>
      <c r="N7" s="28"/>
    </row>
    <row r="8" spans="1:14">
      <c r="A8" s="28" t="str">
        <f>"6."&amp;D8&amp;"."&amp;B8</f>
        <v>6..006</v>
      </c>
      <c r="B8" s="110" t="s">
        <v>410</v>
      </c>
      <c r="C8" s="81" t="s">
        <v>13</v>
      </c>
      <c r="D8" s="82"/>
      <c r="E8" s="82" t="s">
        <v>555</v>
      </c>
      <c r="F8" s="82" t="s">
        <v>115</v>
      </c>
      <c r="G8" s="82"/>
      <c r="H8" s="16"/>
      <c r="I8" s="23" t="s">
        <v>223</v>
      </c>
      <c r="J8" s="70"/>
      <c r="K8" s="84"/>
      <c r="L8" s="70"/>
      <c r="M8" s="28"/>
      <c r="N8" s="28"/>
    </row>
    <row r="9" spans="1:14">
      <c r="A9" s="28" t="str">
        <f>"6."&amp;D9&amp;"."&amp;B9</f>
        <v>6..007</v>
      </c>
      <c r="B9" s="110" t="s">
        <v>411</v>
      </c>
      <c r="C9" s="81" t="s">
        <v>13</v>
      </c>
      <c r="D9" s="82"/>
      <c r="E9" s="82" t="s">
        <v>556</v>
      </c>
      <c r="F9" s="82" t="s">
        <v>115</v>
      </c>
      <c r="G9" s="82"/>
      <c r="H9" s="16"/>
      <c r="I9" s="23" t="s">
        <v>223</v>
      </c>
      <c r="J9" s="70"/>
      <c r="K9" s="84"/>
      <c r="L9" s="70"/>
      <c r="M9" s="28"/>
      <c r="N9" s="28"/>
    </row>
    <row r="10" spans="1:14">
      <c r="A10" s="28" t="str">
        <f>"6."&amp;D10&amp;"."&amp;B10</f>
        <v>6..008</v>
      </c>
      <c r="B10" s="110" t="s">
        <v>412</v>
      </c>
      <c r="C10" s="81" t="s">
        <v>13</v>
      </c>
      <c r="D10" s="82"/>
      <c r="E10" s="82" t="s">
        <v>557</v>
      </c>
      <c r="F10" s="82" t="s">
        <v>115</v>
      </c>
      <c r="G10" s="82"/>
      <c r="H10" s="16"/>
      <c r="I10" s="23" t="s">
        <v>223</v>
      </c>
      <c r="J10" s="70"/>
      <c r="K10" s="84"/>
      <c r="L10" s="70"/>
      <c r="M10" s="28"/>
      <c r="N10" s="28"/>
    </row>
    <row r="11" spans="1:14">
      <c r="A11" s="28" t="str">
        <f>"6."&amp;D11&amp;"."&amp;B11</f>
        <v>6..009</v>
      </c>
      <c r="B11" s="110" t="s">
        <v>413</v>
      </c>
      <c r="C11" s="81" t="s">
        <v>13</v>
      </c>
      <c r="D11" s="82"/>
      <c r="E11" s="82" t="s">
        <v>558</v>
      </c>
      <c r="F11" s="82" t="s">
        <v>115</v>
      </c>
      <c r="G11" s="82"/>
      <c r="H11" s="16"/>
      <c r="I11" s="23" t="s">
        <v>223</v>
      </c>
      <c r="J11" s="70"/>
      <c r="K11" s="84"/>
      <c r="L11" s="70"/>
      <c r="M11" s="28"/>
      <c r="N11" s="28"/>
    </row>
    <row r="12" spans="1:14">
      <c r="A12" s="28" t="str">
        <f>"6."&amp;D12&amp;"."&amp;B12</f>
        <v>6..010</v>
      </c>
      <c r="B12" s="110" t="s">
        <v>414</v>
      </c>
      <c r="C12" s="81" t="s">
        <v>13</v>
      </c>
      <c r="D12" s="82"/>
      <c r="E12" s="82" t="s">
        <v>559</v>
      </c>
      <c r="F12" s="82" t="s">
        <v>115</v>
      </c>
      <c r="G12" s="16"/>
      <c r="H12" s="16"/>
      <c r="I12" s="23" t="s">
        <v>223</v>
      </c>
      <c r="J12" s="70"/>
      <c r="K12" s="84"/>
      <c r="L12" s="70"/>
      <c r="M12" s="28"/>
      <c r="N12" s="28"/>
    </row>
    <row r="13" spans="1:14">
      <c r="A13" s="28" t="str">
        <f>"6."&amp;D13&amp;"."&amp;B13</f>
        <v>6..011</v>
      </c>
      <c r="B13" s="110" t="s">
        <v>415</v>
      </c>
      <c r="C13" s="81" t="s">
        <v>13</v>
      </c>
      <c r="D13" s="82"/>
      <c r="E13" s="82" t="s">
        <v>560</v>
      </c>
      <c r="F13" s="82" t="s">
        <v>115</v>
      </c>
      <c r="G13" s="16"/>
      <c r="H13" s="16"/>
      <c r="I13" s="23" t="s">
        <v>223</v>
      </c>
      <c r="J13" s="70"/>
      <c r="K13" s="84"/>
      <c r="L13" s="70"/>
      <c r="M13" s="28"/>
      <c r="N13" s="28"/>
    </row>
    <row r="14" spans="1:14">
      <c r="A14" s="28" t="str">
        <f>"6."&amp;D14&amp;"."&amp;B14</f>
        <v>6..012</v>
      </c>
      <c r="B14" s="110" t="s">
        <v>416</v>
      </c>
      <c r="C14" s="81" t="s">
        <v>13</v>
      </c>
      <c r="D14" s="82"/>
      <c r="E14" s="82" t="s">
        <v>561</v>
      </c>
      <c r="F14" s="82" t="s">
        <v>115</v>
      </c>
      <c r="G14" s="16"/>
      <c r="H14" s="16"/>
      <c r="I14" s="23" t="s">
        <v>223</v>
      </c>
      <c r="J14" s="70"/>
      <c r="K14" s="84"/>
      <c r="L14" s="70"/>
      <c r="M14" s="28"/>
      <c r="N14" s="28"/>
    </row>
    <row r="15" spans="1:14">
      <c r="A15" s="28" t="str">
        <f>"6."&amp;D15&amp;"."&amp;B15</f>
        <v>6..013</v>
      </c>
      <c r="B15" s="110" t="s">
        <v>417</v>
      </c>
      <c r="C15" s="81" t="s">
        <v>13</v>
      </c>
      <c r="D15" s="82"/>
      <c r="E15" s="82" t="s">
        <v>562</v>
      </c>
      <c r="F15" s="82" t="s">
        <v>115</v>
      </c>
      <c r="G15" s="6"/>
      <c r="H15" s="6"/>
      <c r="I15" s="23" t="s">
        <v>223</v>
      </c>
      <c r="J15" s="70"/>
      <c r="K15" s="84"/>
      <c r="L15" s="70"/>
      <c r="M15" s="28"/>
      <c r="N15" s="28"/>
    </row>
    <row r="16" spans="1:14">
      <c r="A16" s="28" t="str">
        <f>"6."&amp;D16&amp;"."&amp;B16</f>
        <v>6..014</v>
      </c>
      <c r="B16" s="110" t="s">
        <v>418</v>
      </c>
      <c r="C16" s="81" t="s">
        <v>13</v>
      </c>
      <c r="D16" s="82"/>
      <c r="E16" s="82" t="s">
        <v>563</v>
      </c>
      <c r="F16" s="82" t="s">
        <v>115</v>
      </c>
      <c r="G16" s="16"/>
      <c r="H16" s="16"/>
      <c r="I16" s="23" t="s">
        <v>223</v>
      </c>
      <c r="J16" s="70"/>
      <c r="K16" s="84"/>
      <c r="L16" s="70"/>
      <c r="M16" s="28"/>
      <c r="N16" s="28"/>
    </row>
    <row r="17" spans="1:14">
      <c r="A17" s="28" t="str">
        <f>"6."&amp;D17&amp;"."&amp;B17</f>
        <v>6..015</v>
      </c>
      <c r="B17" s="110" t="s">
        <v>419</v>
      </c>
      <c r="C17" s="81" t="s">
        <v>13</v>
      </c>
      <c r="D17" s="82"/>
      <c r="E17" s="82" t="s">
        <v>564</v>
      </c>
      <c r="F17" s="82" t="s">
        <v>115</v>
      </c>
      <c r="G17" s="16"/>
      <c r="H17" s="16"/>
      <c r="I17" s="23" t="s">
        <v>223</v>
      </c>
      <c r="J17" s="70"/>
      <c r="K17" s="84"/>
      <c r="L17" s="70"/>
      <c r="M17" s="28"/>
      <c r="N17" s="28"/>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2922DD43-3A49-48B9-8CAD-76C5679AC0C3}">
          <x14:formula1>
            <xm:f>Data!$V$4:$V$33</xm:f>
          </x14:formula1>
          <xm:sqref>F1:F1048576</xm:sqref>
        </x14:dataValidation>
        <x14:dataValidation type="list" allowBlank="1" showInputMessage="1" showErrorMessage="1" xr:uid="{7CB8C359-3203-4409-ABF2-BDDEF1149B27}">
          <x14:formula1>
            <xm:f>Data!$R$4:$R$33</xm:f>
          </x14:formula1>
          <xm:sqref>G1:G1048576</xm:sqref>
        </x14:dataValidation>
        <x14:dataValidation type="list" allowBlank="1" showInputMessage="1" showErrorMessage="1" xr:uid="{7D0CB9D7-2CC8-429F-907C-1F221FC82AC0}">
          <x14:formula1>
            <xm:f>Data!$X$4:$X$33</xm:f>
          </x14:formula1>
          <xm:sqref>H1:H1048576</xm:sqref>
        </x14:dataValidation>
        <x14:dataValidation type="list" allowBlank="1" showInputMessage="1" showErrorMessage="1" xr:uid="{E53B26EE-F914-4433-ADBE-8C4A71BCB5CA}">
          <x14:formula1>
            <xm:f>Data!$Y$4:$Y$33</xm:f>
          </x14:formula1>
          <xm:sqref>I1:I1048576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A0FA-CA4F-40AA-9A54-94B52F4D86CE}">
  <dimension ref="A1:I39"/>
  <sheetViews>
    <sheetView workbookViewId="0">
      <selection activeCell="F4" sqref="F4"/>
    </sheetView>
  </sheetViews>
  <sheetFormatPr defaultRowHeight="15" customHeight="1"/>
  <cols>
    <col min="1" max="1" width="8.5703125" style="10" customWidth="1"/>
    <col min="2" max="2" width="20" customWidth="1"/>
    <col min="3" max="3" width="33.85546875" customWidth="1"/>
    <col min="4" max="4" width="33.7109375" style="9" customWidth="1"/>
    <col min="5" max="5" width="20.85546875" style="7" customWidth="1"/>
  </cols>
  <sheetData>
    <row r="1" spans="1:9" s="12" customFormat="1" ht="19.899999999999999" customHeight="1">
      <c r="A1" s="288" t="s">
        <v>565</v>
      </c>
      <c r="B1" s="288"/>
      <c r="C1" s="288"/>
      <c r="D1" s="288"/>
      <c r="E1" s="289"/>
      <c r="F1" s="28"/>
      <c r="G1" s="28"/>
      <c r="H1" s="28"/>
      <c r="I1" s="28"/>
    </row>
    <row r="2" spans="1:9">
      <c r="A2" s="3" t="s">
        <v>566</v>
      </c>
      <c r="B2" s="3" t="s">
        <v>2</v>
      </c>
      <c r="C2" s="3" t="s">
        <v>567</v>
      </c>
      <c r="D2" s="3" t="s">
        <v>568</v>
      </c>
      <c r="E2" s="13" t="s">
        <v>569</v>
      </c>
      <c r="F2" s="18"/>
      <c r="G2" s="18"/>
      <c r="H2" s="18"/>
      <c r="I2" s="18"/>
    </row>
    <row r="3" spans="1:9">
      <c r="A3" s="287" t="s">
        <v>570</v>
      </c>
      <c r="B3" s="287" t="s">
        <v>8</v>
      </c>
      <c r="C3" s="4" t="s">
        <v>48</v>
      </c>
      <c r="D3" s="8" t="s">
        <v>571</v>
      </c>
      <c r="E3" s="296" t="s">
        <v>52</v>
      </c>
      <c r="F3" s="18"/>
      <c r="G3" s="18"/>
      <c r="H3" s="18"/>
      <c r="I3" s="18"/>
    </row>
    <row r="4" spans="1:9">
      <c r="A4" s="287"/>
      <c r="B4" s="287"/>
      <c r="C4" s="4" t="s">
        <v>572</v>
      </c>
      <c r="D4" s="8"/>
      <c r="E4" s="296"/>
      <c r="F4" s="18"/>
      <c r="G4" s="18"/>
      <c r="H4" s="18"/>
      <c r="I4" s="18"/>
    </row>
    <row r="5" spans="1:9">
      <c r="A5" s="290" t="s">
        <v>573</v>
      </c>
      <c r="B5" s="290" t="s">
        <v>9</v>
      </c>
      <c r="C5" s="4" t="s">
        <v>50</v>
      </c>
      <c r="D5" s="8"/>
      <c r="E5" s="293" t="s">
        <v>52</v>
      </c>
      <c r="F5" s="18"/>
      <c r="G5" s="18"/>
      <c r="H5" s="18"/>
      <c r="I5" s="18"/>
    </row>
    <row r="6" spans="1:9">
      <c r="A6" s="291"/>
      <c r="B6" s="291"/>
      <c r="C6" s="4" t="s">
        <v>67</v>
      </c>
      <c r="D6" s="8"/>
      <c r="E6" s="294"/>
      <c r="F6" s="18"/>
      <c r="G6" s="18"/>
      <c r="H6" s="18"/>
      <c r="I6" s="18"/>
    </row>
    <row r="7" spans="1:9">
      <c r="A7" s="291"/>
      <c r="B7" s="291"/>
      <c r="C7" s="4" t="s">
        <v>107</v>
      </c>
      <c r="D7" s="8"/>
      <c r="E7" s="294"/>
      <c r="F7" s="18"/>
      <c r="G7" s="18"/>
      <c r="H7" s="18"/>
      <c r="I7" s="18"/>
    </row>
    <row r="8" spans="1:9">
      <c r="A8" s="291"/>
      <c r="B8" s="291"/>
      <c r="C8" s="4" t="s">
        <v>574</v>
      </c>
      <c r="D8" s="8"/>
      <c r="E8" s="294"/>
      <c r="F8" s="18"/>
      <c r="G8" s="18"/>
      <c r="H8" s="18"/>
      <c r="I8" s="18"/>
    </row>
    <row r="9" spans="1:9">
      <c r="A9" s="292"/>
      <c r="B9" s="292"/>
      <c r="C9" s="4" t="s">
        <v>143</v>
      </c>
      <c r="D9" s="8"/>
      <c r="E9" s="295"/>
      <c r="F9" s="18"/>
      <c r="G9" s="18"/>
      <c r="H9" s="18"/>
      <c r="I9" s="18"/>
    </row>
    <row r="10" spans="1:9">
      <c r="A10" s="297" t="s">
        <v>575</v>
      </c>
      <c r="B10" s="287" t="s">
        <v>10</v>
      </c>
      <c r="C10" s="4" t="s">
        <v>54</v>
      </c>
      <c r="D10" s="297" t="s">
        <v>576</v>
      </c>
      <c r="E10" s="14" t="s">
        <v>577</v>
      </c>
      <c r="F10" s="18"/>
      <c r="G10" s="18"/>
      <c r="H10" s="18"/>
      <c r="I10" s="18"/>
    </row>
    <row r="11" spans="1:9">
      <c r="A11" s="297"/>
      <c r="B11" s="287"/>
      <c r="C11" s="4" t="s">
        <v>73</v>
      </c>
      <c r="D11" s="297"/>
      <c r="E11" s="14" t="s">
        <v>52</v>
      </c>
      <c r="F11" s="18"/>
      <c r="G11" s="18"/>
      <c r="H11" s="18"/>
      <c r="I11" s="18"/>
    </row>
    <row r="12" spans="1:9">
      <c r="A12" s="297"/>
      <c r="B12" s="287"/>
      <c r="C12" s="4" t="s">
        <v>86</v>
      </c>
      <c r="D12" s="297"/>
      <c r="E12" s="14" t="s">
        <v>577</v>
      </c>
      <c r="F12" s="18"/>
      <c r="G12" s="18"/>
      <c r="H12" s="18"/>
      <c r="I12" s="18"/>
    </row>
    <row r="13" spans="1:9">
      <c r="A13" s="297"/>
      <c r="B13" s="287"/>
      <c r="C13" s="4" t="s">
        <v>100</v>
      </c>
      <c r="D13" s="297"/>
      <c r="E13" s="14" t="s">
        <v>52</v>
      </c>
      <c r="F13" s="18"/>
      <c r="G13" s="18"/>
      <c r="H13" s="18"/>
      <c r="I13" s="18"/>
    </row>
    <row r="14" spans="1:9">
      <c r="A14" s="297"/>
      <c r="B14" s="287"/>
      <c r="C14" s="4" t="s">
        <v>111</v>
      </c>
      <c r="D14" s="297"/>
      <c r="E14" s="14" t="s">
        <v>578</v>
      </c>
      <c r="F14" s="18"/>
      <c r="G14" s="18"/>
      <c r="H14" s="18"/>
      <c r="I14" s="18"/>
    </row>
    <row r="15" spans="1:9">
      <c r="A15" s="297"/>
      <c r="B15" s="287"/>
      <c r="C15" s="1" t="s">
        <v>18</v>
      </c>
      <c r="D15" s="297"/>
      <c r="E15" s="14" t="s">
        <v>578</v>
      </c>
      <c r="F15" s="18"/>
      <c r="G15" s="18"/>
      <c r="H15" s="18"/>
      <c r="I15" s="18"/>
    </row>
    <row r="16" spans="1:9">
      <c r="A16" s="297"/>
      <c r="B16" s="287"/>
      <c r="C16" s="1" t="s">
        <v>128</v>
      </c>
      <c r="D16" s="297"/>
      <c r="E16" s="14" t="s">
        <v>578</v>
      </c>
      <c r="F16" s="18"/>
      <c r="G16" s="18"/>
      <c r="H16" s="18"/>
      <c r="I16" s="18"/>
    </row>
    <row r="17" spans="1:9">
      <c r="A17" s="297"/>
      <c r="B17" s="287"/>
      <c r="C17" s="1" t="s">
        <v>22</v>
      </c>
      <c r="D17" s="297"/>
      <c r="E17" s="14" t="s">
        <v>578</v>
      </c>
      <c r="F17" s="18"/>
      <c r="G17" s="18"/>
      <c r="H17" s="18"/>
      <c r="I17" s="18"/>
    </row>
    <row r="18" spans="1:9">
      <c r="A18" s="297"/>
      <c r="B18" s="287"/>
      <c r="C18" s="1" t="s">
        <v>23</v>
      </c>
      <c r="D18" s="297"/>
      <c r="E18" s="14" t="s">
        <v>578</v>
      </c>
      <c r="F18" s="18"/>
      <c r="G18" s="18"/>
      <c r="H18" s="18"/>
      <c r="I18" s="18"/>
    </row>
    <row r="19" spans="1:9">
      <c r="A19" s="297"/>
      <c r="B19" s="287"/>
      <c r="C19" s="1" t="s">
        <v>152</v>
      </c>
      <c r="D19" s="297"/>
      <c r="E19" s="14" t="s">
        <v>578</v>
      </c>
      <c r="F19" s="18"/>
      <c r="G19" s="18"/>
      <c r="H19" s="18"/>
      <c r="I19" s="18"/>
    </row>
    <row r="20" spans="1:9">
      <c r="A20" s="297"/>
      <c r="B20" s="287"/>
      <c r="C20" s="1" t="s">
        <v>24</v>
      </c>
      <c r="D20" s="297"/>
      <c r="E20" s="14" t="s">
        <v>579</v>
      </c>
      <c r="F20" s="18"/>
      <c r="G20" s="18"/>
      <c r="H20" s="18"/>
      <c r="I20" s="18"/>
    </row>
    <row r="21" spans="1:9">
      <c r="A21" s="297"/>
      <c r="B21" s="287"/>
      <c r="C21" s="1" t="s">
        <v>25</v>
      </c>
      <c r="D21" s="297"/>
      <c r="E21" s="14" t="s">
        <v>579</v>
      </c>
      <c r="F21" s="18"/>
      <c r="G21" s="18"/>
      <c r="H21" s="18"/>
      <c r="I21" s="18"/>
    </row>
    <row r="22" spans="1:9">
      <c r="A22" s="297"/>
      <c r="B22" s="287"/>
      <c r="C22" s="6" t="s">
        <v>580</v>
      </c>
      <c r="D22" s="297"/>
      <c r="E22" s="14" t="s">
        <v>578</v>
      </c>
      <c r="F22" s="18"/>
      <c r="G22" s="18"/>
      <c r="H22" s="18"/>
      <c r="I22" s="18"/>
    </row>
    <row r="23" spans="1:9">
      <c r="A23" s="297"/>
      <c r="B23" s="287"/>
      <c r="C23" s="1" t="s">
        <v>27</v>
      </c>
      <c r="D23" s="297"/>
      <c r="E23" s="14" t="s">
        <v>578</v>
      </c>
      <c r="F23" s="18"/>
      <c r="G23" s="18"/>
      <c r="H23" s="18"/>
      <c r="I23" s="18"/>
    </row>
    <row r="24" spans="1:9">
      <c r="A24" s="297"/>
      <c r="B24" s="287"/>
      <c r="C24" s="1" t="s">
        <v>28</v>
      </c>
      <c r="D24" s="297"/>
      <c r="E24" s="14" t="s">
        <v>578</v>
      </c>
      <c r="F24" s="18"/>
      <c r="G24" s="18"/>
      <c r="H24" s="18"/>
      <c r="I24" s="18"/>
    </row>
    <row r="25" spans="1:9">
      <c r="A25" s="11" t="s">
        <v>581</v>
      </c>
      <c r="B25" s="5" t="s">
        <v>582</v>
      </c>
      <c r="C25" s="4"/>
      <c r="D25" s="297"/>
      <c r="E25" s="14" t="s">
        <v>52</v>
      </c>
      <c r="F25" s="18"/>
      <c r="G25" s="18"/>
      <c r="H25" s="18"/>
      <c r="I25" s="18"/>
    </row>
    <row r="26" spans="1:9">
      <c r="A26" s="287" t="s">
        <v>583</v>
      </c>
      <c r="B26" s="297" t="s">
        <v>12</v>
      </c>
      <c r="C26" s="4" t="s">
        <v>584</v>
      </c>
      <c r="D26" s="8"/>
      <c r="E26" s="293" t="s">
        <v>585</v>
      </c>
      <c r="F26" s="18"/>
      <c r="G26" s="18"/>
      <c r="H26" s="18"/>
      <c r="I26" s="18"/>
    </row>
    <row r="27" spans="1:9">
      <c r="A27" s="287"/>
      <c r="B27" s="297"/>
      <c r="C27" s="4" t="s">
        <v>586</v>
      </c>
      <c r="D27" s="8"/>
      <c r="E27" s="294"/>
      <c r="F27" s="18"/>
      <c r="G27" s="18"/>
      <c r="H27" s="18"/>
      <c r="I27" s="18"/>
    </row>
    <row r="28" spans="1:9">
      <c r="A28" s="287"/>
      <c r="B28" s="297"/>
      <c r="C28" s="4" t="s">
        <v>587</v>
      </c>
      <c r="D28" s="8"/>
      <c r="E28" s="294"/>
      <c r="F28" s="18"/>
      <c r="G28" s="18"/>
      <c r="H28" s="18"/>
      <c r="I28" s="18"/>
    </row>
    <row r="29" spans="1:9">
      <c r="A29" s="287"/>
      <c r="B29" s="297"/>
      <c r="C29" s="4" t="s">
        <v>588</v>
      </c>
      <c r="D29" s="8"/>
      <c r="E29" s="295"/>
      <c r="F29" s="18"/>
      <c r="G29" s="18"/>
      <c r="H29" s="18"/>
      <c r="I29" s="18"/>
    </row>
    <row r="30" spans="1:9">
      <c r="A30" s="287" t="s">
        <v>589</v>
      </c>
      <c r="B30" s="287" t="s">
        <v>13</v>
      </c>
      <c r="C30" s="4" t="s">
        <v>59</v>
      </c>
      <c r="D30" s="297" t="s">
        <v>590</v>
      </c>
      <c r="E30" s="296" t="s">
        <v>591</v>
      </c>
      <c r="F30" s="18"/>
      <c r="G30" s="18"/>
      <c r="H30" s="18"/>
      <c r="I30" s="18"/>
    </row>
    <row r="31" spans="1:9">
      <c r="A31" s="287"/>
      <c r="B31" s="287"/>
      <c r="C31" s="4" t="s">
        <v>77</v>
      </c>
      <c r="D31" s="297"/>
      <c r="E31" s="296"/>
      <c r="F31" s="18"/>
      <c r="G31" s="18"/>
      <c r="H31" s="18"/>
      <c r="I31" s="18"/>
    </row>
    <row r="32" spans="1:9">
      <c r="A32" s="287"/>
      <c r="B32" s="287"/>
      <c r="C32" s="4" t="s">
        <v>90</v>
      </c>
      <c r="D32" s="297"/>
      <c r="E32" s="296"/>
      <c r="F32" s="18"/>
      <c r="G32" s="18"/>
      <c r="H32" s="18"/>
      <c r="I32" s="18"/>
    </row>
    <row r="33" spans="1:9">
      <c r="A33" s="287"/>
      <c r="B33" s="287"/>
      <c r="C33" s="4" t="s">
        <v>103</v>
      </c>
      <c r="D33" s="297" t="s">
        <v>592</v>
      </c>
      <c r="E33" s="15" t="s">
        <v>593</v>
      </c>
      <c r="F33" s="18"/>
      <c r="G33" s="18"/>
      <c r="H33" s="18"/>
      <c r="I33" s="18"/>
    </row>
    <row r="34" spans="1:9">
      <c r="A34" s="287"/>
      <c r="B34" s="287"/>
      <c r="C34" s="4" t="s">
        <v>114</v>
      </c>
      <c r="D34" s="297"/>
      <c r="E34" s="293" t="s">
        <v>577</v>
      </c>
      <c r="F34" s="18"/>
      <c r="G34" s="18"/>
      <c r="H34" s="18"/>
      <c r="I34" s="18"/>
    </row>
    <row r="35" spans="1:9">
      <c r="A35" s="287"/>
      <c r="B35" s="287"/>
      <c r="C35" s="4" t="s">
        <v>122</v>
      </c>
      <c r="D35" s="297"/>
      <c r="E35" s="294"/>
      <c r="F35" s="18"/>
      <c r="G35" s="18"/>
      <c r="H35" s="18"/>
      <c r="I35" s="18"/>
    </row>
    <row r="36" spans="1:9">
      <c r="A36" s="287"/>
      <c r="B36" s="287"/>
      <c r="C36" s="4" t="s">
        <v>131</v>
      </c>
      <c r="D36" s="297"/>
      <c r="E36" s="294"/>
      <c r="F36" s="18"/>
      <c r="G36" s="18"/>
      <c r="H36" s="18"/>
      <c r="I36" s="18"/>
    </row>
    <row r="37" spans="1:9">
      <c r="A37" s="287"/>
      <c r="B37" s="287"/>
      <c r="C37" s="4" t="s">
        <v>139</v>
      </c>
      <c r="D37" s="297"/>
      <c r="E37" s="294"/>
      <c r="F37" s="18"/>
      <c r="G37" s="18"/>
      <c r="H37" s="18"/>
      <c r="I37" s="18"/>
    </row>
    <row r="38" spans="1:9">
      <c r="A38" s="287"/>
      <c r="B38" s="287"/>
      <c r="C38" s="4" t="s">
        <v>147</v>
      </c>
      <c r="D38" s="297"/>
      <c r="E38" s="295"/>
      <c r="F38" s="18"/>
      <c r="G38" s="18"/>
      <c r="H38" s="18"/>
      <c r="I38" s="18"/>
    </row>
    <row r="39" spans="1:9"/>
  </sheetData>
  <mergeCells count="19">
    <mergeCell ref="E26:E29"/>
    <mergeCell ref="E34:E38"/>
    <mergeCell ref="D10:D25"/>
    <mergeCell ref="D30:D32"/>
    <mergeCell ref="D33:D38"/>
    <mergeCell ref="E30:E32"/>
    <mergeCell ref="B30:B38"/>
    <mergeCell ref="A30:A38"/>
    <mergeCell ref="B26:B29"/>
    <mergeCell ref="A26:A29"/>
    <mergeCell ref="B10:B24"/>
    <mergeCell ref="A10:A24"/>
    <mergeCell ref="A3:A4"/>
    <mergeCell ref="B3:B4"/>
    <mergeCell ref="A1:E1"/>
    <mergeCell ref="B5:B9"/>
    <mergeCell ref="A5:A9"/>
    <mergeCell ref="E5:E9"/>
    <mergeCell ref="E3:E4"/>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6A32-EE2B-4F95-A9A7-351E53AABD02}">
  <dimension ref="A1:P34"/>
  <sheetViews>
    <sheetView zoomScale="115" zoomScaleNormal="115" workbookViewId="0">
      <pane ySplit="2" topLeftCell="B3" activePane="bottomLeft" state="frozen"/>
      <selection pane="bottomLeft" activeCell="H23" sqref="H23"/>
    </sheetView>
  </sheetViews>
  <sheetFormatPr defaultRowHeight="15" customHeight="1"/>
  <cols>
    <col min="1" max="1" width="19.7109375" bestFit="1" customWidth="1"/>
    <col min="2" max="2" width="6.85546875" bestFit="1" customWidth="1"/>
    <col min="3" max="3" width="21.85546875" bestFit="1" customWidth="1"/>
    <col min="4" max="4" width="16.28515625" customWidth="1"/>
    <col min="5" max="5" width="15.7109375" customWidth="1"/>
    <col min="6" max="6" width="9.140625" customWidth="1"/>
    <col min="7" max="7" width="29.85546875" customWidth="1"/>
    <col min="8" max="8" width="18.42578125" style="188" customWidth="1"/>
    <col min="9" max="11" width="23.28515625" customWidth="1"/>
    <col min="12" max="14" width="18.42578125" style="44" customWidth="1"/>
    <col min="15" max="16" width="18.42578125" customWidth="1"/>
    <col min="17" max="17" width="9.140625" customWidth="1"/>
  </cols>
  <sheetData>
    <row r="1" spans="1:16">
      <c r="A1" s="27"/>
      <c r="B1" s="27"/>
      <c r="C1" s="37" t="s">
        <v>594</v>
      </c>
      <c r="D1" s="27"/>
      <c r="E1" s="27"/>
      <c r="F1" s="27"/>
      <c r="G1" s="27"/>
      <c r="H1" s="186"/>
      <c r="I1" s="27"/>
      <c r="J1" s="27"/>
      <c r="K1" s="27"/>
      <c r="L1" s="42"/>
      <c r="M1" s="42"/>
      <c r="N1" s="42"/>
      <c r="O1" s="57"/>
      <c r="P1" s="57"/>
    </row>
    <row r="2" spans="1:16" s="2" customFormat="1">
      <c r="A2" s="3" t="s">
        <v>396</v>
      </c>
      <c r="B2" s="3" t="s">
        <v>397</v>
      </c>
      <c r="C2" s="3" t="s">
        <v>398</v>
      </c>
      <c r="D2" s="3" t="s">
        <v>40</v>
      </c>
      <c r="E2" s="3" t="s">
        <v>41</v>
      </c>
      <c r="F2" s="3" t="s">
        <v>399</v>
      </c>
      <c r="G2" s="3" t="s">
        <v>42</v>
      </c>
      <c r="H2" s="41" t="s">
        <v>46</v>
      </c>
      <c r="I2" s="13" t="s">
        <v>400</v>
      </c>
      <c r="J2" s="13" t="s">
        <v>401</v>
      </c>
      <c r="K2" s="13" t="s">
        <v>402</v>
      </c>
      <c r="L2" s="43" t="s">
        <v>403</v>
      </c>
      <c r="M2" s="43" t="s">
        <v>404</v>
      </c>
      <c r="N2" s="43" t="s">
        <v>546</v>
      </c>
      <c r="O2" s="17" t="s">
        <v>547</v>
      </c>
      <c r="P2" s="17" t="s">
        <v>548</v>
      </c>
    </row>
    <row r="3" spans="1:16">
      <c r="A3" s="28" t="str">
        <f>"1."&amp;D3&amp;"."&amp;B3</f>
        <v>1.Công việc khác.001</v>
      </c>
      <c r="B3" s="108" t="s">
        <v>405</v>
      </c>
      <c r="C3" s="109" t="s">
        <v>38</v>
      </c>
      <c r="D3" s="109" t="s">
        <v>38</v>
      </c>
      <c r="E3" s="109" t="s">
        <v>38</v>
      </c>
      <c r="F3" s="4" t="s">
        <v>61</v>
      </c>
      <c r="G3" s="4" t="s">
        <v>78</v>
      </c>
      <c r="H3" s="187" t="s">
        <v>81</v>
      </c>
      <c r="I3" s="21" t="s">
        <v>52</v>
      </c>
      <c r="J3" s="21"/>
      <c r="K3" s="21"/>
      <c r="L3" s="30"/>
      <c r="M3" s="30"/>
      <c r="N3" s="30"/>
      <c r="O3" s="18"/>
      <c r="P3" s="18"/>
    </row>
    <row r="4" spans="1:16">
      <c r="A4" s="28" t="str">
        <f>"1."&amp;D4&amp;"."&amp;B4</f>
        <v>1.Công việc khác.002</v>
      </c>
      <c r="B4" s="108" t="s">
        <v>406</v>
      </c>
      <c r="C4" s="109" t="s">
        <v>38</v>
      </c>
      <c r="D4" s="109" t="s">
        <v>38</v>
      </c>
      <c r="E4" s="109" t="s">
        <v>38</v>
      </c>
      <c r="F4" s="4" t="s">
        <v>61</v>
      </c>
      <c r="G4" s="4" t="s">
        <v>60</v>
      </c>
      <c r="H4" s="187" t="s">
        <v>63</v>
      </c>
      <c r="I4" s="21" t="s">
        <v>52</v>
      </c>
      <c r="J4" s="21"/>
      <c r="K4" s="21"/>
      <c r="L4" s="30"/>
      <c r="M4" s="30"/>
      <c r="N4" s="30"/>
      <c r="O4" s="18"/>
      <c r="P4" s="18"/>
    </row>
    <row r="5" spans="1:16">
      <c r="A5" s="28"/>
      <c r="B5" s="108"/>
      <c r="C5" s="109"/>
      <c r="D5" s="109"/>
      <c r="E5" s="109"/>
      <c r="F5" s="4"/>
      <c r="G5" s="4"/>
      <c r="H5" s="187"/>
      <c r="I5" s="21"/>
      <c r="J5" s="21"/>
      <c r="K5" s="21"/>
      <c r="L5" s="30"/>
      <c r="M5" s="30"/>
      <c r="N5" s="30"/>
      <c r="O5" s="18"/>
      <c r="P5" s="18"/>
    </row>
    <row r="6" spans="1:16">
      <c r="A6" s="28"/>
      <c r="B6" s="108"/>
      <c r="C6" s="109"/>
      <c r="D6" s="109"/>
      <c r="E6" s="109"/>
      <c r="F6" s="4"/>
      <c r="G6" s="4"/>
      <c r="H6" s="187"/>
      <c r="I6" s="21"/>
      <c r="J6" s="21"/>
      <c r="K6" s="21"/>
      <c r="L6" s="30"/>
      <c r="M6" s="30"/>
      <c r="N6" s="30"/>
      <c r="O6" s="18"/>
      <c r="P6" s="18"/>
    </row>
    <row r="7" spans="1:16">
      <c r="A7" s="28"/>
      <c r="B7" s="108"/>
      <c r="C7" s="109"/>
      <c r="D7" s="109"/>
      <c r="E7" s="109"/>
      <c r="F7" s="4"/>
      <c r="G7" s="4"/>
      <c r="H7" s="187"/>
      <c r="I7" s="21"/>
      <c r="J7" s="21"/>
      <c r="K7" s="21"/>
      <c r="L7" s="30"/>
      <c r="M7" s="30"/>
      <c r="N7" s="30"/>
      <c r="O7" s="18"/>
      <c r="P7" s="18"/>
    </row>
    <row r="8" spans="1:16">
      <c r="A8" s="28"/>
      <c r="B8" s="108"/>
      <c r="C8" s="109"/>
      <c r="D8" s="109"/>
      <c r="E8" s="109"/>
      <c r="F8" s="4"/>
      <c r="G8" s="4"/>
      <c r="H8" s="187"/>
      <c r="I8" s="21"/>
      <c r="J8" s="21"/>
      <c r="K8" s="21"/>
      <c r="L8" s="30"/>
      <c r="M8" s="30"/>
      <c r="N8" s="30"/>
      <c r="O8" s="18"/>
      <c r="P8" s="18"/>
    </row>
    <row r="9" spans="1:16">
      <c r="A9" s="28"/>
      <c r="B9" s="108"/>
      <c r="C9" s="109"/>
      <c r="D9" s="109"/>
      <c r="E9" s="109"/>
      <c r="F9" s="4"/>
      <c r="G9" s="4"/>
      <c r="H9" s="187"/>
      <c r="I9" s="21"/>
      <c r="J9" s="21"/>
      <c r="K9" s="21"/>
      <c r="L9" s="30"/>
      <c r="M9" s="30"/>
      <c r="N9" s="30"/>
      <c r="O9" s="18"/>
      <c r="P9" s="18"/>
    </row>
    <row r="10" spans="1:16">
      <c r="A10" s="28"/>
      <c r="B10" s="108"/>
      <c r="C10" s="109"/>
      <c r="D10" s="109"/>
      <c r="E10" s="109"/>
      <c r="F10" s="4"/>
      <c r="G10" s="4"/>
      <c r="H10" s="187"/>
      <c r="I10" s="21"/>
      <c r="J10" s="21"/>
      <c r="K10" s="21"/>
      <c r="L10" s="30"/>
      <c r="M10" s="30"/>
      <c r="N10" s="30"/>
      <c r="O10" s="18"/>
      <c r="P10" s="18"/>
    </row>
    <row r="11" spans="1:16">
      <c r="A11" s="28"/>
      <c r="B11" s="108"/>
      <c r="C11" s="109"/>
      <c r="D11" s="109"/>
      <c r="E11" s="109"/>
      <c r="F11" s="4"/>
      <c r="G11" s="4"/>
      <c r="H11" s="187"/>
      <c r="I11" s="21"/>
      <c r="J11" s="21"/>
      <c r="K11" s="21"/>
      <c r="L11" s="30"/>
      <c r="M11" s="30"/>
      <c r="N11" s="30"/>
      <c r="O11" s="18"/>
      <c r="P11" s="18"/>
    </row>
    <row r="12" spans="1:16">
      <c r="A12" s="28"/>
      <c r="B12" s="108"/>
      <c r="C12" s="109"/>
      <c r="D12" s="109"/>
      <c r="E12" s="109"/>
      <c r="F12" s="4"/>
      <c r="G12" s="4"/>
      <c r="H12" s="187"/>
      <c r="I12" s="21"/>
      <c r="J12" s="21"/>
      <c r="K12" s="21"/>
      <c r="L12" s="30"/>
      <c r="M12" s="30"/>
      <c r="N12" s="30"/>
      <c r="O12" s="18"/>
      <c r="P12" s="18"/>
    </row>
    <row r="13" spans="1:16">
      <c r="A13" s="28"/>
      <c r="B13" s="108"/>
      <c r="C13" s="109"/>
      <c r="D13" s="109"/>
      <c r="E13" s="109"/>
      <c r="F13" s="4"/>
      <c r="G13" s="4"/>
      <c r="H13" s="187"/>
      <c r="I13" s="21"/>
      <c r="J13" s="21"/>
      <c r="K13" s="21"/>
      <c r="L13" s="30"/>
      <c r="M13" s="30"/>
      <c r="N13" s="30"/>
      <c r="O13" s="18"/>
      <c r="P13" s="18"/>
    </row>
    <row r="14" spans="1:16">
      <c r="A14" s="28"/>
      <c r="B14" s="108"/>
      <c r="C14" s="109"/>
      <c r="D14" s="109"/>
      <c r="E14" s="109"/>
      <c r="F14" s="4"/>
      <c r="G14" s="4"/>
      <c r="H14" s="187"/>
      <c r="I14" s="21"/>
      <c r="J14" s="21"/>
      <c r="K14" s="21"/>
      <c r="L14" s="30"/>
      <c r="M14" s="30"/>
      <c r="N14" s="30"/>
      <c r="O14" s="18"/>
      <c r="P14" s="18"/>
    </row>
    <row r="15" spans="1:16">
      <c r="A15" s="28"/>
      <c r="B15" s="108"/>
      <c r="C15" s="109"/>
      <c r="D15" s="109"/>
      <c r="E15" s="109"/>
      <c r="F15" s="4"/>
      <c r="G15" s="4"/>
      <c r="H15" s="187"/>
      <c r="I15" s="21"/>
      <c r="J15" s="21"/>
      <c r="K15" s="21"/>
      <c r="L15" s="30"/>
      <c r="M15" s="30"/>
      <c r="N15" s="30"/>
      <c r="O15" s="18"/>
      <c r="P15" s="18"/>
    </row>
    <row r="16" spans="1:16">
      <c r="A16" s="28"/>
      <c r="B16" s="108"/>
      <c r="C16" s="109"/>
      <c r="D16" s="109"/>
      <c r="E16" s="109"/>
      <c r="F16" s="4"/>
      <c r="G16" s="4"/>
      <c r="H16" s="187"/>
      <c r="I16" s="21"/>
      <c r="J16" s="21"/>
      <c r="K16" s="21"/>
      <c r="L16" s="30"/>
      <c r="M16" s="30"/>
      <c r="N16" s="30"/>
      <c r="O16" s="38"/>
      <c r="P16" s="38"/>
    </row>
    <row r="17" spans="1:16">
      <c r="A17" s="28"/>
      <c r="B17" s="108"/>
      <c r="C17" s="109"/>
      <c r="D17" s="109"/>
      <c r="E17" s="109"/>
      <c r="F17" s="4"/>
      <c r="G17" s="4"/>
      <c r="H17" s="187"/>
      <c r="I17" s="21"/>
      <c r="J17" s="21"/>
      <c r="K17" s="21"/>
      <c r="L17" s="30"/>
      <c r="M17" s="30"/>
      <c r="N17" s="31"/>
      <c r="O17" s="18"/>
      <c r="P17" s="18"/>
    </row>
    <row r="18" spans="1:16">
      <c r="A18" s="28"/>
      <c r="B18" s="108"/>
      <c r="C18" s="109"/>
      <c r="D18" s="109"/>
      <c r="E18" s="109"/>
      <c r="F18" s="4"/>
      <c r="G18" s="4"/>
      <c r="H18" s="187"/>
      <c r="I18" s="21"/>
      <c r="J18" s="21"/>
      <c r="K18" s="21"/>
      <c r="L18" s="30"/>
      <c r="M18" s="30"/>
      <c r="N18" s="31"/>
      <c r="O18" s="18"/>
      <c r="P18" s="18"/>
    </row>
    <row r="19" spans="1:16">
      <c r="A19" s="28"/>
      <c r="B19" s="108"/>
      <c r="C19" s="109"/>
      <c r="D19" s="109"/>
      <c r="E19" s="109"/>
      <c r="F19" s="4"/>
      <c r="G19" s="4"/>
      <c r="H19" s="187"/>
      <c r="I19" s="21"/>
      <c r="J19" s="21"/>
      <c r="K19" s="21"/>
      <c r="L19" s="30"/>
      <c r="M19" s="30"/>
      <c r="N19" s="31"/>
      <c r="O19" s="18"/>
      <c r="P19" s="18"/>
    </row>
    <row r="20" spans="1:16">
      <c r="A20" s="28"/>
      <c r="B20" s="108"/>
      <c r="C20" s="109"/>
      <c r="D20" s="109"/>
      <c r="E20" s="109"/>
      <c r="F20" s="4"/>
      <c r="G20" s="4"/>
      <c r="H20" s="187"/>
      <c r="I20" s="21"/>
      <c r="J20" s="21"/>
      <c r="K20" s="21"/>
      <c r="L20" s="30"/>
      <c r="M20" s="30"/>
      <c r="N20" s="31"/>
      <c r="O20" s="18"/>
      <c r="P20" s="18"/>
    </row>
    <row r="21" spans="1:16">
      <c r="A21" s="28"/>
      <c r="B21" s="108"/>
      <c r="C21" s="109"/>
      <c r="D21" s="109"/>
      <c r="E21" s="109"/>
      <c r="F21" s="4"/>
      <c r="G21" s="4"/>
      <c r="H21" s="187"/>
      <c r="I21" s="21"/>
      <c r="J21" s="21"/>
      <c r="K21" s="21"/>
      <c r="L21" s="30"/>
      <c r="M21" s="30"/>
      <c r="N21" s="31"/>
      <c r="O21" s="18"/>
      <c r="P21" s="18"/>
    </row>
    <row r="22" spans="1:16">
      <c r="A22" s="28"/>
      <c r="B22" s="108"/>
      <c r="C22" s="109"/>
      <c r="D22" s="109"/>
      <c r="E22" s="109"/>
      <c r="F22" s="4"/>
      <c r="G22" s="4"/>
      <c r="H22" s="187"/>
      <c r="I22" s="21"/>
      <c r="J22" s="21"/>
      <c r="K22" s="21"/>
      <c r="L22" s="30"/>
      <c r="M22" s="30"/>
      <c r="N22" s="31"/>
      <c r="O22" s="18"/>
      <c r="P22" s="18"/>
    </row>
    <row r="23" spans="1:16">
      <c r="A23" s="28"/>
      <c r="B23" s="108"/>
      <c r="C23" s="109"/>
      <c r="D23" s="109"/>
      <c r="E23" s="109"/>
      <c r="F23" s="4"/>
      <c r="G23" s="4"/>
      <c r="H23" s="187"/>
      <c r="I23" s="21"/>
      <c r="J23" s="21"/>
      <c r="K23" s="21"/>
      <c r="L23" s="30"/>
      <c r="M23" s="30"/>
      <c r="N23" s="31"/>
      <c r="O23" s="18"/>
      <c r="P23" s="18"/>
    </row>
    <row r="24" spans="1:16">
      <c r="A24" s="28"/>
      <c r="B24" s="108"/>
      <c r="C24" s="109"/>
      <c r="D24" s="109"/>
      <c r="E24" s="109"/>
      <c r="F24" s="4"/>
      <c r="G24" s="4"/>
      <c r="H24" s="187"/>
      <c r="I24" s="21"/>
      <c r="J24" s="21"/>
      <c r="K24" s="21"/>
      <c r="L24" s="30"/>
      <c r="M24" s="30"/>
      <c r="N24" s="31"/>
      <c r="O24" s="18"/>
      <c r="P24" s="18"/>
    </row>
    <row r="25" spans="1:16">
      <c r="A25" s="28"/>
      <c r="B25" s="108"/>
      <c r="C25" s="109"/>
      <c r="D25" s="109"/>
      <c r="E25" s="109"/>
      <c r="F25" s="4"/>
      <c r="G25" s="4"/>
      <c r="H25" s="187"/>
      <c r="I25" s="21"/>
      <c r="J25" s="21"/>
      <c r="K25" s="21"/>
      <c r="L25" s="30"/>
      <c r="M25" s="30"/>
      <c r="N25" s="31"/>
      <c r="O25" s="18"/>
      <c r="P25" s="18"/>
    </row>
    <row r="26" spans="1:16">
      <c r="A26" s="28"/>
      <c r="B26" s="108"/>
      <c r="C26" s="109"/>
      <c r="D26" s="109"/>
      <c r="E26" s="109"/>
      <c r="F26" s="4"/>
      <c r="G26" s="4"/>
      <c r="H26" s="187"/>
      <c r="I26" s="21"/>
      <c r="J26" s="21"/>
      <c r="K26" s="21"/>
      <c r="L26" s="30"/>
      <c r="M26" s="30"/>
      <c r="N26" s="31"/>
      <c r="O26" s="18"/>
      <c r="P26" s="18"/>
    </row>
    <row r="27" spans="1:16">
      <c r="A27" s="28"/>
      <c r="B27" s="108"/>
      <c r="C27" s="109"/>
      <c r="D27" s="109"/>
      <c r="E27" s="109"/>
      <c r="F27" s="4"/>
      <c r="G27" s="4"/>
      <c r="H27" s="187"/>
      <c r="I27" s="21"/>
      <c r="J27" s="21"/>
      <c r="K27" s="21"/>
      <c r="L27" s="30"/>
      <c r="M27" s="30"/>
      <c r="N27" s="31"/>
      <c r="O27" s="18"/>
      <c r="P27" s="18"/>
    </row>
    <row r="28" spans="1:16">
      <c r="A28" s="28"/>
      <c r="B28" s="108"/>
      <c r="C28" s="109"/>
      <c r="D28" s="109"/>
      <c r="E28" s="109"/>
      <c r="F28" s="4"/>
      <c r="G28" s="4"/>
      <c r="H28" s="187"/>
      <c r="I28" s="21"/>
      <c r="J28" s="21"/>
      <c r="K28" s="21"/>
      <c r="L28" s="30"/>
      <c r="M28" s="30"/>
      <c r="N28" s="31"/>
      <c r="O28" s="18"/>
      <c r="P28" s="18"/>
    </row>
    <row r="29" spans="1:16">
      <c r="A29" s="28"/>
      <c r="B29" s="108"/>
      <c r="C29" s="109"/>
      <c r="D29" s="109"/>
      <c r="E29" s="109"/>
      <c r="F29" s="4"/>
      <c r="G29" s="4"/>
      <c r="H29" s="187"/>
      <c r="I29" s="21"/>
      <c r="J29" s="21"/>
      <c r="K29" s="21"/>
      <c r="L29" s="30"/>
      <c r="M29" s="30"/>
      <c r="N29" s="31"/>
      <c r="O29" s="18"/>
      <c r="P29" s="18"/>
    </row>
    <row r="30" spans="1:16">
      <c r="A30" s="28"/>
      <c r="B30" s="108"/>
      <c r="C30" s="109"/>
      <c r="D30" s="109"/>
      <c r="E30" s="109"/>
      <c r="F30" s="4"/>
      <c r="G30" s="4"/>
      <c r="H30" s="187"/>
      <c r="I30" s="21"/>
      <c r="J30" s="21"/>
      <c r="K30" s="21"/>
      <c r="L30" s="30"/>
      <c r="M30" s="30"/>
      <c r="N30" s="31"/>
      <c r="O30" s="18"/>
      <c r="P30" s="18"/>
    </row>
    <row r="31" spans="1:16">
      <c r="A31" s="28"/>
      <c r="B31" s="108"/>
      <c r="C31" s="109"/>
      <c r="D31" s="109"/>
      <c r="E31" s="109"/>
      <c r="F31" s="4"/>
      <c r="G31" s="4"/>
      <c r="H31" s="187"/>
      <c r="I31" s="21"/>
      <c r="J31" s="21"/>
      <c r="K31" s="21"/>
      <c r="L31" s="30"/>
      <c r="M31" s="30"/>
      <c r="N31" s="31"/>
      <c r="O31" s="18"/>
      <c r="P31" s="18"/>
    </row>
    <row r="32" spans="1:16">
      <c r="A32" s="28"/>
      <c r="B32" s="108"/>
      <c r="C32" s="109"/>
      <c r="D32" s="109"/>
      <c r="E32" s="109"/>
      <c r="F32" s="4"/>
      <c r="G32" s="4"/>
      <c r="H32" s="187"/>
      <c r="I32" s="21"/>
      <c r="J32" s="21"/>
      <c r="K32" s="21"/>
      <c r="L32" s="30"/>
      <c r="M32" s="30"/>
      <c r="N32" s="31"/>
      <c r="O32" s="18"/>
      <c r="P32" s="18"/>
    </row>
    <row r="33" spans="1:16">
      <c r="A33" s="28"/>
      <c r="B33" s="108"/>
      <c r="C33" s="109"/>
      <c r="D33" s="109"/>
      <c r="E33" s="109"/>
      <c r="F33" s="4"/>
      <c r="G33" s="4"/>
      <c r="H33" s="187"/>
      <c r="I33" s="21"/>
      <c r="J33" s="21"/>
      <c r="K33" s="21"/>
      <c r="L33" s="30"/>
      <c r="M33" s="30"/>
      <c r="N33" s="31"/>
      <c r="O33" s="18"/>
      <c r="P33" s="18"/>
    </row>
    <row r="34" spans="1:16">
      <c r="A34" s="28"/>
      <c r="B34" s="108"/>
      <c r="C34" s="109"/>
      <c r="D34" s="109"/>
      <c r="E34" s="109"/>
      <c r="F34" s="4"/>
      <c r="G34" s="4"/>
      <c r="H34" s="187"/>
      <c r="I34" s="21"/>
      <c r="J34" s="21"/>
      <c r="K34" s="21"/>
      <c r="L34" s="30"/>
      <c r="M34" s="30"/>
      <c r="N34" s="31"/>
      <c r="O34" s="18"/>
      <c r="P34" s="18"/>
    </row>
  </sheetData>
  <phoneticPr fontId="4" type="noConversion"/>
  <dataValidations count="1">
    <dataValidation allowBlank="1" showInputMessage="1" showErrorMessage="1" sqref="A1:XFD2" xr:uid="{0382CE88-8BD2-4D0E-B21B-DBF579245231}"/>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7">
        <x14:dataValidation type="list" allowBlank="1" showInputMessage="1" showErrorMessage="1" xr:uid="{05981619-6FB4-45CD-A8D6-FEE13F07308F}">
          <x14:formula1>
            <xm:f>Data!$V$4:$V$33</xm:f>
          </x14:formula1>
          <xm:sqref>F3:F1048576</xm:sqref>
        </x14:dataValidation>
        <x14:dataValidation type="list" allowBlank="1" showInputMessage="1" showErrorMessage="1" xr:uid="{9F517A3A-488C-4AA9-965A-7D8964E1963B}">
          <x14:formula1>
            <xm:f>Data!$X$4:$X$33</xm:f>
          </x14:formula1>
          <xm:sqref>H3:H1048576</xm:sqref>
        </x14:dataValidation>
        <x14:dataValidation type="list" allowBlank="1" showInputMessage="1" showErrorMessage="1" xr:uid="{E8D58982-B879-489F-8D42-2503E560F3A3}">
          <x14:formula1>
            <xm:f>Data!$Y$4:$Y$33</xm:f>
          </x14:formula1>
          <xm:sqref>I3:K1048576</xm:sqref>
        </x14:dataValidation>
        <x14:dataValidation type="list" allowBlank="1" showInputMessage="1" showErrorMessage="1" xr:uid="{DB144C17-B519-4582-B3BA-5428532F3FC3}">
          <x14:formula1>
            <xm:f>Data!$S$2</xm:f>
          </x14:formula1>
          <xm:sqref>C3:C1048576</xm:sqref>
        </x14:dataValidation>
        <x14:dataValidation type="list" allowBlank="1" showInputMessage="1" showErrorMessage="1" xr:uid="{C7D21049-D93C-4E4F-BFA3-6F8C31892289}">
          <x14:formula1>
            <xm:f>Data!$S$4:$S$53</xm:f>
          </x14:formula1>
          <xm:sqref>D3:D1048576</xm:sqref>
        </x14:dataValidation>
        <x14:dataValidation type="list" allowBlank="1" showInputMessage="1" showErrorMessage="1" xr:uid="{20D3D0CB-10CB-4B4D-BB81-939CE1F50729}">
          <x14:formula1>
            <xm:f>Data!$T$4:$T$117</xm:f>
          </x14:formula1>
          <xm:sqref>E3:E1048576</xm:sqref>
        </x14:dataValidation>
        <x14:dataValidation type="list" allowBlank="1" showInputMessage="1" showErrorMessage="1" xr:uid="{7D893C4A-A902-4397-A0D9-1DF5AB6C9AE6}">
          <x14:formula1>
            <xm:f>Data!$U$4:$U$117</xm:f>
          </x14:formula1>
          <xm:sqref>G3:G1048576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015DE-D1F2-49CB-BB0A-DEC642B2460A}">
  <dimension ref="A1:DS204"/>
  <sheetViews>
    <sheetView tabSelected="1" workbookViewId="0">
      <pane ySplit="3" topLeftCell="I4" activePane="bottomLeft" state="frozen"/>
      <selection pane="bottomLeft" activeCell="I9" sqref="I9"/>
    </sheetView>
  </sheetViews>
  <sheetFormatPr defaultColWidth="9.140625" defaultRowHeight="15" outlineLevelRow="1" outlineLevelCol="2"/>
  <cols>
    <col min="1" max="1" width="16.5703125" customWidth="1"/>
    <col min="2" max="2" width="26" customWidth="1"/>
    <col min="3" max="3" width="16.42578125" customWidth="1"/>
    <col min="4" max="4" width="19.28515625" customWidth="1"/>
    <col min="5" max="5" width="35" style="129" bestFit="1" customWidth="1"/>
    <col min="6" max="6" width="9.140625" customWidth="1"/>
    <col min="7" max="7" width="39.5703125" style="129" customWidth="1"/>
    <col min="8" max="8" width="11.85546875" customWidth="1"/>
    <col min="9" max="9" width="12.42578125" customWidth="1"/>
    <col min="10" max="10" width="12.42578125" customWidth="1" outlineLevel="1"/>
    <col min="11" max="11" width="49.42578125" style="129" hidden="1" customWidth="1" outlineLevel="2"/>
    <col min="12" max="12" width="12.42578125" style="170" hidden="1" customWidth="1" outlineLevel="2"/>
    <col min="13" max="13" width="12.42578125" customWidth="1" outlineLevel="1" collapsed="1"/>
    <col min="14" max="14" width="43.28515625" style="129" customWidth="1" outlineLevel="2"/>
    <col min="15" max="15" width="12.42578125" customWidth="1" outlineLevel="2"/>
    <col min="16" max="16" width="12.42578125" customWidth="1" outlineLevel="1"/>
    <col min="17" max="18" width="12.42578125" hidden="1" customWidth="1" outlineLevel="2"/>
    <col min="19" max="19" width="12.42578125" customWidth="1" outlineLevel="1" collapsed="1"/>
    <col min="20" max="21" width="12.42578125" hidden="1" customWidth="1" outlineLevel="2"/>
    <col min="22" max="22" width="12.42578125" customWidth="1" outlineLevel="1" collapsed="1"/>
    <col min="23" max="24" width="12.42578125" hidden="1" customWidth="1" outlineLevel="2"/>
    <col min="25" max="25" width="12.42578125" customWidth="1" outlineLevel="1" collapsed="1"/>
    <col min="26" max="27" width="12.42578125" customWidth="1" outlineLevel="2"/>
    <col min="28" max="28" width="12.42578125" customWidth="1"/>
    <col min="29" max="29" width="12.42578125" hidden="1" customWidth="1" outlineLevel="1"/>
    <col min="30" max="31" width="12.42578125" hidden="1" customWidth="1" outlineLevel="2"/>
    <col min="32" max="32" width="12.42578125" hidden="1" customWidth="1" outlineLevel="1" collapsed="1"/>
    <col min="33" max="34" width="12.42578125" hidden="1" customWidth="1" outlineLevel="2"/>
    <col min="35" max="35" width="12.42578125" hidden="1" customWidth="1" outlineLevel="1" collapsed="1"/>
    <col min="36" max="37" width="12.42578125" hidden="1" customWidth="1" outlineLevel="2"/>
    <col min="38" max="38" width="12.42578125" hidden="1" customWidth="1" outlineLevel="1" collapsed="1"/>
    <col min="39" max="40" width="12.42578125" hidden="1" customWidth="1" outlineLevel="2"/>
    <col min="41" max="41" width="12.42578125" hidden="1" customWidth="1" outlineLevel="1" collapsed="1"/>
    <col min="42" max="43" width="12.42578125" hidden="1" customWidth="1" outlineLevel="2"/>
    <col min="44" max="44" width="12.42578125" hidden="1" customWidth="1" outlineLevel="1" collapsed="1"/>
    <col min="45" max="46" width="12.42578125" hidden="1" customWidth="1" outlineLevel="2"/>
    <col min="47" max="47" width="12.42578125" customWidth="1" collapsed="1"/>
    <col min="48" max="48" width="12.42578125" hidden="1" customWidth="1" outlineLevel="1"/>
    <col min="49" max="49" width="12.42578125" style="129" hidden="1" customWidth="1" outlineLevel="2"/>
    <col min="50" max="50" width="12.42578125" hidden="1" customWidth="1" outlineLevel="2"/>
    <col min="51" max="51" width="12.42578125" hidden="1" customWidth="1" outlineLevel="1" collapsed="1"/>
    <col min="52" max="53" width="12.42578125" hidden="1" customWidth="1" outlineLevel="2"/>
    <col min="54" max="54" width="12.42578125" hidden="1" customWidth="1" outlineLevel="1" collapsed="1"/>
    <col min="55" max="56" width="12.42578125" hidden="1" customWidth="1" outlineLevel="2"/>
    <col min="57" max="57" width="12.42578125" hidden="1" customWidth="1" outlineLevel="1" collapsed="1"/>
    <col min="58" max="59" width="12.42578125" hidden="1" customWidth="1" outlineLevel="2"/>
    <col min="60" max="60" width="12.42578125" hidden="1" customWidth="1" outlineLevel="1" collapsed="1"/>
    <col min="61" max="62" width="12.42578125" hidden="1" customWidth="1" outlineLevel="2"/>
    <col min="63" max="63" width="12.42578125" hidden="1" customWidth="1" outlineLevel="1" collapsed="1"/>
    <col min="64" max="65" width="12.42578125" hidden="1" customWidth="1" outlineLevel="2"/>
    <col min="66" max="66" width="12.42578125" customWidth="1" collapsed="1"/>
    <col min="67" max="67" width="12.42578125" hidden="1" customWidth="1" outlineLevel="1"/>
    <col min="68" max="69" width="12.42578125" hidden="1" customWidth="1" outlineLevel="2"/>
    <col min="70" max="70" width="12.42578125" hidden="1" customWidth="1" outlineLevel="1" collapsed="1"/>
    <col min="71" max="72" width="12.42578125" hidden="1" customWidth="1" outlineLevel="2"/>
    <col min="73" max="73" width="12.42578125" hidden="1" customWidth="1" outlineLevel="1" collapsed="1"/>
    <col min="74" max="75" width="12.42578125" hidden="1" customWidth="1" outlineLevel="2"/>
    <col min="76" max="76" width="12.42578125" hidden="1" customWidth="1" outlineLevel="1" collapsed="1"/>
    <col min="77" max="78" width="12.42578125" hidden="1" customWidth="1" outlineLevel="2"/>
    <col min="79" max="79" width="12.42578125" hidden="1" customWidth="1" outlineLevel="1" collapsed="1"/>
    <col min="80" max="81" width="12.42578125" hidden="1" customWidth="1" outlineLevel="2"/>
    <col min="82" max="82" width="12.42578125" hidden="1" customWidth="1" outlineLevel="1" collapsed="1"/>
    <col min="83" max="84" width="12.42578125" hidden="1" customWidth="1" outlineLevel="2"/>
    <col min="85" max="85" width="12.42578125" customWidth="1" collapsed="1"/>
    <col min="86" max="86" width="12.42578125" hidden="1" customWidth="1" outlineLevel="1"/>
    <col min="87" max="87" width="12.42578125" style="129" hidden="1" customWidth="1" outlineLevel="2"/>
    <col min="88" max="88" width="12.42578125" hidden="1" customWidth="1" outlineLevel="2"/>
    <col min="89" max="89" width="12.42578125" hidden="1" customWidth="1" outlineLevel="1" collapsed="1"/>
    <col min="90" max="91" width="12.42578125" hidden="1" customWidth="1" outlineLevel="2"/>
    <col min="92" max="92" width="12.42578125" hidden="1" customWidth="1" outlineLevel="1" collapsed="1"/>
    <col min="93" max="94" width="12.42578125" hidden="1" customWidth="1" outlineLevel="2"/>
    <col min="95" max="95" width="12.42578125" hidden="1" customWidth="1" outlineLevel="1" collapsed="1"/>
    <col min="96" max="97" width="12.42578125" hidden="1" customWidth="1" outlineLevel="2"/>
    <col min="98" max="98" width="12.42578125" hidden="1" customWidth="1" outlineLevel="1" collapsed="1"/>
    <col min="99" max="100" width="12.42578125" hidden="1" customWidth="1" outlineLevel="2"/>
    <col min="101" max="101" width="12.42578125" hidden="1" customWidth="1" outlineLevel="1" collapsed="1"/>
    <col min="102" max="103" width="12.42578125" hidden="1" customWidth="1" outlineLevel="2"/>
    <col min="104" max="104" width="12.42578125" customWidth="1" collapsed="1"/>
    <col min="105" max="105" width="12.42578125" hidden="1" customWidth="1" outlineLevel="1"/>
    <col min="106" max="107" width="12.42578125" hidden="1" customWidth="1" outlineLevel="2"/>
    <col min="108" max="108" width="12.42578125" hidden="1" customWidth="1" outlineLevel="1" collapsed="1"/>
    <col min="109" max="110" width="12.42578125" hidden="1" customWidth="1" outlineLevel="2"/>
    <col min="111" max="111" width="12.42578125" hidden="1" customWidth="1" outlineLevel="1" collapsed="1"/>
    <col min="112" max="113" width="12.42578125" hidden="1" customWidth="1" outlineLevel="2"/>
    <col min="114" max="114" width="12.42578125" hidden="1" customWidth="1" outlineLevel="1" collapsed="1"/>
    <col min="115" max="116" width="12.42578125" hidden="1" customWidth="1" outlineLevel="2"/>
    <col min="117" max="117" width="12.42578125" hidden="1" customWidth="1" outlineLevel="1" collapsed="1"/>
    <col min="118" max="119" width="12.42578125" hidden="1" customWidth="1" outlineLevel="2"/>
    <col min="120" max="120" width="12.42578125" hidden="1" customWidth="1" outlineLevel="1" collapsed="1"/>
    <col min="121" max="122" width="12.42578125" hidden="1" customWidth="1" outlineLevel="2"/>
    <col min="123" max="123" width="9.140625" customWidth="1" collapsed="1"/>
  </cols>
  <sheetData>
    <row r="1" spans="1:122" ht="15.75">
      <c r="A1" s="285" t="s">
        <v>595</v>
      </c>
      <c r="B1" s="285"/>
      <c r="C1" s="285"/>
      <c r="D1" s="285"/>
      <c r="E1" s="285"/>
      <c r="F1" s="285"/>
      <c r="G1" s="285"/>
      <c r="H1" s="285"/>
      <c r="I1" s="65"/>
      <c r="J1" s="65"/>
      <c r="K1" s="66"/>
      <c r="L1" s="164"/>
      <c r="M1" s="65"/>
      <c r="N1" s="66"/>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6"/>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6"/>
      <c r="CJ1" s="65"/>
      <c r="CK1" s="65"/>
      <c r="CL1" s="65"/>
      <c r="CM1" s="65"/>
      <c r="CN1" s="65"/>
      <c r="CO1" s="65"/>
      <c r="CP1" s="65"/>
      <c r="CQ1" s="65"/>
      <c r="CR1" s="65"/>
      <c r="CS1" s="65"/>
      <c r="CT1" s="65"/>
      <c r="CU1" s="65"/>
      <c r="CV1" s="65"/>
      <c r="CW1" s="65"/>
      <c r="CX1" s="65"/>
      <c r="CY1" s="65"/>
      <c r="CZ1" s="65"/>
      <c r="DA1" s="65"/>
      <c r="DB1" s="65"/>
      <c r="DC1" s="65"/>
      <c r="DD1" s="65"/>
      <c r="DE1" s="65"/>
      <c r="DF1" s="65"/>
      <c r="DG1" s="65"/>
      <c r="DH1" s="65"/>
      <c r="DI1" s="65"/>
      <c r="DJ1" s="65"/>
      <c r="DK1" s="65"/>
      <c r="DL1" s="65"/>
      <c r="DM1" s="65"/>
      <c r="DN1" s="65"/>
      <c r="DO1" s="65"/>
      <c r="DP1" s="65"/>
      <c r="DQ1" s="65"/>
      <c r="DR1" s="65"/>
    </row>
    <row r="2" spans="1:122" s="129" customFormat="1" ht="32.25">
      <c r="A2" s="124" t="s">
        <v>16</v>
      </c>
      <c r="B2" s="124" t="s">
        <v>596</v>
      </c>
      <c r="C2" s="124" t="s">
        <v>398</v>
      </c>
      <c r="D2" s="124" t="s">
        <v>40</v>
      </c>
      <c r="E2" s="124" t="s">
        <v>41</v>
      </c>
      <c r="F2" s="124" t="s">
        <v>399</v>
      </c>
      <c r="G2" s="124" t="s">
        <v>42</v>
      </c>
      <c r="H2" s="112" t="s">
        <v>597</v>
      </c>
      <c r="I2" s="125" t="s">
        <v>598</v>
      </c>
      <c r="J2" s="125" t="s">
        <v>599</v>
      </c>
      <c r="K2" s="126" t="s">
        <v>600</v>
      </c>
      <c r="L2" s="165" t="s">
        <v>601</v>
      </c>
      <c r="M2" s="125" t="s">
        <v>599</v>
      </c>
      <c r="N2" s="126" t="s">
        <v>600</v>
      </c>
      <c r="O2" s="126" t="s">
        <v>601</v>
      </c>
      <c r="P2" s="125" t="s">
        <v>599</v>
      </c>
      <c r="Q2" s="126" t="s">
        <v>600</v>
      </c>
      <c r="R2" s="126" t="s">
        <v>601</v>
      </c>
      <c r="S2" s="125" t="s">
        <v>599</v>
      </c>
      <c r="T2" s="126" t="s">
        <v>600</v>
      </c>
      <c r="U2" s="126" t="s">
        <v>601</v>
      </c>
      <c r="V2" s="125" t="s">
        <v>599</v>
      </c>
      <c r="W2" s="126" t="s">
        <v>600</v>
      </c>
      <c r="X2" s="126" t="s">
        <v>601</v>
      </c>
      <c r="Y2" s="125" t="s">
        <v>599</v>
      </c>
      <c r="Z2" s="126" t="s">
        <v>600</v>
      </c>
      <c r="AA2" s="126" t="s">
        <v>601</v>
      </c>
      <c r="AB2" s="127" t="s">
        <v>602</v>
      </c>
      <c r="AC2" s="127" t="s">
        <v>599</v>
      </c>
      <c r="AD2" s="128" t="s">
        <v>600</v>
      </c>
      <c r="AE2" s="128" t="s">
        <v>601</v>
      </c>
      <c r="AF2" s="127" t="s">
        <v>599</v>
      </c>
      <c r="AG2" s="128" t="s">
        <v>600</v>
      </c>
      <c r="AH2" s="128" t="s">
        <v>601</v>
      </c>
      <c r="AI2" s="127" t="s">
        <v>599</v>
      </c>
      <c r="AJ2" s="128" t="s">
        <v>600</v>
      </c>
      <c r="AK2" s="128" t="s">
        <v>601</v>
      </c>
      <c r="AL2" s="127" t="s">
        <v>599</v>
      </c>
      <c r="AM2" s="128" t="s">
        <v>600</v>
      </c>
      <c r="AN2" s="128" t="s">
        <v>601</v>
      </c>
      <c r="AO2" s="127" t="s">
        <v>599</v>
      </c>
      <c r="AP2" s="128" t="s">
        <v>600</v>
      </c>
      <c r="AQ2" s="128" t="s">
        <v>601</v>
      </c>
      <c r="AR2" s="127" t="s">
        <v>599</v>
      </c>
      <c r="AS2" s="128" t="s">
        <v>600</v>
      </c>
      <c r="AT2" s="128" t="s">
        <v>601</v>
      </c>
      <c r="AU2" s="125" t="s">
        <v>603</v>
      </c>
      <c r="AV2" s="125" t="s">
        <v>599</v>
      </c>
      <c r="AW2" s="126" t="s">
        <v>600</v>
      </c>
      <c r="AX2" s="126" t="s">
        <v>601</v>
      </c>
      <c r="AY2" s="125" t="s">
        <v>599</v>
      </c>
      <c r="AZ2" s="126" t="s">
        <v>600</v>
      </c>
      <c r="BA2" s="126" t="s">
        <v>601</v>
      </c>
      <c r="BB2" s="125" t="s">
        <v>599</v>
      </c>
      <c r="BC2" s="126" t="s">
        <v>600</v>
      </c>
      <c r="BD2" s="126" t="s">
        <v>601</v>
      </c>
      <c r="BE2" s="125" t="s">
        <v>599</v>
      </c>
      <c r="BF2" s="126" t="s">
        <v>600</v>
      </c>
      <c r="BG2" s="126" t="s">
        <v>601</v>
      </c>
      <c r="BH2" s="125" t="s">
        <v>599</v>
      </c>
      <c r="BI2" s="126" t="s">
        <v>600</v>
      </c>
      <c r="BJ2" s="126" t="s">
        <v>601</v>
      </c>
      <c r="BK2" s="125" t="s">
        <v>599</v>
      </c>
      <c r="BL2" s="126" t="s">
        <v>600</v>
      </c>
      <c r="BM2" s="126" t="s">
        <v>601</v>
      </c>
      <c r="BN2" s="127" t="s">
        <v>604</v>
      </c>
      <c r="BO2" s="127" t="s">
        <v>599</v>
      </c>
      <c r="BP2" s="128" t="s">
        <v>600</v>
      </c>
      <c r="BQ2" s="128" t="s">
        <v>601</v>
      </c>
      <c r="BR2" s="127" t="s">
        <v>599</v>
      </c>
      <c r="BS2" s="128" t="s">
        <v>600</v>
      </c>
      <c r="BT2" s="128" t="s">
        <v>601</v>
      </c>
      <c r="BU2" s="127" t="s">
        <v>599</v>
      </c>
      <c r="BV2" s="128" t="s">
        <v>600</v>
      </c>
      <c r="BW2" s="128" t="s">
        <v>601</v>
      </c>
      <c r="BX2" s="127" t="s">
        <v>599</v>
      </c>
      <c r="BY2" s="128" t="s">
        <v>600</v>
      </c>
      <c r="BZ2" s="128" t="s">
        <v>601</v>
      </c>
      <c r="CA2" s="127" t="s">
        <v>599</v>
      </c>
      <c r="CB2" s="128" t="s">
        <v>600</v>
      </c>
      <c r="CC2" s="128" t="s">
        <v>601</v>
      </c>
      <c r="CD2" s="127" t="s">
        <v>599</v>
      </c>
      <c r="CE2" s="128" t="s">
        <v>600</v>
      </c>
      <c r="CF2" s="128" t="s">
        <v>601</v>
      </c>
      <c r="CG2" s="125" t="s">
        <v>605</v>
      </c>
      <c r="CH2" s="125" t="s">
        <v>599</v>
      </c>
      <c r="CI2" s="126" t="s">
        <v>600</v>
      </c>
      <c r="CJ2" s="126" t="s">
        <v>601</v>
      </c>
      <c r="CK2" s="125" t="s">
        <v>599</v>
      </c>
      <c r="CL2" s="126" t="s">
        <v>600</v>
      </c>
      <c r="CM2" s="126" t="s">
        <v>601</v>
      </c>
      <c r="CN2" s="125" t="s">
        <v>599</v>
      </c>
      <c r="CO2" s="126" t="s">
        <v>600</v>
      </c>
      <c r="CP2" s="126" t="s">
        <v>601</v>
      </c>
      <c r="CQ2" s="125" t="s">
        <v>599</v>
      </c>
      <c r="CR2" s="126" t="s">
        <v>600</v>
      </c>
      <c r="CS2" s="126" t="s">
        <v>601</v>
      </c>
      <c r="CT2" s="125" t="s">
        <v>599</v>
      </c>
      <c r="CU2" s="126" t="s">
        <v>600</v>
      </c>
      <c r="CV2" s="126" t="s">
        <v>601</v>
      </c>
      <c r="CW2" s="125" t="s">
        <v>599</v>
      </c>
      <c r="CX2" s="126" t="s">
        <v>600</v>
      </c>
      <c r="CY2" s="126" t="s">
        <v>601</v>
      </c>
      <c r="CZ2" s="127" t="s">
        <v>606</v>
      </c>
      <c r="DA2" s="127" t="s">
        <v>599</v>
      </c>
      <c r="DB2" s="128" t="s">
        <v>600</v>
      </c>
      <c r="DC2" s="128" t="s">
        <v>601</v>
      </c>
      <c r="DD2" s="127" t="s">
        <v>599</v>
      </c>
      <c r="DE2" s="128" t="s">
        <v>600</v>
      </c>
      <c r="DF2" s="128" t="s">
        <v>601</v>
      </c>
      <c r="DG2" s="127" t="s">
        <v>599</v>
      </c>
      <c r="DH2" s="128" t="s">
        <v>600</v>
      </c>
      <c r="DI2" s="128" t="s">
        <v>601</v>
      </c>
      <c r="DJ2" s="127" t="s">
        <v>599</v>
      </c>
      <c r="DK2" s="128" t="s">
        <v>600</v>
      </c>
      <c r="DL2" s="128" t="s">
        <v>601</v>
      </c>
      <c r="DM2" s="127" t="s">
        <v>599</v>
      </c>
      <c r="DN2" s="128" t="s">
        <v>600</v>
      </c>
      <c r="DO2" s="128" t="s">
        <v>601</v>
      </c>
      <c r="DP2" s="127" t="s">
        <v>599</v>
      </c>
      <c r="DQ2" s="128" t="s">
        <v>600</v>
      </c>
      <c r="DR2" s="128" t="s">
        <v>601</v>
      </c>
    </row>
    <row r="3" spans="1:122">
      <c r="A3" s="113"/>
      <c r="B3" s="113"/>
      <c r="C3" s="114"/>
      <c r="D3" s="115"/>
      <c r="E3" s="149"/>
      <c r="F3" s="114"/>
      <c r="G3" s="151"/>
      <c r="H3" s="116"/>
      <c r="I3" s="117"/>
      <c r="J3" s="117">
        <v>46174</v>
      </c>
      <c r="K3" s="146" t="s">
        <v>501</v>
      </c>
      <c r="L3" s="166" t="s">
        <v>501</v>
      </c>
      <c r="M3" s="117">
        <f>J3+1</f>
        <v>46175</v>
      </c>
      <c r="N3" s="146" t="s">
        <v>501</v>
      </c>
      <c r="O3" s="118" t="s">
        <v>501</v>
      </c>
      <c r="P3" s="117">
        <f>J3+2</f>
        <v>46176</v>
      </c>
      <c r="Q3" s="118" t="s">
        <v>501</v>
      </c>
      <c r="R3" s="118" t="s">
        <v>501</v>
      </c>
      <c r="S3" s="117">
        <f>J3+3</f>
        <v>46177</v>
      </c>
      <c r="T3" s="118" t="s">
        <v>501</v>
      </c>
      <c r="U3" s="118" t="s">
        <v>501</v>
      </c>
      <c r="V3" s="117">
        <f>J3+4</f>
        <v>46178</v>
      </c>
      <c r="W3" s="118" t="s">
        <v>501</v>
      </c>
      <c r="X3" s="118" t="s">
        <v>501</v>
      </c>
      <c r="Y3" s="117">
        <f>J3+5</f>
        <v>46179</v>
      </c>
      <c r="Z3" s="118" t="s">
        <v>501</v>
      </c>
      <c r="AA3" s="118" t="s">
        <v>501</v>
      </c>
      <c r="AB3" s="119"/>
      <c r="AC3" s="119">
        <v>46181</v>
      </c>
      <c r="AD3" s="120" t="s">
        <v>501</v>
      </c>
      <c r="AE3" s="120" t="s">
        <v>501</v>
      </c>
      <c r="AF3" s="130">
        <f>AC3+1</f>
        <v>46182</v>
      </c>
      <c r="AG3" s="131" t="s">
        <v>501</v>
      </c>
      <c r="AH3" s="131" t="s">
        <v>501</v>
      </c>
      <c r="AI3" s="130">
        <f>AC3+2</f>
        <v>46183</v>
      </c>
      <c r="AJ3" s="131" t="s">
        <v>501</v>
      </c>
      <c r="AK3" s="131" t="s">
        <v>501</v>
      </c>
      <c r="AL3" s="130">
        <f>AC3+3</f>
        <v>46184</v>
      </c>
      <c r="AM3" s="131" t="s">
        <v>501</v>
      </c>
      <c r="AN3" s="131" t="s">
        <v>501</v>
      </c>
      <c r="AO3" s="130">
        <f>AC3+4</f>
        <v>46185</v>
      </c>
      <c r="AP3" s="131" t="s">
        <v>501</v>
      </c>
      <c r="AQ3" s="131" t="s">
        <v>501</v>
      </c>
      <c r="AR3" s="130">
        <f>AC3+5</f>
        <v>46186</v>
      </c>
      <c r="AS3" s="120" t="s">
        <v>501</v>
      </c>
      <c r="AT3" s="120" t="s">
        <v>501</v>
      </c>
      <c r="AU3" s="117"/>
      <c r="AV3" s="117">
        <v>46188</v>
      </c>
      <c r="AW3" s="146" t="s">
        <v>501</v>
      </c>
      <c r="AX3" s="118" t="s">
        <v>501</v>
      </c>
      <c r="AY3" s="117">
        <f>AV3+1</f>
        <v>46189</v>
      </c>
      <c r="AZ3" s="118" t="s">
        <v>501</v>
      </c>
      <c r="BA3" s="118" t="s">
        <v>501</v>
      </c>
      <c r="BB3" s="117">
        <f>AV3+2</f>
        <v>46190</v>
      </c>
      <c r="BC3" s="118" t="s">
        <v>501</v>
      </c>
      <c r="BD3" s="118" t="s">
        <v>501</v>
      </c>
      <c r="BE3" s="117">
        <f>AV3+3</f>
        <v>46191</v>
      </c>
      <c r="BF3" s="118" t="s">
        <v>501</v>
      </c>
      <c r="BG3" s="118" t="s">
        <v>501</v>
      </c>
      <c r="BH3" s="117">
        <f>AV3+4</f>
        <v>46192</v>
      </c>
      <c r="BI3" s="118" t="s">
        <v>501</v>
      </c>
      <c r="BJ3" s="118" t="s">
        <v>501</v>
      </c>
      <c r="BK3" s="117">
        <f>AV3+5</f>
        <v>46193</v>
      </c>
      <c r="BL3" s="118" t="s">
        <v>501</v>
      </c>
      <c r="BM3" s="118" t="s">
        <v>501</v>
      </c>
      <c r="BN3" s="119"/>
      <c r="BO3" s="119">
        <v>46195</v>
      </c>
      <c r="BP3" s="120" t="s">
        <v>501</v>
      </c>
      <c r="BQ3" s="120" t="s">
        <v>501</v>
      </c>
      <c r="BR3" s="130">
        <f>BO3+1</f>
        <v>46196</v>
      </c>
      <c r="BS3" s="131" t="s">
        <v>501</v>
      </c>
      <c r="BT3" s="131" t="s">
        <v>501</v>
      </c>
      <c r="BU3" s="130">
        <f>BO3+2</f>
        <v>46197</v>
      </c>
      <c r="BV3" s="131" t="s">
        <v>501</v>
      </c>
      <c r="BW3" s="131" t="s">
        <v>501</v>
      </c>
      <c r="BX3" s="130">
        <f>BO3+3</f>
        <v>46198</v>
      </c>
      <c r="BY3" s="131" t="s">
        <v>501</v>
      </c>
      <c r="BZ3" s="131" t="s">
        <v>501</v>
      </c>
      <c r="CA3" s="130">
        <f>BO3+4</f>
        <v>46199</v>
      </c>
      <c r="CB3" s="131" t="s">
        <v>501</v>
      </c>
      <c r="CC3" s="131" t="s">
        <v>501</v>
      </c>
      <c r="CD3" s="130">
        <f>BO3+5</f>
        <v>46200</v>
      </c>
      <c r="CE3" s="120" t="s">
        <v>501</v>
      </c>
      <c r="CF3" s="120" t="s">
        <v>501</v>
      </c>
      <c r="CG3" s="117"/>
      <c r="CH3" s="117">
        <v>46202</v>
      </c>
      <c r="CI3" s="146" t="s">
        <v>501</v>
      </c>
      <c r="CJ3" s="118" t="s">
        <v>501</v>
      </c>
      <c r="CK3" s="117">
        <f>CH3+1</f>
        <v>46203</v>
      </c>
      <c r="CL3" s="118" t="s">
        <v>501</v>
      </c>
      <c r="CM3" s="118" t="s">
        <v>501</v>
      </c>
      <c r="CN3" s="117">
        <f>CH3+2</f>
        <v>46204</v>
      </c>
      <c r="CO3" s="118" t="s">
        <v>501</v>
      </c>
      <c r="CP3" s="118" t="s">
        <v>501</v>
      </c>
      <c r="CQ3" s="117">
        <f>CH3+3</f>
        <v>46205</v>
      </c>
      <c r="CR3" s="118" t="s">
        <v>501</v>
      </c>
      <c r="CS3" s="118" t="s">
        <v>501</v>
      </c>
      <c r="CT3" s="117">
        <f>CH3+4</f>
        <v>46206</v>
      </c>
      <c r="CU3" s="118" t="s">
        <v>501</v>
      </c>
      <c r="CV3" s="118" t="s">
        <v>501</v>
      </c>
      <c r="CW3" s="117">
        <f>CH3+5</f>
        <v>46207</v>
      </c>
      <c r="CX3" s="118" t="s">
        <v>501</v>
      </c>
      <c r="CY3" s="118" t="s">
        <v>501</v>
      </c>
      <c r="CZ3" s="119"/>
      <c r="DA3" s="119">
        <v>46209</v>
      </c>
      <c r="DB3" s="120" t="s">
        <v>501</v>
      </c>
      <c r="DC3" s="120" t="s">
        <v>501</v>
      </c>
      <c r="DD3" s="130">
        <f>DA3+1</f>
        <v>46210</v>
      </c>
      <c r="DE3" s="131" t="s">
        <v>501</v>
      </c>
      <c r="DF3" s="131" t="s">
        <v>501</v>
      </c>
      <c r="DG3" s="130">
        <f>DA3+2</f>
        <v>46211</v>
      </c>
      <c r="DH3" s="131" t="s">
        <v>501</v>
      </c>
      <c r="DI3" s="131" t="s">
        <v>501</v>
      </c>
      <c r="DJ3" s="130">
        <f>DA3+3</f>
        <v>46212</v>
      </c>
      <c r="DK3" s="131" t="s">
        <v>501</v>
      </c>
      <c r="DL3" s="131" t="s">
        <v>501</v>
      </c>
      <c r="DM3" s="130">
        <f>DA3+4</f>
        <v>46213</v>
      </c>
      <c r="DN3" s="131" t="s">
        <v>501</v>
      </c>
      <c r="DO3" s="131" t="s">
        <v>501</v>
      </c>
      <c r="DP3" s="130">
        <f>DA3+5</f>
        <v>46214</v>
      </c>
      <c r="DQ3" s="120" t="s">
        <v>501</v>
      </c>
      <c r="DR3" s="120" t="s">
        <v>501</v>
      </c>
    </row>
    <row r="4" spans="1:122">
      <c r="A4" s="36" t="s">
        <v>31</v>
      </c>
      <c r="B4" s="82"/>
      <c r="C4" s="81" t="str">
        <f>IF($B4="","",INDEX('Bảng 3'!C:C,MATCH($B4,'Bảng 3'!$A:$A,0)))</f>
        <v/>
      </c>
      <c r="D4" s="81" t="str">
        <f>IF($B4="","",INDEX('Bảng 3'!D:D,MATCH($B4,'Bảng 3'!$A:$A,0)))</f>
        <v/>
      </c>
      <c r="E4" s="81" t="str">
        <f>IF($B4="","",INDEX('Bảng 3'!E:E,MATCH($B4,'Bảng 3'!$A:$A,0)))</f>
        <v/>
      </c>
      <c r="F4" s="81" t="str">
        <f>IF($B4="","",INDEX('Bảng 3'!F:F,MATCH($B4,'Bảng 3'!$A:$A,0)))</f>
        <v/>
      </c>
      <c r="G4" s="81" t="str">
        <f>IF($B4="","",INDEX('Bảng 3'!G:G,MATCH($B4,'Bảng 3'!$A:$A,0)))</f>
        <v/>
      </c>
      <c r="H4" s="121"/>
      <c r="I4" s="138"/>
      <c r="J4" s="138">
        <f>J$3</f>
        <v>46174</v>
      </c>
      <c r="K4" s="158" t="s">
        <v>501</v>
      </c>
      <c r="L4" s="167">
        <f>SUM(L5:L15)</f>
        <v>10.25</v>
      </c>
      <c r="M4" s="138">
        <f>M$3</f>
        <v>46175</v>
      </c>
      <c r="N4" s="147" t="s">
        <v>501</v>
      </c>
      <c r="O4" s="133">
        <f>SUM(O5:O15)</f>
        <v>8.5</v>
      </c>
      <c r="P4" s="138">
        <f>P$3</f>
        <v>46176</v>
      </c>
      <c r="Q4" s="132" t="s">
        <v>501</v>
      </c>
      <c r="R4" s="133">
        <f>SUM(R5:R15)</f>
        <v>0</v>
      </c>
      <c r="S4" s="138">
        <f>S$3</f>
        <v>46177</v>
      </c>
      <c r="T4" s="132" t="s">
        <v>501</v>
      </c>
      <c r="U4" s="133">
        <f>SUM(U5:U15)</f>
        <v>0</v>
      </c>
      <c r="V4" s="138">
        <f>V$3</f>
        <v>46178</v>
      </c>
      <c r="W4" s="132" t="s">
        <v>501</v>
      </c>
      <c r="X4" s="133">
        <f>SUM(X5:X15)</f>
        <v>0</v>
      </c>
      <c r="Y4" s="138">
        <f>Y$3</f>
        <v>46179</v>
      </c>
      <c r="Z4" s="132" t="s">
        <v>501</v>
      </c>
      <c r="AA4" s="133">
        <f>SUM(AA5:AA15)</f>
        <v>0</v>
      </c>
      <c r="AB4" s="138"/>
      <c r="AC4" s="138">
        <f>AC$3</f>
        <v>46181</v>
      </c>
      <c r="AD4" s="132" t="s">
        <v>501</v>
      </c>
      <c r="AE4" s="133">
        <f>SUM(AE5:AE15)</f>
        <v>0</v>
      </c>
      <c r="AF4" s="138">
        <f>AF$3</f>
        <v>46182</v>
      </c>
      <c r="AG4" s="132" t="s">
        <v>501</v>
      </c>
      <c r="AH4" s="133">
        <f>SUM(AH5:AH15)</f>
        <v>0</v>
      </c>
      <c r="AI4" s="138">
        <f>AI$3</f>
        <v>46183</v>
      </c>
      <c r="AJ4" s="132" t="s">
        <v>501</v>
      </c>
      <c r="AK4" s="133">
        <f>SUM(AK5:AK15)</f>
        <v>0</v>
      </c>
      <c r="AL4" s="138">
        <f>AL$3</f>
        <v>46184</v>
      </c>
      <c r="AM4" s="132" t="s">
        <v>501</v>
      </c>
      <c r="AN4" s="133">
        <f>SUM(AN5:AN15)</f>
        <v>0</v>
      </c>
      <c r="AO4" s="138">
        <f>AO$3</f>
        <v>46185</v>
      </c>
      <c r="AP4" s="132" t="s">
        <v>501</v>
      </c>
      <c r="AQ4" s="133">
        <f>SUM(AQ5:AQ15)</f>
        <v>0</v>
      </c>
      <c r="AR4" s="138">
        <f>AR$3</f>
        <v>46186</v>
      </c>
      <c r="AS4" s="132" t="s">
        <v>501</v>
      </c>
      <c r="AT4" s="133">
        <f>SUM(AT5:AT15)</f>
        <v>0</v>
      </c>
      <c r="AU4" s="138"/>
      <c r="AV4" s="138">
        <f>AV$3</f>
        <v>46188</v>
      </c>
      <c r="AW4" s="147" t="s">
        <v>501</v>
      </c>
      <c r="AX4" s="133">
        <f>SUM(AX5:AX15)</f>
        <v>0</v>
      </c>
      <c r="AY4" s="138">
        <f>AY$3</f>
        <v>46189</v>
      </c>
      <c r="AZ4" s="132" t="s">
        <v>501</v>
      </c>
      <c r="BA4" s="133">
        <f>SUM(BA5:BA15)</f>
        <v>0</v>
      </c>
      <c r="BB4" s="138">
        <f>BB$3</f>
        <v>46190</v>
      </c>
      <c r="BC4" s="132" t="s">
        <v>501</v>
      </c>
      <c r="BD4" s="133">
        <f>SUM(BD5:BD15)</f>
        <v>0</v>
      </c>
      <c r="BE4" s="138">
        <f>BE$3</f>
        <v>46191</v>
      </c>
      <c r="BF4" s="132" t="s">
        <v>501</v>
      </c>
      <c r="BG4" s="133">
        <f>SUM(BG5:BG15)</f>
        <v>0</v>
      </c>
      <c r="BH4" s="138">
        <f>BH$3</f>
        <v>46192</v>
      </c>
      <c r="BI4" s="132" t="s">
        <v>501</v>
      </c>
      <c r="BJ4" s="133">
        <f>SUM(BJ5:BJ15)</f>
        <v>0</v>
      </c>
      <c r="BK4" s="138">
        <f>BK$3</f>
        <v>46193</v>
      </c>
      <c r="BL4" s="132" t="s">
        <v>501</v>
      </c>
      <c r="BM4" s="133">
        <f>SUM(BM5:BM15)</f>
        <v>0</v>
      </c>
      <c r="BN4" s="138"/>
      <c r="BO4" s="138">
        <f>BO$3</f>
        <v>46195</v>
      </c>
      <c r="BP4" s="132" t="s">
        <v>501</v>
      </c>
      <c r="BQ4" s="133">
        <f>SUM(BQ5:BQ15)</f>
        <v>0</v>
      </c>
      <c r="BR4" s="138">
        <f>BR$3</f>
        <v>46196</v>
      </c>
      <c r="BS4" s="132" t="s">
        <v>501</v>
      </c>
      <c r="BT4" s="133">
        <f>SUM(BT5:BT15)</f>
        <v>0</v>
      </c>
      <c r="BU4" s="138">
        <f>BU$3</f>
        <v>46197</v>
      </c>
      <c r="BV4" s="132" t="s">
        <v>501</v>
      </c>
      <c r="BW4" s="133">
        <f>SUM(BW5:BW15)</f>
        <v>0</v>
      </c>
      <c r="BX4" s="138">
        <f>BX$3</f>
        <v>46198</v>
      </c>
      <c r="BY4" s="132" t="s">
        <v>501</v>
      </c>
      <c r="BZ4" s="133">
        <f>SUM(BZ5:BZ15)</f>
        <v>0</v>
      </c>
      <c r="CA4" s="138">
        <f>CA$3</f>
        <v>46199</v>
      </c>
      <c r="CB4" s="132" t="s">
        <v>501</v>
      </c>
      <c r="CC4" s="133">
        <f>SUM(CC5:CC15)</f>
        <v>0</v>
      </c>
      <c r="CD4" s="138">
        <f>CD$3</f>
        <v>46200</v>
      </c>
      <c r="CE4" s="132" t="s">
        <v>501</v>
      </c>
      <c r="CF4" s="133">
        <f>SUM(CF5:CF15)</f>
        <v>0</v>
      </c>
      <c r="CG4" s="138"/>
      <c r="CH4" s="138">
        <f>CH$3</f>
        <v>46202</v>
      </c>
      <c r="CI4" s="147" t="s">
        <v>501</v>
      </c>
      <c r="CJ4" s="133">
        <f>SUM(CJ5:CJ15)</f>
        <v>0</v>
      </c>
      <c r="CK4" s="138">
        <f>CK$3</f>
        <v>46203</v>
      </c>
      <c r="CL4" s="132" t="s">
        <v>501</v>
      </c>
      <c r="CM4" s="133">
        <f>SUM(CM5:CM15)</f>
        <v>0</v>
      </c>
      <c r="CN4" s="138">
        <f>CN$3</f>
        <v>46204</v>
      </c>
      <c r="CO4" s="132" t="s">
        <v>501</v>
      </c>
      <c r="CP4" s="133">
        <f>SUM(CP5:CP15)</f>
        <v>0</v>
      </c>
      <c r="CQ4" s="138">
        <f>CQ$3</f>
        <v>46205</v>
      </c>
      <c r="CR4" s="132" t="s">
        <v>501</v>
      </c>
      <c r="CS4" s="133">
        <f>SUM(CS5:CS15)</f>
        <v>0</v>
      </c>
      <c r="CT4" s="138">
        <f>CT$3</f>
        <v>46206</v>
      </c>
      <c r="CU4" s="132" t="s">
        <v>501</v>
      </c>
      <c r="CV4" s="133">
        <f>SUM(CV5:CV15)</f>
        <v>0</v>
      </c>
      <c r="CW4" s="138">
        <f>CW$3</f>
        <v>46207</v>
      </c>
      <c r="CX4" s="132" t="s">
        <v>501</v>
      </c>
      <c r="CY4" s="133">
        <f>SUM(CY5:CY15)</f>
        <v>0</v>
      </c>
      <c r="CZ4" s="138"/>
      <c r="DA4" s="138">
        <f>DA$3</f>
        <v>46209</v>
      </c>
      <c r="DB4" s="132" t="s">
        <v>501</v>
      </c>
      <c r="DC4" s="133">
        <f>SUM(DC5:DC15)</f>
        <v>0</v>
      </c>
      <c r="DD4" s="138">
        <f>DD$3</f>
        <v>46210</v>
      </c>
      <c r="DE4" s="132" t="s">
        <v>501</v>
      </c>
      <c r="DF4" s="133">
        <f>SUM(DF5:DF15)</f>
        <v>0</v>
      </c>
      <c r="DG4" s="138">
        <f>DG$3</f>
        <v>46211</v>
      </c>
      <c r="DH4" s="132" t="s">
        <v>501</v>
      </c>
      <c r="DI4" s="133">
        <f>SUM(DI5:DI15)</f>
        <v>0</v>
      </c>
      <c r="DJ4" s="138">
        <f>DJ$3</f>
        <v>46212</v>
      </c>
      <c r="DK4" s="132" t="s">
        <v>501</v>
      </c>
      <c r="DL4" s="133">
        <f>SUM(DL5:DL15)</f>
        <v>0</v>
      </c>
      <c r="DM4" s="138">
        <f>DM$3</f>
        <v>46213</v>
      </c>
      <c r="DN4" s="132" t="s">
        <v>501</v>
      </c>
      <c r="DO4" s="133">
        <f>SUM(DO5:DO15)</f>
        <v>0</v>
      </c>
      <c r="DP4" s="138">
        <f>DP$3</f>
        <v>46214</v>
      </c>
      <c r="DQ4" s="132" t="s">
        <v>501</v>
      </c>
      <c r="DR4" s="133">
        <f>SUM(DR5:DR15)</f>
        <v>0</v>
      </c>
    </row>
    <row r="5" spans="1:122" outlineLevel="1">
      <c r="A5" s="122" t="str">
        <f>$A$4</f>
        <v>Lý Huy Thành</v>
      </c>
      <c r="B5" s="82" t="str">
        <f>'Bảng 3'!A335</f>
        <v>3.N.HCM.Q9.VP.101</v>
      </c>
      <c r="C5" s="81" t="str">
        <f>IF($B5="","",INDEX('Bảng 3'!C:C,MATCH($B5,'Bảng 3'!$A:$A,0)))</f>
        <v>Quản lý BIM</v>
      </c>
      <c r="D5" s="81" t="str">
        <f>IF($B5="","",INDEX('Bảng 3'!D:D,MATCH($B5,'Bảng 3'!$A:$A,0)))</f>
        <v>N.HCM.Q9.VP</v>
      </c>
      <c r="E5" s="81" t="str">
        <f>IF($B5="","",INDEX('Bảng 3'!E:E,MATCH($B5,'Bảng 3'!$A:$A,0)))</f>
        <v>Toà văn phòng 43 tầng</v>
      </c>
      <c r="F5" s="81" t="str">
        <f>IF($B5="","",INDEX('Bảng 3'!F:F,MATCH($B5,'Bảng 3'!$A:$A,0)))</f>
        <v>KT</v>
      </c>
      <c r="G5" s="81" t="str">
        <f>IF($B5="","",INDEX('Bảng 3'!G:G,MATCH($B5,'Bảng 3'!$A:$A,0)))</f>
        <v>Xuất khối lượng từ mô hình BIM</v>
      </c>
      <c r="H5" s="121">
        <v>46174</v>
      </c>
      <c r="I5" s="135"/>
      <c r="J5" s="135">
        <f>J$3</f>
        <v>46174</v>
      </c>
      <c r="K5" s="148" t="s">
        <v>607</v>
      </c>
      <c r="L5" s="168">
        <v>1</v>
      </c>
      <c r="M5" s="135">
        <f>M$3</f>
        <v>46175</v>
      </c>
      <c r="N5" s="148" t="s">
        <v>501</v>
      </c>
      <c r="O5" s="137" t="s">
        <v>501</v>
      </c>
      <c r="P5" s="135">
        <f>P$3</f>
        <v>46176</v>
      </c>
      <c r="Q5" s="136" t="s">
        <v>501</v>
      </c>
      <c r="R5" s="137" t="s">
        <v>501</v>
      </c>
      <c r="S5" s="135">
        <f>S$3</f>
        <v>46177</v>
      </c>
      <c r="T5" s="136" t="s">
        <v>501</v>
      </c>
      <c r="U5" s="137" t="s">
        <v>501</v>
      </c>
      <c r="V5" s="135">
        <f>V$3</f>
        <v>46178</v>
      </c>
      <c r="W5" s="136" t="s">
        <v>501</v>
      </c>
      <c r="X5" s="137" t="s">
        <v>501</v>
      </c>
      <c r="Y5" s="135">
        <f>Y$3</f>
        <v>46179</v>
      </c>
      <c r="Z5" s="136" t="s">
        <v>501</v>
      </c>
      <c r="AA5" s="137" t="s">
        <v>501</v>
      </c>
      <c r="AB5" s="135"/>
      <c r="AC5" s="135">
        <f>AC$3</f>
        <v>46181</v>
      </c>
      <c r="AD5" s="136" t="s">
        <v>501</v>
      </c>
      <c r="AE5" s="137" t="s">
        <v>501</v>
      </c>
      <c r="AF5" s="135">
        <f>AF$3</f>
        <v>46182</v>
      </c>
      <c r="AG5" s="136" t="s">
        <v>501</v>
      </c>
      <c r="AH5" s="137" t="s">
        <v>501</v>
      </c>
      <c r="AI5" s="135">
        <f>AI$3</f>
        <v>46183</v>
      </c>
      <c r="AJ5" s="136" t="s">
        <v>501</v>
      </c>
      <c r="AK5" s="137" t="s">
        <v>501</v>
      </c>
      <c r="AL5" s="135">
        <f>AL$3</f>
        <v>46184</v>
      </c>
      <c r="AM5" s="136" t="s">
        <v>501</v>
      </c>
      <c r="AN5" s="137" t="s">
        <v>501</v>
      </c>
      <c r="AO5" s="135">
        <f>AO$3</f>
        <v>46185</v>
      </c>
      <c r="AP5" s="136" t="s">
        <v>501</v>
      </c>
      <c r="AQ5" s="137" t="s">
        <v>501</v>
      </c>
      <c r="AR5" s="135">
        <f>AR$3</f>
        <v>46186</v>
      </c>
      <c r="AS5" s="136" t="s">
        <v>501</v>
      </c>
      <c r="AT5" s="137" t="s">
        <v>501</v>
      </c>
      <c r="AU5" s="135"/>
      <c r="AV5" s="135">
        <f>AV$3</f>
        <v>46188</v>
      </c>
      <c r="AW5" s="148" t="s">
        <v>501</v>
      </c>
      <c r="AX5" s="137" t="s">
        <v>501</v>
      </c>
      <c r="AY5" s="135">
        <f>AY$3</f>
        <v>46189</v>
      </c>
      <c r="AZ5" s="136" t="s">
        <v>501</v>
      </c>
      <c r="BA5" s="137" t="s">
        <v>501</v>
      </c>
      <c r="BB5" s="135">
        <f>BB$3</f>
        <v>46190</v>
      </c>
      <c r="BC5" s="136" t="s">
        <v>501</v>
      </c>
      <c r="BD5" s="137" t="s">
        <v>501</v>
      </c>
      <c r="BE5" s="135">
        <f>BE$3</f>
        <v>46191</v>
      </c>
      <c r="BF5" s="136" t="s">
        <v>501</v>
      </c>
      <c r="BG5" s="137" t="s">
        <v>501</v>
      </c>
      <c r="BH5" s="135">
        <f>BH$3</f>
        <v>46192</v>
      </c>
      <c r="BI5" s="136" t="s">
        <v>501</v>
      </c>
      <c r="BJ5" s="137" t="s">
        <v>501</v>
      </c>
      <c r="BK5" s="135">
        <f>BK$3</f>
        <v>46193</v>
      </c>
      <c r="BL5" s="136" t="s">
        <v>501</v>
      </c>
      <c r="BM5" s="137" t="s">
        <v>501</v>
      </c>
      <c r="BN5" s="135"/>
      <c r="BO5" s="135">
        <f>BO$3</f>
        <v>46195</v>
      </c>
      <c r="BP5" s="136" t="s">
        <v>501</v>
      </c>
      <c r="BQ5" s="137" t="s">
        <v>501</v>
      </c>
      <c r="BR5" s="135">
        <f>BR$3</f>
        <v>46196</v>
      </c>
      <c r="BS5" s="136" t="s">
        <v>501</v>
      </c>
      <c r="BT5" s="137" t="s">
        <v>501</v>
      </c>
      <c r="BU5" s="135">
        <f>BU$3</f>
        <v>46197</v>
      </c>
      <c r="BV5" s="136" t="s">
        <v>501</v>
      </c>
      <c r="BW5" s="137" t="s">
        <v>501</v>
      </c>
      <c r="BX5" s="135">
        <f>BX$3</f>
        <v>46198</v>
      </c>
      <c r="BY5" s="136" t="s">
        <v>501</v>
      </c>
      <c r="BZ5" s="137" t="s">
        <v>501</v>
      </c>
      <c r="CA5" s="135">
        <f>CA$3</f>
        <v>46199</v>
      </c>
      <c r="CB5" s="136" t="s">
        <v>501</v>
      </c>
      <c r="CC5" s="137" t="s">
        <v>501</v>
      </c>
      <c r="CD5" s="135">
        <f>CD$3</f>
        <v>46200</v>
      </c>
      <c r="CE5" s="136" t="s">
        <v>501</v>
      </c>
      <c r="CF5" s="137" t="s">
        <v>501</v>
      </c>
      <c r="CG5" s="135"/>
      <c r="CH5" s="135">
        <f>CH$3</f>
        <v>46202</v>
      </c>
      <c r="CI5" s="148" t="s">
        <v>501</v>
      </c>
      <c r="CJ5" s="137" t="s">
        <v>501</v>
      </c>
      <c r="CK5" s="135">
        <f>CK$3</f>
        <v>46203</v>
      </c>
      <c r="CL5" s="136" t="s">
        <v>501</v>
      </c>
      <c r="CM5" s="137" t="s">
        <v>501</v>
      </c>
      <c r="CN5" s="135">
        <f>CN$3</f>
        <v>46204</v>
      </c>
      <c r="CO5" s="136" t="s">
        <v>501</v>
      </c>
      <c r="CP5" s="137" t="s">
        <v>501</v>
      </c>
      <c r="CQ5" s="135">
        <f>CQ$3</f>
        <v>46205</v>
      </c>
      <c r="CR5" s="136" t="s">
        <v>501</v>
      </c>
      <c r="CS5" s="137" t="s">
        <v>501</v>
      </c>
      <c r="CT5" s="135">
        <f>CT$3</f>
        <v>46206</v>
      </c>
      <c r="CU5" s="136" t="s">
        <v>501</v>
      </c>
      <c r="CV5" s="137" t="s">
        <v>501</v>
      </c>
      <c r="CW5" s="135">
        <f>CW$3</f>
        <v>46207</v>
      </c>
      <c r="CX5" s="136" t="s">
        <v>501</v>
      </c>
      <c r="CY5" s="137" t="s">
        <v>501</v>
      </c>
      <c r="CZ5" s="135"/>
      <c r="DA5" s="135">
        <f>DA$3</f>
        <v>46209</v>
      </c>
      <c r="DB5" s="136" t="s">
        <v>501</v>
      </c>
      <c r="DC5" s="137" t="s">
        <v>501</v>
      </c>
      <c r="DD5" s="135">
        <f>DD$3</f>
        <v>46210</v>
      </c>
      <c r="DE5" s="136" t="s">
        <v>501</v>
      </c>
      <c r="DF5" s="137" t="s">
        <v>501</v>
      </c>
      <c r="DG5" s="135">
        <f>DG$3</f>
        <v>46211</v>
      </c>
      <c r="DH5" s="136" t="s">
        <v>501</v>
      </c>
      <c r="DI5" s="137" t="s">
        <v>501</v>
      </c>
      <c r="DJ5" s="135">
        <f>DJ$3</f>
        <v>46212</v>
      </c>
      <c r="DK5" s="136" t="s">
        <v>501</v>
      </c>
      <c r="DL5" s="137" t="s">
        <v>501</v>
      </c>
      <c r="DM5" s="135">
        <f>DM$3</f>
        <v>46213</v>
      </c>
      <c r="DN5" s="136" t="s">
        <v>501</v>
      </c>
      <c r="DO5" s="137" t="s">
        <v>501</v>
      </c>
      <c r="DP5" s="135">
        <f>DP$3</f>
        <v>46214</v>
      </c>
      <c r="DQ5" s="136" t="s">
        <v>501</v>
      </c>
      <c r="DR5" s="137" t="s">
        <v>501</v>
      </c>
    </row>
    <row r="6" spans="1:122" outlineLevel="1">
      <c r="A6" s="122" t="str">
        <f>$A$4</f>
        <v>Lý Huy Thành</v>
      </c>
      <c r="B6" s="82" t="str">
        <f>'Bảng 3'!A336</f>
        <v>3.N.HCM.Q9.VP.102</v>
      </c>
      <c r="C6" s="81" t="str">
        <f>IF($B6="","",INDEX('Bảng 3'!C:C,MATCH($B6,'Bảng 3'!$A:$A,0)))</f>
        <v>Quản lý BIM</v>
      </c>
      <c r="D6" s="81" t="str">
        <f>IF($B6="","",INDEX('Bảng 3'!D:D,MATCH($B6,'Bảng 3'!$A:$A,0)))</f>
        <v>N.HCM.Q9.VP</v>
      </c>
      <c r="E6" s="81" t="str">
        <f>IF($B6="","",INDEX('Bảng 3'!E:E,MATCH($B6,'Bảng 3'!$A:$A,0)))</f>
        <v>Toà văn phòng 43 tầng</v>
      </c>
      <c r="F6" s="81" t="str">
        <f>IF($B6="","",INDEX('Bảng 3'!F:F,MATCH($B6,'Bảng 3'!$A:$A,0)))</f>
        <v>KT</v>
      </c>
      <c r="G6" s="81" t="str">
        <f>IF($B6="","",INDEX('Bảng 3'!G:G,MATCH($B6,'Bảng 3'!$A:$A,0)))</f>
        <v>Cập nhật thông tin mô hình BIM</v>
      </c>
      <c r="H6" s="121">
        <v>46174</v>
      </c>
      <c r="I6" s="135"/>
      <c r="J6" s="135">
        <f>J$3</f>
        <v>46174</v>
      </c>
      <c r="K6" s="148" t="s">
        <v>608</v>
      </c>
      <c r="L6" s="168">
        <v>7</v>
      </c>
      <c r="M6" s="135">
        <f>M$3</f>
        <v>46175</v>
      </c>
      <c r="N6" s="148" t="s">
        <v>501</v>
      </c>
      <c r="O6" s="137"/>
      <c r="P6" s="135">
        <f>P$3</f>
        <v>46176</v>
      </c>
      <c r="Q6" s="136" t="s">
        <v>501</v>
      </c>
      <c r="R6" s="137" t="s">
        <v>501</v>
      </c>
      <c r="S6" s="135">
        <f>S$3</f>
        <v>46177</v>
      </c>
      <c r="T6" s="136" t="s">
        <v>501</v>
      </c>
      <c r="U6" s="137" t="s">
        <v>501</v>
      </c>
      <c r="V6" s="135">
        <f>V$3</f>
        <v>46178</v>
      </c>
      <c r="W6" s="136" t="s">
        <v>501</v>
      </c>
      <c r="X6" s="137" t="s">
        <v>501</v>
      </c>
      <c r="Y6" s="135">
        <f>Y$3</f>
        <v>46179</v>
      </c>
      <c r="Z6" s="136" t="s">
        <v>501</v>
      </c>
      <c r="AA6" s="137" t="s">
        <v>501</v>
      </c>
      <c r="AB6" s="135"/>
      <c r="AC6" s="135">
        <f>AC$3</f>
        <v>46181</v>
      </c>
      <c r="AD6" s="136" t="s">
        <v>501</v>
      </c>
      <c r="AE6" s="137" t="s">
        <v>501</v>
      </c>
      <c r="AF6" s="135">
        <f>AF$3</f>
        <v>46182</v>
      </c>
      <c r="AG6" s="136" t="s">
        <v>501</v>
      </c>
      <c r="AH6" s="137" t="s">
        <v>501</v>
      </c>
      <c r="AI6" s="135">
        <f>AI$3</f>
        <v>46183</v>
      </c>
      <c r="AJ6" s="136" t="s">
        <v>501</v>
      </c>
      <c r="AK6" s="137" t="s">
        <v>501</v>
      </c>
      <c r="AL6" s="135">
        <f>AL$3</f>
        <v>46184</v>
      </c>
      <c r="AM6" s="136" t="s">
        <v>501</v>
      </c>
      <c r="AN6" s="137" t="s">
        <v>501</v>
      </c>
      <c r="AO6" s="135">
        <f>AO$3</f>
        <v>46185</v>
      </c>
      <c r="AP6" s="136" t="s">
        <v>501</v>
      </c>
      <c r="AQ6" s="137" t="s">
        <v>501</v>
      </c>
      <c r="AR6" s="135">
        <f>AR$3</f>
        <v>46186</v>
      </c>
      <c r="AS6" s="136" t="s">
        <v>501</v>
      </c>
      <c r="AT6" s="137" t="s">
        <v>501</v>
      </c>
      <c r="AU6" s="135"/>
      <c r="AV6" s="135">
        <f>AV$3</f>
        <v>46188</v>
      </c>
      <c r="AW6" s="148" t="s">
        <v>501</v>
      </c>
      <c r="AX6" s="137" t="s">
        <v>501</v>
      </c>
      <c r="AY6" s="135">
        <f>AY$3</f>
        <v>46189</v>
      </c>
      <c r="AZ6" s="136" t="s">
        <v>501</v>
      </c>
      <c r="BA6" s="137" t="s">
        <v>501</v>
      </c>
      <c r="BB6" s="135">
        <f>BB$3</f>
        <v>46190</v>
      </c>
      <c r="BC6" s="136" t="s">
        <v>501</v>
      </c>
      <c r="BD6" s="137" t="s">
        <v>501</v>
      </c>
      <c r="BE6" s="135">
        <f>BE$3</f>
        <v>46191</v>
      </c>
      <c r="BF6" s="136" t="s">
        <v>501</v>
      </c>
      <c r="BG6" s="137" t="s">
        <v>501</v>
      </c>
      <c r="BH6" s="135">
        <f>BH$3</f>
        <v>46192</v>
      </c>
      <c r="BI6" s="136" t="s">
        <v>501</v>
      </c>
      <c r="BJ6" s="137" t="s">
        <v>501</v>
      </c>
      <c r="BK6" s="135">
        <f>BK$3</f>
        <v>46193</v>
      </c>
      <c r="BL6" s="136" t="s">
        <v>501</v>
      </c>
      <c r="BM6" s="137" t="s">
        <v>501</v>
      </c>
      <c r="BN6" s="135"/>
      <c r="BO6" s="135">
        <f>BO$3</f>
        <v>46195</v>
      </c>
      <c r="BP6" s="136" t="s">
        <v>501</v>
      </c>
      <c r="BQ6" s="137" t="s">
        <v>501</v>
      </c>
      <c r="BR6" s="135">
        <f>BR$3</f>
        <v>46196</v>
      </c>
      <c r="BS6" s="136" t="s">
        <v>501</v>
      </c>
      <c r="BT6" s="137" t="s">
        <v>501</v>
      </c>
      <c r="BU6" s="135">
        <f>BU$3</f>
        <v>46197</v>
      </c>
      <c r="BV6" s="136" t="s">
        <v>501</v>
      </c>
      <c r="BW6" s="137" t="s">
        <v>501</v>
      </c>
      <c r="BX6" s="135">
        <f>BX$3</f>
        <v>46198</v>
      </c>
      <c r="BY6" s="136" t="s">
        <v>501</v>
      </c>
      <c r="BZ6" s="137" t="s">
        <v>501</v>
      </c>
      <c r="CA6" s="135">
        <f>CA$3</f>
        <v>46199</v>
      </c>
      <c r="CB6" s="136" t="s">
        <v>501</v>
      </c>
      <c r="CC6" s="137" t="s">
        <v>501</v>
      </c>
      <c r="CD6" s="135">
        <f>CD$3</f>
        <v>46200</v>
      </c>
      <c r="CE6" s="136" t="s">
        <v>501</v>
      </c>
      <c r="CF6" s="137" t="s">
        <v>501</v>
      </c>
      <c r="CG6" s="135"/>
      <c r="CH6" s="135">
        <f>CH$3</f>
        <v>46202</v>
      </c>
      <c r="CI6" s="148" t="s">
        <v>501</v>
      </c>
      <c r="CJ6" s="137" t="s">
        <v>501</v>
      </c>
      <c r="CK6" s="135">
        <f>CK$3</f>
        <v>46203</v>
      </c>
      <c r="CL6" s="136" t="s">
        <v>501</v>
      </c>
      <c r="CM6" s="137" t="s">
        <v>501</v>
      </c>
      <c r="CN6" s="135">
        <f>CN$3</f>
        <v>46204</v>
      </c>
      <c r="CO6" s="136" t="s">
        <v>501</v>
      </c>
      <c r="CP6" s="137" t="s">
        <v>501</v>
      </c>
      <c r="CQ6" s="135">
        <f>CQ$3</f>
        <v>46205</v>
      </c>
      <c r="CR6" s="136" t="s">
        <v>501</v>
      </c>
      <c r="CS6" s="137" t="s">
        <v>501</v>
      </c>
      <c r="CT6" s="135">
        <f>CT$3</f>
        <v>46206</v>
      </c>
      <c r="CU6" s="136" t="s">
        <v>501</v>
      </c>
      <c r="CV6" s="137" t="s">
        <v>501</v>
      </c>
      <c r="CW6" s="135">
        <f>CW$3</f>
        <v>46207</v>
      </c>
      <c r="CX6" s="136" t="s">
        <v>501</v>
      </c>
      <c r="CY6" s="137" t="s">
        <v>501</v>
      </c>
      <c r="CZ6" s="135"/>
      <c r="DA6" s="135">
        <f>DA$3</f>
        <v>46209</v>
      </c>
      <c r="DB6" s="136" t="s">
        <v>501</v>
      </c>
      <c r="DC6" s="137" t="s">
        <v>501</v>
      </c>
      <c r="DD6" s="135">
        <f>DD$3</f>
        <v>46210</v>
      </c>
      <c r="DE6" s="136" t="s">
        <v>501</v>
      </c>
      <c r="DF6" s="137" t="s">
        <v>501</v>
      </c>
      <c r="DG6" s="135">
        <f>DG$3</f>
        <v>46211</v>
      </c>
      <c r="DH6" s="136" t="s">
        <v>501</v>
      </c>
      <c r="DI6" s="137" t="s">
        <v>501</v>
      </c>
      <c r="DJ6" s="135">
        <f>DJ$3</f>
        <v>46212</v>
      </c>
      <c r="DK6" s="136" t="s">
        <v>501</v>
      </c>
      <c r="DL6" s="137" t="s">
        <v>501</v>
      </c>
      <c r="DM6" s="135">
        <f>DM$3</f>
        <v>46213</v>
      </c>
      <c r="DN6" s="136" t="s">
        <v>501</v>
      </c>
      <c r="DO6" s="137" t="s">
        <v>501</v>
      </c>
      <c r="DP6" s="135">
        <f>DP$3</f>
        <v>46214</v>
      </c>
      <c r="DQ6" s="136" t="s">
        <v>501</v>
      </c>
      <c r="DR6" s="137" t="s">
        <v>501</v>
      </c>
    </row>
    <row r="7" spans="1:122" outlineLevel="1">
      <c r="A7" s="122" t="str">
        <f>$A$4</f>
        <v>Lý Huy Thành</v>
      </c>
      <c r="B7" s="28" t="str">
        <f>'Bảng 3'!A211</f>
        <v>3.B.TQU.VPTQ.VP.101</v>
      </c>
      <c r="C7" s="81" t="str">
        <f>IF($B7="","",INDEX('Bảng 3'!C:C,MATCH($B7,'Bảng 3'!$A:$A,0)))</f>
        <v>Quản lý BIM</v>
      </c>
      <c r="D7" s="81" t="str">
        <f>IF($B7="","",INDEX('Bảng 3'!D:D,MATCH($B7,'Bảng 3'!$A:$A,0)))</f>
        <v>B.TQU.VPTQ.VP</v>
      </c>
      <c r="E7" s="81" t="str">
        <f>IF($B7="","",INDEX('Bảng 3'!E:E,MATCH($B7,'Bảng 3'!$A:$A,0)))</f>
        <v>Lô C.TM11</v>
      </c>
      <c r="F7" s="81" t="str">
        <f>IF($B7="","",INDEX('Bảng 3'!F:F,MATCH($B7,'Bảng 3'!$A:$A,0)))</f>
        <v>KT</v>
      </c>
      <c r="G7" s="81" t="str">
        <f>IF($B7="","",INDEX('Bảng 3'!G:G,MATCH($B7,'Bảng 3'!$A:$A,0)))</f>
        <v>Xuất khối lượng từ mô hình BIM</v>
      </c>
      <c r="H7" s="121"/>
      <c r="I7" s="135"/>
      <c r="J7" s="135">
        <f>J$3</f>
        <v>46174</v>
      </c>
      <c r="K7" s="148" t="s">
        <v>501</v>
      </c>
      <c r="L7" s="168" t="s">
        <v>501</v>
      </c>
      <c r="M7" s="135">
        <f>M$3</f>
        <v>46175</v>
      </c>
      <c r="N7" s="148" t="s">
        <v>609</v>
      </c>
      <c r="O7" s="137">
        <v>1.5</v>
      </c>
      <c r="P7" s="135">
        <f>P$3</f>
        <v>46176</v>
      </c>
      <c r="Q7" s="136" t="s">
        <v>501</v>
      </c>
      <c r="R7" s="137" t="s">
        <v>501</v>
      </c>
      <c r="S7" s="135">
        <f>S$3</f>
        <v>46177</v>
      </c>
      <c r="T7" s="136" t="s">
        <v>501</v>
      </c>
      <c r="U7" s="137" t="s">
        <v>501</v>
      </c>
      <c r="V7" s="135">
        <f>V$3</f>
        <v>46178</v>
      </c>
      <c r="W7" s="136" t="s">
        <v>501</v>
      </c>
      <c r="X7" s="137" t="s">
        <v>501</v>
      </c>
      <c r="Y7" s="135">
        <f>Y$3</f>
        <v>46179</v>
      </c>
      <c r="Z7" s="136" t="s">
        <v>501</v>
      </c>
      <c r="AA7" s="137" t="s">
        <v>501</v>
      </c>
      <c r="AB7" s="135"/>
      <c r="AC7" s="135">
        <f>AC$3</f>
        <v>46181</v>
      </c>
      <c r="AD7" s="136" t="s">
        <v>501</v>
      </c>
      <c r="AE7" s="137" t="s">
        <v>501</v>
      </c>
      <c r="AF7" s="135">
        <f>AF$3</f>
        <v>46182</v>
      </c>
      <c r="AG7" s="136" t="s">
        <v>501</v>
      </c>
      <c r="AH7" s="137" t="s">
        <v>501</v>
      </c>
      <c r="AI7" s="135">
        <f>AI$3</f>
        <v>46183</v>
      </c>
      <c r="AJ7" s="136" t="s">
        <v>501</v>
      </c>
      <c r="AK7" s="137" t="s">
        <v>501</v>
      </c>
      <c r="AL7" s="135">
        <f>AL$3</f>
        <v>46184</v>
      </c>
      <c r="AM7" s="136" t="s">
        <v>501</v>
      </c>
      <c r="AN7" s="137" t="s">
        <v>501</v>
      </c>
      <c r="AO7" s="135">
        <f>AO$3</f>
        <v>46185</v>
      </c>
      <c r="AP7" s="136" t="s">
        <v>501</v>
      </c>
      <c r="AQ7" s="137" t="s">
        <v>501</v>
      </c>
      <c r="AR7" s="135">
        <f>AR$3</f>
        <v>46186</v>
      </c>
      <c r="AS7" s="136" t="s">
        <v>501</v>
      </c>
      <c r="AT7" s="137" t="s">
        <v>501</v>
      </c>
      <c r="AU7" s="135"/>
      <c r="AV7" s="135">
        <f>AV$3</f>
        <v>46188</v>
      </c>
      <c r="AW7" s="148" t="s">
        <v>501</v>
      </c>
      <c r="AX7" s="137" t="s">
        <v>501</v>
      </c>
      <c r="AY7" s="135">
        <f>AY$3</f>
        <v>46189</v>
      </c>
      <c r="AZ7" s="136" t="s">
        <v>501</v>
      </c>
      <c r="BA7" s="137" t="s">
        <v>501</v>
      </c>
      <c r="BB7" s="135">
        <f>BB$3</f>
        <v>46190</v>
      </c>
      <c r="BC7" s="136" t="s">
        <v>501</v>
      </c>
      <c r="BD7" s="137" t="s">
        <v>501</v>
      </c>
      <c r="BE7" s="135">
        <f>BE$3</f>
        <v>46191</v>
      </c>
      <c r="BF7" s="136" t="s">
        <v>501</v>
      </c>
      <c r="BG7" s="137" t="s">
        <v>501</v>
      </c>
      <c r="BH7" s="135">
        <f>BH$3</f>
        <v>46192</v>
      </c>
      <c r="BI7" s="136" t="s">
        <v>501</v>
      </c>
      <c r="BJ7" s="137" t="s">
        <v>501</v>
      </c>
      <c r="BK7" s="135">
        <f>BK$3</f>
        <v>46193</v>
      </c>
      <c r="BL7" s="136" t="s">
        <v>501</v>
      </c>
      <c r="BM7" s="137" t="s">
        <v>501</v>
      </c>
      <c r="BN7" s="135"/>
      <c r="BO7" s="135">
        <f>BO$3</f>
        <v>46195</v>
      </c>
      <c r="BP7" s="136" t="s">
        <v>501</v>
      </c>
      <c r="BQ7" s="137" t="s">
        <v>501</v>
      </c>
      <c r="BR7" s="135">
        <f>BR$3</f>
        <v>46196</v>
      </c>
      <c r="BS7" s="136" t="s">
        <v>501</v>
      </c>
      <c r="BT7" s="137" t="s">
        <v>501</v>
      </c>
      <c r="BU7" s="135">
        <f>BU$3</f>
        <v>46197</v>
      </c>
      <c r="BV7" s="136" t="s">
        <v>501</v>
      </c>
      <c r="BW7" s="137" t="s">
        <v>501</v>
      </c>
      <c r="BX7" s="135">
        <f>BX$3</f>
        <v>46198</v>
      </c>
      <c r="BY7" s="136" t="s">
        <v>501</v>
      </c>
      <c r="BZ7" s="137" t="s">
        <v>501</v>
      </c>
      <c r="CA7" s="135">
        <f>CA$3</f>
        <v>46199</v>
      </c>
      <c r="CB7" s="136" t="s">
        <v>501</v>
      </c>
      <c r="CC7" s="137" t="s">
        <v>501</v>
      </c>
      <c r="CD7" s="135">
        <f>CD$3</f>
        <v>46200</v>
      </c>
      <c r="CE7" s="136" t="s">
        <v>501</v>
      </c>
      <c r="CF7" s="137" t="s">
        <v>501</v>
      </c>
      <c r="CG7" s="135"/>
      <c r="CH7" s="135">
        <f>CH$3</f>
        <v>46202</v>
      </c>
      <c r="CI7" s="148" t="s">
        <v>501</v>
      </c>
      <c r="CJ7" s="137" t="s">
        <v>501</v>
      </c>
      <c r="CK7" s="135">
        <f>CK$3</f>
        <v>46203</v>
      </c>
      <c r="CL7" s="136" t="s">
        <v>501</v>
      </c>
      <c r="CM7" s="137" t="s">
        <v>501</v>
      </c>
      <c r="CN7" s="135">
        <f>CN$3</f>
        <v>46204</v>
      </c>
      <c r="CO7" s="136" t="s">
        <v>501</v>
      </c>
      <c r="CP7" s="137" t="s">
        <v>501</v>
      </c>
      <c r="CQ7" s="135">
        <f>CQ$3</f>
        <v>46205</v>
      </c>
      <c r="CR7" s="136" t="s">
        <v>501</v>
      </c>
      <c r="CS7" s="137" t="s">
        <v>501</v>
      </c>
      <c r="CT7" s="135">
        <f>CT$3</f>
        <v>46206</v>
      </c>
      <c r="CU7" s="136" t="s">
        <v>501</v>
      </c>
      <c r="CV7" s="137" t="s">
        <v>501</v>
      </c>
      <c r="CW7" s="135">
        <f>CW$3</f>
        <v>46207</v>
      </c>
      <c r="CX7" s="136" t="s">
        <v>501</v>
      </c>
      <c r="CY7" s="137" t="s">
        <v>501</v>
      </c>
      <c r="CZ7" s="135"/>
      <c r="DA7" s="135">
        <f>DA$3</f>
        <v>46209</v>
      </c>
      <c r="DB7" s="136" t="s">
        <v>501</v>
      </c>
      <c r="DC7" s="137" t="s">
        <v>501</v>
      </c>
      <c r="DD7" s="135">
        <f>DD$3</f>
        <v>46210</v>
      </c>
      <c r="DE7" s="136" t="s">
        <v>501</v>
      </c>
      <c r="DF7" s="137" t="s">
        <v>501</v>
      </c>
      <c r="DG7" s="135">
        <f>DG$3</f>
        <v>46211</v>
      </c>
      <c r="DH7" s="136" t="s">
        <v>501</v>
      </c>
      <c r="DI7" s="137" t="s">
        <v>501</v>
      </c>
      <c r="DJ7" s="135">
        <f>DJ$3</f>
        <v>46212</v>
      </c>
      <c r="DK7" s="136" t="s">
        <v>501</v>
      </c>
      <c r="DL7" s="137" t="s">
        <v>501</v>
      </c>
      <c r="DM7" s="135">
        <f>DM$3</f>
        <v>46213</v>
      </c>
      <c r="DN7" s="136" t="s">
        <v>501</v>
      </c>
      <c r="DO7" s="137" t="s">
        <v>501</v>
      </c>
      <c r="DP7" s="135">
        <f>DP$3</f>
        <v>46214</v>
      </c>
      <c r="DQ7" s="136" t="s">
        <v>501</v>
      </c>
      <c r="DR7" s="137" t="s">
        <v>501</v>
      </c>
    </row>
    <row r="8" spans="1:122" outlineLevel="1">
      <c r="A8" s="122" t="str">
        <f>$A$4</f>
        <v>Lý Huy Thành</v>
      </c>
      <c r="B8" s="28"/>
      <c r="C8" s="81" t="str">
        <f>IF($B8="","",INDEX('Bảng 3'!C:C,MATCH($B8,'Bảng 3'!$A:$A,0)))</f>
        <v/>
      </c>
      <c r="D8" s="81" t="str">
        <f>IF($B8="","",INDEX('Bảng 3'!D:D,MATCH($B8,'Bảng 3'!$A:$A,0)))</f>
        <v/>
      </c>
      <c r="E8" s="81" t="str">
        <f>IF($B8="","",INDEX('Bảng 3'!E:E,MATCH($B8,'Bảng 3'!$A:$A,0)))</f>
        <v/>
      </c>
      <c r="F8" s="81" t="str">
        <f>IF($B8="","",INDEX('Bảng 3'!F:F,MATCH($B8,'Bảng 3'!$A:$A,0)))</f>
        <v/>
      </c>
      <c r="G8" s="81" t="str">
        <f>IF($B8="","",INDEX('Bảng 3'!G:G,MATCH($B8,'Bảng 3'!$A:$A,0)))</f>
        <v/>
      </c>
      <c r="H8" s="121"/>
      <c r="I8" s="135"/>
      <c r="J8" s="135">
        <f>J$3</f>
        <v>46174</v>
      </c>
      <c r="K8" s="148" t="s">
        <v>501</v>
      </c>
      <c r="L8" s="168" t="s">
        <v>501</v>
      </c>
      <c r="M8" s="135">
        <f>M$3</f>
        <v>46175</v>
      </c>
      <c r="N8" s="148" t="s">
        <v>501</v>
      </c>
      <c r="O8" s="137" t="s">
        <v>501</v>
      </c>
      <c r="P8" s="135">
        <f>P$3</f>
        <v>46176</v>
      </c>
      <c r="Q8" s="136" t="s">
        <v>501</v>
      </c>
      <c r="R8" s="137" t="s">
        <v>501</v>
      </c>
      <c r="S8" s="135">
        <f>S$3</f>
        <v>46177</v>
      </c>
      <c r="T8" s="136" t="s">
        <v>501</v>
      </c>
      <c r="U8" s="137" t="s">
        <v>501</v>
      </c>
      <c r="V8" s="135">
        <f>V$3</f>
        <v>46178</v>
      </c>
      <c r="W8" s="136" t="s">
        <v>501</v>
      </c>
      <c r="X8" s="137" t="s">
        <v>501</v>
      </c>
      <c r="Y8" s="135">
        <f>Y$3</f>
        <v>46179</v>
      </c>
      <c r="Z8" s="136" t="s">
        <v>501</v>
      </c>
      <c r="AA8" s="137" t="s">
        <v>501</v>
      </c>
      <c r="AB8" s="135"/>
      <c r="AC8" s="135">
        <f>AC$3</f>
        <v>46181</v>
      </c>
      <c r="AD8" s="136" t="s">
        <v>501</v>
      </c>
      <c r="AE8" s="137" t="s">
        <v>501</v>
      </c>
      <c r="AF8" s="135">
        <f>AF$3</f>
        <v>46182</v>
      </c>
      <c r="AG8" s="136" t="s">
        <v>501</v>
      </c>
      <c r="AH8" s="137" t="s">
        <v>501</v>
      </c>
      <c r="AI8" s="135">
        <f>AI$3</f>
        <v>46183</v>
      </c>
      <c r="AJ8" s="136" t="s">
        <v>501</v>
      </c>
      <c r="AK8" s="137" t="s">
        <v>501</v>
      </c>
      <c r="AL8" s="135">
        <f>AL$3</f>
        <v>46184</v>
      </c>
      <c r="AM8" s="136" t="s">
        <v>501</v>
      </c>
      <c r="AN8" s="137" t="s">
        <v>501</v>
      </c>
      <c r="AO8" s="135">
        <f>AO$3</f>
        <v>46185</v>
      </c>
      <c r="AP8" s="136" t="s">
        <v>501</v>
      </c>
      <c r="AQ8" s="137" t="s">
        <v>501</v>
      </c>
      <c r="AR8" s="135">
        <f>AR$3</f>
        <v>46186</v>
      </c>
      <c r="AS8" s="136" t="s">
        <v>501</v>
      </c>
      <c r="AT8" s="137" t="s">
        <v>501</v>
      </c>
      <c r="AU8" s="135"/>
      <c r="AV8" s="135">
        <f>AV$3</f>
        <v>46188</v>
      </c>
      <c r="AW8" s="148" t="s">
        <v>501</v>
      </c>
      <c r="AX8" s="137" t="s">
        <v>501</v>
      </c>
      <c r="AY8" s="135">
        <f>AY$3</f>
        <v>46189</v>
      </c>
      <c r="AZ8" s="136" t="s">
        <v>501</v>
      </c>
      <c r="BA8" s="137" t="s">
        <v>501</v>
      </c>
      <c r="BB8" s="135">
        <f>BB$3</f>
        <v>46190</v>
      </c>
      <c r="BC8" s="136" t="s">
        <v>501</v>
      </c>
      <c r="BD8" s="137" t="s">
        <v>501</v>
      </c>
      <c r="BE8" s="135">
        <f>BE$3</f>
        <v>46191</v>
      </c>
      <c r="BF8" s="136" t="s">
        <v>501</v>
      </c>
      <c r="BG8" s="137" t="s">
        <v>501</v>
      </c>
      <c r="BH8" s="135">
        <f>BH$3</f>
        <v>46192</v>
      </c>
      <c r="BI8" s="136" t="s">
        <v>501</v>
      </c>
      <c r="BJ8" s="137" t="s">
        <v>501</v>
      </c>
      <c r="BK8" s="135">
        <f>BK$3</f>
        <v>46193</v>
      </c>
      <c r="BL8" s="136" t="s">
        <v>501</v>
      </c>
      <c r="BM8" s="137" t="s">
        <v>501</v>
      </c>
      <c r="BN8" s="135"/>
      <c r="BO8" s="135">
        <f>BO$3</f>
        <v>46195</v>
      </c>
      <c r="BP8" s="136" t="s">
        <v>501</v>
      </c>
      <c r="BQ8" s="137" t="s">
        <v>501</v>
      </c>
      <c r="BR8" s="135">
        <f>BR$3</f>
        <v>46196</v>
      </c>
      <c r="BS8" s="136" t="s">
        <v>501</v>
      </c>
      <c r="BT8" s="137" t="s">
        <v>501</v>
      </c>
      <c r="BU8" s="135">
        <f>BU$3</f>
        <v>46197</v>
      </c>
      <c r="BV8" s="136" t="s">
        <v>501</v>
      </c>
      <c r="BW8" s="137" t="s">
        <v>501</v>
      </c>
      <c r="BX8" s="135">
        <f>BX$3</f>
        <v>46198</v>
      </c>
      <c r="BY8" s="136" t="s">
        <v>501</v>
      </c>
      <c r="BZ8" s="137" t="s">
        <v>501</v>
      </c>
      <c r="CA8" s="135">
        <f>CA$3</f>
        <v>46199</v>
      </c>
      <c r="CB8" s="136" t="s">
        <v>501</v>
      </c>
      <c r="CC8" s="137" t="s">
        <v>501</v>
      </c>
      <c r="CD8" s="135">
        <f>CD$3</f>
        <v>46200</v>
      </c>
      <c r="CE8" s="136" t="s">
        <v>501</v>
      </c>
      <c r="CF8" s="137" t="s">
        <v>501</v>
      </c>
      <c r="CG8" s="135"/>
      <c r="CH8" s="135">
        <f>CH$3</f>
        <v>46202</v>
      </c>
      <c r="CI8" s="148" t="s">
        <v>501</v>
      </c>
      <c r="CJ8" s="137" t="s">
        <v>501</v>
      </c>
      <c r="CK8" s="135">
        <f>CK$3</f>
        <v>46203</v>
      </c>
      <c r="CL8" s="136" t="s">
        <v>501</v>
      </c>
      <c r="CM8" s="137" t="s">
        <v>501</v>
      </c>
      <c r="CN8" s="135">
        <f>CN$3</f>
        <v>46204</v>
      </c>
      <c r="CO8" s="136" t="s">
        <v>501</v>
      </c>
      <c r="CP8" s="137" t="s">
        <v>501</v>
      </c>
      <c r="CQ8" s="135">
        <f>CQ$3</f>
        <v>46205</v>
      </c>
      <c r="CR8" s="136" t="s">
        <v>501</v>
      </c>
      <c r="CS8" s="137" t="s">
        <v>501</v>
      </c>
      <c r="CT8" s="135">
        <f>CT$3</f>
        <v>46206</v>
      </c>
      <c r="CU8" s="136" t="s">
        <v>501</v>
      </c>
      <c r="CV8" s="137" t="s">
        <v>501</v>
      </c>
      <c r="CW8" s="135">
        <f>CW$3</f>
        <v>46207</v>
      </c>
      <c r="CX8" s="136" t="s">
        <v>501</v>
      </c>
      <c r="CY8" s="137" t="s">
        <v>501</v>
      </c>
      <c r="CZ8" s="135"/>
      <c r="DA8" s="135">
        <f>DA$3</f>
        <v>46209</v>
      </c>
      <c r="DB8" s="136" t="s">
        <v>501</v>
      </c>
      <c r="DC8" s="137" t="s">
        <v>501</v>
      </c>
      <c r="DD8" s="135">
        <f>DD$3</f>
        <v>46210</v>
      </c>
      <c r="DE8" s="136" t="s">
        <v>501</v>
      </c>
      <c r="DF8" s="137" t="s">
        <v>501</v>
      </c>
      <c r="DG8" s="135">
        <f>DG$3</f>
        <v>46211</v>
      </c>
      <c r="DH8" s="136" t="s">
        <v>501</v>
      </c>
      <c r="DI8" s="137" t="s">
        <v>501</v>
      </c>
      <c r="DJ8" s="135">
        <f>DJ$3</f>
        <v>46212</v>
      </c>
      <c r="DK8" s="136" t="s">
        <v>501</v>
      </c>
      <c r="DL8" s="137" t="s">
        <v>501</v>
      </c>
      <c r="DM8" s="135">
        <f>DM$3</f>
        <v>46213</v>
      </c>
      <c r="DN8" s="136" t="s">
        <v>501</v>
      </c>
      <c r="DO8" s="137" t="s">
        <v>501</v>
      </c>
      <c r="DP8" s="135">
        <f>DP$3</f>
        <v>46214</v>
      </c>
      <c r="DQ8" s="136" t="s">
        <v>501</v>
      </c>
      <c r="DR8" s="137" t="s">
        <v>501</v>
      </c>
    </row>
    <row r="9" spans="1:122" outlineLevel="1">
      <c r="A9" s="122" t="str">
        <f>$A$4</f>
        <v>Lý Huy Thành</v>
      </c>
      <c r="B9" s="28"/>
      <c r="C9" s="81" t="str">
        <f>IF($B9="","",INDEX('Bảng 3'!C:C,MATCH($B9,'Bảng 3'!$A:$A,0)))</f>
        <v/>
      </c>
      <c r="D9" s="81" t="str">
        <f>IF($B9="","",INDEX('Bảng 3'!D:D,MATCH($B9,'Bảng 3'!$A:$A,0)))</f>
        <v/>
      </c>
      <c r="E9" s="81" t="str">
        <f>IF($B9="","",INDEX('Bảng 3'!E:E,MATCH($B9,'Bảng 3'!$A:$A,0)))</f>
        <v/>
      </c>
      <c r="F9" s="81" t="str">
        <f>IF($B9="","",INDEX('Bảng 3'!F:F,MATCH($B9,'Bảng 3'!$A:$A,0)))</f>
        <v/>
      </c>
      <c r="G9" s="81" t="str">
        <f>IF($B9="","",INDEX('Bảng 3'!G:G,MATCH($B9,'Bảng 3'!$A:$A,0)))</f>
        <v/>
      </c>
      <c r="H9" s="121"/>
      <c r="I9" s="135"/>
      <c r="J9" s="135">
        <f>J$3</f>
        <v>46174</v>
      </c>
      <c r="K9" s="148" t="s">
        <v>501</v>
      </c>
      <c r="L9" s="168" t="s">
        <v>501</v>
      </c>
      <c r="M9" s="135">
        <f>M$3</f>
        <v>46175</v>
      </c>
      <c r="N9" s="148" t="s">
        <v>501</v>
      </c>
      <c r="O9" s="137" t="s">
        <v>501</v>
      </c>
      <c r="P9" s="135">
        <f>P$3</f>
        <v>46176</v>
      </c>
      <c r="Q9" s="136" t="s">
        <v>501</v>
      </c>
      <c r="R9" s="137" t="s">
        <v>501</v>
      </c>
      <c r="S9" s="135">
        <f>S$3</f>
        <v>46177</v>
      </c>
      <c r="T9" s="136" t="s">
        <v>501</v>
      </c>
      <c r="U9" s="137" t="s">
        <v>501</v>
      </c>
      <c r="V9" s="135">
        <f>V$3</f>
        <v>46178</v>
      </c>
      <c r="W9" s="136" t="s">
        <v>501</v>
      </c>
      <c r="X9" s="137" t="s">
        <v>501</v>
      </c>
      <c r="Y9" s="135">
        <f>Y$3</f>
        <v>46179</v>
      </c>
      <c r="Z9" s="136" t="s">
        <v>501</v>
      </c>
      <c r="AA9" s="137" t="s">
        <v>501</v>
      </c>
      <c r="AB9" s="135"/>
      <c r="AC9" s="135">
        <f>AC$3</f>
        <v>46181</v>
      </c>
      <c r="AD9" s="136" t="s">
        <v>501</v>
      </c>
      <c r="AE9" s="137" t="s">
        <v>501</v>
      </c>
      <c r="AF9" s="135">
        <f>AF$3</f>
        <v>46182</v>
      </c>
      <c r="AG9" s="136" t="s">
        <v>501</v>
      </c>
      <c r="AH9" s="137" t="s">
        <v>501</v>
      </c>
      <c r="AI9" s="135">
        <f>AI$3</f>
        <v>46183</v>
      </c>
      <c r="AJ9" s="136" t="s">
        <v>501</v>
      </c>
      <c r="AK9" s="137" t="s">
        <v>501</v>
      </c>
      <c r="AL9" s="135">
        <f>AL$3</f>
        <v>46184</v>
      </c>
      <c r="AM9" s="136" t="s">
        <v>501</v>
      </c>
      <c r="AN9" s="137" t="s">
        <v>501</v>
      </c>
      <c r="AO9" s="135">
        <f>AO$3</f>
        <v>46185</v>
      </c>
      <c r="AP9" s="136" t="s">
        <v>501</v>
      </c>
      <c r="AQ9" s="137" t="s">
        <v>501</v>
      </c>
      <c r="AR9" s="135">
        <f>AR$3</f>
        <v>46186</v>
      </c>
      <c r="AS9" s="136" t="s">
        <v>501</v>
      </c>
      <c r="AT9" s="137" t="s">
        <v>501</v>
      </c>
      <c r="AU9" s="135"/>
      <c r="AV9" s="135">
        <f>AV$3</f>
        <v>46188</v>
      </c>
      <c r="AW9" s="148" t="s">
        <v>501</v>
      </c>
      <c r="AX9" s="137" t="s">
        <v>501</v>
      </c>
      <c r="AY9" s="135">
        <f>AY$3</f>
        <v>46189</v>
      </c>
      <c r="AZ9" s="136" t="s">
        <v>501</v>
      </c>
      <c r="BA9" s="137" t="s">
        <v>501</v>
      </c>
      <c r="BB9" s="135">
        <f>BB$3</f>
        <v>46190</v>
      </c>
      <c r="BC9" s="136" t="s">
        <v>501</v>
      </c>
      <c r="BD9" s="137" t="s">
        <v>501</v>
      </c>
      <c r="BE9" s="135">
        <f>BE$3</f>
        <v>46191</v>
      </c>
      <c r="BF9" s="136" t="s">
        <v>501</v>
      </c>
      <c r="BG9" s="137" t="s">
        <v>501</v>
      </c>
      <c r="BH9" s="135">
        <f>BH$3</f>
        <v>46192</v>
      </c>
      <c r="BI9" s="136" t="s">
        <v>501</v>
      </c>
      <c r="BJ9" s="137" t="s">
        <v>501</v>
      </c>
      <c r="BK9" s="135">
        <f>BK$3</f>
        <v>46193</v>
      </c>
      <c r="BL9" s="136" t="s">
        <v>501</v>
      </c>
      <c r="BM9" s="137" t="s">
        <v>501</v>
      </c>
      <c r="BN9" s="135"/>
      <c r="BO9" s="135">
        <f>BO$3</f>
        <v>46195</v>
      </c>
      <c r="BP9" s="136" t="s">
        <v>501</v>
      </c>
      <c r="BQ9" s="137" t="s">
        <v>501</v>
      </c>
      <c r="BR9" s="135">
        <f>BR$3</f>
        <v>46196</v>
      </c>
      <c r="BS9" s="136" t="s">
        <v>501</v>
      </c>
      <c r="BT9" s="137" t="s">
        <v>501</v>
      </c>
      <c r="BU9" s="135">
        <f>BU$3</f>
        <v>46197</v>
      </c>
      <c r="BV9" s="136" t="s">
        <v>501</v>
      </c>
      <c r="BW9" s="137" t="s">
        <v>501</v>
      </c>
      <c r="BX9" s="135">
        <f>BX$3</f>
        <v>46198</v>
      </c>
      <c r="BY9" s="136" t="s">
        <v>501</v>
      </c>
      <c r="BZ9" s="137" t="s">
        <v>501</v>
      </c>
      <c r="CA9" s="135">
        <f>CA$3</f>
        <v>46199</v>
      </c>
      <c r="CB9" s="136" t="s">
        <v>501</v>
      </c>
      <c r="CC9" s="137" t="s">
        <v>501</v>
      </c>
      <c r="CD9" s="135">
        <f>CD$3</f>
        <v>46200</v>
      </c>
      <c r="CE9" s="136" t="s">
        <v>501</v>
      </c>
      <c r="CF9" s="137" t="s">
        <v>501</v>
      </c>
      <c r="CG9" s="135"/>
      <c r="CH9" s="135">
        <f>CH$3</f>
        <v>46202</v>
      </c>
      <c r="CI9" s="148" t="s">
        <v>501</v>
      </c>
      <c r="CJ9" s="137" t="s">
        <v>501</v>
      </c>
      <c r="CK9" s="135">
        <f>CK$3</f>
        <v>46203</v>
      </c>
      <c r="CL9" s="136" t="s">
        <v>501</v>
      </c>
      <c r="CM9" s="137" t="s">
        <v>501</v>
      </c>
      <c r="CN9" s="135">
        <f>CN$3</f>
        <v>46204</v>
      </c>
      <c r="CO9" s="136" t="s">
        <v>501</v>
      </c>
      <c r="CP9" s="137" t="s">
        <v>501</v>
      </c>
      <c r="CQ9" s="135">
        <f>CQ$3</f>
        <v>46205</v>
      </c>
      <c r="CR9" s="136" t="s">
        <v>501</v>
      </c>
      <c r="CS9" s="137" t="s">
        <v>501</v>
      </c>
      <c r="CT9" s="135">
        <f>CT$3</f>
        <v>46206</v>
      </c>
      <c r="CU9" s="136" t="s">
        <v>501</v>
      </c>
      <c r="CV9" s="137" t="s">
        <v>501</v>
      </c>
      <c r="CW9" s="135">
        <f>CW$3</f>
        <v>46207</v>
      </c>
      <c r="CX9" s="136" t="s">
        <v>501</v>
      </c>
      <c r="CY9" s="137" t="s">
        <v>501</v>
      </c>
      <c r="CZ9" s="135"/>
      <c r="DA9" s="135">
        <f>DA$3</f>
        <v>46209</v>
      </c>
      <c r="DB9" s="136" t="s">
        <v>501</v>
      </c>
      <c r="DC9" s="137" t="s">
        <v>501</v>
      </c>
      <c r="DD9" s="135">
        <f>DD$3</f>
        <v>46210</v>
      </c>
      <c r="DE9" s="136" t="s">
        <v>501</v>
      </c>
      <c r="DF9" s="137" t="s">
        <v>501</v>
      </c>
      <c r="DG9" s="135">
        <f>DG$3</f>
        <v>46211</v>
      </c>
      <c r="DH9" s="136" t="s">
        <v>501</v>
      </c>
      <c r="DI9" s="137" t="s">
        <v>501</v>
      </c>
      <c r="DJ9" s="135">
        <f>DJ$3</f>
        <v>46212</v>
      </c>
      <c r="DK9" s="136" t="s">
        <v>501</v>
      </c>
      <c r="DL9" s="137" t="s">
        <v>501</v>
      </c>
      <c r="DM9" s="135">
        <f>DM$3</f>
        <v>46213</v>
      </c>
      <c r="DN9" s="136" t="s">
        <v>501</v>
      </c>
      <c r="DO9" s="137" t="s">
        <v>501</v>
      </c>
      <c r="DP9" s="135">
        <f>DP$3</f>
        <v>46214</v>
      </c>
      <c r="DQ9" s="136" t="s">
        <v>501</v>
      </c>
      <c r="DR9" s="137" t="s">
        <v>501</v>
      </c>
    </row>
    <row r="10" spans="1:122" outlineLevel="1">
      <c r="A10" s="122" t="str">
        <f>$A$4</f>
        <v>Lý Huy Thành</v>
      </c>
      <c r="B10" s="28"/>
      <c r="C10" s="81" t="str">
        <f>IF($B10="","",INDEX('Bảng 3'!C:C,MATCH($B10,'Bảng 3'!$A:$A,0)))</f>
        <v/>
      </c>
      <c r="D10" s="81" t="str">
        <f>IF($B10="","",INDEX('Bảng 3'!D:D,MATCH($B10,'Bảng 3'!$A:$A,0)))</f>
        <v/>
      </c>
      <c r="E10" s="81" t="str">
        <f>IF($B10="","",INDEX('Bảng 3'!E:E,MATCH($B10,'Bảng 3'!$A:$A,0)))</f>
        <v/>
      </c>
      <c r="F10" s="81" t="str">
        <f>IF($B10="","",INDEX('Bảng 3'!F:F,MATCH($B10,'Bảng 3'!$A:$A,0)))</f>
        <v/>
      </c>
      <c r="G10" s="81" t="str">
        <f>IF($B10="","",INDEX('Bảng 3'!G:G,MATCH($B10,'Bảng 3'!$A:$A,0)))</f>
        <v/>
      </c>
      <c r="H10" s="121"/>
      <c r="J10" s="135">
        <f>J$3</f>
        <v>46174</v>
      </c>
      <c r="K10" s="148" t="s">
        <v>501</v>
      </c>
      <c r="L10" s="168" t="s">
        <v>501</v>
      </c>
      <c r="M10" s="135">
        <f>M$3</f>
        <v>46175</v>
      </c>
      <c r="N10" s="148" t="s">
        <v>501</v>
      </c>
      <c r="O10" s="137" t="s">
        <v>501</v>
      </c>
      <c r="P10" s="135">
        <f>P$3</f>
        <v>46176</v>
      </c>
      <c r="Q10" s="136" t="s">
        <v>501</v>
      </c>
      <c r="R10" s="137" t="s">
        <v>501</v>
      </c>
      <c r="S10" s="135">
        <f>S$3</f>
        <v>46177</v>
      </c>
      <c r="T10" s="136" t="s">
        <v>501</v>
      </c>
      <c r="U10" s="137" t="s">
        <v>501</v>
      </c>
      <c r="V10" s="135">
        <f>V$3</f>
        <v>46178</v>
      </c>
      <c r="W10" s="136" t="s">
        <v>501</v>
      </c>
      <c r="X10" s="137" t="s">
        <v>501</v>
      </c>
      <c r="Y10" s="135">
        <f>Y$3</f>
        <v>46179</v>
      </c>
      <c r="Z10" s="136" t="s">
        <v>501</v>
      </c>
      <c r="AA10" s="137" t="s">
        <v>501</v>
      </c>
      <c r="AB10" s="135"/>
      <c r="AC10" s="135">
        <f>AC$3</f>
        <v>46181</v>
      </c>
      <c r="AD10" s="136" t="s">
        <v>501</v>
      </c>
      <c r="AE10" s="137" t="s">
        <v>501</v>
      </c>
      <c r="AF10" s="135">
        <f>AF$3</f>
        <v>46182</v>
      </c>
      <c r="AG10" s="136" t="s">
        <v>501</v>
      </c>
      <c r="AH10" s="137" t="s">
        <v>501</v>
      </c>
      <c r="AI10" s="135">
        <f>AI$3</f>
        <v>46183</v>
      </c>
      <c r="AJ10" s="136" t="s">
        <v>501</v>
      </c>
      <c r="AK10" s="137" t="s">
        <v>501</v>
      </c>
      <c r="AL10" s="135">
        <f>AL$3</f>
        <v>46184</v>
      </c>
      <c r="AM10" s="136" t="s">
        <v>501</v>
      </c>
      <c r="AN10" s="137" t="s">
        <v>501</v>
      </c>
      <c r="AO10" s="135">
        <f>AO$3</f>
        <v>46185</v>
      </c>
      <c r="AP10" s="136" t="s">
        <v>501</v>
      </c>
      <c r="AQ10" s="137" t="s">
        <v>501</v>
      </c>
      <c r="AR10" s="135">
        <f>AR$3</f>
        <v>46186</v>
      </c>
      <c r="AS10" s="136" t="s">
        <v>501</v>
      </c>
      <c r="AT10" s="137" t="s">
        <v>501</v>
      </c>
      <c r="AU10" s="135"/>
      <c r="AV10" s="135">
        <f>AV$3</f>
        <v>46188</v>
      </c>
      <c r="AW10" s="148" t="s">
        <v>501</v>
      </c>
      <c r="AX10" s="137" t="s">
        <v>501</v>
      </c>
      <c r="AY10" s="135">
        <f>AY$3</f>
        <v>46189</v>
      </c>
      <c r="AZ10" s="136" t="s">
        <v>501</v>
      </c>
      <c r="BA10" s="137" t="s">
        <v>501</v>
      </c>
      <c r="BB10" s="135">
        <f>BB$3</f>
        <v>46190</v>
      </c>
      <c r="BC10" s="136" t="s">
        <v>501</v>
      </c>
      <c r="BD10" s="137" t="s">
        <v>501</v>
      </c>
      <c r="BE10" s="135">
        <f>BE$3</f>
        <v>46191</v>
      </c>
      <c r="BF10" s="136" t="s">
        <v>501</v>
      </c>
      <c r="BG10" s="137" t="s">
        <v>501</v>
      </c>
      <c r="BH10" s="135">
        <f>BH$3</f>
        <v>46192</v>
      </c>
      <c r="BI10" s="136" t="s">
        <v>501</v>
      </c>
      <c r="BJ10" s="137" t="s">
        <v>501</v>
      </c>
      <c r="BK10" s="135">
        <f>BK$3</f>
        <v>46193</v>
      </c>
      <c r="BL10" s="136" t="s">
        <v>501</v>
      </c>
      <c r="BM10" s="137" t="s">
        <v>501</v>
      </c>
      <c r="BN10" s="135"/>
      <c r="BO10" s="135">
        <f>BO$3</f>
        <v>46195</v>
      </c>
      <c r="BP10" s="136" t="s">
        <v>501</v>
      </c>
      <c r="BQ10" s="137" t="s">
        <v>501</v>
      </c>
      <c r="BR10" s="135">
        <f>BR$3</f>
        <v>46196</v>
      </c>
      <c r="BS10" s="136" t="s">
        <v>501</v>
      </c>
      <c r="BT10" s="137" t="s">
        <v>501</v>
      </c>
      <c r="BU10" s="135">
        <f>BU$3</f>
        <v>46197</v>
      </c>
      <c r="BV10" s="136" t="s">
        <v>501</v>
      </c>
      <c r="BW10" s="137" t="s">
        <v>501</v>
      </c>
      <c r="BX10" s="135">
        <f>BX$3</f>
        <v>46198</v>
      </c>
      <c r="BY10" s="136" t="s">
        <v>501</v>
      </c>
      <c r="BZ10" s="137" t="s">
        <v>501</v>
      </c>
      <c r="CA10" s="135">
        <f>CA$3</f>
        <v>46199</v>
      </c>
      <c r="CB10" s="136" t="s">
        <v>501</v>
      </c>
      <c r="CC10" s="137" t="s">
        <v>501</v>
      </c>
      <c r="CD10" s="135">
        <f>CD$3</f>
        <v>46200</v>
      </c>
      <c r="CE10" s="136" t="s">
        <v>501</v>
      </c>
      <c r="CF10" s="137" t="s">
        <v>501</v>
      </c>
      <c r="CG10" s="135"/>
      <c r="CH10" s="135">
        <f>CH$3</f>
        <v>46202</v>
      </c>
      <c r="CI10" s="148" t="s">
        <v>501</v>
      </c>
      <c r="CJ10" s="137" t="s">
        <v>501</v>
      </c>
      <c r="CK10" s="135">
        <f>CK$3</f>
        <v>46203</v>
      </c>
      <c r="CL10" s="136" t="s">
        <v>501</v>
      </c>
      <c r="CM10" s="137" t="s">
        <v>501</v>
      </c>
      <c r="CN10" s="135">
        <f>CN$3</f>
        <v>46204</v>
      </c>
      <c r="CO10" s="136" t="s">
        <v>501</v>
      </c>
      <c r="CP10" s="137" t="s">
        <v>501</v>
      </c>
      <c r="CQ10" s="135">
        <f>CQ$3</f>
        <v>46205</v>
      </c>
      <c r="CR10" s="136" t="s">
        <v>501</v>
      </c>
      <c r="CS10" s="137" t="s">
        <v>501</v>
      </c>
      <c r="CT10" s="135">
        <f>CT$3</f>
        <v>46206</v>
      </c>
      <c r="CU10" s="136" t="s">
        <v>501</v>
      </c>
      <c r="CV10" s="137" t="s">
        <v>501</v>
      </c>
      <c r="CW10" s="135">
        <f>CW$3</f>
        <v>46207</v>
      </c>
      <c r="CX10" s="136" t="s">
        <v>501</v>
      </c>
      <c r="CY10" s="137" t="s">
        <v>501</v>
      </c>
      <c r="CZ10" s="135"/>
      <c r="DA10" s="135">
        <f>DA$3</f>
        <v>46209</v>
      </c>
      <c r="DB10" s="136" t="s">
        <v>501</v>
      </c>
      <c r="DC10" s="137" t="s">
        <v>501</v>
      </c>
      <c r="DD10" s="135">
        <f>DD$3</f>
        <v>46210</v>
      </c>
      <c r="DE10" s="136" t="s">
        <v>501</v>
      </c>
      <c r="DF10" s="137" t="s">
        <v>501</v>
      </c>
      <c r="DG10" s="135">
        <f>DG$3</f>
        <v>46211</v>
      </c>
      <c r="DH10" s="136" t="s">
        <v>501</v>
      </c>
      <c r="DI10" s="137" t="s">
        <v>501</v>
      </c>
      <c r="DJ10" s="135">
        <f>DJ$3</f>
        <v>46212</v>
      </c>
      <c r="DK10" s="136" t="s">
        <v>501</v>
      </c>
      <c r="DL10" s="137" t="s">
        <v>501</v>
      </c>
      <c r="DM10" s="135">
        <f>DM$3</f>
        <v>46213</v>
      </c>
      <c r="DN10" s="136" t="s">
        <v>501</v>
      </c>
      <c r="DO10" s="137" t="s">
        <v>501</v>
      </c>
      <c r="DP10" s="135">
        <f>DP$3</f>
        <v>46214</v>
      </c>
      <c r="DQ10" s="136" t="s">
        <v>501</v>
      </c>
      <c r="DR10" s="137" t="s">
        <v>501</v>
      </c>
    </row>
    <row r="11" spans="1:122" outlineLevel="1">
      <c r="A11" s="122" t="str">
        <f>$A$4</f>
        <v>Lý Huy Thành</v>
      </c>
      <c r="B11" s="28"/>
      <c r="C11" s="81" t="str">
        <f>IF($B11="","",INDEX('Bảng 3'!C:C,MATCH($B11,'Bảng 3'!$A:$A,0)))</f>
        <v/>
      </c>
      <c r="D11" s="81" t="str">
        <f>IF($B11="","",INDEX('Bảng 3'!D:D,MATCH($B11,'Bảng 3'!$A:$A,0)))</f>
        <v/>
      </c>
      <c r="E11" s="81" t="str">
        <f>IF($B11="","",INDEX('Bảng 3'!E:E,MATCH($B11,'Bảng 3'!$A:$A,0)))</f>
        <v/>
      </c>
      <c r="F11" s="81" t="str">
        <f>IF($B11="","",INDEX('Bảng 3'!F:F,MATCH($B11,'Bảng 3'!$A:$A,0)))</f>
        <v/>
      </c>
      <c r="G11" s="81" t="str">
        <f>IF($B11="","",INDEX('Bảng 3'!G:G,MATCH($B11,'Bảng 3'!$A:$A,0)))</f>
        <v/>
      </c>
      <c r="H11" s="121"/>
      <c r="I11" s="135"/>
      <c r="J11" s="135">
        <f>J$3</f>
        <v>46174</v>
      </c>
      <c r="K11" s="148" t="s">
        <v>501</v>
      </c>
      <c r="L11" s="168" t="s">
        <v>501</v>
      </c>
      <c r="M11" s="135">
        <f>M$3</f>
        <v>46175</v>
      </c>
      <c r="N11" s="148" t="s">
        <v>501</v>
      </c>
      <c r="O11" s="137" t="s">
        <v>501</v>
      </c>
      <c r="P11" s="135">
        <f>P$3</f>
        <v>46176</v>
      </c>
      <c r="Q11" s="136" t="s">
        <v>501</v>
      </c>
      <c r="R11" s="137" t="s">
        <v>501</v>
      </c>
      <c r="S11" s="135">
        <f>S$3</f>
        <v>46177</v>
      </c>
      <c r="T11" s="136" t="s">
        <v>501</v>
      </c>
      <c r="U11" s="137" t="s">
        <v>501</v>
      </c>
      <c r="V11" s="135">
        <f>V$3</f>
        <v>46178</v>
      </c>
      <c r="W11" s="136" t="s">
        <v>501</v>
      </c>
      <c r="X11" s="137" t="s">
        <v>501</v>
      </c>
      <c r="Y11" s="135">
        <f>Y$3</f>
        <v>46179</v>
      </c>
      <c r="Z11" s="136" t="s">
        <v>501</v>
      </c>
      <c r="AA11" s="137" t="s">
        <v>501</v>
      </c>
      <c r="AB11" s="135"/>
      <c r="AC11" s="135">
        <f>AC$3</f>
        <v>46181</v>
      </c>
      <c r="AD11" s="136" t="s">
        <v>501</v>
      </c>
      <c r="AE11" s="137" t="s">
        <v>501</v>
      </c>
      <c r="AF11" s="135">
        <f>AF$3</f>
        <v>46182</v>
      </c>
      <c r="AG11" s="136" t="s">
        <v>501</v>
      </c>
      <c r="AH11" s="137" t="s">
        <v>501</v>
      </c>
      <c r="AI11" s="135">
        <f>AI$3</f>
        <v>46183</v>
      </c>
      <c r="AJ11" s="136" t="s">
        <v>501</v>
      </c>
      <c r="AK11" s="137" t="s">
        <v>501</v>
      </c>
      <c r="AL11" s="135">
        <f>AL$3</f>
        <v>46184</v>
      </c>
      <c r="AM11" s="136" t="s">
        <v>501</v>
      </c>
      <c r="AN11" s="137" t="s">
        <v>501</v>
      </c>
      <c r="AO11" s="135">
        <f>AO$3</f>
        <v>46185</v>
      </c>
      <c r="AP11" s="136" t="s">
        <v>501</v>
      </c>
      <c r="AQ11" s="137" t="s">
        <v>501</v>
      </c>
      <c r="AR11" s="135">
        <f>AR$3</f>
        <v>46186</v>
      </c>
      <c r="AS11" s="136" t="s">
        <v>501</v>
      </c>
      <c r="AT11" s="137" t="s">
        <v>501</v>
      </c>
      <c r="AU11" s="135"/>
      <c r="AV11" s="135">
        <f>AV$3</f>
        <v>46188</v>
      </c>
      <c r="AW11" s="148" t="s">
        <v>501</v>
      </c>
      <c r="AX11" s="137" t="s">
        <v>501</v>
      </c>
      <c r="AY11" s="135">
        <f>AY$3</f>
        <v>46189</v>
      </c>
      <c r="AZ11" s="136" t="s">
        <v>501</v>
      </c>
      <c r="BA11" s="137" t="s">
        <v>501</v>
      </c>
      <c r="BB11" s="135">
        <f>BB$3</f>
        <v>46190</v>
      </c>
      <c r="BC11" s="136" t="s">
        <v>501</v>
      </c>
      <c r="BD11" s="137" t="s">
        <v>501</v>
      </c>
      <c r="BE11" s="135">
        <f>BE$3</f>
        <v>46191</v>
      </c>
      <c r="BF11" s="136" t="s">
        <v>501</v>
      </c>
      <c r="BG11" s="137" t="s">
        <v>501</v>
      </c>
      <c r="BH11" s="135">
        <f>BH$3</f>
        <v>46192</v>
      </c>
      <c r="BI11" s="136" t="s">
        <v>501</v>
      </c>
      <c r="BJ11" s="137" t="s">
        <v>501</v>
      </c>
      <c r="BK11" s="135">
        <f>BK$3</f>
        <v>46193</v>
      </c>
      <c r="BL11" s="136" t="s">
        <v>501</v>
      </c>
      <c r="BM11" s="137" t="s">
        <v>501</v>
      </c>
      <c r="BN11" s="135"/>
      <c r="BO11" s="135">
        <f>BO$3</f>
        <v>46195</v>
      </c>
      <c r="BP11" s="136" t="s">
        <v>501</v>
      </c>
      <c r="BQ11" s="137" t="s">
        <v>501</v>
      </c>
      <c r="BR11" s="135">
        <f>BR$3</f>
        <v>46196</v>
      </c>
      <c r="BS11" s="136" t="s">
        <v>501</v>
      </c>
      <c r="BT11" s="137" t="s">
        <v>501</v>
      </c>
      <c r="BU11" s="135">
        <f>BU$3</f>
        <v>46197</v>
      </c>
      <c r="BV11" s="136" t="s">
        <v>501</v>
      </c>
      <c r="BW11" s="137" t="s">
        <v>501</v>
      </c>
      <c r="BX11" s="135">
        <f>BX$3</f>
        <v>46198</v>
      </c>
      <c r="BY11" s="136" t="s">
        <v>501</v>
      </c>
      <c r="BZ11" s="137" t="s">
        <v>501</v>
      </c>
      <c r="CA11" s="135">
        <f>CA$3</f>
        <v>46199</v>
      </c>
      <c r="CB11" s="136" t="s">
        <v>501</v>
      </c>
      <c r="CC11" s="137" t="s">
        <v>501</v>
      </c>
      <c r="CD11" s="135">
        <f>CD$3</f>
        <v>46200</v>
      </c>
      <c r="CE11" s="136" t="s">
        <v>501</v>
      </c>
      <c r="CF11" s="137" t="s">
        <v>501</v>
      </c>
      <c r="CG11" s="135"/>
      <c r="CH11" s="135">
        <f>CH$3</f>
        <v>46202</v>
      </c>
      <c r="CI11" s="148" t="s">
        <v>501</v>
      </c>
      <c r="CJ11" s="137" t="s">
        <v>501</v>
      </c>
      <c r="CK11" s="135">
        <f>CK$3</f>
        <v>46203</v>
      </c>
      <c r="CL11" s="136" t="s">
        <v>501</v>
      </c>
      <c r="CM11" s="137" t="s">
        <v>501</v>
      </c>
      <c r="CN11" s="135">
        <f>CN$3</f>
        <v>46204</v>
      </c>
      <c r="CO11" s="136" t="s">
        <v>501</v>
      </c>
      <c r="CP11" s="137" t="s">
        <v>501</v>
      </c>
      <c r="CQ11" s="135">
        <f>CQ$3</f>
        <v>46205</v>
      </c>
      <c r="CR11" s="136" t="s">
        <v>501</v>
      </c>
      <c r="CS11" s="137" t="s">
        <v>501</v>
      </c>
      <c r="CT11" s="135">
        <f>CT$3</f>
        <v>46206</v>
      </c>
      <c r="CU11" s="136" t="s">
        <v>501</v>
      </c>
      <c r="CV11" s="137" t="s">
        <v>501</v>
      </c>
      <c r="CW11" s="135">
        <f>CW$3</f>
        <v>46207</v>
      </c>
      <c r="CX11" s="136" t="s">
        <v>501</v>
      </c>
      <c r="CY11" s="137" t="s">
        <v>501</v>
      </c>
      <c r="CZ11" s="135"/>
      <c r="DA11" s="135">
        <f>DA$3</f>
        <v>46209</v>
      </c>
      <c r="DB11" s="136" t="s">
        <v>501</v>
      </c>
      <c r="DC11" s="137" t="s">
        <v>501</v>
      </c>
      <c r="DD11" s="135">
        <f>DD$3</f>
        <v>46210</v>
      </c>
      <c r="DE11" s="136" t="s">
        <v>501</v>
      </c>
      <c r="DF11" s="137" t="s">
        <v>501</v>
      </c>
      <c r="DG11" s="135">
        <f>DG$3</f>
        <v>46211</v>
      </c>
      <c r="DH11" s="136" t="s">
        <v>501</v>
      </c>
      <c r="DI11" s="137" t="s">
        <v>501</v>
      </c>
      <c r="DJ11" s="135">
        <f>DJ$3</f>
        <v>46212</v>
      </c>
      <c r="DK11" s="136" t="s">
        <v>501</v>
      </c>
      <c r="DL11" s="137" t="s">
        <v>501</v>
      </c>
      <c r="DM11" s="135">
        <f>DM$3</f>
        <v>46213</v>
      </c>
      <c r="DN11" s="136" t="s">
        <v>501</v>
      </c>
      <c r="DO11" s="137" t="s">
        <v>501</v>
      </c>
      <c r="DP11" s="135">
        <f>DP$3</f>
        <v>46214</v>
      </c>
      <c r="DQ11" s="136" t="s">
        <v>501</v>
      </c>
      <c r="DR11" s="137" t="s">
        <v>501</v>
      </c>
    </row>
    <row r="12" spans="1:122" outlineLevel="1">
      <c r="A12" s="122" t="str">
        <f>$A$4</f>
        <v>Lý Huy Thành</v>
      </c>
      <c r="B12" s="28"/>
      <c r="C12" s="81" t="str">
        <f>IF($B12="","",INDEX('Bảng 3'!C:C,MATCH($B12,'Bảng 3'!$A:$A,0)))</f>
        <v/>
      </c>
      <c r="D12" s="81" t="str">
        <f>IF($B12="","",INDEX('Bảng 3'!D:D,MATCH($B12,'Bảng 3'!$A:$A,0)))</f>
        <v/>
      </c>
      <c r="E12" s="81" t="str">
        <f>IF($B12="","",INDEX('Bảng 3'!E:E,MATCH($B12,'Bảng 3'!$A:$A,0)))</f>
        <v/>
      </c>
      <c r="F12" s="81" t="str">
        <f>IF($B12="","",INDEX('Bảng 3'!F:F,MATCH($B12,'Bảng 3'!$A:$A,0)))</f>
        <v/>
      </c>
      <c r="G12" s="81" t="str">
        <f>IF($B12="","",INDEX('Bảng 3'!G:G,MATCH($B12,'Bảng 3'!$A:$A,0)))</f>
        <v/>
      </c>
      <c r="H12" s="121"/>
      <c r="I12" s="135"/>
      <c r="J12" s="135">
        <v>46174</v>
      </c>
      <c r="K12" s="148"/>
      <c r="L12" s="168"/>
      <c r="M12" s="135">
        <f>M$3</f>
        <v>46175</v>
      </c>
      <c r="N12" s="148" t="s">
        <v>501</v>
      </c>
      <c r="O12" s="137" t="s">
        <v>501</v>
      </c>
      <c r="P12" s="135">
        <f>P$3</f>
        <v>46176</v>
      </c>
      <c r="Q12" s="136" t="s">
        <v>501</v>
      </c>
      <c r="R12" s="137" t="s">
        <v>501</v>
      </c>
      <c r="S12" s="135">
        <f>S$3</f>
        <v>46177</v>
      </c>
      <c r="T12" s="136" t="s">
        <v>501</v>
      </c>
      <c r="U12" s="137" t="s">
        <v>501</v>
      </c>
      <c r="V12" s="135">
        <f>V$3</f>
        <v>46178</v>
      </c>
      <c r="W12" s="136" t="s">
        <v>501</v>
      </c>
      <c r="X12" s="137" t="s">
        <v>501</v>
      </c>
      <c r="Y12" s="135">
        <f>Y$3</f>
        <v>46179</v>
      </c>
      <c r="Z12" s="136" t="s">
        <v>501</v>
      </c>
      <c r="AA12" s="137" t="s">
        <v>501</v>
      </c>
      <c r="AB12" s="135"/>
      <c r="AC12" s="135">
        <f>AC$3</f>
        <v>46181</v>
      </c>
      <c r="AD12" s="136" t="s">
        <v>501</v>
      </c>
      <c r="AE12" s="137" t="s">
        <v>501</v>
      </c>
      <c r="AF12" s="135">
        <f>AF$3</f>
        <v>46182</v>
      </c>
      <c r="AG12" s="136" t="s">
        <v>501</v>
      </c>
      <c r="AH12" s="137" t="s">
        <v>501</v>
      </c>
      <c r="AI12" s="135">
        <f>AI$3</f>
        <v>46183</v>
      </c>
      <c r="AJ12" s="136" t="s">
        <v>501</v>
      </c>
      <c r="AK12" s="137" t="s">
        <v>501</v>
      </c>
      <c r="AL12" s="135">
        <f>AL$3</f>
        <v>46184</v>
      </c>
      <c r="AM12" s="136" t="s">
        <v>501</v>
      </c>
      <c r="AN12" s="137" t="s">
        <v>501</v>
      </c>
      <c r="AO12" s="135">
        <f>AO$3</f>
        <v>46185</v>
      </c>
      <c r="AP12" s="136" t="s">
        <v>501</v>
      </c>
      <c r="AQ12" s="137" t="s">
        <v>501</v>
      </c>
      <c r="AR12" s="135">
        <f>AR$3</f>
        <v>46186</v>
      </c>
      <c r="AS12" s="136" t="s">
        <v>501</v>
      </c>
      <c r="AT12" s="137" t="s">
        <v>501</v>
      </c>
      <c r="AU12" s="135"/>
      <c r="AV12" s="135">
        <f>AV$3</f>
        <v>46188</v>
      </c>
      <c r="AW12" s="148" t="s">
        <v>501</v>
      </c>
      <c r="AX12" s="137" t="s">
        <v>501</v>
      </c>
      <c r="AY12" s="135">
        <f>AY$3</f>
        <v>46189</v>
      </c>
      <c r="AZ12" s="136" t="s">
        <v>501</v>
      </c>
      <c r="BA12" s="137" t="s">
        <v>501</v>
      </c>
      <c r="BB12" s="135">
        <f>BB$3</f>
        <v>46190</v>
      </c>
      <c r="BC12" s="136" t="s">
        <v>501</v>
      </c>
      <c r="BD12" s="137" t="s">
        <v>501</v>
      </c>
      <c r="BE12" s="135">
        <f>BE$3</f>
        <v>46191</v>
      </c>
      <c r="BF12" s="136" t="s">
        <v>501</v>
      </c>
      <c r="BG12" s="137" t="s">
        <v>501</v>
      </c>
      <c r="BH12" s="135">
        <f>BH$3</f>
        <v>46192</v>
      </c>
      <c r="BI12" s="136" t="s">
        <v>501</v>
      </c>
      <c r="BJ12" s="137" t="s">
        <v>501</v>
      </c>
      <c r="BK12" s="135">
        <f>BK$3</f>
        <v>46193</v>
      </c>
      <c r="BL12" s="136" t="s">
        <v>501</v>
      </c>
      <c r="BM12" s="137" t="s">
        <v>501</v>
      </c>
      <c r="BN12" s="135"/>
      <c r="BO12" s="135">
        <f>BO$3</f>
        <v>46195</v>
      </c>
      <c r="BP12" s="136" t="s">
        <v>501</v>
      </c>
      <c r="BQ12" s="137" t="s">
        <v>501</v>
      </c>
      <c r="BR12" s="135">
        <f>BR$3</f>
        <v>46196</v>
      </c>
      <c r="BS12" s="136" t="s">
        <v>501</v>
      </c>
      <c r="BT12" s="137" t="s">
        <v>501</v>
      </c>
      <c r="BU12" s="135">
        <f>BU$3</f>
        <v>46197</v>
      </c>
      <c r="BV12" s="136" t="s">
        <v>501</v>
      </c>
      <c r="BW12" s="137" t="s">
        <v>501</v>
      </c>
      <c r="BX12" s="135">
        <f>BX$3</f>
        <v>46198</v>
      </c>
      <c r="BY12" s="136" t="s">
        <v>501</v>
      </c>
      <c r="BZ12" s="137" t="s">
        <v>501</v>
      </c>
      <c r="CA12" s="135">
        <f>CA$3</f>
        <v>46199</v>
      </c>
      <c r="CB12" s="136" t="s">
        <v>501</v>
      </c>
      <c r="CC12" s="137" t="s">
        <v>501</v>
      </c>
      <c r="CD12" s="135">
        <f>CD$3</f>
        <v>46200</v>
      </c>
      <c r="CE12" s="136" t="s">
        <v>501</v>
      </c>
      <c r="CF12" s="137" t="s">
        <v>501</v>
      </c>
      <c r="CG12" s="135"/>
      <c r="CH12" s="135">
        <f>CH$3</f>
        <v>46202</v>
      </c>
      <c r="CI12" s="148" t="s">
        <v>501</v>
      </c>
      <c r="CJ12" s="137" t="s">
        <v>501</v>
      </c>
      <c r="CK12" s="135">
        <f>CK$3</f>
        <v>46203</v>
      </c>
      <c r="CL12" s="136" t="s">
        <v>501</v>
      </c>
      <c r="CM12" s="137" t="s">
        <v>501</v>
      </c>
      <c r="CN12" s="135">
        <f>CN$3</f>
        <v>46204</v>
      </c>
      <c r="CO12" s="136" t="s">
        <v>501</v>
      </c>
      <c r="CP12" s="137" t="s">
        <v>501</v>
      </c>
      <c r="CQ12" s="135">
        <f>CQ$3</f>
        <v>46205</v>
      </c>
      <c r="CR12" s="136" t="s">
        <v>501</v>
      </c>
      <c r="CS12" s="137" t="s">
        <v>501</v>
      </c>
      <c r="CT12" s="135">
        <f>CT$3</f>
        <v>46206</v>
      </c>
      <c r="CU12" s="136" t="s">
        <v>501</v>
      </c>
      <c r="CV12" s="137" t="s">
        <v>501</v>
      </c>
      <c r="CW12" s="135">
        <f>CW$3</f>
        <v>46207</v>
      </c>
      <c r="CX12" s="136" t="s">
        <v>501</v>
      </c>
      <c r="CY12" s="137" t="s">
        <v>501</v>
      </c>
      <c r="CZ12" s="135"/>
      <c r="DA12" s="135">
        <f>DA$3</f>
        <v>46209</v>
      </c>
      <c r="DB12" s="136" t="s">
        <v>501</v>
      </c>
      <c r="DC12" s="137" t="s">
        <v>501</v>
      </c>
      <c r="DD12" s="135">
        <f>DD$3</f>
        <v>46210</v>
      </c>
      <c r="DE12" s="136" t="s">
        <v>501</v>
      </c>
      <c r="DF12" s="137" t="s">
        <v>501</v>
      </c>
      <c r="DG12" s="135">
        <f>DG$3</f>
        <v>46211</v>
      </c>
      <c r="DH12" s="136" t="s">
        <v>501</v>
      </c>
      <c r="DI12" s="137" t="s">
        <v>501</v>
      </c>
      <c r="DJ12" s="135">
        <f>DJ$3</f>
        <v>46212</v>
      </c>
      <c r="DK12" s="136" t="s">
        <v>501</v>
      </c>
      <c r="DL12" s="137" t="s">
        <v>501</v>
      </c>
      <c r="DM12" s="135">
        <f>DM$3</f>
        <v>46213</v>
      </c>
      <c r="DN12" s="136" t="s">
        <v>501</v>
      </c>
      <c r="DO12" s="137" t="s">
        <v>501</v>
      </c>
      <c r="DP12" s="135">
        <f>DP$3</f>
        <v>46214</v>
      </c>
      <c r="DQ12" s="136" t="s">
        <v>501</v>
      </c>
      <c r="DR12" s="137" t="s">
        <v>501</v>
      </c>
    </row>
    <row r="13" spans="1:122" outlineLevel="1">
      <c r="A13" s="122" t="str">
        <f>$A$4</f>
        <v>Lý Huy Thành</v>
      </c>
      <c r="B13" s="28"/>
      <c r="C13" s="81" t="str">
        <f>IF($B13="","",INDEX('Bảng 3'!C:C,MATCH($B13,'Bảng 3'!$A:$A,0)))</f>
        <v/>
      </c>
      <c r="D13" s="81" t="str">
        <f>IF($B13="","",INDEX('Bảng 3'!D:D,MATCH($B13,'Bảng 3'!$A:$A,0)))</f>
        <v/>
      </c>
      <c r="E13" s="81" t="str">
        <f>IF($B13="","",INDEX('Bảng 3'!E:E,MATCH($B13,'Bảng 3'!$A:$A,0)))</f>
        <v/>
      </c>
      <c r="F13" s="81" t="str">
        <f>IF($B13="","",INDEX('Bảng 3'!F:F,MATCH($B13,'Bảng 3'!$A:$A,0)))</f>
        <v/>
      </c>
      <c r="G13" s="81" t="str">
        <f>IF($B13="","",INDEX('Bảng 3'!G:G,MATCH($B13,'Bảng 3'!$A:$A,0)))</f>
        <v/>
      </c>
      <c r="H13" s="121"/>
      <c r="I13" s="135"/>
      <c r="J13" s="135">
        <v>46174</v>
      </c>
      <c r="K13" s="148"/>
      <c r="L13" s="168"/>
      <c r="M13" s="135">
        <f>M$3</f>
        <v>46175</v>
      </c>
      <c r="N13" s="148" t="s">
        <v>501</v>
      </c>
      <c r="O13" s="137" t="s">
        <v>501</v>
      </c>
      <c r="P13" s="135">
        <f>P$3</f>
        <v>46176</v>
      </c>
      <c r="Q13" s="136" t="s">
        <v>501</v>
      </c>
      <c r="R13" s="137" t="s">
        <v>501</v>
      </c>
      <c r="S13" s="135">
        <f>S$3</f>
        <v>46177</v>
      </c>
      <c r="T13" s="136" t="s">
        <v>501</v>
      </c>
      <c r="U13" s="137" t="s">
        <v>501</v>
      </c>
      <c r="V13" s="135">
        <f>V$3</f>
        <v>46178</v>
      </c>
      <c r="W13" s="136" t="s">
        <v>501</v>
      </c>
      <c r="X13" s="137" t="s">
        <v>501</v>
      </c>
      <c r="Y13" s="135">
        <f>Y$3</f>
        <v>46179</v>
      </c>
      <c r="Z13" s="136" t="s">
        <v>501</v>
      </c>
      <c r="AA13" s="137" t="s">
        <v>501</v>
      </c>
      <c r="AB13" s="135"/>
      <c r="AC13" s="135">
        <f>AC$3</f>
        <v>46181</v>
      </c>
      <c r="AD13" s="136" t="s">
        <v>501</v>
      </c>
      <c r="AE13" s="137" t="s">
        <v>501</v>
      </c>
      <c r="AF13" s="135">
        <f>AF$3</f>
        <v>46182</v>
      </c>
      <c r="AG13" s="136" t="s">
        <v>501</v>
      </c>
      <c r="AH13" s="137" t="s">
        <v>501</v>
      </c>
      <c r="AI13" s="135">
        <f>AI$3</f>
        <v>46183</v>
      </c>
      <c r="AJ13" s="136" t="s">
        <v>501</v>
      </c>
      <c r="AK13" s="137" t="s">
        <v>501</v>
      </c>
      <c r="AL13" s="135">
        <f>AL$3</f>
        <v>46184</v>
      </c>
      <c r="AM13" s="136" t="s">
        <v>501</v>
      </c>
      <c r="AN13" s="137" t="s">
        <v>501</v>
      </c>
      <c r="AO13" s="135">
        <f>AO$3</f>
        <v>46185</v>
      </c>
      <c r="AP13" s="136" t="s">
        <v>501</v>
      </c>
      <c r="AQ13" s="137" t="s">
        <v>501</v>
      </c>
      <c r="AR13" s="135">
        <f>AR$3</f>
        <v>46186</v>
      </c>
      <c r="AS13" s="136" t="s">
        <v>501</v>
      </c>
      <c r="AT13" s="137" t="s">
        <v>501</v>
      </c>
      <c r="AU13" s="135"/>
      <c r="AV13" s="135">
        <f>AV$3</f>
        <v>46188</v>
      </c>
      <c r="AW13" s="148" t="s">
        <v>501</v>
      </c>
      <c r="AX13" s="137" t="s">
        <v>501</v>
      </c>
      <c r="AY13" s="135">
        <f>AY$3</f>
        <v>46189</v>
      </c>
      <c r="AZ13" s="136" t="s">
        <v>501</v>
      </c>
      <c r="BA13" s="137" t="s">
        <v>501</v>
      </c>
      <c r="BB13" s="135">
        <f>BB$3</f>
        <v>46190</v>
      </c>
      <c r="BC13" s="136" t="s">
        <v>501</v>
      </c>
      <c r="BD13" s="137" t="s">
        <v>501</v>
      </c>
      <c r="BE13" s="135">
        <f>BE$3</f>
        <v>46191</v>
      </c>
      <c r="BF13" s="136" t="s">
        <v>501</v>
      </c>
      <c r="BG13" s="137" t="s">
        <v>501</v>
      </c>
      <c r="BH13" s="135">
        <f>BH$3</f>
        <v>46192</v>
      </c>
      <c r="BI13" s="136" t="s">
        <v>501</v>
      </c>
      <c r="BJ13" s="137" t="s">
        <v>501</v>
      </c>
      <c r="BK13" s="135">
        <f>BK$3</f>
        <v>46193</v>
      </c>
      <c r="BL13" s="136" t="s">
        <v>501</v>
      </c>
      <c r="BM13" s="137" t="s">
        <v>501</v>
      </c>
      <c r="BN13" s="135"/>
      <c r="BO13" s="135">
        <f>BO$3</f>
        <v>46195</v>
      </c>
      <c r="BP13" s="136" t="s">
        <v>501</v>
      </c>
      <c r="BQ13" s="137" t="s">
        <v>501</v>
      </c>
      <c r="BR13" s="135">
        <f>BR$3</f>
        <v>46196</v>
      </c>
      <c r="BS13" s="136" t="s">
        <v>501</v>
      </c>
      <c r="BT13" s="137" t="s">
        <v>501</v>
      </c>
      <c r="BU13" s="135">
        <f>BU$3</f>
        <v>46197</v>
      </c>
      <c r="BV13" s="136" t="s">
        <v>501</v>
      </c>
      <c r="BW13" s="137" t="s">
        <v>501</v>
      </c>
      <c r="BX13" s="135">
        <f>BX$3</f>
        <v>46198</v>
      </c>
      <c r="BY13" s="136" t="s">
        <v>501</v>
      </c>
      <c r="BZ13" s="137" t="s">
        <v>501</v>
      </c>
      <c r="CA13" s="135">
        <f>CA$3</f>
        <v>46199</v>
      </c>
      <c r="CB13" s="136" t="s">
        <v>501</v>
      </c>
      <c r="CC13" s="137" t="s">
        <v>501</v>
      </c>
      <c r="CD13" s="135">
        <f>CD$3</f>
        <v>46200</v>
      </c>
      <c r="CE13" s="136" t="s">
        <v>501</v>
      </c>
      <c r="CF13" s="137" t="s">
        <v>501</v>
      </c>
      <c r="CG13" s="135"/>
      <c r="CH13" s="135">
        <f>CH$3</f>
        <v>46202</v>
      </c>
      <c r="CI13" s="148" t="s">
        <v>501</v>
      </c>
      <c r="CJ13" s="137" t="s">
        <v>501</v>
      </c>
      <c r="CK13" s="135">
        <f>CK$3</f>
        <v>46203</v>
      </c>
      <c r="CL13" s="136" t="s">
        <v>501</v>
      </c>
      <c r="CM13" s="137" t="s">
        <v>501</v>
      </c>
      <c r="CN13" s="135">
        <f>CN$3</f>
        <v>46204</v>
      </c>
      <c r="CO13" s="136" t="s">
        <v>501</v>
      </c>
      <c r="CP13" s="137" t="s">
        <v>501</v>
      </c>
      <c r="CQ13" s="135">
        <f>CQ$3</f>
        <v>46205</v>
      </c>
      <c r="CR13" s="136" t="s">
        <v>501</v>
      </c>
      <c r="CS13" s="137" t="s">
        <v>501</v>
      </c>
      <c r="CT13" s="135">
        <f>CT$3</f>
        <v>46206</v>
      </c>
      <c r="CU13" s="136" t="s">
        <v>501</v>
      </c>
      <c r="CV13" s="137" t="s">
        <v>501</v>
      </c>
      <c r="CW13" s="135">
        <f>CW$3</f>
        <v>46207</v>
      </c>
      <c r="CX13" s="136" t="s">
        <v>501</v>
      </c>
      <c r="CY13" s="137" t="s">
        <v>501</v>
      </c>
      <c r="CZ13" s="135"/>
      <c r="DA13" s="135">
        <f>DA$3</f>
        <v>46209</v>
      </c>
      <c r="DB13" s="136" t="s">
        <v>501</v>
      </c>
      <c r="DC13" s="137" t="s">
        <v>501</v>
      </c>
      <c r="DD13" s="135">
        <f>DD$3</f>
        <v>46210</v>
      </c>
      <c r="DE13" s="136" t="s">
        <v>501</v>
      </c>
      <c r="DF13" s="137" t="s">
        <v>501</v>
      </c>
      <c r="DG13" s="135">
        <f>DG$3</f>
        <v>46211</v>
      </c>
      <c r="DH13" s="136" t="s">
        <v>501</v>
      </c>
      <c r="DI13" s="137" t="s">
        <v>501</v>
      </c>
      <c r="DJ13" s="135">
        <f>DJ$3</f>
        <v>46212</v>
      </c>
      <c r="DK13" s="136" t="s">
        <v>501</v>
      </c>
      <c r="DL13" s="137" t="s">
        <v>501</v>
      </c>
      <c r="DM13" s="135">
        <f>DM$3</f>
        <v>46213</v>
      </c>
      <c r="DN13" s="136" t="s">
        <v>501</v>
      </c>
      <c r="DO13" s="137" t="s">
        <v>501</v>
      </c>
      <c r="DP13" s="135">
        <f>DP$3</f>
        <v>46214</v>
      </c>
      <c r="DQ13" s="136" t="s">
        <v>501</v>
      </c>
      <c r="DR13" s="137" t="s">
        <v>501</v>
      </c>
    </row>
    <row r="14" spans="1:122" outlineLevel="1">
      <c r="A14" s="122" t="str">
        <f>$A$4</f>
        <v>Lý Huy Thành</v>
      </c>
      <c r="B14" s="28"/>
      <c r="C14" s="81" t="s">
        <v>10</v>
      </c>
      <c r="D14" s="81" t="s">
        <v>52</v>
      </c>
      <c r="E14" s="81" t="s">
        <v>52</v>
      </c>
      <c r="F14" s="81" t="s">
        <v>61</v>
      </c>
      <c r="G14" s="81" t="s">
        <v>610</v>
      </c>
      <c r="H14" s="121"/>
      <c r="I14" s="135"/>
      <c r="J14" s="135">
        <v>46174</v>
      </c>
      <c r="K14" s="148" t="s">
        <v>611</v>
      </c>
      <c r="L14" s="168">
        <v>1.75</v>
      </c>
      <c r="M14" s="135">
        <f>M$3</f>
        <v>46175</v>
      </c>
      <c r="N14" s="148" t="s">
        <v>612</v>
      </c>
      <c r="O14" s="137">
        <v>4</v>
      </c>
      <c r="P14" s="135">
        <f>P$3</f>
        <v>46176</v>
      </c>
      <c r="Q14" s="136" t="s">
        <v>501</v>
      </c>
      <c r="R14" s="137" t="s">
        <v>501</v>
      </c>
      <c r="S14" s="135">
        <f>S$3</f>
        <v>46177</v>
      </c>
      <c r="T14" s="136" t="s">
        <v>501</v>
      </c>
      <c r="U14" s="137" t="s">
        <v>501</v>
      </c>
      <c r="V14" s="135">
        <f>V$3</f>
        <v>46178</v>
      </c>
      <c r="W14" s="136" t="s">
        <v>501</v>
      </c>
      <c r="X14" s="137" t="s">
        <v>501</v>
      </c>
      <c r="Y14" s="135">
        <f>Y$3</f>
        <v>46179</v>
      </c>
      <c r="Z14" s="136" t="s">
        <v>501</v>
      </c>
      <c r="AA14" s="137" t="s">
        <v>501</v>
      </c>
      <c r="AB14" s="135"/>
      <c r="AC14" s="135">
        <f>AC$3</f>
        <v>46181</v>
      </c>
      <c r="AD14" s="136" t="s">
        <v>501</v>
      </c>
      <c r="AE14" s="137" t="s">
        <v>501</v>
      </c>
      <c r="AF14" s="135">
        <f>AF$3</f>
        <v>46182</v>
      </c>
      <c r="AG14" s="136" t="s">
        <v>501</v>
      </c>
      <c r="AH14" s="137" t="s">
        <v>501</v>
      </c>
      <c r="AI14" s="135">
        <f>AI$3</f>
        <v>46183</v>
      </c>
      <c r="AJ14" s="136" t="s">
        <v>501</v>
      </c>
      <c r="AK14" s="137" t="s">
        <v>501</v>
      </c>
      <c r="AL14" s="135">
        <f>AL$3</f>
        <v>46184</v>
      </c>
      <c r="AM14" s="136" t="s">
        <v>501</v>
      </c>
      <c r="AN14" s="137" t="s">
        <v>501</v>
      </c>
      <c r="AO14" s="135">
        <f>AO$3</f>
        <v>46185</v>
      </c>
      <c r="AP14" s="136" t="s">
        <v>501</v>
      </c>
      <c r="AQ14" s="137" t="s">
        <v>501</v>
      </c>
      <c r="AR14" s="135">
        <f>AR$3</f>
        <v>46186</v>
      </c>
      <c r="AS14" s="136" t="s">
        <v>501</v>
      </c>
      <c r="AT14" s="137" t="s">
        <v>501</v>
      </c>
      <c r="AU14" s="135"/>
      <c r="AV14" s="135">
        <f>AV$3</f>
        <v>46188</v>
      </c>
      <c r="AW14" s="148" t="s">
        <v>501</v>
      </c>
      <c r="AX14" s="137" t="s">
        <v>501</v>
      </c>
      <c r="AY14" s="135">
        <f>AY$3</f>
        <v>46189</v>
      </c>
      <c r="AZ14" s="136" t="s">
        <v>501</v>
      </c>
      <c r="BA14" s="137" t="s">
        <v>501</v>
      </c>
      <c r="BB14" s="135">
        <f>BB$3</f>
        <v>46190</v>
      </c>
      <c r="BC14" s="136" t="s">
        <v>501</v>
      </c>
      <c r="BD14" s="137" t="s">
        <v>501</v>
      </c>
      <c r="BE14" s="135">
        <f>BE$3</f>
        <v>46191</v>
      </c>
      <c r="BF14" s="136" t="s">
        <v>501</v>
      </c>
      <c r="BG14" s="137" t="s">
        <v>501</v>
      </c>
      <c r="BH14" s="135">
        <f>BH$3</f>
        <v>46192</v>
      </c>
      <c r="BI14" s="136" t="s">
        <v>501</v>
      </c>
      <c r="BJ14" s="137" t="s">
        <v>501</v>
      </c>
      <c r="BK14" s="135">
        <f>BK$3</f>
        <v>46193</v>
      </c>
      <c r="BL14" s="136" t="s">
        <v>501</v>
      </c>
      <c r="BM14" s="137" t="s">
        <v>501</v>
      </c>
      <c r="BN14" s="135"/>
      <c r="BO14" s="135">
        <f>BO$3</f>
        <v>46195</v>
      </c>
      <c r="BP14" s="136" t="s">
        <v>501</v>
      </c>
      <c r="BQ14" s="137" t="s">
        <v>501</v>
      </c>
      <c r="BR14" s="135">
        <f>BR$3</f>
        <v>46196</v>
      </c>
      <c r="BS14" s="136" t="s">
        <v>501</v>
      </c>
      <c r="BT14" s="137" t="s">
        <v>501</v>
      </c>
      <c r="BU14" s="135">
        <f>BU$3</f>
        <v>46197</v>
      </c>
      <c r="BV14" s="136" t="s">
        <v>501</v>
      </c>
      <c r="BW14" s="137" t="s">
        <v>501</v>
      </c>
      <c r="BX14" s="135">
        <f>BX$3</f>
        <v>46198</v>
      </c>
      <c r="BY14" s="136" t="s">
        <v>501</v>
      </c>
      <c r="BZ14" s="137" t="s">
        <v>501</v>
      </c>
      <c r="CA14" s="135">
        <f>CA$3</f>
        <v>46199</v>
      </c>
      <c r="CB14" s="136" t="s">
        <v>501</v>
      </c>
      <c r="CC14" s="137" t="s">
        <v>501</v>
      </c>
      <c r="CD14" s="135">
        <f>CD$3</f>
        <v>46200</v>
      </c>
      <c r="CE14" s="136" t="s">
        <v>501</v>
      </c>
      <c r="CF14" s="137" t="s">
        <v>501</v>
      </c>
      <c r="CG14" s="135"/>
      <c r="CH14" s="135">
        <f>CH$3</f>
        <v>46202</v>
      </c>
      <c r="CI14" s="148" t="s">
        <v>501</v>
      </c>
      <c r="CJ14" s="137" t="s">
        <v>501</v>
      </c>
      <c r="CK14" s="135">
        <f>CK$3</f>
        <v>46203</v>
      </c>
      <c r="CL14" s="136" t="s">
        <v>501</v>
      </c>
      <c r="CM14" s="137" t="s">
        <v>501</v>
      </c>
      <c r="CN14" s="135">
        <f>CN$3</f>
        <v>46204</v>
      </c>
      <c r="CO14" s="136" t="s">
        <v>501</v>
      </c>
      <c r="CP14" s="137" t="s">
        <v>501</v>
      </c>
      <c r="CQ14" s="135">
        <f>CQ$3</f>
        <v>46205</v>
      </c>
      <c r="CR14" s="136" t="s">
        <v>501</v>
      </c>
      <c r="CS14" s="137" t="s">
        <v>501</v>
      </c>
      <c r="CT14" s="135">
        <f>CT$3</f>
        <v>46206</v>
      </c>
      <c r="CU14" s="136" t="s">
        <v>501</v>
      </c>
      <c r="CV14" s="137" t="s">
        <v>501</v>
      </c>
      <c r="CW14" s="135">
        <f>CW$3</f>
        <v>46207</v>
      </c>
      <c r="CX14" s="136" t="s">
        <v>501</v>
      </c>
      <c r="CY14" s="137" t="s">
        <v>501</v>
      </c>
      <c r="CZ14" s="135"/>
      <c r="DA14" s="135">
        <f>DA$3</f>
        <v>46209</v>
      </c>
      <c r="DB14" s="136" t="s">
        <v>501</v>
      </c>
      <c r="DC14" s="137" t="s">
        <v>501</v>
      </c>
      <c r="DD14" s="135">
        <f>DD$3</f>
        <v>46210</v>
      </c>
      <c r="DE14" s="136" t="s">
        <v>501</v>
      </c>
      <c r="DF14" s="137" t="s">
        <v>501</v>
      </c>
      <c r="DG14" s="135">
        <f>DG$3</f>
        <v>46211</v>
      </c>
      <c r="DH14" s="136" t="s">
        <v>501</v>
      </c>
      <c r="DI14" s="137" t="s">
        <v>501</v>
      </c>
      <c r="DJ14" s="135">
        <f>DJ$3</f>
        <v>46212</v>
      </c>
      <c r="DK14" s="136" t="s">
        <v>501</v>
      </c>
      <c r="DL14" s="137" t="s">
        <v>501</v>
      </c>
      <c r="DM14" s="135">
        <f>DM$3</f>
        <v>46213</v>
      </c>
      <c r="DN14" s="136" t="s">
        <v>501</v>
      </c>
      <c r="DO14" s="137" t="s">
        <v>501</v>
      </c>
      <c r="DP14" s="135">
        <f>DP$3</f>
        <v>46214</v>
      </c>
      <c r="DQ14" s="136" t="s">
        <v>501</v>
      </c>
      <c r="DR14" s="137" t="s">
        <v>501</v>
      </c>
    </row>
    <row r="15" spans="1:122" ht="45.75" outlineLevel="1">
      <c r="A15" s="122" t="str">
        <f>$A$4</f>
        <v>Lý Huy Thành</v>
      </c>
      <c r="B15" s="28"/>
      <c r="C15" s="81" t="s">
        <v>38</v>
      </c>
      <c r="D15" s="81" t="s">
        <v>53</v>
      </c>
      <c r="E15" s="81" t="s">
        <v>53</v>
      </c>
      <c r="F15" s="81" t="s">
        <v>53</v>
      </c>
      <c r="G15" s="81" t="s">
        <v>53</v>
      </c>
      <c r="H15" s="121"/>
      <c r="I15" s="135"/>
      <c r="J15" s="135">
        <f>J$3</f>
        <v>46174</v>
      </c>
      <c r="K15" s="148" t="s">
        <v>613</v>
      </c>
      <c r="L15" s="168">
        <v>0.5</v>
      </c>
      <c r="M15" s="135">
        <f>M$3</f>
        <v>46175</v>
      </c>
      <c r="N15" s="148" t="s">
        <v>614</v>
      </c>
      <c r="O15" s="137">
        <f>0.5+0.5+2</f>
        <v>3</v>
      </c>
      <c r="P15" s="135">
        <f>P$3</f>
        <v>46176</v>
      </c>
      <c r="Q15" s="136" t="s">
        <v>501</v>
      </c>
      <c r="R15" s="137" t="s">
        <v>501</v>
      </c>
      <c r="S15" s="135">
        <f>S$3</f>
        <v>46177</v>
      </c>
      <c r="T15" s="136" t="s">
        <v>501</v>
      </c>
      <c r="U15" s="137" t="s">
        <v>501</v>
      </c>
      <c r="V15" s="135">
        <f>V$3</f>
        <v>46178</v>
      </c>
      <c r="W15" s="136" t="s">
        <v>501</v>
      </c>
      <c r="X15" s="137" t="s">
        <v>501</v>
      </c>
      <c r="Y15" s="135">
        <f>Y$3</f>
        <v>46179</v>
      </c>
      <c r="Z15" s="136" t="s">
        <v>501</v>
      </c>
      <c r="AA15" s="137" t="s">
        <v>501</v>
      </c>
      <c r="AB15" s="135"/>
      <c r="AC15" s="135">
        <f>AC$3</f>
        <v>46181</v>
      </c>
      <c r="AD15" s="136" t="s">
        <v>501</v>
      </c>
      <c r="AE15" s="137" t="s">
        <v>501</v>
      </c>
      <c r="AF15" s="135">
        <f>AF$3</f>
        <v>46182</v>
      </c>
      <c r="AG15" s="136" t="s">
        <v>501</v>
      </c>
      <c r="AH15" s="137" t="s">
        <v>501</v>
      </c>
      <c r="AI15" s="135">
        <f>AI$3</f>
        <v>46183</v>
      </c>
      <c r="AJ15" s="136" t="s">
        <v>501</v>
      </c>
      <c r="AK15" s="137" t="s">
        <v>501</v>
      </c>
      <c r="AL15" s="135">
        <f>AL$3</f>
        <v>46184</v>
      </c>
      <c r="AM15" s="136" t="s">
        <v>501</v>
      </c>
      <c r="AN15" s="137" t="s">
        <v>501</v>
      </c>
      <c r="AO15" s="135">
        <f>AO$3</f>
        <v>46185</v>
      </c>
      <c r="AP15" s="136" t="s">
        <v>501</v>
      </c>
      <c r="AQ15" s="137" t="s">
        <v>501</v>
      </c>
      <c r="AR15" s="135">
        <f>AR$3</f>
        <v>46186</v>
      </c>
      <c r="AS15" s="136" t="s">
        <v>501</v>
      </c>
      <c r="AT15" s="137" t="s">
        <v>501</v>
      </c>
      <c r="AU15" s="135"/>
      <c r="AV15" s="135">
        <f>AV$3</f>
        <v>46188</v>
      </c>
      <c r="AW15" s="148" t="s">
        <v>501</v>
      </c>
      <c r="AX15" s="137" t="s">
        <v>501</v>
      </c>
      <c r="AY15" s="135">
        <f>AY$3</f>
        <v>46189</v>
      </c>
      <c r="AZ15" s="136" t="s">
        <v>501</v>
      </c>
      <c r="BA15" s="137" t="s">
        <v>501</v>
      </c>
      <c r="BB15" s="135">
        <f>BB$3</f>
        <v>46190</v>
      </c>
      <c r="BC15" s="136" t="s">
        <v>501</v>
      </c>
      <c r="BD15" s="137" t="s">
        <v>501</v>
      </c>
      <c r="BE15" s="135">
        <f>BE$3</f>
        <v>46191</v>
      </c>
      <c r="BF15" s="136" t="s">
        <v>501</v>
      </c>
      <c r="BG15" s="137" t="s">
        <v>501</v>
      </c>
      <c r="BH15" s="135">
        <f>BH$3</f>
        <v>46192</v>
      </c>
      <c r="BI15" s="136" t="s">
        <v>501</v>
      </c>
      <c r="BJ15" s="137" t="s">
        <v>501</v>
      </c>
      <c r="BK15" s="135">
        <f>BK$3</f>
        <v>46193</v>
      </c>
      <c r="BL15" s="136" t="s">
        <v>501</v>
      </c>
      <c r="BM15" s="137" t="s">
        <v>501</v>
      </c>
      <c r="BN15" s="135"/>
      <c r="BO15" s="135">
        <f>BO$3</f>
        <v>46195</v>
      </c>
      <c r="BP15" s="136" t="s">
        <v>501</v>
      </c>
      <c r="BQ15" s="137" t="s">
        <v>501</v>
      </c>
      <c r="BR15" s="135">
        <f>BR$3</f>
        <v>46196</v>
      </c>
      <c r="BS15" s="136" t="s">
        <v>501</v>
      </c>
      <c r="BT15" s="137" t="s">
        <v>501</v>
      </c>
      <c r="BU15" s="135">
        <f>BU$3</f>
        <v>46197</v>
      </c>
      <c r="BV15" s="136" t="s">
        <v>501</v>
      </c>
      <c r="BW15" s="137" t="s">
        <v>501</v>
      </c>
      <c r="BX15" s="135">
        <f>BX$3</f>
        <v>46198</v>
      </c>
      <c r="BY15" s="136" t="s">
        <v>501</v>
      </c>
      <c r="BZ15" s="137" t="s">
        <v>501</v>
      </c>
      <c r="CA15" s="135">
        <f>CA$3</f>
        <v>46199</v>
      </c>
      <c r="CB15" s="136" t="s">
        <v>501</v>
      </c>
      <c r="CC15" s="137" t="s">
        <v>501</v>
      </c>
      <c r="CD15" s="135">
        <f>CD$3</f>
        <v>46200</v>
      </c>
      <c r="CE15" s="136" t="s">
        <v>501</v>
      </c>
      <c r="CF15" s="137" t="s">
        <v>501</v>
      </c>
      <c r="CG15" s="135"/>
      <c r="CH15" s="135">
        <f>CH$3</f>
        <v>46202</v>
      </c>
      <c r="CI15" s="148" t="s">
        <v>501</v>
      </c>
      <c r="CJ15" s="137" t="s">
        <v>501</v>
      </c>
      <c r="CK15" s="135">
        <f>CK$3</f>
        <v>46203</v>
      </c>
      <c r="CL15" s="136" t="s">
        <v>501</v>
      </c>
      <c r="CM15" s="137" t="s">
        <v>501</v>
      </c>
      <c r="CN15" s="135">
        <f>CN$3</f>
        <v>46204</v>
      </c>
      <c r="CO15" s="136" t="s">
        <v>501</v>
      </c>
      <c r="CP15" s="137" t="s">
        <v>501</v>
      </c>
      <c r="CQ15" s="135">
        <f>CQ$3</f>
        <v>46205</v>
      </c>
      <c r="CR15" s="136" t="s">
        <v>501</v>
      </c>
      <c r="CS15" s="137" t="s">
        <v>501</v>
      </c>
      <c r="CT15" s="135">
        <f>CT$3</f>
        <v>46206</v>
      </c>
      <c r="CU15" s="136" t="s">
        <v>501</v>
      </c>
      <c r="CV15" s="137" t="s">
        <v>501</v>
      </c>
      <c r="CW15" s="135">
        <f>CW$3</f>
        <v>46207</v>
      </c>
      <c r="CX15" s="136" t="s">
        <v>501</v>
      </c>
      <c r="CY15" s="137" t="s">
        <v>501</v>
      </c>
      <c r="CZ15" s="135"/>
      <c r="DA15" s="135">
        <f>DA$3</f>
        <v>46209</v>
      </c>
      <c r="DB15" s="136" t="s">
        <v>501</v>
      </c>
      <c r="DC15" s="137" t="s">
        <v>501</v>
      </c>
      <c r="DD15" s="135">
        <f>DD$3</f>
        <v>46210</v>
      </c>
      <c r="DE15" s="136" t="s">
        <v>501</v>
      </c>
      <c r="DF15" s="137" t="s">
        <v>501</v>
      </c>
      <c r="DG15" s="135">
        <f>DG$3</f>
        <v>46211</v>
      </c>
      <c r="DH15" s="136" t="s">
        <v>501</v>
      </c>
      <c r="DI15" s="137" t="s">
        <v>501</v>
      </c>
      <c r="DJ15" s="135">
        <f>DJ$3</f>
        <v>46212</v>
      </c>
      <c r="DK15" s="136" t="s">
        <v>501</v>
      </c>
      <c r="DL15" s="137" t="s">
        <v>501</v>
      </c>
      <c r="DM15" s="135">
        <f>DM$3</f>
        <v>46213</v>
      </c>
      <c r="DN15" s="136" t="s">
        <v>501</v>
      </c>
      <c r="DO15" s="137" t="s">
        <v>501</v>
      </c>
      <c r="DP15" s="135">
        <f>DP$3</f>
        <v>46214</v>
      </c>
      <c r="DQ15" s="136" t="s">
        <v>501</v>
      </c>
      <c r="DR15" s="137" t="s">
        <v>501</v>
      </c>
    </row>
    <row r="16" spans="1:122">
      <c r="A16" s="36" t="s">
        <v>34</v>
      </c>
      <c r="B16" s="28"/>
      <c r="C16" s="81" t="str">
        <f>IF($B16="","",INDEX('Bảng 3'!C:C,MATCH($B16,'Bảng 3'!$A:$A,0)))</f>
        <v/>
      </c>
      <c r="D16" s="81" t="str">
        <f>IF($B16="","",INDEX('Bảng 3'!D:D,MATCH($B16,'Bảng 3'!$A:$A,0)))</f>
        <v/>
      </c>
      <c r="E16" s="81" t="str">
        <f>IF($B16="","",INDEX('Bảng 3'!E:E,MATCH($B16,'Bảng 3'!$A:$A,0)))</f>
        <v/>
      </c>
      <c r="F16" s="81" t="str">
        <f>IF($B16="","",INDEX('Bảng 3'!F:F,MATCH($B16,'Bảng 3'!$A:$A,0)))</f>
        <v/>
      </c>
      <c r="G16" s="81" t="str">
        <f>IF($B16="","",INDEX('Bảng 3'!G:G,MATCH($B16,'Bảng 3'!$A:$A,0)))</f>
        <v/>
      </c>
      <c r="H16" s="121"/>
      <c r="I16" s="138"/>
      <c r="J16" s="138">
        <f>J$3</f>
        <v>46174</v>
      </c>
      <c r="K16" s="158" t="s">
        <v>501</v>
      </c>
      <c r="L16" s="167">
        <f>SUM(L17:L41)</f>
        <v>11</v>
      </c>
      <c r="M16" s="138">
        <f>M$3</f>
        <v>46175</v>
      </c>
      <c r="N16" s="147" t="s">
        <v>501</v>
      </c>
      <c r="O16" s="133">
        <f>SUM(O17:O41)</f>
        <v>8.5</v>
      </c>
      <c r="P16" s="138">
        <f>P$3</f>
        <v>46176</v>
      </c>
      <c r="Q16" s="132" t="s">
        <v>501</v>
      </c>
      <c r="R16" s="133">
        <f>SUM(R17:R22)</f>
        <v>0</v>
      </c>
      <c r="S16" s="138">
        <f>S$3</f>
        <v>46177</v>
      </c>
      <c r="T16" s="132" t="s">
        <v>501</v>
      </c>
      <c r="U16" s="133">
        <f>SUM(U17:U22)</f>
        <v>0</v>
      </c>
      <c r="V16" s="138">
        <f>V$3</f>
        <v>46178</v>
      </c>
      <c r="W16" s="132" t="s">
        <v>501</v>
      </c>
      <c r="X16" s="133">
        <f>SUM(X17:X22)</f>
        <v>0</v>
      </c>
      <c r="Y16" s="138">
        <f>Y$3</f>
        <v>46179</v>
      </c>
      <c r="Z16" s="132" t="s">
        <v>501</v>
      </c>
      <c r="AA16" s="133">
        <f>SUM(AA17:AA22)</f>
        <v>0</v>
      </c>
      <c r="AB16" s="138"/>
      <c r="AC16" s="138">
        <f>AC$3</f>
        <v>46181</v>
      </c>
      <c r="AD16" s="132" t="s">
        <v>501</v>
      </c>
      <c r="AE16" s="133">
        <f>SUM(AE17:AE22)</f>
        <v>0</v>
      </c>
      <c r="AF16" s="138">
        <f>AF$3</f>
        <v>46182</v>
      </c>
      <c r="AG16" s="132" t="s">
        <v>501</v>
      </c>
      <c r="AH16" s="133">
        <f>SUM(AH17:AH22)</f>
        <v>0</v>
      </c>
      <c r="AI16" s="138">
        <f>AI$3</f>
        <v>46183</v>
      </c>
      <c r="AJ16" s="132" t="s">
        <v>501</v>
      </c>
      <c r="AK16" s="133">
        <f>SUM(AK17:AK22)</f>
        <v>0</v>
      </c>
      <c r="AL16" s="138">
        <f>AL$3</f>
        <v>46184</v>
      </c>
      <c r="AM16" s="132" t="s">
        <v>501</v>
      </c>
      <c r="AN16" s="133">
        <f>SUM(AN17:AN22)</f>
        <v>0</v>
      </c>
      <c r="AO16" s="138">
        <f>AO$3</f>
        <v>46185</v>
      </c>
      <c r="AP16" s="132" t="s">
        <v>501</v>
      </c>
      <c r="AQ16" s="133">
        <f>SUM(AQ17:AQ22)</f>
        <v>0</v>
      </c>
      <c r="AR16" s="138">
        <f>AR$3</f>
        <v>46186</v>
      </c>
      <c r="AS16" s="132" t="s">
        <v>501</v>
      </c>
      <c r="AT16" s="133">
        <f>SUM(AT17:AT22)</f>
        <v>0</v>
      </c>
      <c r="AU16" s="138"/>
      <c r="AV16" s="138">
        <f>AV$3</f>
        <v>46188</v>
      </c>
      <c r="AW16" s="147" t="s">
        <v>501</v>
      </c>
      <c r="AX16" s="133">
        <f>SUM(AX17:AX22)</f>
        <v>0</v>
      </c>
      <c r="AY16" s="138">
        <f>AY$3</f>
        <v>46189</v>
      </c>
      <c r="AZ16" s="132" t="s">
        <v>501</v>
      </c>
      <c r="BA16" s="133">
        <f>SUM(BA17:BA22)</f>
        <v>0</v>
      </c>
      <c r="BB16" s="138">
        <f>BB$3</f>
        <v>46190</v>
      </c>
      <c r="BC16" s="132" t="s">
        <v>501</v>
      </c>
      <c r="BD16" s="133">
        <f>SUM(BD17:BD22)</f>
        <v>0</v>
      </c>
      <c r="BE16" s="138">
        <f>BE$3</f>
        <v>46191</v>
      </c>
      <c r="BF16" s="132" t="s">
        <v>501</v>
      </c>
      <c r="BG16" s="133">
        <f>SUM(BG17:BG22)</f>
        <v>0</v>
      </c>
      <c r="BH16" s="138">
        <f>BH$3</f>
        <v>46192</v>
      </c>
      <c r="BI16" s="132" t="s">
        <v>501</v>
      </c>
      <c r="BJ16" s="133">
        <f>SUM(BJ17:BJ22)</f>
        <v>0</v>
      </c>
      <c r="BK16" s="138">
        <f>BK$3</f>
        <v>46193</v>
      </c>
      <c r="BL16" s="132" t="s">
        <v>501</v>
      </c>
      <c r="BM16" s="133">
        <f>SUM(BM17:BM22)</f>
        <v>0</v>
      </c>
      <c r="BN16" s="138"/>
      <c r="BO16" s="138">
        <f>BO$3</f>
        <v>46195</v>
      </c>
      <c r="BP16" s="132" t="s">
        <v>501</v>
      </c>
      <c r="BQ16" s="133">
        <f>SUM(BQ17:BQ22)</f>
        <v>0</v>
      </c>
      <c r="BR16" s="138">
        <f>BR$3</f>
        <v>46196</v>
      </c>
      <c r="BS16" s="132" t="s">
        <v>501</v>
      </c>
      <c r="BT16" s="133">
        <f>SUM(BT17:BT22)</f>
        <v>0</v>
      </c>
      <c r="BU16" s="138">
        <f>BU$3</f>
        <v>46197</v>
      </c>
      <c r="BV16" s="132" t="s">
        <v>501</v>
      </c>
      <c r="BW16" s="133">
        <f>SUM(BW17:BW22)</f>
        <v>0</v>
      </c>
      <c r="BX16" s="138">
        <f>BX$3</f>
        <v>46198</v>
      </c>
      <c r="BY16" s="132" t="s">
        <v>501</v>
      </c>
      <c r="BZ16" s="133">
        <f>SUM(BZ17:BZ22)</f>
        <v>0</v>
      </c>
      <c r="CA16" s="138">
        <f>CA$3</f>
        <v>46199</v>
      </c>
      <c r="CB16" s="132" t="s">
        <v>501</v>
      </c>
      <c r="CC16" s="133">
        <f>SUM(CC17:CC22)</f>
        <v>0</v>
      </c>
      <c r="CD16" s="138">
        <f>CD$3</f>
        <v>46200</v>
      </c>
      <c r="CE16" s="132" t="s">
        <v>501</v>
      </c>
      <c r="CF16" s="133">
        <f>SUM(CF17:CF22)</f>
        <v>0</v>
      </c>
      <c r="CG16" s="138"/>
      <c r="CH16" s="138">
        <f>CH$3</f>
        <v>46202</v>
      </c>
      <c r="CI16" s="147" t="s">
        <v>501</v>
      </c>
      <c r="CJ16" s="133">
        <f>SUM(CJ17:CJ22)</f>
        <v>0</v>
      </c>
      <c r="CK16" s="138">
        <f>CK$3</f>
        <v>46203</v>
      </c>
      <c r="CL16" s="132" t="s">
        <v>501</v>
      </c>
      <c r="CM16" s="133">
        <f>SUM(CM17:CM22)</f>
        <v>0</v>
      </c>
      <c r="CN16" s="138">
        <f>CN$3</f>
        <v>46204</v>
      </c>
      <c r="CO16" s="132" t="s">
        <v>501</v>
      </c>
      <c r="CP16" s="133">
        <f>SUM(CP17:CP22)</f>
        <v>0</v>
      </c>
      <c r="CQ16" s="138">
        <f>CQ$3</f>
        <v>46205</v>
      </c>
      <c r="CR16" s="132" t="s">
        <v>501</v>
      </c>
      <c r="CS16" s="133">
        <f>SUM(CS17:CS22)</f>
        <v>0</v>
      </c>
      <c r="CT16" s="138">
        <f>CT$3</f>
        <v>46206</v>
      </c>
      <c r="CU16" s="132" t="s">
        <v>501</v>
      </c>
      <c r="CV16" s="133">
        <f>SUM(CV17:CV22)</f>
        <v>0</v>
      </c>
      <c r="CW16" s="138">
        <f>CW$3</f>
        <v>46207</v>
      </c>
      <c r="CX16" s="132" t="s">
        <v>501</v>
      </c>
      <c r="CY16" s="133">
        <f>SUM(CY17:CY22)</f>
        <v>0</v>
      </c>
      <c r="CZ16" s="138"/>
      <c r="DA16" s="138">
        <f>DA$3</f>
        <v>46209</v>
      </c>
      <c r="DB16" s="132" t="s">
        <v>501</v>
      </c>
      <c r="DC16" s="133">
        <f>SUM(DC17:DC22)</f>
        <v>0</v>
      </c>
      <c r="DD16" s="138">
        <f>DD$3</f>
        <v>46210</v>
      </c>
      <c r="DE16" s="132" t="s">
        <v>501</v>
      </c>
      <c r="DF16" s="133">
        <f>SUM(DF17:DF22)</f>
        <v>0</v>
      </c>
      <c r="DG16" s="138">
        <f>DG$3</f>
        <v>46211</v>
      </c>
      <c r="DH16" s="132" t="s">
        <v>501</v>
      </c>
      <c r="DI16" s="133">
        <f>SUM(DI17:DI22)</f>
        <v>0</v>
      </c>
      <c r="DJ16" s="138">
        <f>DJ$3</f>
        <v>46212</v>
      </c>
      <c r="DK16" s="132" t="s">
        <v>501</v>
      </c>
      <c r="DL16" s="133">
        <f>SUM(DL17:DL22)</f>
        <v>0</v>
      </c>
      <c r="DM16" s="138">
        <f>DM$3</f>
        <v>46213</v>
      </c>
      <c r="DN16" s="132" t="s">
        <v>501</v>
      </c>
      <c r="DO16" s="133">
        <f>SUM(DO17:DO22)</f>
        <v>0</v>
      </c>
      <c r="DP16" s="138">
        <f>DP$3</f>
        <v>46214</v>
      </c>
      <c r="DQ16" s="132" t="s">
        <v>501</v>
      </c>
      <c r="DR16" s="133">
        <f>SUM(DR17:DR22)</f>
        <v>0</v>
      </c>
    </row>
    <row r="17" spans="1:122" outlineLevel="1">
      <c r="A17" s="122" t="str">
        <f>$A$16</f>
        <v>Trần Văn Diện</v>
      </c>
      <c r="B17" s="28" t="s">
        <v>615</v>
      </c>
      <c r="C17" s="81" t="str">
        <f>IF($B17="","",INDEX('Bảng 3'!C:C,MATCH($B17,'Bảng 3'!$A:$A,0)))</f>
        <v>Quản lý BIM</v>
      </c>
      <c r="D17" s="81" t="str">
        <f>IF($B17="","",INDEX('Bảng 3'!D:D,MATCH($B17,'Bảng 3'!$A:$A,0)))</f>
        <v>B.DSHNQN.DMF</v>
      </c>
      <c r="E17" s="81" t="str">
        <f>IF($B17="","",INDEX('Bảng 3'!E:E,MATCH($B17,'Bảng 3'!$A:$A,0)))</f>
        <v>Bãi đỗ tàu qua đêm Cổ Loa</v>
      </c>
      <c r="F17" s="81" t="str">
        <f>IF($B17="","",INDEX('Bảng 3'!F:F,MATCH($B17,'Bảng 3'!$A:$A,0)))</f>
        <v>KT</v>
      </c>
      <c r="G17" s="81" t="str">
        <f>IF($B17="","",INDEX('Bảng 3'!G:G,MATCH($B17,'Bảng 3'!$A:$A,0)))</f>
        <v>Tạo lập mô hình BIM</v>
      </c>
      <c r="H17" s="121"/>
      <c r="I17" s="135"/>
      <c r="J17" s="135">
        <f>J$3</f>
        <v>46174</v>
      </c>
      <c r="K17" s="148" t="s">
        <v>501</v>
      </c>
      <c r="L17" s="168"/>
      <c r="M17" s="135">
        <f>M$3</f>
        <v>46175</v>
      </c>
      <c r="N17" s="148" t="s">
        <v>501</v>
      </c>
      <c r="O17" s="137" t="s">
        <v>501</v>
      </c>
      <c r="P17" s="135">
        <f>P$3</f>
        <v>46176</v>
      </c>
      <c r="Q17" s="136" t="s">
        <v>501</v>
      </c>
      <c r="R17" s="137" t="s">
        <v>501</v>
      </c>
      <c r="S17" s="135">
        <f>S$3</f>
        <v>46177</v>
      </c>
      <c r="T17" s="136" t="s">
        <v>501</v>
      </c>
      <c r="U17" s="137" t="s">
        <v>501</v>
      </c>
      <c r="V17" s="135">
        <f>V$3</f>
        <v>46178</v>
      </c>
      <c r="W17" s="136" t="s">
        <v>501</v>
      </c>
      <c r="X17" s="137" t="s">
        <v>501</v>
      </c>
      <c r="Y17" s="135">
        <f>Y$3</f>
        <v>46179</v>
      </c>
      <c r="Z17" s="136" t="s">
        <v>501</v>
      </c>
      <c r="AA17" s="137" t="s">
        <v>501</v>
      </c>
      <c r="AB17" s="135"/>
      <c r="AC17" s="135">
        <f>AC$3</f>
        <v>46181</v>
      </c>
      <c r="AD17" s="136" t="s">
        <v>501</v>
      </c>
      <c r="AE17" s="137" t="s">
        <v>501</v>
      </c>
      <c r="AF17" s="135">
        <f>AF$3</f>
        <v>46182</v>
      </c>
      <c r="AG17" s="136" t="s">
        <v>501</v>
      </c>
      <c r="AH17" s="137" t="s">
        <v>501</v>
      </c>
      <c r="AI17" s="135">
        <f>AI$3</f>
        <v>46183</v>
      </c>
      <c r="AJ17" s="136" t="s">
        <v>501</v>
      </c>
      <c r="AK17" s="137" t="s">
        <v>501</v>
      </c>
      <c r="AL17" s="135">
        <f>AL$3</f>
        <v>46184</v>
      </c>
      <c r="AM17" s="136" t="s">
        <v>501</v>
      </c>
      <c r="AN17" s="137" t="s">
        <v>501</v>
      </c>
      <c r="AO17" s="135">
        <f>AO$3</f>
        <v>46185</v>
      </c>
      <c r="AP17" s="136" t="s">
        <v>501</v>
      </c>
      <c r="AQ17" s="137" t="s">
        <v>501</v>
      </c>
      <c r="AR17" s="135">
        <f>AR$3</f>
        <v>46186</v>
      </c>
      <c r="AS17" s="136" t="s">
        <v>501</v>
      </c>
      <c r="AT17" s="137" t="s">
        <v>501</v>
      </c>
      <c r="AU17" s="135"/>
      <c r="AV17" s="135">
        <f>AV$3</f>
        <v>46188</v>
      </c>
      <c r="AW17" s="148" t="s">
        <v>501</v>
      </c>
      <c r="AX17" s="137" t="s">
        <v>501</v>
      </c>
      <c r="AY17" s="135">
        <f>AY$3</f>
        <v>46189</v>
      </c>
      <c r="AZ17" s="136" t="s">
        <v>501</v>
      </c>
      <c r="BA17" s="137" t="s">
        <v>501</v>
      </c>
      <c r="BB17" s="135">
        <f>BB$3</f>
        <v>46190</v>
      </c>
      <c r="BC17" s="136" t="s">
        <v>501</v>
      </c>
      <c r="BD17" s="137" t="s">
        <v>501</v>
      </c>
      <c r="BE17" s="135">
        <f>BE$3</f>
        <v>46191</v>
      </c>
      <c r="BF17" s="136" t="s">
        <v>501</v>
      </c>
      <c r="BG17" s="137" t="s">
        <v>501</v>
      </c>
      <c r="BH17" s="135">
        <f>BH$3</f>
        <v>46192</v>
      </c>
      <c r="BI17" s="136" t="s">
        <v>501</v>
      </c>
      <c r="BJ17" s="137" t="s">
        <v>501</v>
      </c>
      <c r="BK17" s="135">
        <f>BK$3</f>
        <v>46193</v>
      </c>
      <c r="BL17" s="136" t="s">
        <v>501</v>
      </c>
      <c r="BM17" s="137" t="s">
        <v>501</v>
      </c>
      <c r="BN17" s="135"/>
      <c r="BO17" s="135">
        <f>BO$3</f>
        <v>46195</v>
      </c>
      <c r="BP17" s="136" t="s">
        <v>501</v>
      </c>
      <c r="BQ17" s="137" t="s">
        <v>501</v>
      </c>
      <c r="BR17" s="135">
        <f>BR$3</f>
        <v>46196</v>
      </c>
      <c r="BS17" s="136" t="s">
        <v>501</v>
      </c>
      <c r="BT17" s="137" t="s">
        <v>501</v>
      </c>
      <c r="BU17" s="135">
        <f>BU$3</f>
        <v>46197</v>
      </c>
      <c r="BV17" s="136" t="s">
        <v>501</v>
      </c>
      <c r="BW17" s="137" t="s">
        <v>501</v>
      </c>
      <c r="BX17" s="135">
        <f>BX$3</f>
        <v>46198</v>
      </c>
      <c r="BY17" s="136" t="s">
        <v>501</v>
      </c>
      <c r="BZ17" s="137" t="s">
        <v>501</v>
      </c>
      <c r="CA17" s="135">
        <f>CA$3</f>
        <v>46199</v>
      </c>
      <c r="CB17" s="136" t="s">
        <v>501</v>
      </c>
      <c r="CC17" s="137" t="s">
        <v>501</v>
      </c>
      <c r="CD17" s="135">
        <f>CD$3</f>
        <v>46200</v>
      </c>
      <c r="CE17" s="136" t="s">
        <v>501</v>
      </c>
      <c r="CF17" s="137" t="s">
        <v>501</v>
      </c>
      <c r="CG17" s="135"/>
      <c r="CH17" s="135">
        <f>CH$3</f>
        <v>46202</v>
      </c>
      <c r="CI17" s="148" t="s">
        <v>501</v>
      </c>
      <c r="CJ17" s="137" t="s">
        <v>501</v>
      </c>
      <c r="CK17" s="135">
        <f>CK$3</f>
        <v>46203</v>
      </c>
      <c r="CL17" s="136" t="s">
        <v>501</v>
      </c>
      <c r="CM17" s="137" t="s">
        <v>501</v>
      </c>
      <c r="CN17" s="135">
        <f>CN$3</f>
        <v>46204</v>
      </c>
      <c r="CO17" s="136" t="s">
        <v>501</v>
      </c>
      <c r="CP17" s="137" t="s">
        <v>501</v>
      </c>
      <c r="CQ17" s="135">
        <f>CQ$3</f>
        <v>46205</v>
      </c>
      <c r="CR17" s="136" t="s">
        <v>501</v>
      </c>
      <c r="CS17" s="137" t="s">
        <v>501</v>
      </c>
      <c r="CT17" s="135">
        <f>CT$3</f>
        <v>46206</v>
      </c>
      <c r="CU17" s="136" t="s">
        <v>501</v>
      </c>
      <c r="CV17" s="137" t="s">
        <v>501</v>
      </c>
      <c r="CW17" s="135">
        <f>CW$3</f>
        <v>46207</v>
      </c>
      <c r="CX17" s="136" t="s">
        <v>501</v>
      </c>
      <c r="CY17" s="137" t="s">
        <v>501</v>
      </c>
      <c r="CZ17" s="135"/>
      <c r="DA17" s="135">
        <f>DA$3</f>
        <v>46209</v>
      </c>
      <c r="DB17" s="136" t="s">
        <v>501</v>
      </c>
      <c r="DC17" s="137" t="s">
        <v>501</v>
      </c>
      <c r="DD17" s="135">
        <f>DD$3</f>
        <v>46210</v>
      </c>
      <c r="DE17" s="136" t="s">
        <v>501</v>
      </c>
      <c r="DF17" s="137" t="s">
        <v>501</v>
      </c>
      <c r="DG17" s="135">
        <f>DG$3</f>
        <v>46211</v>
      </c>
      <c r="DH17" s="136" t="s">
        <v>501</v>
      </c>
      <c r="DI17" s="137" t="s">
        <v>501</v>
      </c>
      <c r="DJ17" s="135">
        <f>DJ$3</f>
        <v>46212</v>
      </c>
      <c r="DK17" s="136" t="s">
        <v>501</v>
      </c>
      <c r="DL17" s="137" t="s">
        <v>501</v>
      </c>
      <c r="DM17" s="135">
        <f>DM$3</f>
        <v>46213</v>
      </c>
      <c r="DN17" s="136" t="s">
        <v>501</v>
      </c>
      <c r="DO17" s="137" t="s">
        <v>501</v>
      </c>
      <c r="DP17" s="135">
        <f>DP$3</f>
        <v>46214</v>
      </c>
      <c r="DQ17" s="136" t="s">
        <v>501</v>
      </c>
      <c r="DR17" s="137" t="s">
        <v>501</v>
      </c>
    </row>
    <row r="18" spans="1:122" outlineLevel="1">
      <c r="A18" s="122" t="str">
        <f>$A$16</f>
        <v>Trần Văn Diện</v>
      </c>
      <c r="B18" s="123" t="s">
        <v>616</v>
      </c>
      <c r="C18" s="81" t="str">
        <f>IF($B18="","",INDEX('Bảng 3'!C:C,MATCH($B18,'Bảng 3'!$A:$A,0)))</f>
        <v>Quản lý BIM</v>
      </c>
      <c r="D18" s="81" t="str">
        <f>IF($B18="","",INDEX('Bảng 3'!D:D,MATCH($B18,'Bảng 3'!$A:$A,0)))</f>
        <v>B.DSHNQN.DMF</v>
      </c>
      <c r="E18" s="81" t="str">
        <f>IF($B18="","",INDEX('Bảng 3'!E:E,MATCH($B18,'Bảng 3'!$A:$A,0)))</f>
        <v>Bãi đỗ tàu qua đêm Cổ Loa</v>
      </c>
      <c r="F18" s="81" t="str">
        <f>IF($B18="","",INDEX('Bảng 3'!F:F,MATCH($B18,'Bảng 3'!$A:$A,0)))</f>
        <v>KC</v>
      </c>
      <c r="G18" s="81" t="str">
        <f>IF($B18="","",INDEX('Bảng 3'!G:G,MATCH($B18,'Bảng 3'!$A:$A,0)))</f>
        <v>Tạo lập mô hình BIM</v>
      </c>
      <c r="H18" s="121"/>
      <c r="I18" s="135"/>
      <c r="J18" s="135">
        <f>J$3</f>
        <v>46174</v>
      </c>
      <c r="K18" s="148" t="s">
        <v>501</v>
      </c>
      <c r="L18" s="168"/>
      <c r="M18" s="135">
        <f>M$3</f>
        <v>46175</v>
      </c>
      <c r="N18" s="148" t="s">
        <v>501</v>
      </c>
      <c r="O18" s="137" t="s">
        <v>501</v>
      </c>
      <c r="P18" s="135">
        <f>P$3</f>
        <v>46176</v>
      </c>
      <c r="Q18" s="136" t="s">
        <v>501</v>
      </c>
      <c r="R18" s="137" t="s">
        <v>501</v>
      </c>
      <c r="S18" s="135">
        <f>S$3</f>
        <v>46177</v>
      </c>
      <c r="T18" s="136" t="s">
        <v>501</v>
      </c>
      <c r="U18" s="137" t="s">
        <v>501</v>
      </c>
      <c r="V18" s="135">
        <f>V$3</f>
        <v>46178</v>
      </c>
      <c r="W18" s="136" t="s">
        <v>501</v>
      </c>
      <c r="X18" s="137" t="s">
        <v>501</v>
      </c>
      <c r="Y18" s="135">
        <f>Y$3</f>
        <v>46179</v>
      </c>
      <c r="Z18" s="136" t="s">
        <v>501</v>
      </c>
      <c r="AA18" s="137" t="s">
        <v>501</v>
      </c>
      <c r="AB18" s="135"/>
      <c r="AC18" s="135">
        <f>AC$3</f>
        <v>46181</v>
      </c>
      <c r="AD18" s="136" t="s">
        <v>501</v>
      </c>
      <c r="AE18" s="137" t="s">
        <v>501</v>
      </c>
      <c r="AF18" s="135">
        <f>AF$3</f>
        <v>46182</v>
      </c>
      <c r="AG18" s="136" t="s">
        <v>501</v>
      </c>
      <c r="AH18" s="137" t="s">
        <v>501</v>
      </c>
      <c r="AI18" s="135">
        <f>AI$3</f>
        <v>46183</v>
      </c>
      <c r="AJ18" s="136" t="s">
        <v>501</v>
      </c>
      <c r="AK18" s="137" t="s">
        <v>501</v>
      </c>
      <c r="AL18" s="135">
        <f>AL$3</f>
        <v>46184</v>
      </c>
      <c r="AM18" s="136" t="s">
        <v>501</v>
      </c>
      <c r="AN18" s="137" t="s">
        <v>501</v>
      </c>
      <c r="AO18" s="135">
        <f>AO$3</f>
        <v>46185</v>
      </c>
      <c r="AP18" s="136" t="s">
        <v>501</v>
      </c>
      <c r="AQ18" s="137" t="s">
        <v>501</v>
      </c>
      <c r="AR18" s="135">
        <f>AR$3</f>
        <v>46186</v>
      </c>
      <c r="AS18" s="136" t="s">
        <v>501</v>
      </c>
      <c r="AT18" s="137" t="s">
        <v>501</v>
      </c>
      <c r="AU18" s="135"/>
      <c r="AV18" s="135">
        <f>AV$3</f>
        <v>46188</v>
      </c>
      <c r="AW18" s="148" t="s">
        <v>501</v>
      </c>
      <c r="AX18" s="137" t="s">
        <v>501</v>
      </c>
      <c r="AY18" s="135">
        <f>AY$3</f>
        <v>46189</v>
      </c>
      <c r="AZ18" s="136" t="s">
        <v>501</v>
      </c>
      <c r="BA18" s="137" t="s">
        <v>501</v>
      </c>
      <c r="BB18" s="135">
        <f>BB$3</f>
        <v>46190</v>
      </c>
      <c r="BC18" s="136" t="s">
        <v>501</v>
      </c>
      <c r="BD18" s="137" t="s">
        <v>501</v>
      </c>
      <c r="BE18" s="135">
        <f>BE$3</f>
        <v>46191</v>
      </c>
      <c r="BF18" s="136" t="s">
        <v>501</v>
      </c>
      <c r="BG18" s="137" t="s">
        <v>501</v>
      </c>
      <c r="BH18" s="135">
        <f>BH$3</f>
        <v>46192</v>
      </c>
      <c r="BI18" s="136" t="s">
        <v>501</v>
      </c>
      <c r="BJ18" s="137" t="s">
        <v>501</v>
      </c>
      <c r="BK18" s="135">
        <f>BK$3</f>
        <v>46193</v>
      </c>
      <c r="BL18" s="136" t="s">
        <v>501</v>
      </c>
      <c r="BM18" s="137" t="s">
        <v>501</v>
      </c>
      <c r="BN18" s="135"/>
      <c r="BO18" s="135">
        <f>BO$3</f>
        <v>46195</v>
      </c>
      <c r="BP18" s="136" t="s">
        <v>501</v>
      </c>
      <c r="BQ18" s="137" t="s">
        <v>501</v>
      </c>
      <c r="BR18" s="135">
        <f>BR$3</f>
        <v>46196</v>
      </c>
      <c r="BS18" s="136" t="s">
        <v>501</v>
      </c>
      <c r="BT18" s="137" t="s">
        <v>501</v>
      </c>
      <c r="BU18" s="135">
        <f>BU$3</f>
        <v>46197</v>
      </c>
      <c r="BV18" s="136" t="s">
        <v>501</v>
      </c>
      <c r="BW18" s="137" t="s">
        <v>501</v>
      </c>
      <c r="BX18" s="135">
        <f>BX$3</f>
        <v>46198</v>
      </c>
      <c r="BY18" s="136" t="s">
        <v>501</v>
      </c>
      <c r="BZ18" s="137" t="s">
        <v>501</v>
      </c>
      <c r="CA18" s="135">
        <f>CA$3</f>
        <v>46199</v>
      </c>
      <c r="CB18" s="136" t="s">
        <v>501</v>
      </c>
      <c r="CC18" s="137" t="s">
        <v>501</v>
      </c>
      <c r="CD18" s="135">
        <f>CD$3</f>
        <v>46200</v>
      </c>
      <c r="CE18" s="136" t="s">
        <v>501</v>
      </c>
      <c r="CF18" s="137" t="s">
        <v>501</v>
      </c>
      <c r="CG18" s="135"/>
      <c r="CH18" s="135">
        <f>CH$3</f>
        <v>46202</v>
      </c>
      <c r="CI18" s="148" t="s">
        <v>501</v>
      </c>
      <c r="CJ18" s="137" t="s">
        <v>501</v>
      </c>
      <c r="CK18" s="135">
        <f>CK$3</f>
        <v>46203</v>
      </c>
      <c r="CL18" s="136" t="s">
        <v>501</v>
      </c>
      <c r="CM18" s="137" t="s">
        <v>501</v>
      </c>
      <c r="CN18" s="135">
        <f>CN$3</f>
        <v>46204</v>
      </c>
      <c r="CO18" s="136" t="s">
        <v>501</v>
      </c>
      <c r="CP18" s="137" t="s">
        <v>501</v>
      </c>
      <c r="CQ18" s="135">
        <f>CQ$3</f>
        <v>46205</v>
      </c>
      <c r="CR18" s="136" t="s">
        <v>501</v>
      </c>
      <c r="CS18" s="137" t="s">
        <v>501</v>
      </c>
      <c r="CT18" s="135">
        <f>CT$3</f>
        <v>46206</v>
      </c>
      <c r="CU18" s="136" t="s">
        <v>501</v>
      </c>
      <c r="CV18" s="137" t="s">
        <v>501</v>
      </c>
      <c r="CW18" s="135">
        <f>CW$3</f>
        <v>46207</v>
      </c>
      <c r="CX18" s="136" t="s">
        <v>501</v>
      </c>
      <c r="CY18" s="137" t="s">
        <v>501</v>
      </c>
      <c r="CZ18" s="135"/>
      <c r="DA18" s="135">
        <f>DA$3</f>
        <v>46209</v>
      </c>
      <c r="DB18" s="136" t="s">
        <v>501</v>
      </c>
      <c r="DC18" s="137" t="s">
        <v>501</v>
      </c>
      <c r="DD18" s="135">
        <f>DD$3</f>
        <v>46210</v>
      </c>
      <c r="DE18" s="136" t="s">
        <v>501</v>
      </c>
      <c r="DF18" s="137" t="s">
        <v>501</v>
      </c>
      <c r="DG18" s="135">
        <f>DG$3</f>
        <v>46211</v>
      </c>
      <c r="DH18" s="136" t="s">
        <v>501</v>
      </c>
      <c r="DI18" s="137" t="s">
        <v>501</v>
      </c>
      <c r="DJ18" s="135">
        <f>DJ$3</f>
        <v>46212</v>
      </c>
      <c r="DK18" s="136" t="s">
        <v>501</v>
      </c>
      <c r="DL18" s="137" t="s">
        <v>501</v>
      </c>
      <c r="DM18" s="135">
        <f>DM$3</f>
        <v>46213</v>
      </c>
      <c r="DN18" s="136" t="s">
        <v>501</v>
      </c>
      <c r="DO18" s="137" t="s">
        <v>501</v>
      </c>
      <c r="DP18" s="135">
        <f>DP$3</f>
        <v>46214</v>
      </c>
      <c r="DQ18" s="136" t="s">
        <v>501</v>
      </c>
      <c r="DR18" s="137" t="s">
        <v>501</v>
      </c>
    </row>
    <row r="19" spans="1:122" outlineLevel="1">
      <c r="A19" s="122" t="str">
        <f>$A$16</f>
        <v>Trần Văn Diện</v>
      </c>
      <c r="B19" s="82" t="s">
        <v>617</v>
      </c>
      <c r="C19" s="81" t="str">
        <f>IF($B19="","",INDEX('Bảng 3'!C:C,MATCH($B19,'Bảng 3'!$A:$A,0)))</f>
        <v>Quản lý BIM</v>
      </c>
      <c r="D19" s="81" t="str">
        <f>IF($B19="","",INDEX('Bảng 3'!D:D,MATCH($B19,'Bảng 3'!$A:$A,0)))</f>
        <v>B.DSHNQN.STA</v>
      </c>
      <c r="E19" s="81" t="str">
        <f>IF($B19="","",INDEX('Bảng 3'!E:E,MATCH($B19,'Bảng 3'!$A:$A,0)))</f>
        <v>Nhà ga Cổ Loa</v>
      </c>
      <c r="F19" s="81" t="str">
        <f>IF($B19="","",INDEX('Bảng 3'!F:F,MATCH($B19,'Bảng 3'!$A:$A,0)))</f>
        <v>KT</v>
      </c>
      <c r="G19" s="81" t="str">
        <f>IF($B19="","",INDEX('Bảng 3'!G:G,MATCH($B19,'Bảng 3'!$A:$A,0)))</f>
        <v>Tạo lập mô hình BIM</v>
      </c>
      <c r="H19" s="121"/>
      <c r="I19" s="135"/>
      <c r="J19" s="135">
        <f>J$3</f>
        <v>46174</v>
      </c>
      <c r="K19" s="148" t="s">
        <v>501</v>
      </c>
      <c r="L19" s="168"/>
      <c r="M19" s="135">
        <f>M$3</f>
        <v>46175</v>
      </c>
      <c r="N19" s="148" t="s">
        <v>501</v>
      </c>
      <c r="O19" s="137" t="s">
        <v>501</v>
      </c>
      <c r="P19" s="135">
        <f>P$3</f>
        <v>46176</v>
      </c>
      <c r="Q19" s="136" t="s">
        <v>501</v>
      </c>
      <c r="R19" s="137" t="s">
        <v>501</v>
      </c>
      <c r="S19" s="135">
        <f>S$3</f>
        <v>46177</v>
      </c>
      <c r="T19" s="136" t="s">
        <v>501</v>
      </c>
      <c r="U19" s="137" t="s">
        <v>501</v>
      </c>
      <c r="V19" s="135">
        <f>V$3</f>
        <v>46178</v>
      </c>
      <c r="W19" s="136" t="s">
        <v>501</v>
      </c>
      <c r="X19" s="137" t="s">
        <v>501</v>
      </c>
      <c r="Y19" s="135">
        <f>Y$3</f>
        <v>46179</v>
      </c>
      <c r="Z19" s="136" t="s">
        <v>501</v>
      </c>
      <c r="AA19" s="137" t="s">
        <v>501</v>
      </c>
      <c r="AB19" s="135"/>
      <c r="AC19" s="135">
        <f>AC$3</f>
        <v>46181</v>
      </c>
      <c r="AD19" s="136" t="s">
        <v>501</v>
      </c>
      <c r="AE19" s="137" t="s">
        <v>501</v>
      </c>
      <c r="AF19" s="135">
        <f>AF$3</f>
        <v>46182</v>
      </c>
      <c r="AG19" s="136" t="s">
        <v>501</v>
      </c>
      <c r="AH19" s="137" t="s">
        <v>501</v>
      </c>
      <c r="AI19" s="135">
        <f>AI$3</f>
        <v>46183</v>
      </c>
      <c r="AJ19" s="136" t="s">
        <v>501</v>
      </c>
      <c r="AK19" s="137" t="s">
        <v>501</v>
      </c>
      <c r="AL19" s="135">
        <f>AL$3</f>
        <v>46184</v>
      </c>
      <c r="AM19" s="136" t="s">
        <v>501</v>
      </c>
      <c r="AN19" s="137" t="s">
        <v>501</v>
      </c>
      <c r="AO19" s="135">
        <f>AO$3</f>
        <v>46185</v>
      </c>
      <c r="AP19" s="136" t="s">
        <v>501</v>
      </c>
      <c r="AQ19" s="137" t="s">
        <v>501</v>
      </c>
      <c r="AR19" s="135">
        <f>AR$3</f>
        <v>46186</v>
      </c>
      <c r="AS19" s="136" t="s">
        <v>501</v>
      </c>
      <c r="AT19" s="137" t="s">
        <v>501</v>
      </c>
      <c r="AU19" s="135"/>
      <c r="AV19" s="135">
        <f>AV$3</f>
        <v>46188</v>
      </c>
      <c r="AW19" s="148" t="s">
        <v>501</v>
      </c>
      <c r="AX19" s="137" t="s">
        <v>501</v>
      </c>
      <c r="AY19" s="135">
        <f>AY$3</f>
        <v>46189</v>
      </c>
      <c r="AZ19" s="136" t="s">
        <v>501</v>
      </c>
      <c r="BA19" s="137" t="s">
        <v>501</v>
      </c>
      <c r="BB19" s="135">
        <f>BB$3</f>
        <v>46190</v>
      </c>
      <c r="BC19" s="136" t="s">
        <v>501</v>
      </c>
      <c r="BD19" s="137" t="s">
        <v>501</v>
      </c>
      <c r="BE19" s="135">
        <f>BE$3</f>
        <v>46191</v>
      </c>
      <c r="BF19" s="136" t="s">
        <v>501</v>
      </c>
      <c r="BG19" s="137" t="s">
        <v>501</v>
      </c>
      <c r="BH19" s="135">
        <f>BH$3</f>
        <v>46192</v>
      </c>
      <c r="BI19" s="136" t="s">
        <v>501</v>
      </c>
      <c r="BJ19" s="137" t="s">
        <v>501</v>
      </c>
      <c r="BK19" s="135">
        <f>BK$3</f>
        <v>46193</v>
      </c>
      <c r="BL19" s="136" t="s">
        <v>501</v>
      </c>
      <c r="BM19" s="137" t="s">
        <v>501</v>
      </c>
      <c r="BN19" s="135"/>
      <c r="BO19" s="135">
        <f>BO$3</f>
        <v>46195</v>
      </c>
      <c r="BP19" s="136" t="s">
        <v>501</v>
      </c>
      <c r="BQ19" s="137" t="s">
        <v>501</v>
      </c>
      <c r="BR19" s="135">
        <f>BR$3</f>
        <v>46196</v>
      </c>
      <c r="BS19" s="136" t="s">
        <v>501</v>
      </c>
      <c r="BT19" s="137" t="s">
        <v>501</v>
      </c>
      <c r="BU19" s="135">
        <f>BU$3</f>
        <v>46197</v>
      </c>
      <c r="BV19" s="136" t="s">
        <v>501</v>
      </c>
      <c r="BW19" s="137" t="s">
        <v>501</v>
      </c>
      <c r="BX19" s="135">
        <f>BX$3</f>
        <v>46198</v>
      </c>
      <c r="BY19" s="136" t="s">
        <v>501</v>
      </c>
      <c r="BZ19" s="137" t="s">
        <v>501</v>
      </c>
      <c r="CA19" s="135">
        <f>CA$3</f>
        <v>46199</v>
      </c>
      <c r="CB19" s="136" t="s">
        <v>501</v>
      </c>
      <c r="CC19" s="137" t="s">
        <v>501</v>
      </c>
      <c r="CD19" s="135">
        <f>CD$3</f>
        <v>46200</v>
      </c>
      <c r="CE19" s="136" t="s">
        <v>501</v>
      </c>
      <c r="CF19" s="137" t="s">
        <v>501</v>
      </c>
      <c r="CG19" s="135"/>
      <c r="CH19" s="135">
        <f>CH$3</f>
        <v>46202</v>
      </c>
      <c r="CI19" s="148" t="s">
        <v>501</v>
      </c>
      <c r="CJ19" s="137" t="s">
        <v>501</v>
      </c>
      <c r="CK19" s="135">
        <f>CK$3</f>
        <v>46203</v>
      </c>
      <c r="CL19" s="136" t="s">
        <v>501</v>
      </c>
      <c r="CM19" s="137" t="s">
        <v>501</v>
      </c>
      <c r="CN19" s="135">
        <f>CN$3</f>
        <v>46204</v>
      </c>
      <c r="CO19" s="136" t="s">
        <v>501</v>
      </c>
      <c r="CP19" s="137" t="s">
        <v>501</v>
      </c>
      <c r="CQ19" s="135">
        <f>CQ$3</f>
        <v>46205</v>
      </c>
      <c r="CR19" s="136" t="s">
        <v>501</v>
      </c>
      <c r="CS19" s="137" t="s">
        <v>501</v>
      </c>
      <c r="CT19" s="135">
        <f>CT$3</f>
        <v>46206</v>
      </c>
      <c r="CU19" s="136" t="s">
        <v>501</v>
      </c>
      <c r="CV19" s="137" t="s">
        <v>501</v>
      </c>
      <c r="CW19" s="135">
        <f>CW$3</f>
        <v>46207</v>
      </c>
      <c r="CX19" s="136" t="s">
        <v>501</v>
      </c>
      <c r="CY19" s="137" t="s">
        <v>501</v>
      </c>
      <c r="CZ19" s="135"/>
      <c r="DA19" s="135">
        <f>DA$3</f>
        <v>46209</v>
      </c>
      <c r="DB19" s="136" t="s">
        <v>501</v>
      </c>
      <c r="DC19" s="137" t="s">
        <v>501</v>
      </c>
      <c r="DD19" s="135">
        <f>DD$3</f>
        <v>46210</v>
      </c>
      <c r="DE19" s="136" t="s">
        <v>501</v>
      </c>
      <c r="DF19" s="137" t="s">
        <v>501</v>
      </c>
      <c r="DG19" s="135">
        <f>DG$3</f>
        <v>46211</v>
      </c>
      <c r="DH19" s="136" t="s">
        <v>501</v>
      </c>
      <c r="DI19" s="137" t="s">
        <v>501</v>
      </c>
      <c r="DJ19" s="135">
        <f>DJ$3</f>
        <v>46212</v>
      </c>
      <c r="DK19" s="136" t="s">
        <v>501</v>
      </c>
      <c r="DL19" s="137" t="s">
        <v>501</v>
      </c>
      <c r="DM19" s="135">
        <f>DM$3</f>
        <v>46213</v>
      </c>
      <c r="DN19" s="136" t="s">
        <v>501</v>
      </c>
      <c r="DO19" s="137" t="s">
        <v>501</v>
      </c>
      <c r="DP19" s="135">
        <f>DP$3</f>
        <v>46214</v>
      </c>
      <c r="DQ19" s="136" t="s">
        <v>501</v>
      </c>
      <c r="DR19" s="137" t="s">
        <v>501</v>
      </c>
    </row>
    <row r="20" spans="1:122" outlineLevel="1">
      <c r="A20" s="122" t="str">
        <f>$A$16</f>
        <v>Trần Văn Diện</v>
      </c>
      <c r="B20" s="82" t="s">
        <v>618</v>
      </c>
      <c r="C20" s="81" t="str">
        <f>IF($B20="","",INDEX('Bảng 3'!C:C,MATCH($B20,'Bảng 3'!$A:$A,0)))</f>
        <v>Quản lý BIM</v>
      </c>
      <c r="D20" s="81" t="str">
        <f>IF($B20="","",INDEX('Bảng 3'!D:D,MATCH($B20,'Bảng 3'!$A:$A,0)))</f>
        <v>B.DSHNQN.STA</v>
      </c>
      <c r="E20" s="81" t="str">
        <f>IF($B20="","",INDEX('Bảng 3'!E:E,MATCH($B20,'Bảng 3'!$A:$A,0)))</f>
        <v>Nhà ga Gia Bình</v>
      </c>
      <c r="F20" s="81" t="str">
        <f>IF($B20="","",INDEX('Bảng 3'!F:F,MATCH($B20,'Bảng 3'!$A:$A,0)))</f>
        <v>KT</v>
      </c>
      <c r="G20" s="81" t="str">
        <f>IF($B20="","",INDEX('Bảng 3'!G:G,MATCH($B20,'Bảng 3'!$A:$A,0)))</f>
        <v>Tạo lập mô hình BIM</v>
      </c>
      <c r="H20" s="121"/>
      <c r="I20" s="135"/>
      <c r="J20" s="135">
        <f>J$3</f>
        <v>46174</v>
      </c>
      <c r="K20" s="148" t="s">
        <v>501</v>
      </c>
      <c r="L20" s="168"/>
      <c r="M20" s="135">
        <f>M$3</f>
        <v>46175</v>
      </c>
      <c r="N20" s="148" t="s">
        <v>501</v>
      </c>
      <c r="O20" s="137" t="s">
        <v>501</v>
      </c>
      <c r="P20" s="135">
        <f>P$3</f>
        <v>46176</v>
      </c>
      <c r="Q20" s="136" t="s">
        <v>501</v>
      </c>
      <c r="R20" s="137" t="s">
        <v>501</v>
      </c>
      <c r="S20" s="135">
        <f>S$3</f>
        <v>46177</v>
      </c>
      <c r="T20" s="136" t="s">
        <v>501</v>
      </c>
      <c r="U20" s="137" t="s">
        <v>501</v>
      </c>
      <c r="V20" s="135">
        <f>V$3</f>
        <v>46178</v>
      </c>
      <c r="W20" s="136" t="s">
        <v>501</v>
      </c>
      <c r="X20" s="137" t="s">
        <v>501</v>
      </c>
      <c r="Y20" s="135">
        <f>Y$3</f>
        <v>46179</v>
      </c>
      <c r="Z20" s="136" t="s">
        <v>501</v>
      </c>
      <c r="AA20" s="137" t="s">
        <v>501</v>
      </c>
      <c r="AB20" s="135"/>
      <c r="AC20" s="135">
        <f>AC$3</f>
        <v>46181</v>
      </c>
      <c r="AD20" s="136" t="s">
        <v>501</v>
      </c>
      <c r="AE20" s="137" t="s">
        <v>501</v>
      </c>
      <c r="AF20" s="135">
        <f>AF$3</f>
        <v>46182</v>
      </c>
      <c r="AG20" s="136" t="s">
        <v>501</v>
      </c>
      <c r="AH20" s="137" t="s">
        <v>501</v>
      </c>
      <c r="AI20" s="135">
        <f>AI$3</f>
        <v>46183</v>
      </c>
      <c r="AJ20" s="136" t="s">
        <v>501</v>
      </c>
      <c r="AK20" s="137" t="s">
        <v>501</v>
      </c>
      <c r="AL20" s="135">
        <f>AL$3</f>
        <v>46184</v>
      </c>
      <c r="AM20" s="136" t="s">
        <v>501</v>
      </c>
      <c r="AN20" s="137" t="s">
        <v>501</v>
      </c>
      <c r="AO20" s="135">
        <f>AO$3</f>
        <v>46185</v>
      </c>
      <c r="AP20" s="136" t="s">
        <v>501</v>
      </c>
      <c r="AQ20" s="137" t="s">
        <v>501</v>
      </c>
      <c r="AR20" s="135">
        <f>AR$3</f>
        <v>46186</v>
      </c>
      <c r="AS20" s="136" t="s">
        <v>501</v>
      </c>
      <c r="AT20" s="137" t="s">
        <v>501</v>
      </c>
      <c r="AU20" s="135"/>
      <c r="AV20" s="135">
        <f>AV$3</f>
        <v>46188</v>
      </c>
      <c r="AW20" s="148" t="s">
        <v>501</v>
      </c>
      <c r="AX20" s="137" t="s">
        <v>501</v>
      </c>
      <c r="AY20" s="135">
        <f>AY$3</f>
        <v>46189</v>
      </c>
      <c r="AZ20" s="136" t="s">
        <v>501</v>
      </c>
      <c r="BA20" s="137" t="s">
        <v>501</v>
      </c>
      <c r="BB20" s="135">
        <f>BB$3</f>
        <v>46190</v>
      </c>
      <c r="BC20" s="136" t="s">
        <v>501</v>
      </c>
      <c r="BD20" s="137" t="s">
        <v>501</v>
      </c>
      <c r="BE20" s="135">
        <f>BE$3</f>
        <v>46191</v>
      </c>
      <c r="BF20" s="136" t="s">
        <v>501</v>
      </c>
      <c r="BG20" s="137" t="s">
        <v>501</v>
      </c>
      <c r="BH20" s="135">
        <f>BH$3</f>
        <v>46192</v>
      </c>
      <c r="BI20" s="136" t="s">
        <v>501</v>
      </c>
      <c r="BJ20" s="137" t="s">
        <v>501</v>
      </c>
      <c r="BK20" s="135">
        <f>BK$3</f>
        <v>46193</v>
      </c>
      <c r="BL20" s="136" t="s">
        <v>501</v>
      </c>
      <c r="BM20" s="137" t="s">
        <v>501</v>
      </c>
      <c r="BN20" s="135"/>
      <c r="BO20" s="135">
        <f>BO$3</f>
        <v>46195</v>
      </c>
      <c r="BP20" s="136" t="s">
        <v>501</v>
      </c>
      <c r="BQ20" s="137" t="s">
        <v>501</v>
      </c>
      <c r="BR20" s="135">
        <f>BR$3</f>
        <v>46196</v>
      </c>
      <c r="BS20" s="136" t="s">
        <v>501</v>
      </c>
      <c r="BT20" s="137" t="s">
        <v>501</v>
      </c>
      <c r="BU20" s="135">
        <f>BU$3</f>
        <v>46197</v>
      </c>
      <c r="BV20" s="136" t="s">
        <v>501</v>
      </c>
      <c r="BW20" s="137" t="s">
        <v>501</v>
      </c>
      <c r="BX20" s="135">
        <f>BX$3</f>
        <v>46198</v>
      </c>
      <c r="BY20" s="136" t="s">
        <v>501</v>
      </c>
      <c r="BZ20" s="137" t="s">
        <v>501</v>
      </c>
      <c r="CA20" s="135">
        <f>CA$3</f>
        <v>46199</v>
      </c>
      <c r="CB20" s="136" t="s">
        <v>501</v>
      </c>
      <c r="CC20" s="137" t="s">
        <v>501</v>
      </c>
      <c r="CD20" s="135">
        <f>CD$3</f>
        <v>46200</v>
      </c>
      <c r="CE20" s="136" t="s">
        <v>501</v>
      </c>
      <c r="CF20" s="137" t="s">
        <v>501</v>
      </c>
      <c r="CG20" s="135"/>
      <c r="CH20" s="135">
        <f>CH$3</f>
        <v>46202</v>
      </c>
      <c r="CI20" s="148" t="s">
        <v>501</v>
      </c>
      <c r="CJ20" s="137" t="s">
        <v>501</v>
      </c>
      <c r="CK20" s="135">
        <f>CK$3</f>
        <v>46203</v>
      </c>
      <c r="CL20" s="136" t="s">
        <v>501</v>
      </c>
      <c r="CM20" s="137" t="s">
        <v>501</v>
      </c>
      <c r="CN20" s="135">
        <f>CN$3</f>
        <v>46204</v>
      </c>
      <c r="CO20" s="136" t="s">
        <v>501</v>
      </c>
      <c r="CP20" s="137" t="s">
        <v>501</v>
      </c>
      <c r="CQ20" s="135">
        <f>CQ$3</f>
        <v>46205</v>
      </c>
      <c r="CR20" s="136" t="s">
        <v>501</v>
      </c>
      <c r="CS20" s="137" t="s">
        <v>501</v>
      </c>
      <c r="CT20" s="135">
        <f>CT$3</f>
        <v>46206</v>
      </c>
      <c r="CU20" s="136" t="s">
        <v>501</v>
      </c>
      <c r="CV20" s="137" t="s">
        <v>501</v>
      </c>
      <c r="CW20" s="135">
        <f>CW$3</f>
        <v>46207</v>
      </c>
      <c r="CX20" s="136" t="s">
        <v>501</v>
      </c>
      <c r="CY20" s="137" t="s">
        <v>501</v>
      </c>
      <c r="CZ20" s="135"/>
      <c r="DA20" s="135">
        <f>DA$3</f>
        <v>46209</v>
      </c>
      <c r="DB20" s="136" t="s">
        <v>501</v>
      </c>
      <c r="DC20" s="137" t="s">
        <v>501</v>
      </c>
      <c r="DD20" s="135">
        <f>DD$3</f>
        <v>46210</v>
      </c>
      <c r="DE20" s="136" t="s">
        <v>501</v>
      </c>
      <c r="DF20" s="137" t="s">
        <v>501</v>
      </c>
      <c r="DG20" s="135">
        <f>DG$3</f>
        <v>46211</v>
      </c>
      <c r="DH20" s="136" t="s">
        <v>501</v>
      </c>
      <c r="DI20" s="137" t="s">
        <v>501</v>
      </c>
      <c r="DJ20" s="135">
        <f>DJ$3</f>
        <v>46212</v>
      </c>
      <c r="DK20" s="136" t="s">
        <v>501</v>
      </c>
      <c r="DL20" s="137" t="s">
        <v>501</v>
      </c>
      <c r="DM20" s="135">
        <f>DM$3</f>
        <v>46213</v>
      </c>
      <c r="DN20" s="136" t="s">
        <v>501</v>
      </c>
      <c r="DO20" s="137" t="s">
        <v>501</v>
      </c>
      <c r="DP20" s="135">
        <f>DP$3</f>
        <v>46214</v>
      </c>
      <c r="DQ20" s="136" t="s">
        <v>501</v>
      </c>
      <c r="DR20" s="137" t="s">
        <v>501</v>
      </c>
    </row>
    <row r="21" spans="1:122" outlineLevel="1">
      <c r="A21" s="122" t="str">
        <f>$A$16</f>
        <v>Trần Văn Diện</v>
      </c>
      <c r="B21" s="82" t="s">
        <v>619</v>
      </c>
      <c r="C21" s="81" t="str">
        <f>IF($B21="","",INDEX('Bảng 3'!C:C,MATCH($B21,'Bảng 3'!$A:$A,0)))</f>
        <v>Quản lý BIM</v>
      </c>
      <c r="D21" s="81" t="str">
        <f>IF($B21="","",INDEX('Bảng 3'!D:D,MATCH($B21,'Bảng 3'!$A:$A,0)))</f>
        <v>B.HNO.TMDM.VSC</v>
      </c>
      <c r="E21" s="81" t="str">
        <f>IF($B21="","",INDEX('Bảng 3'!E:E,MATCH($B21,'Bảng 3'!$A:$A,0)))</f>
        <v>Trường Cambridge tại lô F3-PTTH1</v>
      </c>
      <c r="F21" s="81" t="str">
        <f>IF($B21="","",INDEX('Bảng 3'!F:F,MATCH($B21,'Bảng 3'!$A:$A,0)))</f>
        <v>KT</v>
      </c>
      <c r="G21" s="81" t="str">
        <f>IF($B21="","",INDEX('Bảng 3'!G:G,MATCH($B21,'Bảng 3'!$A:$A,0)))</f>
        <v>KSCL mô hình BIM</v>
      </c>
      <c r="H21" s="121"/>
      <c r="I21" s="135"/>
      <c r="J21" s="135">
        <f>J$3</f>
        <v>46174</v>
      </c>
      <c r="K21" s="148" t="s">
        <v>501</v>
      </c>
      <c r="L21" s="168"/>
      <c r="M21" s="135">
        <f>M$3</f>
        <v>46175</v>
      </c>
      <c r="N21" s="148" t="s">
        <v>501</v>
      </c>
      <c r="O21" s="137" t="s">
        <v>501</v>
      </c>
      <c r="P21" s="135">
        <f>P$3</f>
        <v>46176</v>
      </c>
      <c r="Q21" s="136" t="s">
        <v>501</v>
      </c>
      <c r="R21" s="137" t="s">
        <v>501</v>
      </c>
      <c r="S21" s="135">
        <f>S$3</f>
        <v>46177</v>
      </c>
      <c r="T21" s="136" t="s">
        <v>501</v>
      </c>
      <c r="U21" s="137" t="s">
        <v>501</v>
      </c>
      <c r="V21" s="135">
        <f>V$3</f>
        <v>46178</v>
      </c>
      <c r="W21" s="136" t="s">
        <v>501</v>
      </c>
      <c r="X21" s="137" t="s">
        <v>501</v>
      </c>
      <c r="Y21" s="135">
        <f>Y$3</f>
        <v>46179</v>
      </c>
      <c r="Z21" s="136" t="s">
        <v>501</v>
      </c>
      <c r="AA21" s="137" t="s">
        <v>501</v>
      </c>
      <c r="AB21" s="135"/>
      <c r="AC21" s="135">
        <f>AC$3</f>
        <v>46181</v>
      </c>
      <c r="AD21" s="136" t="s">
        <v>501</v>
      </c>
      <c r="AE21" s="137" t="s">
        <v>501</v>
      </c>
      <c r="AF21" s="135">
        <f>AF$3</f>
        <v>46182</v>
      </c>
      <c r="AG21" s="136" t="s">
        <v>501</v>
      </c>
      <c r="AH21" s="137" t="s">
        <v>501</v>
      </c>
      <c r="AI21" s="135">
        <f>AI$3</f>
        <v>46183</v>
      </c>
      <c r="AJ21" s="136" t="s">
        <v>501</v>
      </c>
      <c r="AK21" s="137" t="s">
        <v>501</v>
      </c>
      <c r="AL21" s="135">
        <f>AL$3</f>
        <v>46184</v>
      </c>
      <c r="AM21" s="136" t="s">
        <v>501</v>
      </c>
      <c r="AN21" s="137" t="s">
        <v>501</v>
      </c>
      <c r="AO21" s="135">
        <f>AO$3</f>
        <v>46185</v>
      </c>
      <c r="AP21" s="136" t="s">
        <v>501</v>
      </c>
      <c r="AQ21" s="137" t="s">
        <v>501</v>
      </c>
      <c r="AR21" s="135">
        <f>AR$3</f>
        <v>46186</v>
      </c>
      <c r="AS21" s="136" t="s">
        <v>501</v>
      </c>
      <c r="AT21" s="137" t="s">
        <v>501</v>
      </c>
      <c r="AU21" s="135"/>
      <c r="AV21" s="135">
        <f>AV$3</f>
        <v>46188</v>
      </c>
      <c r="AW21" s="148" t="s">
        <v>501</v>
      </c>
      <c r="AX21" s="137" t="s">
        <v>501</v>
      </c>
      <c r="AY21" s="135">
        <f>AY$3</f>
        <v>46189</v>
      </c>
      <c r="AZ21" s="136" t="s">
        <v>501</v>
      </c>
      <c r="BA21" s="137" t="s">
        <v>501</v>
      </c>
      <c r="BB21" s="135">
        <f>BB$3</f>
        <v>46190</v>
      </c>
      <c r="BC21" s="136" t="s">
        <v>501</v>
      </c>
      <c r="BD21" s="137" t="s">
        <v>501</v>
      </c>
      <c r="BE21" s="135">
        <f>BE$3</f>
        <v>46191</v>
      </c>
      <c r="BF21" s="136" t="s">
        <v>501</v>
      </c>
      <c r="BG21" s="137" t="s">
        <v>501</v>
      </c>
      <c r="BH21" s="135">
        <f>BH$3</f>
        <v>46192</v>
      </c>
      <c r="BI21" s="136" t="s">
        <v>501</v>
      </c>
      <c r="BJ21" s="137" t="s">
        <v>501</v>
      </c>
      <c r="BK21" s="135">
        <f>BK$3</f>
        <v>46193</v>
      </c>
      <c r="BL21" s="136" t="s">
        <v>501</v>
      </c>
      <c r="BM21" s="137" t="s">
        <v>501</v>
      </c>
      <c r="BN21" s="135"/>
      <c r="BO21" s="135">
        <f>BO$3</f>
        <v>46195</v>
      </c>
      <c r="BP21" s="136" t="s">
        <v>501</v>
      </c>
      <c r="BQ21" s="137" t="s">
        <v>501</v>
      </c>
      <c r="BR21" s="135">
        <f>BR$3</f>
        <v>46196</v>
      </c>
      <c r="BS21" s="136" t="s">
        <v>501</v>
      </c>
      <c r="BT21" s="137" t="s">
        <v>501</v>
      </c>
      <c r="BU21" s="135">
        <f>BU$3</f>
        <v>46197</v>
      </c>
      <c r="BV21" s="136" t="s">
        <v>501</v>
      </c>
      <c r="BW21" s="137" t="s">
        <v>501</v>
      </c>
      <c r="BX21" s="135">
        <f>BX$3</f>
        <v>46198</v>
      </c>
      <c r="BY21" s="136" t="s">
        <v>501</v>
      </c>
      <c r="BZ21" s="137" t="s">
        <v>501</v>
      </c>
      <c r="CA21" s="135">
        <f>CA$3</f>
        <v>46199</v>
      </c>
      <c r="CB21" s="136" t="s">
        <v>501</v>
      </c>
      <c r="CC21" s="137" t="s">
        <v>501</v>
      </c>
      <c r="CD21" s="135">
        <f>CD$3</f>
        <v>46200</v>
      </c>
      <c r="CE21" s="136" t="s">
        <v>501</v>
      </c>
      <c r="CF21" s="137" t="s">
        <v>501</v>
      </c>
      <c r="CG21" s="135"/>
      <c r="CH21" s="135">
        <f>CH$3</f>
        <v>46202</v>
      </c>
      <c r="CI21" s="148" t="s">
        <v>501</v>
      </c>
      <c r="CJ21" s="137" t="s">
        <v>501</v>
      </c>
      <c r="CK21" s="135">
        <f>CK$3</f>
        <v>46203</v>
      </c>
      <c r="CL21" s="136" t="s">
        <v>501</v>
      </c>
      <c r="CM21" s="137" t="s">
        <v>501</v>
      </c>
      <c r="CN21" s="135">
        <f>CN$3</f>
        <v>46204</v>
      </c>
      <c r="CO21" s="136" t="s">
        <v>501</v>
      </c>
      <c r="CP21" s="137" t="s">
        <v>501</v>
      </c>
      <c r="CQ21" s="135">
        <f>CQ$3</f>
        <v>46205</v>
      </c>
      <c r="CR21" s="136" t="s">
        <v>501</v>
      </c>
      <c r="CS21" s="137" t="s">
        <v>501</v>
      </c>
      <c r="CT21" s="135">
        <f>CT$3</f>
        <v>46206</v>
      </c>
      <c r="CU21" s="136" t="s">
        <v>501</v>
      </c>
      <c r="CV21" s="137" t="s">
        <v>501</v>
      </c>
      <c r="CW21" s="135">
        <f>CW$3</f>
        <v>46207</v>
      </c>
      <c r="CX21" s="136" t="s">
        <v>501</v>
      </c>
      <c r="CY21" s="137" t="s">
        <v>501</v>
      </c>
      <c r="CZ21" s="135"/>
      <c r="DA21" s="135">
        <f>DA$3</f>
        <v>46209</v>
      </c>
      <c r="DB21" s="136" t="s">
        <v>501</v>
      </c>
      <c r="DC21" s="137" t="s">
        <v>501</v>
      </c>
      <c r="DD21" s="135">
        <f>DD$3</f>
        <v>46210</v>
      </c>
      <c r="DE21" s="136" t="s">
        <v>501</v>
      </c>
      <c r="DF21" s="137" t="s">
        <v>501</v>
      </c>
      <c r="DG21" s="135">
        <f>DG$3</f>
        <v>46211</v>
      </c>
      <c r="DH21" s="136" t="s">
        <v>501</v>
      </c>
      <c r="DI21" s="137" t="s">
        <v>501</v>
      </c>
      <c r="DJ21" s="135">
        <f>DJ$3</f>
        <v>46212</v>
      </c>
      <c r="DK21" s="136" t="s">
        <v>501</v>
      </c>
      <c r="DL21" s="137" t="s">
        <v>501</v>
      </c>
      <c r="DM21" s="135">
        <f>DM$3</f>
        <v>46213</v>
      </c>
      <c r="DN21" s="136" t="s">
        <v>501</v>
      </c>
      <c r="DO21" s="137" t="s">
        <v>501</v>
      </c>
      <c r="DP21" s="135">
        <f>DP$3</f>
        <v>46214</v>
      </c>
      <c r="DQ21" s="136" t="s">
        <v>501</v>
      </c>
      <c r="DR21" s="137" t="s">
        <v>501</v>
      </c>
    </row>
    <row r="22" spans="1:122" outlineLevel="1">
      <c r="A22" s="122" t="str">
        <f>$A$16</f>
        <v>Trần Văn Diện</v>
      </c>
      <c r="B22" s="82" t="s">
        <v>620</v>
      </c>
      <c r="C22" s="81" t="str">
        <f>IF($B22="","",INDEX('Bảng 3'!C:C,MATCH($B22,'Bảng 3'!$A:$A,0)))</f>
        <v>Quản lý BIM</v>
      </c>
      <c r="D22" s="81" t="str">
        <f>IF($B22="","",INDEX('Bảng 3'!D:D,MATCH($B22,'Bảng 3'!$A:$A,0)))</f>
        <v>B.HNO.TMDM.VSC</v>
      </c>
      <c r="E22" s="81" t="str">
        <f>IF($B22="","",INDEX('Bảng 3'!E:E,MATCH($B22,'Bảng 3'!$A:$A,0)))</f>
        <v>Trường Cambridge tại lô F3-PTTH1</v>
      </c>
      <c r="F22" s="81" t="str">
        <f>IF($B22="","",INDEX('Bảng 3'!F:F,MATCH($B22,'Bảng 3'!$A:$A,0)))</f>
        <v>KC</v>
      </c>
      <c r="G22" s="81" t="str">
        <f>IF($B22="","",INDEX('Bảng 3'!G:G,MATCH($B22,'Bảng 3'!$A:$A,0)))</f>
        <v>KSCL mô hình BIM</v>
      </c>
      <c r="H22" s="121"/>
      <c r="I22" s="135"/>
      <c r="J22" s="135">
        <f>J$3</f>
        <v>46174</v>
      </c>
      <c r="K22" s="148" t="s">
        <v>501</v>
      </c>
      <c r="L22" s="168"/>
      <c r="M22" s="135">
        <f>M$3</f>
        <v>46175</v>
      </c>
      <c r="N22" s="148" t="s">
        <v>501</v>
      </c>
      <c r="O22" s="137" t="s">
        <v>501</v>
      </c>
      <c r="P22" s="135">
        <f>P$3</f>
        <v>46176</v>
      </c>
      <c r="Q22" s="136" t="s">
        <v>501</v>
      </c>
      <c r="R22" s="137" t="s">
        <v>501</v>
      </c>
      <c r="S22" s="135">
        <f>S$3</f>
        <v>46177</v>
      </c>
      <c r="T22" s="136" t="s">
        <v>501</v>
      </c>
      <c r="U22" s="137" t="s">
        <v>501</v>
      </c>
      <c r="V22" s="135">
        <f>V$3</f>
        <v>46178</v>
      </c>
      <c r="W22" s="136" t="s">
        <v>501</v>
      </c>
      <c r="X22" s="137" t="s">
        <v>501</v>
      </c>
      <c r="Y22" s="135">
        <f>Y$3</f>
        <v>46179</v>
      </c>
      <c r="Z22" s="136" t="s">
        <v>501</v>
      </c>
      <c r="AA22" s="137" t="s">
        <v>501</v>
      </c>
      <c r="AB22" s="135"/>
      <c r="AC22" s="135">
        <f>AC$3</f>
        <v>46181</v>
      </c>
      <c r="AD22" s="136" t="s">
        <v>501</v>
      </c>
      <c r="AE22" s="137" t="s">
        <v>501</v>
      </c>
      <c r="AF22" s="135">
        <f>AF$3</f>
        <v>46182</v>
      </c>
      <c r="AG22" s="136" t="s">
        <v>501</v>
      </c>
      <c r="AH22" s="137" t="s">
        <v>501</v>
      </c>
      <c r="AI22" s="135">
        <f>AI$3</f>
        <v>46183</v>
      </c>
      <c r="AJ22" s="136" t="s">
        <v>501</v>
      </c>
      <c r="AK22" s="137" t="s">
        <v>501</v>
      </c>
      <c r="AL22" s="135">
        <f>AL$3</f>
        <v>46184</v>
      </c>
      <c r="AM22" s="136" t="s">
        <v>501</v>
      </c>
      <c r="AN22" s="137" t="s">
        <v>501</v>
      </c>
      <c r="AO22" s="135">
        <f>AO$3</f>
        <v>46185</v>
      </c>
      <c r="AP22" s="136" t="s">
        <v>501</v>
      </c>
      <c r="AQ22" s="137" t="s">
        <v>501</v>
      </c>
      <c r="AR22" s="135">
        <f>AR$3</f>
        <v>46186</v>
      </c>
      <c r="AS22" s="136" t="s">
        <v>501</v>
      </c>
      <c r="AT22" s="137" t="s">
        <v>501</v>
      </c>
      <c r="AU22" s="135"/>
      <c r="AV22" s="135">
        <f>AV$3</f>
        <v>46188</v>
      </c>
      <c r="AW22" s="148" t="s">
        <v>501</v>
      </c>
      <c r="AX22" s="137" t="s">
        <v>501</v>
      </c>
      <c r="AY22" s="135">
        <f>AY$3</f>
        <v>46189</v>
      </c>
      <c r="AZ22" s="136" t="s">
        <v>501</v>
      </c>
      <c r="BA22" s="137" t="s">
        <v>501</v>
      </c>
      <c r="BB22" s="135">
        <f>BB$3</f>
        <v>46190</v>
      </c>
      <c r="BC22" s="136" t="s">
        <v>501</v>
      </c>
      <c r="BD22" s="137" t="s">
        <v>501</v>
      </c>
      <c r="BE22" s="135">
        <f>BE$3</f>
        <v>46191</v>
      </c>
      <c r="BF22" s="136" t="s">
        <v>501</v>
      </c>
      <c r="BG22" s="137" t="s">
        <v>501</v>
      </c>
      <c r="BH22" s="135">
        <f>BH$3</f>
        <v>46192</v>
      </c>
      <c r="BI22" s="136" t="s">
        <v>501</v>
      </c>
      <c r="BJ22" s="137" t="s">
        <v>501</v>
      </c>
      <c r="BK22" s="135">
        <f>BK$3</f>
        <v>46193</v>
      </c>
      <c r="BL22" s="136" t="s">
        <v>501</v>
      </c>
      <c r="BM22" s="137" t="s">
        <v>501</v>
      </c>
      <c r="BN22" s="135"/>
      <c r="BO22" s="135">
        <f>BO$3</f>
        <v>46195</v>
      </c>
      <c r="BP22" s="136" t="s">
        <v>501</v>
      </c>
      <c r="BQ22" s="137" t="s">
        <v>501</v>
      </c>
      <c r="BR22" s="135">
        <f>BR$3</f>
        <v>46196</v>
      </c>
      <c r="BS22" s="136" t="s">
        <v>501</v>
      </c>
      <c r="BT22" s="137" t="s">
        <v>501</v>
      </c>
      <c r="BU22" s="135">
        <f>BU$3</f>
        <v>46197</v>
      </c>
      <c r="BV22" s="136" t="s">
        <v>501</v>
      </c>
      <c r="BW22" s="137" t="s">
        <v>501</v>
      </c>
      <c r="BX22" s="135">
        <f>BX$3</f>
        <v>46198</v>
      </c>
      <c r="BY22" s="136" t="s">
        <v>501</v>
      </c>
      <c r="BZ22" s="137" t="s">
        <v>501</v>
      </c>
      <c r="CA22" s="135">
        <f>CA$3</f>
        <v>46199</v>
      </c>
      <c r="CB22" s="136" t="s">
        <v>501</v>
      </c>
      <c r="CC22" s="137" t="s">
        <v>501</v>
      </c>
      <c r="CD22" s="135">
        <f>CD$3</f>
        <v>46200</v>
      </c>
      <c r="CE22" s="136" t="s">
        <v>501</v>
      </c>
      <c r="CF22" s="137" t="s">
        <v>501</v>
      </c>
      <c r="CG22" s="135"/>
      <c r="CH22" s="135">
        <f>CH$3</f>
        <v>46202</v>
      </c>
      <c r="CI22" s="148" t="s">
        <v>501</v>
      </c>
      <c r="CJ22" s="137" t="s">
        <v>501</v>
      </c>
      <c r="CK22" s="135">
        <f>CK$3</f>
        <v>46203</v>
      </c>
      <c r="CL22" s="136" t="s">
        <v>501</v>
      </c>
      <c r="CM22" s="137" t="s">
        <v>501</v>
      </c>
      <c r="CN22" s="135">
        <f>CN$3</f>
        <v>46204</v>
      </c>
      <c r="CO22" s="136" t="s">
        <v>501</v>
      </c>
      <c r="CP22" s="137" t="s">
        <v>501</v>
      </c>
      <c r="CQ22" s="135">
        <f>CQ$3</f>
        <v>46205</v>
      </c>
      <c r="CR22" s="136" t="s">
        <v>501</v>
      </c>
      <c r="CS22" s="137" t="s">
        <v>501</v>
      </c>
      <c r="CT22" s="135">
        <f>CT$3</f>
        <v>46206</v>
      </c>
      <c r="CU22" s="136" t="s">
        <v>501</v>
      </c>
      <c r="CV22" s="137" t="s">
        <v>501</v>
      </c>
      <c r="CW22" s="135">
        <f>CW$3</f>
        <v>46207</v>
      </c>
      <c r="CX22" s="136" t="s">
        <v>501</v>
      </c>
      <c r="CY22" s="137" t="s">
        <v>501</v>
      </c>
      <c r="CZ22" s="135"/>
      <c r="DA22" s="135">
        <f>DA$3</f>
        <v>46209</v>
      </c>
      <c r="DB22" s="136" t="s">
        <v>501</v>
      </c>
      <c r="DC22" s="137" t="s">
        <v>501</v>
      </c>
      <c r="DD22" s="135">
        <f>DD$3</f>
        <v>46210</v>
      </c>
      <c r="DE22" s="136" t="s">
        <v>501</v>
      </c>
      <c r="DF22" s="137" t="s">
        <v>501</v>
      </c>
      <c r="DG22" s="135">
        <f>DG$3</f>
        <v>46211</v>
      </c>
      <c r="DH22" s="136" t="s">
        <v>501</v>
      </c>
      <c r="DI22" s="137" t="s">
        <v>501</v>
      </c>
      <c r="DJ22" s="135">
        <f>DJ$3</f>
        <v>46212</v>
      </c>
      <c r="DK22" s="136" t="s">
        <v>501</v>
      </c>
      <c r="DL22" s="137" t="s">
        <v>501</v>
      </c>
      <c r="DM22" s="135">
        <f>DM$3</f>
        <v>46213</v>
      </c>
      <c r="DN22" s="136" t="s">
        <v>501</v>
      </c>
      <c r="DO22" s="137" t="s">
        <v>501</v>
      </c>
      <c r="DP22" s="135">
        <f>DP$3</f>
        <v>46214</v>
      </c>
      <c r="DQ22" s="136" t="s">
        <v>501</v>
      </c>
      <c r="DR22" s="137" t="s">
        <v>501</v>
      </c>
    </row>
    <row r="23" spans="1:122" outlineLevel="1">
      <c r="A23" s="122" t="str">
        <f>$A$16</f>
        <v>Trần Văn Diện</v>
      </c>
      <c r="B23" s="82" t="s">
        <v>621</v>
      </c>
      <c r="C23" s="81" t="str">
        <f>IF($B23="","",INDEX('Bảng 3'!C:C,MATCH($B23,'Bảng 3'!$A:$A,0)))</f>
        <v>Quản lý BIM</v>
      </c>
      <c r="D23" s="81" t="str">
        <f>IF($B23="","",INDEX('Bảng 3'!D:D,MATCH($B23,'Bảng 3'!$A:$A,0)))</f>
        <v>B.HYE.PVF</v>
      </c>
      <c r="E23" s="81" t="str">
        <f>IF($B23="","",INDEX('Bảng 3'!E:E,MATCH($B23,'Bảng 3'!$A:$A,0)))</f>
        <v>Sân vận động TDTT01</v>
      </c>
      <c r="F23" s="81" t="str">
        <f>IF($B23="","",INDEX('Bảng 3'!F:F,MATCH($B23,'Bảng 3'!$A:$A,0)))</f>
        <v>KT</v>
      </c>
      <c r="G23" s="81" t="str">
        <f>IF($B23="","",INDEX('Bảng 3'!G:G,MATCH($B23,'Bảng 3'!$A:$A,0)))</f>
        <v>KSCL mô hình BIM</v>
      </c>
      <c r="H23" s="121"/>
      <c r="I23" s="135"/>
      <c r="J23" s="135">
        <f>J$3</f>
        <v>46174</v>
      </c>
      <c r="K23" s="148" t="s">
        <v>501</v>
      </c>
      <c r="L23" s="168"/>
      <c r="M23" s="135">
        <f>M$3</f>
        <v>46175</v>
      </c>
      <c r="N23" s="148" t="s">
        <v>501</v>
      </c>
      <c r="O23" s="137" t="s">
        <v>501</v>
      </c>
      <c r="P23" s="135">
        <f>P$3</f>
        <v>46176</v>
      </c>
      <c r="Q23" s="136" t="s">
        <v>501</v>
      </c>
      <c r="R23" s="137" t="s">
        <v>501</v>
      </c>
      <c r="S23" s="135">
        <f>S$3</f>
        <v>46177</v>
      </c>
      <c r="T23" s="136" t="s">
        <v>501</v>
      </c>
      <c r="U23" s="137" t="s">
        <v>501</v>
      </c>
      <c r="V23" s="135">
        <f>V$3</f>
        <v>46178</v>
      </c>
      <c r="W23" s="136" t="s">
        <v>501</v>
      </c>
      <c r="X23" s="137" t="s">
        <v>501</v>
      </c>
      <c r="Y23" s="135">
        <f>Y$3</f>
        <v>46179</v>
      </c>
      <c r="Z23" s="136" t="s">
        <v>501</v>
      </c>
      <c r="AA23" s="137" t="s">
        <v>501</v>
      </c>
      <c r="AB23" s="135"/>
      <c r="AC23" s="135">
        <f>AC$3</f>
        <v>46181</v>
      </c>
      <c r="AD23" s="136" t="s">
        <v>501</v>
      </c>
      <c r="AE23" s="137" t="s">
        <v>501</v>
      </c>
      <c r="AF23" s="135">
        <f>AF$3</f>
        <v>46182</v>
      </c>
      <c r="AG23" s="136" t="s">
        <v>501</v>
      </c>
      <c r="AH23" s="137" t="s">
        <v>501</v>
      </c>
      <c r="AI23" s="135">
        <f>AI$3</f>
        <v>46183</v>
      </c>
      <c r="AJ23" s="136" t="s">
        <v>501</v>
      </c>
      <c r="AK23" s="137" t="s">
        <v>501</v>
      </c>
      <c r="AL23" s="135">
        <f>AL$3</f>
        <v>46184</v>
      </c>
      <c r="AM23" s="136" t="s">
        <v>501</v>
      </c>
      <c r="AN23" s="137" t="s">
        <v>501</v>
      </c>
      <c r="AO23" s="135">
        <f>AO$3</f>
        <v>46185</v>
      </c>
      <c r="AP23" s="136" t="s">
        <v>501</v>
      </c>
      <c r="AQ23" s="137" t="s">
        <v>501</v>
      </c>
      <c r="AR23" s="135">
        <f>AR$3</f>
        <v>46186</v>
      </c>
      <c r="AS23" s="136" t="s">
        <v>501</v>
      </c>
      <c r="AT23" s="137" t="s">
        <v>501</v>
      </c>
      <c r="AU23" s="135"/>
      <c r="AV23" s="135">
        <f>AV$3</f>
        <v>46188</v>
      </c>
      <c r="AW23" s="148" t="s">
        <v>501</v>
      </c>
      <c r="AX23" s="137" t="s">
        <v>501</v>
      </c>
      <c r="AY23" s="135">
        <f>AY$3</f>
        <v>46189</v>
      </c>
      <c r="AZ23" s="136" t="s">
        <v>501</v>
      </c>
      <c r="BA23" s="137" t="s">
        <v>501</v>
      </c>
      <c r="BB23" s="135">
        <f>BB$3</f>
        <v>46190</v>
      </c>
      <c r="BC23" s="136" t="s">
        <v>501</v>
      </c>
      <c r="BD23" s="137" t="s">
        <v>501</v>
      </c>
      <c r="BE23" s="135">
        <f>BE$3</f>
        <v>46191</v>
      </c>
      <c r="BF23" s="136" t="s">
        <v>501</v>
      </c>
      <c r="BG23" s="137" t="s">
        <v>501</v>
      </c>
      <c r="BH23" s="135">
        <f>BH$3</f>
        <v>46192</v>
      </c>
      <c r="BI23" s="136" t="s">
        <v>501</v>
      </c>
      <c r="BJ23" s="137" t="s">
        <v>501</v>
      </c>
      <c r="BK23" s="135">
        <f>BK$3</f>
        <v>46193</v>
      </c>
      <c r="BL23" s="136" t="s">
        <v>501</v>
      </c>
      <c r="BM23" s="137" t="s">
        <v>501</v>
      </c>
      <c r="BN23" s="135"/>
      <c r="BO23" s="135">
        <f>BO$3</f>
        <v>46195</v>
      </c>
      <c r="BP23" s="136" t="s">
        <v>501</v>
      </c>
      <c r="BQ23" s="137" t="s">
        <v>501</v>
      </c>
      <c r="BR23" s="135">
        <f>BR$3</f>
        <v>46196</v>
      </c>
      <c r="BS23" s="136" t="s">
        <v>501</v>
      </c>
      <c r="BT23" s="137" t="s">
        <v>501</v>
      </c>
      <c r="BU23" s="135">
        <f>BU$3</f>
        <v>46197</v>
      </c>
      <c r="BV23" s="136" t="s">
        <v>501</v>
      </c>
      <c r="BW23" s="137" t="s">
        <v>501</v>
      </c>
      <c r="BX23" s="135">
        <f>BX$3</f>
        <v>46198</v>
      </c>
      <c r="BY23" s="136" t="s">
        <v>501</v>
      </c>
      <c r="BZ23" s="137" t="s">
        <v>501</v>
      </c>
      <c r="CA23" s="135">
        <f>CA$3</f>
        <v>46199</v>
      </c>
      <c r="CB23" s="136" t="s">
        <v>501</v>
      </c>
      <c r="CC23" s="137" t="s">
        <v>501</v>
      </c>
      <c r="CD23" s="135">
        <f>CD$3</f>
        <v>46200</v>
      </c>
      <c r="CE23" s="136" t="s">
        <v>501</v>
      </c>
      <c r="CF23" s="137" t="s">
        <v>501</v>
      </c>
      <c r="CG23" s="135"/>
      <c r="CH23" s="135">
        <f>CH$3</f>
        <v>46202</v>
      </c>
      <c r="CI23" s="148" t="s">
        <v>501</v>
      </c>
      <c r="CJ23" s="137" t="s">
        <v>501</v>
      </c>
      <c r="CK23" s="135">
        <f>CK$3</f>
        <v>46203</v>
      </c>
      <c r="CL23" s="136" t="s">
        <v>501</v>
      </c>
      <c r="CM23" s="137" t="s">
        <v>501</v>
      </c>
      <c r="CN23" s="135">
        <f>CN$3</f>
        <v>46204</v>
      </c>
      <c r="CO23" s="136" t="s">
        <v>501</v>
      </c>
      <c r="CP23" s="137" t="s">
        <v>501</v>
      </c>
      <c r="CQ23" s="135">
        <f>CQ$3</f>
        <v>46205</v>
      </c>
      <c r="CR23" s="136" t="s">
        <v>501</v>
      </c>
      <c r="CS23" s="137" t="s">
        <v>501</v>
      </c>
      <c r="CT23" s="135">
        <f>CT$3</f>
        <v>46206</v>
      </c>
      <c r="CU23" s="136" t="s">
        <v>501</v>
      </c>
      <c r="CV23" s="137" t="s">
        <v>501</v>
      </c>
      <c r="CW23" s="135">
        <f>CW$3</f>
        <v>46207</v>
      </c>
      <c r="CX23" s="136" t="s">
        <v>501</v>
      </c>
      <c r="CY23" s="137" t="s">
        <v>501</v>
      </c>
      <c r="CZ23" s="135"/>
      <c r="DA23" s="135">
        <f>DA$3</f>
        <v>46209</v>
      </c>
      <c r="DB23" s="136" t="s">
        <v>501</v>
      </c>
      <c r="DC23" s="137" t="s">
        <v>501</v>
      </c>
      <c r="DD23" s="135">
        <f>DD$3</f>
        <v>46210</v>
      </c>
      <c r="DE23" s="136" t="s">
        <v>501</v>
      </c>
      <c r="DF23" s="137" t="s">
        <v>501</v>
      </c>
      <c r="DG23" s="135">
        <f>DG$3</f>
        <v>46211</v>
      </c>
      <c r="DH23" s="136" t="s">
        <v>501</v>
      </c>
      <c r="DI23" s="137" t="s">
        <v>501</v>
      </c>
      <c r="DJ23" s="135">
        <f>DJ$3</f>
        <v>46212</v>
      </c>
      <c r="DK23" s="136" t="s">
        <v>501</v>
      </c>
      <c r="DL23" s="137" t="s">
        <v>501</v>
      </c>
      <c r="DM23" s="135">
        <f>DM$3</f>
        <v>46213</v>
      </c>
      <c r="DN23" s="136" t="s">
        <v>501</v>
      </c>
      <c r="DO23" s="137" t="s">
        <v>501</v>
      </c>
      <c r="DP23" s="135">
        <f>DP$3</f>
        <v>46214</v>
      </c>
      <c r="DQ23" s="136" t="s">
        <v>501</v>
      </c>
      <c r="DR23" s="137" t="s">
        <v>501</v>
      </c>
    </row>
    <row r="24" spans="1:122" outlineLevel="1">
      <c r="A24" s="122" t="str">
        <f>$A$16</f>
        <v>Trần Văn Diện</v>
      </c>
      <c r="B24" s="82" t="s">
        <v>622</v>
      </c>
      <c r="C24" s="81" t="str">
        <f>IF($B24="","",INDEX('Bảng 3'!C:C,MATCH($B24,'Bảng 3'!$A:$A,0)))</f>
        <v>Quản lý BIM</v>
      </c>
      <c r="D24" s="81" t="str">
        <f>IF($B24="","",INDEX('Bảng 3'!D:D,MATCH($B24,'Bảng 3'!$A:$A,0)))</f>
        <v>B.HYE.PVF</v>
      </c>
      <c r="E24" s="81" t="str">
        <f>IF($B24="","",INDEX('Bảng 3'!E:E,MATCH($B24,'Bảng 3'!$A:$A,0)))</f>
        <v>Sân vận động TDTT01</v>
      </c>
      <c r="F24" s="81" t="str">
        <f>IF($B24="","",INDEX('Bảng 3'!F:F,MATCH($B24,'Bảng 3'!$A:$A,0)))</f>
        <v>KC</v>
      </c>
      <c r="G24" s="81" t="str">
        <f>IF($B24="","",INDEX('Bảng 3'!G:G,MATCH($B24,'Bảng 3'!$A:$A,0)))</f>
        <v>KSCL mô hình BIM</v>
      </c>
      <c r="H24" s="121"/>
      <c r="I24" s="135"/>
      <c r="J24" s="135">
        <f>J$3</f>
        <v>46174</v>
      </c>
      <c r="K24" s="148" t="s">
        <v>501</v>
      </c>
      <c r="L24" s="168"/>
      <c r="M24" s="135">
        <f>M$3</f>
        <v>46175</v>
      </c>
      <c r="N24" s="148" t="s">
        <v>501</v>
      </c>
      <c r="O24" s="137" t="s">
        <v>501</v>
      </c>
      <c r="P24" s="135">
        <f>P$3</f>
        <v>46176</v>
      </c>
      <c r="Q24" s="136" t="s">
        <v>501</v>
      </c>
      <c r="R24" s="137" t="s">
        <v>501</v>
      </c>
      <c r="S24" s="135">
        <f>S$3</f>
        <v>46177</v>
      </c>
      <c r="T24" s="136" t="s">
        <v>501</v>
      </c>
      <c r="U24" s="137" t="s">
        <v>501</v>
      </c>
      <c r="V24" s="135">
        <f>V$3</f>
        <v>46178</v>
      </c>
      <c r="W24" s="136" t="s">
        <v>501</v>
      </c>
      <c r="X24" s="137" t="s">
        <v>501</v>
      </c>
      <c r="Y24" s="135">
        <f>Y$3</f>
        <v>46179</v>
      </c>
      <c r="Z24" s="136" t="s">
        <v>501</v>
      </c>
      <c r="AA24" s="137" t="s">
        <v>501</v>
      </c>
      <c r="AB24" s="135"/>
      <c r="AC24" s="135">
        <f>AC$3</f>
        <v>46181</v>
      </c>
      <c r="AD24" s="136" t="s">
        <v>501</v>
      </c>
      <c r="AE24" s="137" t="s">
        <v>501</v>
      </c>
      <c r="AF24" s="135">
        <f>AF$3</f>
        <v>46182</v>
      </c>
      <c r="AG24" s="136" t="s">
        <v>501</v>
      </c>
      <c r="AH24" s="137" t="s">
        <v>501</v>
      </c>
      <c r="AI24" s="135">
        <f>AI$3</f>
        <v>46183</v>
      </c>
      <c r="AJ24" s="136" t="s">
        <v>501</v>
      </c>
      <c r="AK24" s="137" t="s">
        <v>501</v>
      </c>
      <c r="AL24" s="135">
        <f>AL$3</f>
        <v>46184</v>
      </c>
      <c r="AM24" s="136" t="s">
        <v>501</v>
      </c>
      <c r="AN24" s="137" t="s">
        <v>501</v>
      </c>
      <c r="AO24" s="135">
        <f>AO$3</f>
        <v>46185</v>
      </c>
      <c r="AP24" s="136" t="s">
        <v>501</v>
      </c>
      <c r="AQ24" s="137" t="s">
        <v>501</v>
      </c>
      <c r="AR24" s="135">
        <f>AR$3</f>
        <v>46186</v>
      </c>
      <c r="AS24" s="136" t="s">
        <v>501</v>
      </c>
      <c r="AT24" s="137" t="s">
        <v>501</v>
      </c>
      <c r="AU24" s="135"/>
      <c r="AV24" s="135">
        <f>AV$3</f>
        <v>46188</v>
      </c>
      <c r="AW24" s="148" t="s">
        <v>501</v>
      </c>
      <c r="AX24" s="137" t="s">
        <v>501</v>
      </c>
      <c r="AY24" s="135">
        <f>AY$3</f>
        <v>46189</v>
      </c>
      <c r="AZ24" s="136" t="s">
        <v>501</v>
      </c>
      <c r="BA24" s="137" t="s">
        <v>501</v>
      </c>
      <c r="BB24" s="135">
        <f>BB$3</f>
        <v>46190</v>
      </c>
      <c r="BC24" s="136" t="s">
        <v>501</v>
      </c>
      <c r="BD24" s="137" t="s">
        <v>501</v>
      </c>
      <c r="BE24" s="135">
        <f>BE$3</f>
        <v>46191</v>
      </c>
      <c r="BF24" s="136" t="s">
        <v>501</v>
      </c>
      <c r="BG24" s="137" t="s">
        <v>501</v>
      </c>
      <c r="BH24" s="135">
        <f>BH$3</f>
        <v>46192</v>
      </c>
      <c r="BI24" s="136" t="s">
        <v>501</v>
      </c>
      <c r="BJ24" s="137" t="s">
        <v>501</v>
      </c>
      <c r="BK24" s="135">
        <f>BK$3</f>
        <v>46193</v>
      </c>
      <c r="BL24" s="136" t="s">
        <v>501</v>
      </c>
      <c r="BM24" s="137" t="s">
        <v>501</v>
      </c>
      <c r="BN24" s="135"/>
      <c r="BO24" s="135">
        <f>BO$3</f>
        <v>46195</v>
      </c>
      <c r="BP24" s="136" t="s">
        <v>501</v>
      </c>
      <c r="BQ24" s="137" t="s">
        <v>501</v>
      </c>
      <c r="BR24" s="135">
        <f>BR$3</f>
        <v>46196</v>
      </c>
      <c r="BS24" s="136" t="s">
        <v>501</v>
      </c>
      <c r="BT24" s="137" t="s">
        <v>501</v>
      </c>
      <c r="BU24" s="135">
        <f>BU$3</f>
        <v>46197</v>
      </c>
      <c r="BV24" s="136" t="s">
        <v>501</v>
      </c>
      <c r="BW24" s="137" t="s">
        <v>501</v>
      </c>
      <c r="BX24" s="135">
        <f>BX$3</f>
        <v>46198</v>
      </c>
      <c r="BY24" s="136" t="s">
        <v>501</v>
      </c>
      <c r="BZ24" s="137" t="s">
        <v>501</v>
      </c>
      <c r="CA24" s="135">
        <f>CA$3</f>
        <v>46199</v>
      </c>
      <c r="CB24" s="136" t="s">
        <v>501</v>
      </c>
      <c r="CC24" s="137" t="s">
        <v>501</v>
      </c>
      <c r="CD24" s="135">
        <f>CD$3</f>
        <v>46200</v>
      </c>
      <c r="CE24" s="136" t="s">
        <v>501</v>
      </c>
      <c r="CF24" s="137" t="s">
        <v>501</v>
      </c>
      <c r="CG24" s="135"/>
      <c r="CH24" s="135">
        <f>CH$3</f>
        <v>46202</v>
      </c>
      <c r="CI24" s="148" t="s">
        <v>501</v>
      </c>
      <c r="CJ24" s="137" t="s">
        <v>501</v>
      </c>
      <c r="CK24" s="135">
        <f>CK$3</f>
        <v>46203</v>
      </c>
      <c r="CL24" s="136" t="s">
        <v>501</v>
      </c>
      <c r="CM24" s="137" t="s">
        <v>501</v>
      </c>
      <c r="CN24" s="135">
        <f>CN$3</f>
        <v>46204</v>
      </c>
      <c r="CO24" s="136" t="s">
        <v>501</v>
      </c>
      <c r="CP24" s="137" t="s">
        <v>501</v>
      </c>
      <c r="CQ24" s="135">
        <f>CQ$3</f>
        <v>46205</v>
      </c>
      <c r="CR24" s="136" t="s">
        <v>501</v>
      </c>
      <c r="CS24" s="137" t="s">
        <v>501</v>
      </c>
      <c r="CT24" s="135">
        <f>CT$3</f>
        <v>46206</v>
      </c>
      <c r="CU24" s="136" t="s">
        <v>501</v>
      </c>
      <c r="CV24" s="137" t="s">
        <v>501</v>
      </c>
      <c r="CW24" s="135">
        <f>CW$3</f>
        <v>46207</v>
      </c>
      <c r="CX24" s="136" t="s">
        <v>501</v>
      </c>
      <c r="CY24" s="137" t="s">
        <v>501</v>
      </c>
      <c r="CZ24" s="135"/>
      <c r="DA24" s="135">
        <f>DA$3</f>
        <v>46209</v>
      </c>
      <c r="DB24" s="136" t="s">
        <v>501</v>
      </c>
      <c r="DC24" s="137" t="s">
        <v>501</v>
      </c>
      <c r="DD24" s="135">
        <f>DD$3</f>
        <v>46210</v>
      </c>
      <c r="DE24" s="136" t="s">
        <v>501</v>
      </c>
      <c r="DF24" s="137" t="s">
        <v>501</v>
      </c>
      <c r="DG24" s="135">
        <f>DG$3</f>
        <v>46211</v>
      </c>
      <c r="DH24" s="136" t="s">
        <v>501</v>
      </c>
      <c r="DI24" s="137" t="s">
        <v>501</v>
      </c>
      <c r="DJ24" s="135">
        <f>DJ$3</f>
        <v>46212</v>
      </c>
      <c r="DK24" s="136" t="s">
        <v>501</v>
      </c>
      <c r="DL24" s="137" t="s">
        <v>501</v>
      </c>
      <c r="DM24" s="135">
        <f>DM$3</f>
        <v>46213</v>
      </c>
      <c r="DN24" s="136" t="s">
        <v>501</v>
      </c>
      <c r="DO24" s="137" t="s">
        <v>501</v>
      </c>
      <c r="DP24" s="135">
        <f>DP$3</f>
        <v>46214</v>
      </c>
      <c r="DQ24" s="136" t="s">
        <v>501</v>
      </c>
      <c r="DR24" s="137" t="s">
        <v>501</v>
      </c>
    </row>
    <row r="25" spans="1:122" outlineLevel="1">
      <c r="A25" s="122" t="str">
        <f>$A$16</f>
        <v>Trần Văn Diện</v>
      </c>
      <c r="B25" s="82" t="s">
        <v>623</v>
      </c>
      <c r="C25" s="81" t="str">
        <f>IF($B25="","",INDEX('Bảng 3'!C:C,MATCH($B25,'Bảng 3'!$A:$A,0)))</f>
        <v>Quản lý BIM</v>
      </c>
      <c r="D25" s="81" t="str">
        <f>IF($B25="","",INDEX('Bảng 3'!D:D,MATCH($B25,'Bảng 3'!$A:$A,0)))</f>
        <v>B.HYE.PVF</v>
      </c>
      <c r="E25" s="81" t="str">
        <f>IF($B25="","",INDEX('Bảng 3'!E:E,MATCH($B25,'Bảng 3'!$A:$A,0)))</f>
        <v>Sân vận động TDTT01</v>
      </c>
      <c r="F25" s="81" t="str">
        <f>IF($B25="","",INDEX('Bảng 3'!F:F,MATCH($B25,'Bảng 3'!$A:$A,0)))</f>
        <v>KC</v>
      </c>
      <c r="G25" s="81" t="str">
        <f>IF($B25="","",INDEX('Bảng 3'!G:G,MATCH($B25,'Bảng 3'!$A:$A,0)))</f>
        <v>Xuất khối lượng từ mô hình BIM</v>
      </c>
      <c r="H25" s="121"/>
      <c r="I25" s="135"/>
      <c r="J25" s="135">
        <f>J$3</f>
        <v>46174</v>
      </c>
      <c r="K25" s="148" t="s">
        <v>501</v>
      </c>
      <c r="L25" s="168"/>
      <c r="M25" s="135">
        <f>M$3</f>
        <v>46175</v>
      </c>
      <c r="N25" s="148" t="s">
        <v>501</v>
      </c>
      <c r="O25" s="137" t="s">
        <v>501</v>
      </c>
      <c r="P25" s="135">
        <f>P$3</f>
        <v>46176</v>
      </c>
      <c r="Q25" s="136" t="s">
        <v>501</v>
      </c>
      <c r="R25" s="137" t="s">
        <v>501</v>
      </c>
      <c r="S25" s="135">
        <f>S$3</f>
        <v>46177</v>
      </c>
      <c r="T25" s="136" t="s">
        <v>501</v>
      </c>
      <c r="U25" s="137" t="s">
        <v>501</v>
      </c>
      <c r="V25" s="135">
        <f>V$3</f>
        <v>46178</v>
      </c>
      <c r="W25" s="136" t="s">
        <v>501</v>
      </c>
      <c r="X25" s="137" t="s">
        <v>501</v>
      </c>
      <c r="Y25" s="135">
        <f>Y$3</f>
        <v>46179</v>
      </c>
      <c r="Z25" s="136" t="s">
        <v>501</v>
      </c>
      <c r="AA25" s="137" t="s">
        <v>501</v>
      </c>
      <c r="AB25" s="135"/>
      <c r="AC25" s="135">
        <f>AC$3</f>
        <v>46181</v>
      </c>
      <c r="AD25" s="136" t="s">
        <v>501</v>
      </c>
      <c r="AE25" s="137" t="s">
        <v>501</v>
      </c>
      <c r="AF25" s="135">
        <f>AF$3</f>
        <v>46182</v>
      </c>
      <c r="AG25" s="136" t="s">
        <v>501</v>
      </c>
      <c r="AH25" s="137" t="s">
        <v>501</v>
      </c>
      <c r="AI25" s="135">
        <f>AI$3</f>
        <v>46183</v>
      </c>
      <c r="AJ25" s="136" t="s">
        <v>501</v>
      </c>
      <c r="AK25" s="137" t="s">
        <v>501</v>
      </c>
      <c r="AL25" s="135">
        <f>AL$3</f>
        <v>46184</v>
      </c>
      <c r="AM25" s="136" t="s">
        <v>501</v>
      </c>
      <c r="AN25" s="137" t="s">
        <v>501</v>
      </c>
      <c r="AO25" s="135">
        <f>AO$3</f>
        <v>46185</v>
      </c>
      <c r="AP25" s="136" t="s">
        <v>501</v>
      </c>
      <c r="AQ25" s="137" t="s">
        <v>501</v>
      </c>
      <c r="AR25" s="135">
        <f>AR$3</f>
        <v>46186</v>
      </c>
      <c r="AS25" s="136" t="s">
        <v>501</v>
      </c>
      <c r="AT25" s="137" t="s">
        <v>501</v>
      </c>
      <c r="AU25" s="135"/>
      <c r="AV25" s="135">
        <f>AV$3</f>
        <v>46188</v>
      </c>
      <c r="AW25" s="148" t="s">
        <v>501</v>
      </c>
      <c r="AX25" s="137" t="s">
        <v>501</v>
      </c>
      <c r="AY25" s="135">
        <f>AY$3</f>
        <v>46189</v>
      </c>
      <c r="AZ25" s="136" t="s">
        <v>501</v>
      </c>
      <c r="BA25" s="137" t="s">
        <v>501</v>
      </c>
      <c r="BB25" s="135">
        <f>BB$3</f>
        <v>46190</v>
      </c>
      <c r="BC25" s="136" t="s">
        <v>501</v>
      </c>
      <c r="BD25" s="137" t="s">
        <v>501</v>
      </c>
      <c r="BE25" s="135">
        <f>BE$3</f>
        <v>46191</v>
      </c>
      <c r="BF25" s="136" t="s">
        <v>501</v>
      </c>
      <c r="BG25" s="137" t="s">
        <v>501</v>
      </c>
      <c r="BH25" s="135">
        <f>BH$3</f>
        <v>46192</v>
      </c>
      <c r="BI25" s="136" t="s">
        <v>501</v>
      </c>
      <c r="BJ25" s="137" t="s">
        <v>501</v>
      </c>
      <c r="BK25" s="135">
        <f>BK$3</f>
        <v>46193</v>
      </c>
      <c r="BL25" s="136" t="s">
        <v>501</v>
      </c>
      <c r="BM25" s="137" t="s">
        <v>501</v>
      </c>
      <c r="BN25" s="135"/>
      <c r="BO25" s="135">
        <f>BO$3</f>
        <v>46195</v>
      </c>
      <c r="BP25" s="136" t="s">
        <v>501</v>
      </c>
      <c r="BQ25" s="137" t="s">
        <v>501</v>
      </c>
      <c r="BR25" s="135">
        <f>BR$3</f>
        <v>46196</v>
      </c>
      <c r="BS25" s="136" t="s">
        <v>501</v>
      </c>
      <c r="BT25" s="137" t="s">
        <v>501</v>
      </c>
      <c r="BU25" s="135">
        <f>BU$3</f>
        <v>46197</v>
      </c>
      <c r="BV25" s="136" t="s">
        <v>501</v>
      </c>
      <c r="BW25" s="137" t="s">
        <v>501</v>
      </c>
      <c r="BX25" s="135">
        <f>BX$3</f>
        <v>46198</v>
      </c>
      <c r="BY25" s="136" t="s">
        <v>501</v>
      </c>
      <c r="BZ25" s="137" t="s">
        <v>501</v>
      </c>
      <c r="CA25" s="135">
        <f>CA$3</f>
        <v>46199</v>
      </c>
      <c r="CB25" s="136" t="s">
        <v>501</v>
      </c>
      <c r="CC25" s="137" t="s">
        <v>501</v>
      </c>
      <c r="CD25" s="135">
        <f>CD$3</f>
        <v>46200</v>
      </c>
      <c r="CE25" s="136" t="s">
        <v>501</v>
      </c>
      <c r="CF25" s="137" t="s">
        <v>501</v>
      </c>
      <c r="CG25" s="135"/>
      <c r="CH25" s="135">
        <f>CH$3</f>
        <v>46202</v>
      </c>
      <c r="CI25" s="148" t="s">
        <v>501</v>
      </c>
      <c r="CJ25" s="137" t="s">
        <v>501</v>
      </c>
      <c r="CK25" s="135">
        <f>CK$3</f>
        <v>46203</v>
      </c>
      <c r="CL25" s="136" t="s">
        <v>501</v>
      </c>
      <c r="CM25" s="137" t="s">
        <v>501</v>
      </c>
      <c r="CN25" s="135">
        <f>CN$3</f>
        <v>46204</v>
      </c>
      <c r="CO25" s="136" t="s">
        <v>501</v>
      </c>
      <c r="CP25" s="137" t="s">
        <v>501</v>
      </c>
      <c r="CQ25" s="135">
        <f>CQ$3</f>
        <v>46205</v>
      </c>
      <c r="CR25" s="136" t="s">
        <v>501</v>
      </c>
      <c r="CS25" s="137" t="s">
        <v>501</v>
      </c>
      <c r="CT25" s="135">
        <f>CT$3</f>
        <v>46206</v>
      </c>
      <c r="CU25" s="136" t="s">
        <v>501</v>
      </c>
      <c r="CV25" s="137" t="s">
        <v>501</v>
      </c>
      <c r="CW25" s="135">
        <f>CW$3</f>
        <v>46207</v>
      </c>
      <c r="CX25" s="136" t="s">
        <v>501</v>
      </c>
      <c r="CY25" s="137" t="s">
        <v>501</v>
      </c>
      <c r="CZ25" s="135"/>
      <c r="DA25" s="135">
        <f>DA$3</f>
        <v>46209</v>
      </c>
      <c r="DB25" s="136" t="s">
        <v>501</v>
      </c>
      <c r="DC25" s="137" t="s">
        <v>501</v>
      </c>
      <c r="DD25" s="135">
        <f>DD$3</f>
        <v>46210</v>
      </c>
      <c r="DE25" s="136" t="s">
        <v>501</v>
      </c>
      <c r="DF25" s="137" t="s">
        <v>501</v>
      </c>
      <c r="DG25" s="135">
        <f>DG$3</f>
        <v>46211</v>
      </c>
      <c r="DH25" s="136" t="s">
        <v>501</v>
      </c>
      <c r="DI25" s="137" t="s">
        <v>501</v>
      </c>
      <c r="DJ25" s="135">
        <f>DJ$3</f>
        <v>46212</v>
      </c>
      <c r="DK25" s="136" t="s">
        <v>501</v>
      </c>
      <c r="DL25" s="137" t="s">
        <v>501</v>
      </c>
      <c r="DM25" s="135">
        <f>DM$3</f>
        <v>46213</v>
      </c>
      <c r="DN25" s="136" t="s">
        <v>501</v>
      </c>
      <c r="DO25" s="137" t="s">
        <v>501</v>
      </c>
      <c r="DP25" s="135">
        <f>DP$3</f>
        <v>46214</v>
      </c>
      <c r="DQ25" s="136" t="s">
        <v>501</v>
      </c>
      <c r="DR25" s="137" t="s">
        <v>501</v>
      </c>
    </row>
    <row r="26" spans="1:122" outlineLevel="1">
      <c r="A26" s="122" t="str">
        <f>$A$16</f>
        <v>Trần Văn Diện</v>
      </c>
      <c r="B26" s="82" t="s">
        <v>624</v>
      </c>
      <c r="C26" s="81" t="str">
        <f>IF($B26="","",INDEX('Bảng 3'!C:C,MATCH($B26,'Bảng 3'!$A:$A,0)))</f>
        <v>Quản lý BIM</v>
      </c>
      <c r="D26" s="81" t="str">
        <f>IF($B26="","",INDEX('Bảng 3'!D:D,MATCH($B26,'Bảng 3'!$A:$A,0)))</f>
        <v>B.QNI.HLX.CT</v>
      </c>
      <c r="E26" s="81" t="str">
        <f>IF($B26="","",INDEX('Bảng 3'!E:E,MATCH($B26,'Bảng 3'!$A:$A,0)))</f>
        <v>Hầm lô B03.4-CCCT-01</v>
      </c>
      <c r="F26" s="81" t="str">
        <f>IF($B26="","",INDEX('Bảng 3'!F:F,MATCH($B26,'Bảng 3'!$A:$A,0)))</f>
        <v>KT</v>
      </c>
      <c r="G26" s="81" t="str">
        <f>IF($B26="","",INDEX('Bảng 3'!G:G,MATCH($B26,'Bảng 3'!$A:$A,0)))</f>
        <v>Tạo lập mô hình BIM</v>
      </c>
      <c r="H26" s="121"/>
      <c r="I26" s="135"/>
      <c r="J26" s="135">
        <f>J$3</f>
        <v>46174</v>
      </c>
      <c r="K26" s="148" t="s">
        <v>501</v>
      </c>
      <c r="L26" s="168"/>
      <c r="M26" s="135">
        <f>M$3</f>
        <v>46175</v>
      </c>
      <c r="N26" s="148" t="s">
        <v>501</v>
      </c>
      <c r="O26" s="137" t="s">
        <v>501</v>
      </c>
      <c r="P26" s="135">
        <f>P$3</f>
        <v>46176</v>
      </c>
      <c r="Q26" s="136" t="s">
        <v>501</v>
      </c>
      <c r="R26" s="137" t="s">
        <v>501</v>
      </c>
      <c r="S26" s="135">
        <f>S$3</f>
        <v>46177</v>
      </c>
      <c r="T26" s="136" t="s">
        <v>501</v>
      </c>
      <c r="U26" s="137" t="s">
        <v>501</v>
      </c>
      <c r="V26" s="135">
        <f>V$3</f>
        <v>46178</v>
      </c>
      <c r="W26" s="136" t="s">
        <v>501</v>
      </c>
      <c r="X26" s="137" t="s">
        <v>501</v>
      </c>
      <c r="Y26" s="135">
        <f>Y$3</f>
        <v>46179</v>
      </c>
      <c r="Z26" s="136" t="s">
        <v>501</v>
      </c>
      <c r="AA26" s="137" t="s">
        <v>501</v>
      </c>
      <c r="AB26" s="135"/>
      <c r="AC26" s="135">
        <f>AC$3</f>
        <v>46181</v>
      </c>
      <c r="AD26" s="136" t="s">
        <v>501</v>
      </c>
      <c r="AE26" s="137" t="s">
        <v>501</v>
      </c>
      <c r="AF26" s="135">
        <f>AF$3</f>
        <v>46182</v>
      </c>
      <c r="AG26" s="136" t="s">
        <v>501</v>
      </c>
      <c r="AH26" s="137" t="s">
        <v>501</v>
      </c>
      <c r="AI26" s="135">
        <f>AI$3</f>
        <v>46183</v>
      </c>
      <c r="AJ26" s="136" t="s">
        <v>501</v>
      </c>
      <c r="AK26" s="137" t="s">
        <v>501</v>
      </c>
      <c r="AL26" s="135">
        <f>AL$3</f>
        <v>46184</v>
      </c>
      <c r="AM26" s="136" t="s">
        <v>501</v>
      </c>
      <c r="AN26" s="137" t="s">
        <v>501</v>
      </c>
      <c r="AO26" s="135">
        <f>AO$3</f>
        <v>46185</v>
      </c>
      <c r="AP26" s="136" t="s">
        <v>501</v>
      </c>
      <c r="AQ26" s="137" t="s">
        <v>501</v>
      </c>
      <c r="AR26" s="135">
        <f>AR$3</f>
        <v>46186</v>
      </c>
      <c r="AS26" s="136" t="s">
        <v>501</v>
      </c>
      <c r="AT26" s="137" t="s">
        <v>501</v>
      </c>
      <c r="AU26" s="135"/>
      <c r="AV26" s="135">
        <f>AV$3</f>
        <v>46188</v>
      </c>
      <c r="AW26" s="148" t="s">
        <v>501</v>
      </c>
      <c r="AX26" s="137" t="s">
        <v>501</v>
      </c>
      <c r="AY26" s="135">
        <f>AY$3</f>
        <v>46189</v>
      </c>
      <c r="AZ26" s="136" t="s">
        <v>501</v>
      </c>
      <c r="BA26" s="137" t="s">
        <v>501</v>
      </c>
      <c r="BB26" s="135">
        <f>BB$3</f>
        <v>46190</v>
      </c>
      <c r="BC26" s="136" t="s">
        <v>501</v>
      </c>
      <c r="BD26" s="137" t="s">
        <v>501</v>
      </c>
      <c r="BE26" s="135">
        <f>BE$3</f>
        <v>46191</v>
      </c>
      <c r="BF26" s="136" t="s">
        <v>501</v>
      </c>
      <c r="BG26" s="137" t="s">
        <v>501</v>
      </c>
      <c r="BH26" s="135">
        <f>BH$3</f>
        <v>46192</v>
      </c>
      <c r="BI26" s="136" t="s">
        <v>501</v>
      </c>
      <c r="BJ26" s="137" t="s">
        <v>501</v>
      </c>
      <c r="BK26" s="135">
        <f>BK$3</f>
        <v>46193</v>
      </c>
      <c r="BL26" s="136" t="s">
        <v>501</v>
      </c>
      <c r="BM26" s="137" t="s">
        <v>501</v>
      </c>
      <c r="BN26" s="135"/>
      <c r="BO26" s="135">
        <f>BO$3</f>
        <v>46195</v>
      </c>
      <c r="BP26" s="136" t="s">
        <v>501</v>
      </c>
      <c r="BQ26" s="137" t="s">
        <v>501</v>
      </c>
      <c r="BR26" s="135">
        <f>BR$3</f>
        <v>46196</v>
      </c>
      <c r="BS26" s="136" t="s">
        <v>501</v>
      </c>
      <c r="BT26" s="137" t="s">
        <v>501</v>
      </c>
      <c r="BU26" s="135">
        <f>BU$3</f>
        <v>46197</v>
      </c>
      <c r="BV26" s="136" t="s">
        <v>501</v>
      </c>
      <c r="BW26" s="137" t="s">
        <v>501</v>
      </c>
      <c r="BX26" s="135">
        <f>BX$3</f>
        <v>46198</v>
      </c>
      <c r="BY26" s="136" t="s">
        <v>501</v>
      </c>
      <c r="BZ26" s="137" t="s">
        <v>501</v>
      </c>
      <c r="CA26" s="135">
        <f>CA$3</f>
        <v>46199</v>
      </c>
      <c r="CB26" s="136" t="s">
        <v>501</v>
      </c>
      <c r="CC26" s="137" t="s">
        <v>501</v>
      </c>
      <c r="CD26" s="135">
        <f>CD$3</f>
        <v>46200</v>
      </c>
      <c r="CE26" s="136" t="s">
        <v>501</v>
      </c>
      <c r="CF26" s="137" t="s">
        <v>501</v>
      </c>
      <c r="CG26" s="135"/>
      <c r="CH26" s="135">
        <f>CH$3</f>
        <v>46202</v>
      </c>
      <c r="CI26" s="148" t="s">
        <v>501</v>
      </c>
      <c r="CJ26" s="137" t="s">
        <v>501</v>
      </c>
      <c r="CK26" s="135">
        <f>CK$3</f>
        <v>46203</v>
      </c>
      <c r="CL26" s="136" t="s">
        <v>501</v>
      </c>
      <c r="CM26" s="137" t="s">
        <v>501</v>
      </c>
      <c r="CN26" s="135">
        <f>CN$3</f>
        <v>46204</v>
      </c>
      <c r="CO26" s="136" t="s">
        <v>501</v>
      </c>
      <c r="CP26" s="137" t="s">
        <v>501</v>
      </c>
      <c r="CQ26" s="135">
        <f>CQ$3</f>
        <v>46205</v>
      </c>
      <c r="CR26" s="136" t="s">
        <v>501</v>
      </c>
      <c r="CS26" s="137" t="s">
        <v>501</v>
      </c>
      <c r="CT26" s="135">
        <f>CT$3</f>
        <v>46206</v>
      </c>
      <c r="CU26" s="136" t="s">
        <v>501</v>
      </c>
      <c r="CV26" s="137" t="s">
        <v>501</v>
      </c>
      <c r="CW26" s="135">
        <f>CW$3</f>
        <v>46207</v>
      </c>
      <c r="CX26" s="136" t="s">
        <v>501</v>
      </c>
      <c r="CY26" s="137" t="s">
        <v>501</v>
      </c>
      <c r="CZ26" s="135"/>
      <c r="DA26" s="135">
        <f>DA$3</f>
        <v>46209</v>
      </c>
      <c r="DB26" s="136" t="s">
        <v>501</v>
      </c>
      <c r="DC26" s="137" t="s">
        <v>501</v>
      </c>
      <c r="DD26" s="135">
        <f>DD$3</f>
        <v>46210</v>
      </c>
      <c r="DE26" s="136" t="s">
        <v>501</v>
      </c>
      <c r="DF26" s="137" t="s">
        <v>501</v>
      </c>
      <c r="DG26" s="135">
        <f>DG$3</f>
        <v>46211</v>
      </c>
      <c r="DH26" s="136" t="s">
        <v>501</v>
      </c>
      <c r="DI26" s="137" t="s">
        <v>501</v>
      </c>
      <c r="DJ26" s="135">
        <f>DJ$3</f>
        <v>46212</v>
      </c>
      <c r="DK26" s="136" t="s">
        <v>501</v>
      </c>
      <c r="DL26" s="137" t="s">
        <v>501</v>
      </c>
      <c r="DM26" s="135">
        <f>DM$3</f>
        <v>46213</v>
      </c>
      <c r="DN26" s="136" t="s">
        <v>501</v>
      </c>
      <c r="DO26" s="137" t="s">
        <v>501</v>
      </c>
      <c r="DP26" s="135">
        <f>DP$3</f>
        <v>46214</v>
      </c>
      <c r="DQ26" s="136" t="s">
        <v>501</v>
      </c>
      <c r="DR26" s="137" t="s">
        <v>501</v>
      </c>
    </row>
    <row r="27" spans="1:122" outlineLevel="1">
      <c r="A27" s="122" t="str">
        <f>$A$16</f>
        <v>Trần Văn Diện</v>
      </c>
      <c r="B27" s="82" t="s">
        <v>625</v>
      </c>
      <c r="C27" s="81" t="str">
        <f>IF($B27="","",INDEX('Bảng 3'!C:C,MATCH($B27,'Bảng 3'!$A:$A,0)))</f>
        <v>Quản lý BIM</v>
      </c>
      <c r="D27" s="81" t="str">
        <f>IF($B27="","",INDEX('Bảng 3'!D:D,MATCH($B27,'Bảng 3'!$A:$A,0)))</f>
        <v>B.QNI.HLX.CT</v>
      </c>
      <c r="E27" s="81" t="str">
        <f>IF($B27="","",INDEX('Bảng 3'!E:E,MATCH($B27,'Bảng 3'!$A:$A,0)))</f>
        <v>Hầm lô B03.4-CCCT-01</v>
      </c>
      <c r="F27" s="81" t="str">
        <f>IF($B27="","",INDEX('Bảng 3'!F:F,MATCH($B27,'Bảng 3'!$A:$A,0)))</f>
        <v>KC</v>
      </c>
      <c r="G27" s="81" t="str">
        <f>IF($B27="","",INDEX('Bảng 3'!G:G,MATCH($B27,'Bảng 3'!$A:$A,0)))</f>
        <v>Tạo lập mô hình BIM</v>
      </c>
      <c r="H27" s="121"/>
      <c r="I27" s="135"/>
      <c r="J27" s="135">
        <f>J$3</f>
        <v>46174</v>
      </c>
      <c r="K27" s="148" t="s">
        <v>501</v>
      </c>
      <c r="L27" s="168"/>
      <c r="M27" s="135">
        <f>M$3</f>
        <v>46175</v>
      </c>
      <c r="N27" s="148" t="s">
        <v>501</v>
      </c>
      <c r="O27" s="137" t="s">
        <v>501</v>
      </c>
      <c r="P27" s="135">
        <f>P$3</f>
        <v>46176</v>
      </c>
      <c r="Q27" s="136" t="s">
        <v>501</v>
      </c>
      <c r="R27" s="137" t="s">
        <v>501</v>
      </c>
      <c r="S27" s="135">
        <f>S$3</f>
        <v>46177</v>
      </c>
      <c r="T27" s="136" t="s">
        <v>501</v>
      </c>
      <c r="U27" s="137" t="s">
        <v>501</v>
      </c>
      <c r="V27" s="135">
        <f>V$3</f>
        <v>46178</v>
      </c>
      <c r="W27" s="136" t="s">
        <v>501</v>
      </c>
      <c r="X27" s="137" t="s">
        <v>501</v>
      </c>
      <c r="Y27" s="135">
        <f>Y$3</f>
        <v>46179</v>
      </c>
      <c r="Z27" s="136" t="s">
        <v>501</v>
      </c>
      <c r="AA27" s="137" t="s">
        <v>501</v>
      </c>
      <c r="AB27" s="135"/>
      <c r="AC27" s="135">
        <f>AC$3</f>
        <v>46181</v>
      </c>
      <c r="AD27" s="136" t="s">
        <v>501</v>
      </c>
      <c r="AE27" s="137" t="s">
        <v>501</v>
      </c>
      <c r="AF27" s="135">
        <f>AF$3</f>
        <v>46182</v>
      </c>
      <c r="AG27" s="136" t="s">
        <v>501</v>
      </c>
      <c r="AH27" s="137" t="s">
        <v>501</v>
      </c>
      <c r="AI27" s="135">
        <f>AI$3</f>
        <v>46183</v>
      </c>
      <c r="AJ27" s="136" t="s">
        <v>501</v>
      </c>
      <c r="AK27" s="137" t="s">
        <v>501</v>
      </c>
      <c r="AL27" s="135">
        <f>AL$3</f>
        <v>46184</v>
      </c>
      <c r="AM27" s="136" t="s">
        <v>501</v>
      </c>
      <c r="AN27" s="137" t="s">
        <v>501</v>
      </c>
      <c r="AO27" s="135">
        <f>AO$3</f>
        <v>46185</v>
      </c>
      <c r="AP27" s="136" t="s">
        <v>501</v>
      </c>
      <c r="AQ27" s="137" t="s">
        <v>501</v>
      </c>
      <c r="AR27" s="135">
        <f>AR$3</f>
        <v>46186</v>
      </c>
      <c r="AS27" s="136" t="s">
        <v>501</v>
      </c>
      <c r="AT27" s="137" t="s">
        <v>501</v>
      </c>
      <c r="AU27" s="135"/>
      <c r="AV27" s="135">
        <f>AV$3</f>
        <v>46188</v>
      </c>
      <c r="AW27" s="148" t="s">
        <v>501</v>
      </c>
      <c r="AX27" s="137" t="s">
        <v>501</v>
      </c>
      <c r="AY27" s="135">
        <f>AY$3</f>
        <v>46189</v>
      </c>
      <c r="AZ27" s="136" t="s">
        <v>501</v>
      </c>
      <c r="BA27" s="137" t="s">
        <v>501</v>
      </c>
      <c r="BB27" s="135">
        <f>BB$3</f>
        <v>46190</v>
      </c>
      <c r="BC27" s="136" t="s">
        <v>501</v>
      </c>
      <c r="BD27" s="137" t="s">
        <v>501</v>
      </c>
      <c r="BE27" s="135">
        <f>BE$3</f>
        <v>46191</v>
      </c>
      <c r="BF27" s="136" t="s">
        <v>501</v>
      </c>
      <c r="BG27" s="137" t="s">
        <v>501</v>
      </c>
      <c r="BH27" s="135">
        <f>BH$3</f>
        <v>46192</v>
      </c>
      <c r="BI27" s="136" t="s">
        <v>501</v>
      </c>
      <c r="BJ27" s="137" t="s">
        <v>501</v>
      </c>
      <c r="BK27" s="135">
        <f>BK$3</f>
        <v>46193</v>
      </c>
      <c r="BL27" s="136" t="s">
        <v>501</v>
      </c>
      <c r="BM27" s="137" t="s">
        <v>501</v>
      </c>
      <c r="BN27" s="135"/>
      <c r="BO27" s="135">
        <f>BO$3</f>
        <v>46195</v>
      </c>
      <c r="BP27" s="136" t="s">
        <v>501</v>
      </c>
      <c r="BQ27" s="137" t="s">
        <v>501</v>
      </c>
      <c r="BR27" s="135">
        <f>BR$3</f>
        <v>46196</v>
      </c>
      <c r="BS27" s="136" t="s">
        <v>501</v>
      </c>
      <c r="BT27" s="137" t="s">
        <v>501</v>
      </c>
      <c r="BU27" s="135">
        <f>BU$3</f>
        <v>46197</v>
      </c>
      <c r="BV27" s="136" t="s">
        <v>501</v>
      </c>
      <c r="BW27" s="137" t="s">
        <v>501</v>
      </c>
      <c r="BX27" s="135">
        <f>BX$3</f>
        <v>46198</v>
      </c>
      <c r="BY27" s="136" t="s">
        <v>501</v>
      </c>
      <c r="BZ27" s="137" t="s">
        <v>501</v>
      </c>
      <c r="CA27" s="135">
        <f>CA$3</f>
        <v>46199</v>
      </c>
      <c r="CB27" s="136" t="s">
        <v>501</v>
      </c>
      <c r="CC27" s="137" t="s">
        <v>501</v>
      </c>
      <c r="CD27" s="135">
        <f>CD$3</f>
        <v>46200</v>
      </c>
      <c r="CE27" s="136" t="s">
        <v>501</v>
      </c>
      <c r="CF27" s="137" t="s">
        <v>501</v>
      </c>
      <c r="CG27" s="135"/>
      <c r="CH27" s="135">
        <f>CH$3</f>
        <v>46202</v>
      </c>
      <c r="CI27" s="148" t="s">
        <v>501</v>
      </c>
      <c r="CJ27" s="137" t="s">
        <v>501</v>
      </c>
      <c r="CK27" s="135">
        <f>CK$3</f>
        <v>46203</v>
      </c>
      <c r="CL27" s="136" t="s">
        <v>501</v>
      </c>
      <c r="CM27" s="137" t="s">
        <v>501</v>
      </c>
      <c r="CN27" s="135">
        <f>CN$3</f>
        <v>46204</v>
      </c>
      <c r="CO27" s="136" t="s">
        <v>501</v>
      </c>
      <c r="CP27" s="137" t="s">
        <v>501</v>
      </c>
      <c r="CQ27" s="135">
        <f>CQ$3</f>
        <v>46205</v>
      </c>
      <c r="CR27" s="136" t="s">
        <v>501</v>
      </c>
      <c r="CS27" s="137" t="s">
        <v>501</v>
      </c>
      <c r="CT27" s="135">
        <f>CT$3</f>
        <v>46206</v>
      </c>
      <c r="CU27" s="136" t="s">
        <v>501</v>
      </c>
      <c r="CV27" s="137" t="s">
        <v>501</v>
      </c>
      <c r="CW27" s="135">
        <f>CW$3</f>
        <v>46207</v>
      </c>
      <c r="CX27" s="136" t="s">
        <v>501</v>
      </c>
      <c r="CY27" s="137" t="s">
        <v>501</v>
      </c>
      <c r="CZ27" s="135"/>
      <c r="DA27" s="135">
        <f>DA$3</f>
        <v>46209</v>
      </c>
      <c r="DB27" s="136" t="s">
        <v>501</v>
      </c>
      <c r="DC27" s="137" t="s">
        <v>501</v>
      </c>
      <c r="DD27" s="135">
        <f>DD$3</f>
        <v>46210</v>
      </c>
      <c r="DE27" s="136" t="s">
        <v>501</v>
      </c>
      <c r="DF27" s="137" t="s">
        <v>501</v>
      </c>
      <c r="DG27" s="135">
        <f>DG$3</f>
        <v>46211</v>
      </c>
      <c r="DH27" s="136" t="s">
        <v>501</v>
      </c>
      <c r="DI27" s="137" t="s">
        <v>501</v>
      </c>
      <c r="DJ27" s="135">
        <f>DJ$3</f>
        <v>46212</v>
      </c>
      <c r="DK27" s="136" t="s">
        <v>501</v>
      </c>
      <c r="DL27" s="137" t="s">
        <v>501</v>
      </c>
      <c r="DM27" s="135">
        <f>DM$3</f>
        <v>46213</v>
      </c>
      <c r="DN27" s="136" t="s">
        <v>501</v>
      </c>
      <c r="DO27" s="137" t="s">
        <v>501</v>
      </c>
      <c r="DP27" s="135">
        <f>DP$3</f>
        <v>46214</v>
      </c>
      <c r="DQ27" s="136" t="s">
        <v>501</v>
      </c>
      <c r="DR27" s="137" t="s">
        <v>501</v>
      </c>
    </row>
    <row r="28" spans="1:122" outlineLevel="1">
      <c r="A28" s="122" t="str">
        <f>$A$16</f>
        <v>Trần Văn Diện</v>
      </c>
      <c r="B28" s="82" t="s">
        <v>626</v>
      </c>
      <c r="C28" s="81" t="str">
        <f>IF($B28="","",INDEX('Bảng 3'!C:C,MATCH($B28,'Bảng 3'!$A:$A,0)))</f>
        <v>Quản lý BIM</v>
      </c>
      <c r="D28" s="81" t="str">
        <f>IF($B28="","",INDEX('Bảng 3'!D:D,MATCH($B28,'Bảng 3'!$A:$A,0)))</f>
        <v>B.QNI.HLXQY.NH</v>
      </c>
      <c r="E28" s="81" t="str">
        <f>IF($B28="","",INDEX('Bảng 3'!E:E,MATCH($B28,'Bảng 3'!$A:$A,0)))</f>
        <v>Nhà hát Hạ Long Xanh</v>
      </c>
      <c r="F28" s="81" t="str">
        <f>IF($B28="","",INDEX('Bảng 3'!F:F,MATCH($B28,'Bảng 3'!$A:$A,0)))</f>
        <v>KT</v>
      </c>
      <c r="G28" s="81" t="str">
        <f>IF($B28="","",INDEX('Bảng 3'!G:G,MATCH($B28,'Bảng 3'!$A:$A,0)))</f>
        <v>KSCL mô hình BIM</v>
      </c>
      <c r="H28" s="121"/>
      <c r="I28" s="135"/>
      <c r="J28" s="135">
        <f>J$3</f>
        <v>46174</v>
      </c>
      <c r="K28" s="148" t="s">
        <v>501</v>
      </c>
      <c r="L28" s="168"/>
      <c r="M28" s="135">
        <f>M$3</f>
        <v>46175</v>
      </c>
      <c r="N28" s="148" t="s">
        <v>501</v>
      </c>
      <c r="O28" s="137" t="s">
        <v>501</v>
      </c>
      <c r="P28" s="135">
        <f>P$3</f>
        <v>46176</v>
      </c>
      <c r="Q28" s="136" t="s">
        <v>501</v>
      </c>
      <c r="R28" s="137" t="s">
        <v>501</v>
      </c>
      <c r="S28" s="135">
        <f>S$3</f>
        <v>46177</v>
      </c>
      <c r="T28" s="136" t="s">
        <v>501</v>
      </c>
      <c r="U28" s="137" t="s">
        <v>501</v>
      </c>
      <c r="V28" s="135">
        <f>V$3</f>
        <v>46178</v>
      </c>
      <c r="W28" s="136" t="s">
        <v>501</v>
      </c>
      <c r="X28" s="137" t="s">
        <v>501</v>
      </c>
      <c r="Y28" s="135">
        <f>Y$3</f>
        <v>46179</v>
      </c>
      <c r="Z28" s="136" t="s">
        <v>501</v>
      </c>
      <c r="AA28" s="137" t="s">
        <v>501</v>
      </c>
      <c r="AB28" s="135"/>
      <c r="AC28" s="135">
        <f>AC$3</f>
        <v>46181</v>
      </c>
      <c r="AD28" s="136" t="s">
        <v>501</v>
      </c>
      <c r="AE28" s="137" t="s">
        <v>501</v>
      </c>
      <c r="AF28" s="135">
        <f>AF$3</f>
        <v>46182</v>
      </c>
      <c r="AG28" s="136" t="s">
        <v>501</v>
      </c>
      <c r="AH28" s="137" t="s">
        <v>501</v>
      </c>
      <c r="AI28" s="135">
        <f>AI$3</f>
        <v>46183</v>
      </c>
      <c r="AJ28" s="136" t="s">
        <v>501</v>
      </c>
      <c r="AK28" s="137" t="s">
        <v>501</v>
      </c>
      <c r="AL28" s="135">
        <f>AL$3</f>
        <v>46184</v>
      </c>
      <c r="AM28" s="136" t="s">
        <v>501</v>
      </c>
      <c r="AN28" s="137" t="s">
        <v>501</v>
      </c>
      <c r="AO28" s="135">
        <f>AO$3</f>
        <v>46185</v>
      </c>
      <c r="AP28" s="136" t="s">
        <v>501</v>
      </c>
      <c r="AQ28" s="137" t="s">
        <v>501</v>
      </c>
      <c r="AR28" s="135">
        <f>AR$3</f>
        <v>46186</v>
      </c>
      <c r="AS28" s="136" t="s">
        <v>501</v>
      </c>
      <c r="AT28" s="137" t="s">
        <v>501</v>
      </c>
      <c r="AU28" s="135"/>
      <c r="AV28" s="135">
        <f>AV$3</f>
        <v>46188</v>
      </c>
      <c r="AW28" s="148" t="s">
        <v>501</v>
      </c>
      <c r="AX28" s="137" t="s">
        <v>501</v>
      </c>
      <c r="AY28" s="135">
        <f>AY$3</f>
        <v>46189</v>
      </c>
      <c r="AZ28" s="136" t="s">
        <v>501</v>
      </c>
      <c r="BA28" s="137" t="s">
        <v>501</v>
      </c>
      <c r="BB28" s="135">
        <f>BB$3</f>
        <v>46190</v>
      </c>
      <c r="BC28" s="136" t="s">
        <v>501</v>
      </c>
      <c r="BD28" s="137" t="s">
        <v>501</v>
      </c>
      <c r="BE28" s="135">
        <f>BE$3</f>
        <v>46191</v>
      </c>
      <c r="BF28" s="136" t="s">
        <v>501</v>
      </c>
      <c r="BG28" s="137" t="s">
        <v>501</v>
      </c>
      <c r="BH28" s="135">
        <f>BH$3</f>
        <v>46192</v>
      </c>
      <c r="BI28" s="136" t="s">
        <v>501</v>
      </c>
      <c r="BJ28" s="137" t="s">
        <v>501</v>
      </c>
      <c r="BK28" s="135">
        <f>BK$3</f>
        <v>46193</v>
      </c>
      <c r="BL28" s="136" t="s">
        <v>501</v>
      </c>
      <c r="BM28" s="137" t="s">
        <v>501</v>
      </c>
      <c r="BN28" s="135"/>
      <c r="BO28" s="135">
        <f>BO$3</f>
        <v>46195</v>
      </c>
      <c r="BP28" s="136" t="s">
        <v>501</v>
      </c>
      <c r="BQ28" s="137" t="s">
        <v>501</v>
      </c>
      <c r="BR28" s="135">
        <f>BR$3</f>
        <v>46196</v>
      </c>
      <c r="BS28" s="136" t="s">
        <v>501</v>
      </c>
      <c r="BT28" s="137" t="s">
        <v>501</v>
      </c>
      <c r="BU28" s="135">
        <f>BU$3</f>
        <v>46197</v>
      </c>
      <c r="BV28" s="136" t="s">
        <v>501</v>
      </c>
      <c r="BW28" s="137" t="s">
        <v>501</v>
      </c>
      <c r="BX28" s="135">
        <f>BX$3</f>
        <v>46198</v>
      </c>
      <c r="BY28" s="136" t="s">
        <v>501</v>
      </c>
      <c r="BZ28" s="137" t="s">
        <v>501</v>
      </c>
      <c r="CA28" s="135">
        <f>CA$3</f>
        <v>46199</v>
      </c>
      <c r="CB28" s="136" t="s">
        <v>501</v>
      </c>
      <c r="CC28" s="137" t="s">
        <v>501</v>
      </c>
      <c r="CD28" s="135">
        <f>CD$3</f>
        <v>46200</v>
      </c>
      <c r="CE28" s="136" t="s">
        <v>501</v>
      </c>
      <c r="CF28" s="137" t="s">
        <v>501</v>
      </c>
      <c r="CG28" s="135"/>
      <c r="CH28" s="135">
        <f>CH$3</f>
        <v>46202</v>
      </c>
      <c r="CI28" s="148" t="s">
        <v>501</v>
      </c>
      <c r="CJ28" s="137" t="s">
        <v>501</v>
      </c>
      <c r="CK28" s="135">
        <f>CK$3</f>
        <v>46203</v>
      </c>
      <c r="CL28" s="136" t="s">
        <v>501</v>
      </c>
      <c r="CM28" s="137" t="s">
        <v>501</v>
      </c>
      <c r="CN28" s="135">
        <f>CN$3</f>
        <v>46204</v>
      </c>
      <c r="CO28" s="136" t="s">
        <v>501</v>
      </c>
      <c r="CP28" s="137" t="s">
        <v>501</v>
      </c>
      <c r="CQ28" s="135">
        <f>CQ$3</f>
        <v>46205</v>
      </c>
      <c r="CR28" s="136" t="s">
        <v>501</v>
      </c>
      <c r="CS28" s="137" t="s">
        <v>501</v>
      </c>
      <c r="CT28" s="135">
        <f>CT$3</f>
        <v>46206</v>
      </c>
      <c r="CU28" s="136" t="s">
        <v>501</v>
      </c>
      <c r="CV28" s="137" t="s">
        <v>501</v>
      </c>
      <c r="CW28" s="135">
        <f>CW$3</f>
        <v>46207</v>
      </c>
      <c r="CX28" s="136" t="s">
        <v>501</v>
      </c>
      <c r="CY28" s="137" t="s">
        <v>501</v>
      </c>
      <c r="CZ28" s="135"/>
      <c r="DA28" s="135">
        <f>DA$3</f>
        <v>46209</v>
      </c>
      <c r="DB28" s="136" t="s">
        <v>501</v>
      </c>
      <c r="DC28" s="137" t="s">
        <v>501</v>
      </c>
      <c r="DD28" s="135">
        <f>DD$3</f>
        <v>46210</v>
      </c>
      <c r="DE28" s="136" t="s">
        <v>501</v>
      </c>
      <c r="DF28" s="137" t="s">
        <v>501</v>
      </c>
      <c r="DG28" s="135">
        <f>DG$3</f>
        <v>46211</v>
      </c>
      <c r="DH28" s="136" t="s">
        <v>501</v>
      </c>
      <c r="DI28" s="137" t="s">
        <v>501</v>
      </c>
      <c r="DJ28" s="135">
        <f>DJ$3</f>
        <v>46212</v>
      </c>
      <c r="DK28" s="136" t="s">
        <v>501</v>
      </c>
      <c r="DL28" s="137" t="s">
        <v>501</v>
      </c>
      <c r="DM28" s="135">
        <f>DM$3</f>
        <v>46213</v>
      </c>
      <c r="DN28" s="136" t="s">
        <v>501</v>
      </c>
      <c r="DO28" s="137" t="s">
        <v>501</v>
      </c>
      <c r="DP28" s="135">
        <f>DP$3</f>
        <v>46214</v>
      </c>
      <c r="DQ28" s="136" t="s">
        <v>501</v>
      </c>
      <c r="DR28" s="137" t="s">
        <v>501</v>
      </c>
    </row>
    <row r="29" spans="1:122" outlineLevel="1">
      <c r="A29" s="122" t="str">
        <f>$A$16</f>
        <v>Trần Văn Diện</v>
      </c>
      <c r="B29" s="82" t="s">
        <v>627</v>
      </c>
      <c r="C29" s="81" t="str">
        <f>IF($B29="","",INDEX('Bảng 3'!C:C,MATCH($B29,'Bảng 3'!$A:$A,0)))</f>
        <v>Quản lý BIM</v>
      </c>
      <c r="D29" s="81" t="str">
        <f>IF($B29="","",INDEX('Bảng 3'!D:D,MATCH($B29,'Bảng 3'!$A:$A,0)))</f>
        <v>B.QNI.HLXQY.NH</v>
      </c>
      <c r="E29" s="81" t="str">
        <f>IF($B29="","",INDEX('Bảng 3'!E:E,MATCH($B29,'Bảng 3'!$A:$A,0)))</f>
        <v>Nhà hát Hạ Long Xanh</v>
      </c>
      <c r="F29" s="81" t="str">
        <f>IF($B29="","",INDEX('Bảng 3'!F:F,MATCH($B29,'Bảng 3'!$A:$A,0)))</f>
        <v>KC</v>
      </c>
      <c r="G29" s="81" t="str">
        <f>IF($B29="","",INDEX('Bảng 3'!G:G,MATCH($B29,'Bảng 3'!$A:$A,0)))</f>
        <v>KSCL mô hình BIM</v>
      </c>
      <c r="H29" s="121"/>
      <c r="I29" s="135"/>
      <c r="J29" s="135">
        <f>J$3</f>
        <v>46174</v>
      </c>
      <c r="K29" s="148" t="s">
        <v>501</v>
      </c>
      <c r="L29" s="168"/>
      <c r="M29" s="135">
        <f>M$3</f>
        <v>46175</v>
      </c>
      <c r="N29" s="148" t="s">
        <v>501</v>
      </c>
      <c r="O29" s="137" t="s">
        <v>501</v>
      </c>
      <c r="P29" s="135">
        <f>P$3</f>
        <v>46176</v>
      </c>
      <c r="Q29" s="136" t="s">
        <v>501</v>
      </c>
      <c r="R29" s="137" t="s">
        <v>501</v>
      </c>
      <c r="S29" s="135">
        <f>S$3</f>
        <v>46177</v>
      </c>
      <c r="T29" s="136" t="s">
        <v>501</v>
      </c>
      <c r="U29" s="137" t="s">
        <v>501</v>
      </c>
      <c r="V29" s="135">
        <f>V$3</f>
        <v>46178</v>
      </c>
      <c r="W29" s="136" t="s">
        <v>501</v>
      </c>
      <c r="X29" s="137" t="s">
        <v>501</v>
      </c>
      <c r="Y29" s="135">
        <f>Y$3</f>
        <v>46179</v>
      </c>
      <c r="Z29" s="136" t="s">
        <v>501</v>
      </c>
      <c r="AA29" s="137" t="s">
        <v>501</v>
      </c>
      <c r="AB29" s="135"/>
      <c r="AC29" s="135">
        <f>AC$3</f>
        <v>46181</v>
      </c>
      <c r="AD29" s="136" t="s">
        <v>501</v>
      </c>
      <c r="AE29" s="137" t="s">
        <v>501</v>
      </c>
      <c r="AF29" s="135">
        <f>AF$3</f>
        <v>46182</v>
      </c>
      <c r="AG29" s="136" t="s">
        <v>501</v>
      </c>
      <c r="AH29" s="137" t="s">
        <v>501</v>
      </c>
      <c r="AI29" s="135">
        <f>AI$3</f>
        <v>46183</v>
      </c>
      <c r="AJ29" s="136" t="s">
        <v>501</v>
      </c>
      <c r="AK29" s="137" t="s">
        <v>501</v>
      </c>
      <c r="AL29" s="135">
        <f>AL$3</f>
        <v>46184</v>
      </c>
      <c r="AM29" s="136" t="s">
        <v>501</v>
      </c>
      <c r="AN29" s="137" t="s">
        <v>501</v>
      </c>
      <c r="AO29" s="135">
        <f>AO$3</f>
        <v>46185</v>
      </c>
      <c r="AP29" s="136" t="s">
        <v>501</v>
      </c>
      <c r="AQ29" s="137" t="s">
        <v>501</v>
      </c>
      <c r="AR29" s="135">
        <f>AR$3</f>
        <v>46186</v>
      </c>
      <c r="AS29" s="136" t="s">
        <v>501</v>
      </c>
      <c r="AT29" s="137" t="s">
        <v>501</v>
      </c>
      <c r="AU29" s="135"/>
      <c r="AV29" s="135">
        <f>AV$3</f>
        <v>46188</v>
      </c>
      <c r="AW29" s="148" t="s">
        <v>501</v>
      </c>
      <c r="AX29" s="137" t="s">
        <v>501</v>
      </c>
      <c r="AY29" s="135">
        <f>AY$3</f>
        <v>46189</v>
      </c>
      <c r="AZ29" s="136" t="s">
        <v>501</v>
      </c>
      <c r="BA29" s="137" t="s">
        <v>501</v>
      </c>
      <c r="BB29" s="135">
        <f>BB$3</f>
        <v>46190</v>
      </c>
      <c r="BC29" s="136" t="s">
        <v>501</v>
      </c>
      <c r="BD29" s="137" t="s">
        <v>501</v>
      </c>
      <c r="BE29" s="135">
        <f>BE$3</f>
        <v>46191</v>
      </c>
      <c r="BF29" s="136" t="s">
        <v>501</v>
      </c>
      <c r="BG29" s="137" t="s">
        <v>501</v>
      </c>
      <c r="BH29" s="135">
        <f>BH$3</f>
        <v>46192</v>
      </c>
      <c r="BI29" s="136" t="s">
        <v>501</v>
      </c>
      <c r="BJ29" s="137" t="s">
        <v>501</v>
      </c>
      <c r="BK29" s="135">
        <f>BK$3</f>
        <v>46193</v>
      </c>
      <c r="BL29" s="136" t="s">
        <v>501</v>
      </c>
      <c r="BM29" s="137" t="s">
        <v>501</v>
      </c>
      <c r="BN29" s="135"/>
      <c r="BO29" s="135">
        <f>BO$3</f>
        <v>46195</v>
      </c>
      <c r="BP29" s="136" t="s">
        <v>501</v>
      </c>
      <c r="BQ29" s="137" t="s">
        <v>501</v>
      </c>
      <c r="BR29" s="135">
        <f>BR$3</f>
        <v>46196</v>
      </c>
      <c r="BS29" s="136" t="s">
        <v>501</v>
      </c>
      <c r="BT29" s="137" t="s">
        <v>501</v>
      </c>
      <c r="BU29" s="135">
        <f>BU$3</f>
        <v>46197</v>
      </c>
      <c r="BV29" s="136" t="s">
        <v>501</v>
      </c>
      <c r="BW29" s="137" t="s">
        <v>501</v>
      </c>
      <c r="BX29" s="135">
        <f>BX$3</f>
        <v>46198</v>
      </c>
      <c r="BY29" s="136" t="s">
        <v>501</v>
      </c>
      <c r="BZ29" s="137" t="s">
        <v>501</v>
      </c>
      <c r="CA29" s="135">
        <f>CA$3</f>
        <v>46199</v>
      </c>
      <c r="CB29" s="136" t="s">
        <v>501</v>
      </c>
      <c r="CC29" s="137" t="s">
        <v>501</v>
      </c>
      <c r="CD29" s="135">
        <f>CD$3</f>
        <v>46200</v>
      </c>
      <c r="CE29" s="136" t="s">
        <v>501</v>
      </c>
      <c r="CF29" s="137" t="s">
        <v>501</v>
      </c>
      <c r="CG29" s="135"/>
      <c r="CH29" s="135">
        <f>CH$3</f>
        <v>46202</v>
      </c>
      <c r="CI29" s="148" t="s">
        <v>501</v>
      </c>
      <c r="CJ29" s="137" t="s">
        <v>501</v>
      </c>
      <c r="CK29" s="135">
        <f>CK$3</f>
        <v>46203</v>
      </c>
      <c r="CL29" s="136" t="s">
        <v>501</v>
      </c>
      <c r="CM29" s="137" t="s">
        <v>501</v>
      </c>
      <c r="CN29" s="135">
        <f>CN$3</f>
        <v>46204</v>
      </c>
      <c r="CO29" s="136" t="s">
        <v>501</v>
      </c>
      <c r="CP29" s="137" t="s">
        <v>501</v>
      </c>
      <c r="CQ29" s="135">
        <f>CQ$3</f>
        <v>46205</v>
      </c>
      <c r="CR29" s="136" t="s">
        <v>501</v>
      </c>
      <c r="CS29" s="137" t="s">
        <v>501</v>
      </c>
      <c r="CT29" s="135">
        <f>CT$3</f>
        <v>46206</v>
      </c>
      <c r="CU29" s="136" t="s">
        <v>501</v>
      </c>
      <c r="CV29" s="137" t="s">
        <v>501</v>
      </c>
      <c r="CW29" s="135">
        <f>CW$3</f>
        <v>46207</v>
      </c>
      <c r="CX29" s="136" t="s">
        <v>501</v>
      </c>
      <c r="CY29" s="137" t="s">
        <v>501</v>
      </c>
      <c r="CZ29" s="135"/>
      <c r="DA29" s="135">
        <f>DA$3</f>
        <v>46209</v>
      </c>
      <c r="DB29" s="136" t="s">
        <v>501</v>
      </c>
      <c r="DC29" s="137" t="s">
        <v>501</v>
      </c>
      <c r="DD29" s="135">
        <f>DD$3</f>
        <v>46210</v>
      </c>
      <c r="DE29" s="136" t="s">
        <v>501</v>
      </c>
      <c r="DF29" s="137" t="s">
        <v>501</v>
      </c>
      <c r="DG29" s="135">
        <f>DG$3</f>
        <v>46211</v>
      </c>
      <c r="DH29" s="136" t="s">
        <v>501</v>
      </c>
      <c r="DI29" s="137" t="s">
        <v>501</v>
      </c>
      <c r="DJ29" s="135">
        <f>DJ$3</f>
        <v>46212</v>
      </c>
      <c r="DK29" s="136" t="s">
        <v>501</v>
      </c>
      <c r="DL29" s="137" t="s">
        <v>501</v>
      </c>
      <c r="DM29" s="135">
        <f>DM$3</f>
        <v>46213</v>
      </c>
      <c r="DN29" s="136" t="s">
        <v>501</v>
      </c>
      <c r="DO29" s="137" t="s">
        <v>501</v>
      </c>
      <c r="DP29" s="135">
        <f>DP$3</f>
        <v>46214</v>
      </c>
      <c r="DQ29" s="136" t="s">
        <v>501</v>
      </c>
      <c r="DR29" s="137" t="s">
        <v>501</v>
      </c>
    </row>
    <row r="30" spans="1:122" outlineLevel="1">
      <c r="A30" s="122" t="str">
        <f>$A$16</f>
        <v>Trần Văn Diện</v>
      </c>
      <c r="B30" s="82" t="s">
        <v>628</v>
      </c>
      <c r="C30" s="81" t="str">
        <f>IF($B30="","",INDEX('Bảng 3'!C:C,MATCH($B30,'Bảng 3'!$A:$A,0)))</f>
        <v>Quản lý BIM</v>
      </c>
      <c r="D30" s="81" t="str">
        <f>IF($B30="","",INDEX('Bảng 3'!D:D,MATCH($B30,'Bảng 3'!$A:$A,0)))</f>
        <v>B.TQU.VPTQ.VP</v>
      </c>
      <c r="E30" s="81" t="str">
        <f>IF($B30="","",INDEX('Bảng 3'!E:E,MATCH($B30,'Bảng 3'!$A:$A,0)))</f>
        <v>Lô C.TM11</v>
      </c>
      <c r="F30" s="81" t="str">
        <f>IF($B30="","",INDEX('Bảng 3'!F:F,MATCH($B30,'Bảng 3'!$A:$A,0)))</f>
        <v>KT</v>
      </c>
      <c r="G30" s="81" t="str">
        <f>IF($B30="","",INDEX('Bảng 3'!G:G,MATCH($B30,'Bảng 3'!$A:$A,0)))</f>
        <v>Xuất khối lượng từ mô hình BIM</v>
      </c>
      <c r="H30" s="121"/>
      <c r="I30" s="135"/>
      <c r="J30" s="135">
        <f>J$3</f>
        <v>46174</v>
      </c>
      <c r="K30" s="148" t="s">
        <v>629</v>
      </c>
      <c r="L30" s="168">
        <v>11</v>
      </c>
      <c r="M30" s="135">
        <f>M$3</f>
        <v>46175</v>
      </c>
      <c r="N30" s="148" t="s">
        <v>501</v>
      </c>
      <c r="O30" s="137">
        <v>8.5</v>
      </c>
      <c r="P30" s="135">
        <f>P$3</f>
        <v>46176</v>
      </c>
      <c r="Q30" s="136" t="s">
        <v>501</v>
      </c>
      <c r="R30" s="137" t="s">
        <v>501</v>
      </c>
      <c r="S30" s="135">
        <f>S$3</f>
        <v>46177</v>
      </c>
      <c r="T30" s="136" t="s">
        <v>501</v>
      </c>
      <c r="U30" s="137" t="s">
        <v>501</v>
      </c>
      <c r="V30" s="135">
        <f>V$3</f>
        <v>46178</v>
      </c>
      <c r="W30" s="136" t="s">
        <v>501</v>
      </c>
      <c r="X30" s="137" t="s">
        <v>501</v>
      </c>
      <c r="Y30" s="135">
        <f>Y$3</f>
        <v>46179</v>
      </c>
      <c r="Z30" s="136" t="s">
        <v>501</v>
      </c>
      <c r="AA30" s="137" t="s">
        <v>501</v>
      </c>
      <c r="AB30" s="135"/>
      <c r="AC30" s="135">
        <f>AC$3</f>
        <v>46181</v>
      </c>
      <c r="AD30" s="136" t="s">
        <v>501</v>
      </c>
      <c r="AE30" s="137" t="s">
        <v>501</v>
      </c>
      <c r="AF30" s="135">
        <f>AF$3</f>
        <v>46182</v>
      </c>
      <c r="AG30" s="136" t="s">
        <v>501</v>
      </c>
      <c r="AH30" s="137" t="s">
        <v>501</v>
      </c>
      <c r="AI30" s="135">
        <f>AI$3</f>
        <v>46183</v>
      </c>
      <c r="AJ30" s="136" t="s">
        <v>501</v>
      </c>
      <c r="AK30" s="137" t="s">
        <v>501</v>
      </c>
      <c r="AL30" s="135">
        <f>AL$3</f>
        <v>46184</v>
      </c>
      <c r="AM30" s="136" t="s">
        <v>501</v>
      </c>
      <c r="AN30" s="137" t="s">
        <v>501</v>
      </c>
      <c r="AO30" s="135">
        <f>AO$3</f>
        <v>46185</v>
      </c>
      <c r="AP30" s="136" t="s">
        <v>501</v>
      </c>
      <c r="AQ30" s="137" t="s">
        <v>501</v>
      </c>
      <c r="AR30" s="135">
        <f>AR$3</f>
        <v>46186</v>
      </c>
      <c r="AS30" s="136" t="s">
        <v>501</v>
      </c>
      <c r="AT30" s="137" t="s">
        <v>501</v>
      </c>
      <c r="AU30" s="135"/>
      <c r="AV30" s="135">
        <f>AV$3</f>
        <v>46188</v>
      </c>
      <c r="AW30" s="148" t="s">
        <v>501</v>
      </c>
      <c r="AX30" s="137" t="s">
        <v>501</v>
      </c>
      <c r="AY30" s="135">
        <f>AY$3</f>
        <v>46189</v>
      </c>
      <c r="AZ30" s="136" t="s">
        <v>501</v>
      </c>
      <c r="BA30" s="137" t="s">
        <v>501</v>
      </c>
      <c r="BB30" s="135">
        <f>BB$3</f>
        <v>46190</v>
      </c>
      <c r="BC30" s="136" t="s">
        <v>501</v>
      </c>
      <c r="BD30" s="137" t="s">
        <v>501</v>
      </c>
      <c r="BE30" s="135">
        <f>BE$3</f>
        <v>46191</v>
      </c>
      <c r="BF30" s="136" t="s">
        <v>501</v>
      </c>
      <c r="BG30" s="137" t="s">
        <v>501</v>
      </c>
      <c r="BH30" s="135">
        <f>BH$3</f>
        <v>46192</v>
      </c>
      <c r="BI30" s="136" t="s">
        <v>501</v>
      </c>
      <c r="BJ30" s="137" t="s">
        <v>501</v>
      </c>
      <c r="BK30" s="135">
        <f>BK$3</f>
        <v>46193</v>
      </c>
      <c r="BL30" s="136" t="s">
        <v>501</v>
      </c>
      <c r="BM30" s="137" t="s">
        <v>501</v>
      </c>
      <c r="BN30" s="135"/>
      <c r="BO30" s="135">
        <f>BO$3</f>
        <v>46195</v>
      </c>
      <c r="BP30" s="136" t="s">
        <v>501</v>
      </c>
      <c r="BQ30" s="137" t="s">
        <v>501</v>
      </c>
      <c r="BR30" s="135">
        <f>BR$3</f>
        <v>46196</v>
      </c>
      <c r="BS30" s="136" t="s">
        <v>501</v>
      </c>
      <c r="BT30" s="137" t="s">
        <v>501</v>
      </c>
      <c r="BU30" s="135">
        <f>BU$3</f>
        <v>46197</v>
      </c>
      <c r="BV30" s="136" t="s">
        <v>501</v>
      </c>
      <c r="BW30" s="137" t="s">
        <v>501</v>
      </c>
      <c r="BX30" s="135">
        <f>BX$3</f>
        <v>46198</v>
      </c>
      <c r="BY30" s="136" t="s">
        <v>501</v>
      </c>
      <c r="BZ30" s="137" t="s">
        <v>501</v>
      </c>
      <c r="CA30" s="135">
        <f>CA$3</f>
        <v>46199</v>
      </c>
      <c r="CB30" s="136" t="s">
        <v>501</v>
      </c>
      <c r="CC30" s="137" t="s">
        <v>501</v>
      </c>
      <c r="CD30" s="135">
        <f>CD$3</f>
        <v>46200</v>
      </c>
      <c r="CE30" s="136" t="s">
        <v>501</v>
      </c>
      <c r="CF30" s="137" t="s">
        <v>501</v>
      </c>
      <c r="CG30" s="135"/>
      <c r="CH30" s="135">
        <f>CH$3</f>
        <v>46202</v>
      </c>
      <c r="CI30" s="148" t="s">
        <v>501</v>
      </c>
      <c r="CJ30" s="137" t="s">
        <v>501</v>
      </c>
      <c r="CK30" s="135">
        <f>CK$3</f>
        <v>46203</v>
      </c>
      <c r="CL30" s="136" t="s">
        <v>501</v>
      </c>
      <c r="CM30" s="137" t="s">
        <v>501</v>
      </c>
      <c r="CN30" s="135">
        <f>CN$3</f>
        <v>46204</v>
      </c>
      <c r="CO30" s="136" t="s">
        <v>501</v>
      </c>
      <c r="CP30" s="137" t="s">
        <v>501</v>
      </c>
      <c r="CQ30" s="135">
        <f>CQ$3</f>
        <v>46205</v>
      </c>
      <c r="CR30" s="136" t="s">
        <v>501</v>
      </c>
      <c r="CS30" s="137" t="s">
        <v>501</v>
      </c>
      <c r="CT30" s="135">
        <f>CT$3</f>
        <v>46206</v>
      </c>
      <c r="CU30" s="136" t="s">
        <v>501</v>
      </c>
      <c r="CV30" s="137" t="s">
        <v>501</v>
      </c>
      <c r="CW30" s="135">
        <f>CW$3</f>
        <v>46207</v>
      </c>
      <c r="CX30" s="136" t="s">
        <v>501</v>
      </c>
      <c r="CY30" s="137" t="s">
        <v>501</v>
      </c>
      <c r="CZ30" s="135"/>
      <c r="DA30" s="135">
        <f>DA$3</f>
        <v>46209</v>
      </c>
      <c r="DB30" s="136" t="s">
        <v>501</v>
      </c>
      <c r="DC30" s="137" t="s">
        <v>501</v>
      </c>
      <c r="DD30" s="135">
        <f>DD$3</f>
        <v>46210</v>
      </c>
      <c r="DE30" s="136" t="s">
        <v>501</v>
      </c>
      <c r="DF30" s="137" t="s">
        <v>501</v>
      </c>
      <c r="DG30" s="135">
        <f>DG$3</f>
        <v>46211</v>
      </c>
      <c r="DH30" s="136" t="s">
        <v>501</v>
      </c>
      <c r="DI30" s="137" t="s">
        <v>501</v>
      </c>
      <c r="DJ30" s="135">
        <f>DJ$3</f>
        <v>46212</v>
      </c>
      <c r="DK30" s="136" t="s">
        <v>501</v>
      </c>
      <c r="DL30" s="137" t="s">
        <v>501</v>
      </c>
      <c r="DM30" s="135">
        <f>DM$3</f>
        <v>46213</v>
      </c>
      <c r="DN30" s="136" t="s">
        <v>501</v>
      </c>
      <c r="DO30" s="137" t="s">
        <v>501</v>
      </c>
      <c r="DP30" s="135">
        <f>DP$3</f>
        <v>46214</v>
      </c>
      <c r="DQ30" s="136" t="s">
        <v>501</v>
      </c>
      <c r="DR30" s="137" t="s">
        <v>501</v>
      </c>
    </row>
    <row r="31" spans="1:122" outlineLevel="1">
      <c r="A31" s="122" t="str">
        <f>$A$16</f>
        <v>Trần Văn Diện</v>
      </c>
      <c r="B31" s="82" t="s">
        <v>630</v>
      </c>
      <c r="C31" s="81" t="str">
        <f>IF($B31="","",INDEX('Bảng 3'!C:C,MATCH($B31,'Bảng 3'!$A:$A,0)))</f>
        <v>Quản lý BIM</v>
      </c>
      <c r="D31" s="81" t="str">
        <f>IF($B31="","",INDEX('Bảng 3'!D:D,MATCH($B31,'Bảng 3'!$A:$A,0)))</f>
        <v>N.HCM.CGIO.KS</v>
      </c>
      <c r="E31" s="81" t="str">
        <f>IF($B31="","",INDEX('Bảng 3'!E:E,MATCH($B31,'Bảng 3'!$A:$A,0)))</f>
        <v>Khách sạn M Gallery - B5.02.04</v>
      </c>
      <c r="F31" s="81" t="str">
        <f>IF($B31="","",INDEX('Bảng 3'!F:F,MATCH($B31,'Bảng 3'!$A:$A,0)))</f>
        <v>KT</v>
      </c>
      <c r="G31" s="81" t="str">
        <f>IF($B31="","",INDEX('Bảng 3'!G:G,MATCH($B31,'Bảng 3'!$A:$A,0)))</f>
        <v>Tạo lập mô hình BIM</v>
      </c>
      <c r="H31" s="121"/>
      <c r="I31" s="135"/>
      <c r="J31" s="135">
        <f>J$3</f>
        <v>46174</v>
      </c>
      <c r="K31" s="148" t="s">
        <v>501</v>
      </c>
      <c r="L31" s="168"/>
      <c r="M31" s="135">
        <f>M$3</f>
        <v>46175</v>
      </c>
      <c r="N31" s="148" t="s">
        <v>501</v>
      </c>
      <c r="O31" s="137" t="s">
        <v>501</v>
      </c>
      <c r="P31" s="135">
        <f>P$3</f>
        <v>46176</v>
      </c>
      <c r="Q31" s="136" t="s">
        <v>501</v>
      </c>
      <c r="R31" s="137" t="s">
        <v>501</v>
      </c>
      <c r="S31" s="135">
        <f>S$3</f>
        <v>46177</v>
      </c>
      <c r="T31" s="136" t="s">
        <v>501</v>
      </c>
      <c r="U31" s="137" t="s">
        <v>501</v>
      </c>
      <c r="V31" s="135">
        <f>V$3</f>
        <v>46178</v>
      </c>
      <c r="W31" s="136" t="s">
        <v>501</v>
      </c>
      <c r="X31" s="137" t="s">
        <v>501</v>
      </c>
      <c r="Y31" s="135">
        <f>Y$3</f>
        <v>46179</v>
      </c>
      <c r="Z31" s="136" t="s">
        <v>501</v>
      </c>
      <c r="AA31" s="137" t="s">
        <v>501</v>
      </c>
      <c r="AB31" s="135"/>
      <c r="AC31" s="135">
        <f>AC$3</f>
        <v>46181</v>
      </c>
      <c r="AD31" s="136" t="s">
        <v>501</v>
      </c>
      <c r="AE31" s="137" t="s">
        <v>501</v>
      </c>
      <c r="AF31" s="135">
        <f>AF$3</f>
        <v>46182</v>
      </c>
      <c r="AG31" s="136" t="s">
        <v>501</v>
      </c>
      <c r="AH31" s="137" t="s">
        <v>501</v>
      </c>
      <c r="AI31" s="135">
        <f>AI$3</f>
        <v>46183</v>
      </c>
      <c r="AJ31" s="136" t="s">
        <v>501</v>
      </c>
      <c r="AK31" s="137" t="s">
        <v>501</v>
      </c>
      <c r="AL31" s="135">
        <f>AL$3</f>
        <v>46184</v>
      </c>
      <c r="AM31" s="136" t="s">
        <v>501</v>
      </c>
      <c r="AN31" s="137" t="s">
        <v>501</v>
      </c>
      <c r="AO31" s="135">
        <f>AO$3</f>
        <v>46185</v>
      </c>
      <c r="AP31" s="136" t="s">
        <v>501</v>
      </c>
      <c r="AQ31" s="137" t="s">
        <v>501</v>
      </c>
      <c r="AR31" s="135">
        <f>AR$3</f>
        <v>46186</v>
      </c>
      <c r="AS31" s="136" t="s">
        <v>501</v>
      </c>
      <c r="AT31" s="137" t="s">
        <v>501</v>
      </c>
      <c r="AU31" s="135"/>
      <c r="AV31" s="135">
        <f>AV$3</f>
        <v>46188</v>
      </c>
      <c r="AW31" s="148" t="s">
        <v>501</v>
      </c>
      <c r="AX31" s="137" t="s">
        <v>501</v>
      </c>
      <c r="AY31" s="135">
        <f>AY$3</f>
        <v>46189</v>
      </c>
      <c r="AZ31" s="136" t="s">
        <v>501</v>
      </c>
      <c r="BA31" s="137" t="s">
        <v>501</v>
      </c>
      <c r="BB31" s="135">
        <f>BB$3</f>
        <v>46190</v>
      </c>
      <c r="BC31" s="136" t="s">
        <v>501</v>
      </c>
      <c r="BD31" s="137" t="s">
        <v>501</v>
      </c>
      <c r="BE31" s="135">
        <f>BE$3</f>
        <v>46191</v>
      </c>
      <c r="BF31" s="136" t="s">
        <v>501</v>
      </c>
      <c r="BG31" s="137" t="s">
        <v>501</v>
      </c>
      <c r="BH31" s="135">
        <f>BH$3</f>
        <v>46192</v>
      </c>
      <c r="BI31" s="136" t="s">
        <v>501</v>
      </c>
      <c r="BJ31" s="137" t="s">
        <v>501</v>
      </c>
      <c r="BK31" s="135">
        <f>BK$3</f>
        <v>46193</v>
      </c>
      <c r="BL31" s="136" t="s">
        <v>501</v>
      </c>
      <c r="BM31" s="137" t="s">
        <v>501</v>
      </c>
      <c r="BN31" s="135"/>
      <c r="BO31" s="135">
        <f>BO$3</f>
        <v>46195</v>
      </c>
      <c r="BP31" s="136" t="s">
        <v>501</v>
      </c>
      <c r="BQ31" s="137" t="s">
        <v>501</v>
      </c>
      <c r="BR31" s="135">
        <f>BR$3</f>
        <v>46196</v>
      </c>
      <c r="BS31" s="136" t="s">
        <v>501</v>
      </c>
      <c r="BT31" s="137" t="s">
        <v>501</v>
      </c>
      <c r="BU31" s="135">
        <f>BU$3</f>
        <v>46197</v>
      </c>
      <c r="BV31" s="136" t="s">
        <v>501</v>
      </c>
      <c r="BW31" s="137" t="s">
        <v>501</v>
      </c>
      <c r="BX31" s="135">
        <f>BX$3</f>
        <v>46198</v>
      </c>
      <c r="BY31" s="136" t="s">
        <v>501</v>
      </c>
      <c r="BZ31" s="137" t="s">
        <v>501</v>
      </c>
      <c r="CA31" s="135">
        <f>CA$3</f>
        <v>46199</v>
      </c>
      <c r="CB31" s="136" t="s">
        <v>501</v>
      </c>
      <c r="CC31" s="137" t="s">
        <v>501</v>
      </c>
      <c r="CD31" s="135">
        <f>CD$3</f>
        <v>46200</v>
      </c>
      <c r="CE31" s="136" t="s">
        <v>501</v>
      </c>
      <c r="CF31" s="137" t="s">
        <v>501</v>
      </c>
      <c r="CG31" s="135"/>
      <c r="CH31" s="135">
        <f>CH$3</f>
        <v>46202</v>
      </c>
      <c r="CI31" s="148" t="s">
        <v>501</v>
      </c>
      <c r="CJ31" s="137" t="s">
        <v>501</v>
      </c>
      <c r="CK31" s="135">
        <f>CK$3</f>
        <v>46203</v>
      </c>
      <c r="CL31" s="136" t="s">
        <v>501</v>
      </c>
      <c r="CM31" s="137" t="s">
        <v>501</v>
      </c>
      <c r="CN31" s="135">
        <f>CN$3</f>
        <v>46204</v>
      </c>
      <c r="CO31" s="136" t="s">
        <v>501</v>
      </c>
      <c r="CP31" s="137" t="s">
        <v>501</v>
      </c>
      <c r="CQ31" s="135">
        <f>CQ$3</f>
        <v>46205</v>
      </c>
      <c r="CR31" s="136" t="s">
        <v>501</v>
      </c>
      <c r="CS31" s="137" t="s">
        <v>501</v>
      </c>
      <c r="CT31" s="135">
        <f>CT$3</f>
        <v>46206</v>
      </c>
      <c r="CU31" s="136" t="s">
        <v>501</v>
      </c>
      <c r="CV31" s="137" t="s">
        <v>501</v>
      </c>
      <c r="CW31" s="135">
        <f>CW$3</f>
        <v>46207</v>
      </c>
      <c r="CX31" s="136" t="s">
        <v>501</v>
      </c>
      <c r="CY31" s="137" t="s">
        <v>501</v>
      </c>
      <c r="CZ31" s="135"/>
      <c r="DA31" s="135">
        <f>DA$3</f>
        <v>46209</v>
      </c>
      <c r="DB31" s="136" t="s">
        <v>501</v>
      </c>
      <c r="DC31" s="137" t="s">
        <v>501</v>
      </c>
      <c r="DD31" s="135">
        <f>DD$3</f>
        <v>46210</v>
      </c>
      <c r="DE31" s="136" t="s">
        <v>501</v>
      </c>
      <c r="DF31" s="137" t="s">
        <v>501</v>
      </c>
      <c r="DG31" s="135">
        <f>DG$3</f>
        <v>46211</v>
      </c>
      <c r="DH31" s="136" t="s">
        <v>501</v>
      </c>
      <c r="DI31" s="137" t="s">
        <v>501</v>
      </c>
      <c r="DJ31" s="135">
        <f>DJ$3</f>
        <v>46212</v>
      </c>
      <c r="DK31" s="136" t="s">
        <v>501</v>
      </c>
      <c r="DL31" s="137" t="s">
        <v>501</v>
      </c>
      <c r="DM31" s="135">
        <f>DM$3</f>
        <v>46213</v>
      </c>
      <c r="DN31" s="136" t="s">
        <v>501</v>
      </c>
      <c r="DO31" s="137" t="s">
        <v>501</v>
      </c>
      <c r="DP31" s="135">
        <f>DP$3</f>
        <v>46214</v>
      </c>
      <c r="DQ31" s="136" t="s">
        <v>501</v>
      </c>
      <c r="DR31" s="137" t="s">
        <v>501</v>
      </c>
    </row>
    <row r="32" spans="1:122" outlineLevel="1">
      <c r="A32" s="122" t="str">
        <f>$A$16</f>
        <v>Trần Văn Diện</v>
      </c>
      <c r="B32" s="82" t="s">
        <v>631</v>
      </c>
      <c r="C32" s="81" t="str">
        <f>IF($B32="","",INDEX('Bảng 3'!C:C,MATCH($B32,'Bảng 3'!$A:$A,0)))</f>
        <v>Quản lý BIM</v>
      </c>
      <c r="D32" s="81" t="str">
        <f>IF($B32="","",INDEX('Bảng 3'!D:D,MATCH($B32,'Bảng 3'!$A:$A,0)))</f>
        <v>N.HCM.CGIO.KS</v>
      </c>
      <c r="E32" s="81" t="str">
        <f>IF($B32="","",INDEX('Bảng 3'!E:E,MATCH($B32,'Bảng 3'!$A:$A,0)))</f>
        <v>Khách sạn M Gallery - B5.02.04</v>
      </c>
      <c r="F32" s="81" t="str">
        <f>IF($B32="","",INDEX('Bảng 3'!F:F,MATCH($B32,'Bảng 3'!$A:$A,0)))</f>
        <v>KC</v>
      </c>
      <c r="G32" s="81" t="str">
        <f>IF($B32="","",INDEX('Bảng 3'!G:G,MATCH($B32,'Bảng 3'!$A:$A,0)))</f>
        <v>Tạo lập mô hình BIM</v>
      </c>
      <c r="H32" s="121"/>
      <c r="I32" s="135"/>
      <c r="J32" s="135">
        <f>J$3</f>
        <v>46174</v>
      </c>
      <c r="K32" s="148" t="s">
        <v>501</v>
      </c>
      <c r="L32" s="168"/>
      <c r="M32" s="135">
        <f>M$3</f>
        <v>46175</v>
      </c>
      <c r="N32" s="148" t="s">
        <v>501</v>
      </c>
      <c r="O32" s="137" t="s">
        <v>501</v>
      </c>
      <c r="P32" s="135">
        <f>P$3</f>
        <v>46176</v>
      </c>
      <c r="Q32" s="136" t="s">
        <v>501</v>
      </c>
      <c r="R32" s="137" t="s">
        <v>501</v>
      </c>
      <c r="S32" s="135">
        <f>S$3</f>
        <v>46177</v>
      </c>
      <c r="T32" s="136" t="s">
        <v>501</v>
      </c>
      <c r="U32" s="137" t="s">
        <v>501</v>
      </c>
      <c r="V32" s="135">
        <f>V$3</f>
        <v>46178</v>
      </c>
      <c r="W32" s="136" t="s">
        <v>501</v>
      </c>
      <c r="X32" s="137" t="s">
        <v>501</v>
      </c>
      <c r="Y32" s="135">
        <f>Y$3</f>
        <v>46179</v>
      </c>
      <c r="Z32" s="136" t="s">
        <v>501</v>
      </c>
      <c r="AA32" s="137" t="s">
        <v>501</v>
      </c>
      <c r="AB32" s="135"/>
      <c r="AC32" s="135">
        <f>AC$3</f>
        <v>46181</v>
      </c>
      <c r="AD32" s="136" t="s">
        <v>501</v>
      </c>
      <c r="AE32" s="137" t="s">
        <v>501</v>
      </c>
      <c r="AF32" s="135">
        <f>AF$3</f>
        <v>46182</v>
      </c>
      <c r="AG32" s="136" t="s">
        <v>501</v>
      </c>
      <c r="AH32" s="137" t="s">
        <v>501</v>
      </c>
      <c r="AI32" s="135">
        <f>AI$3</f>
        <v>46183</v>
      </c>
      <c r="AJ32" s="136" t="s">
        <v>501</v>
      </c>
      <c r="AK32" s="137" t="s">
        <v>501</v>
      </c>
      <c r="AL32" s="135">
        <f>AL$3</f>
        <v>46184</v>
      </c>
      <c r="AM32" s="136" t="s">
        <v>501</v>
      </c>
      <c r="AN32" s="137" t="s">
        <v>501</v>
      </c>
      <c r="AO32" s="135">
        <f>AO$3</f>
        <v>46185</v>
      </c>
      <c r="AP32" s="136" t="s">
        <v>501</v>
      </c>
      <c r="AQ32" s="137" t="s">
        <v>501</v>
      </c>
      <c r="AR32" s="135">
        <f>AR$3</f>
        <v>46186</v>
      </c>
      <c r="AS32" s="136" t="s">
        <v>501</v>
      </c>
      <c r="AT32" s="137" t="s">
        <v>501</v>
      </c>
      <c r="AU32" s="135"/>
      <c r="AV32" s="135">
        <f>AV$3</f>
        <v>46188</v>
      </c>
      <c r="AW32" s="148" t="s">
        <v>501</v>
      </c>
      <c r="AX32" s="137" t="s">
        <v>501</v>
      </c>
      <c r="AY32" s="135">
        <f>AY$3</f>
        <v>46189</v>
      </c>
      <c r="AZ32" s="136" t="s">
        <v>501</v>
      </c>
      <c r="BA32" s="137" t="s">
        <v>501</v>
      </c>
      <c r="BB32" s="135">
        <f>BB$3</f>
        <v>46190</v>
      </c>
      <c r="BC32" s="136" t="s">
        <v>501</v>
      </c>
      <c r="BD32" s="137" t="s">
        <v>501</v>
      </c>
      <c r="BE32" s="135">
        <f>BE$3</f>
        <v>46191</v>
      </c>
      <c r="BF32" s="136" t="s">
        <v>501</v>
      </c>
      <c r="BG32" s="137" t="s">
        <v>501</v>
      </c>
      <c r="BH32" s="135">
        <f>BH$3</f>
        <v>46192</v>
      </c>
      <c r="BI32" s="136" t="s">
        <v>501</v>
      </c>
      <c r="BJ32" s="137" t="s">
        <v>501</v>
      </c>
      <c r="BK32" s="135">
        <f>BK$3</f>
        <v>46193</v>
      </c>
      <c r="BL32" s="136" t="s">
        <v>501</v>
      </c>
      <c r="BM32" s="137" t="s">
        <v>501</v>
      </c>
      <c r="BN32" s="135"/>
      <c r="BO32" s="135">
        <f>BO$3</f>
        <v>46195</v>
      </c>
      <c r="BP32" s="136" t="s">
        <v>501</v>
      </c>
      <c r="BQ32" s="137" t="s">
        <v>501</v>
      </c>
      <c r="BR32" s="135">
        <f>BR$3</f>
        <v>46196</v>
      </c>
      <c r="BS32" s="136" t="s">
        <v>501</v>
      </c>
      <c r="BT32" s="137" t="s">
        <v>501</v>
      </c>
      <c r="BU32" s="135">
        <f>BU$3</f>
        <v>46197</v>
      </c>
      <c r="BV32" s="136" t="s">
        <v>501</v>
      </c>
      <c r="BW32" s="137" t="s">
        <v>501</v>
      </c>
      <c r="BX32" s="135">
        <f>BX$3</f>
        <v>46198</v>
      </c>
      <c r="BY32" s="136" t="s">
        <v>501</v>
      </c>
      <c r="BZ32" s="137" t="s">
        <v>501</v>
      </c>
      <c r="CA32" s="135">
        <f>CA$3</f>
        <v>46199</v>
      </c>
      <c r="CB32" s="136" t="s">
        <v>501</v>
      </c>
      <c r="CC32" s="137" t="s">
        <v>501</v>
      </c>
      <c r="CD32" s="135">
        <f>CD$3</f>
        <v>46200</v>
      </c>
      <c r="CE32" s="136" t="s">
        <v>501</v>
      </c>
      <c r="CF32" s="137" t="s">
        <v>501</v>
      </c>
      <c r="CG32" s="135"/>
      <c r="CH32" s="135">
        <f>CH$3</f>
        <v>46202</v>
      </c>
      <c r="CI32" s="148" t="s">
        <v>501</v>
      </c>
      <c r="CJ32" s="137" t="s">
        <v>501</v>
      </c>
      <c r="CK32" s="135">
        <f>CK$3</f>
        <v>46203</v>
      </c>
      <c r="CL32" s="136" t="s">
        <v>501</v>
      </c>
      <c r="CM32" s="137" t="s">
        <v>501</v>
      </c>
      <c r="CN32" s="135">
        <f>CN$3</f>
        <v>46204</v>
      </c>
      <c r="CO32" s="136" t="s">
        <v>501</v>
      </c>
      <c r="CP32" s="137" t="s">
        <v>501</v>
      </c>
      <c r="CQ32" s="135">
        <f>CQ$3</f>
        <v>46205</v>
      </c>
      <c r="CR32" s="136" t="s">
        <v>501</v>
      </c>
      <c r="CS32" s="137" t="s">
        <v>501</v>
      </c>
      <c r="CT32" s="135">
        <f>CT$3</f>
        <v>46206</v>
      </c>
      <c r="CU32" s="136" t="s">
        <v>501</v>
      </c>
      <c r="CV32" s="137" t="s">
        <v>501</v>
      </c>
      <c r="CW32" s="135">
        <f>CW$3</f>
        <v>46207</v>
      </c>
      <c r="CX32" s="136" t="s">
        <v>501</v>
      </c>
      <c r="CY32" s="137" t="s">
        <v>501</v>
      </c>
      <c r="CZ32" s="135"/>
      <c r="DA32" s="135">
        <f>DA$3</f>
        <v>46209</v>
      </c>
      <c r="DB32" s="136" t="s">
        <v>501</v>
      </c>
      <c r="DC32" s="137" t="s">
        <v>501</v>
      </c>
      <c r="DD32" s="135">
        <f>DD$3</f>
        <v>46210</v>
      </c>
      <c r="DE32" s="136" t="s">
        <v>501</v>
      </c>
      <c r="DF32" s="137" t="s">
        <v>501</v>
      </c>
      <c r="DG32" s="135">
        <f>DG$3</f>
        <v>46211</v>
      </c>
      <c r="DH32" s="136" t="s">
        <v>501</v>
      </c>
      <c r="DI32" s="137" t="s">
        <v>501</v>
      </c>
      <c r="DJ32" s="135">
        <f>DJ$3</f>
        <v>46212</v>
      </c>
      <c r="DK32" s="136" t="s">
        <v>501</v>
      </c>
      <c r="DL32" s="137" t="s">
        <v>501</v>
      </c>
      <c r="DM32" s="135">
        <f>DM$3</f>
        <v>46213</v>
      </c>
      <c r="DN32" s="136" t="s">
        <v>501</v>
      </c>
      <c r="DO32" s="137" t="s">
        <v>501</v>
      </c>
      <c r="DP32" s="135">
        <f>DP$3</f>
        <v>46214</v>
      </c>
      <c r="DQ32" s="136" t="s">
        <v>501</v>
      </c>
      <c r="DR32" s="137" t="s">
        <v>501</v>
      </c>
    </row>
    <row r="33" spans="1:122" outlineLevel="1">
      <c r="A33" s="122" t="str">
        <f>$A$16</f>
        <v>Trần Văn Diện</v>
      </c>
      <c r="B33" s="82" t="s">
        <v>632</v>
      </c>
      <c r="C33" s="81" t="str">
        <f>IF($B33="","",INDEX('Bảng 3'!C:C,MATCH($B33,'Bảng 3'!$A:$A,0)))</f>
        <v>Quản lý BIM</v>
      </c>
      <c r="D33" s="81" t="str">
        <f>IF($B33="","",INDEX('Bảng 3'!D:D,MATCH($B33,'Bảng 3'!$A:$A,0)))</f>
        <v>N.HCM.CGIO.NH</v>
      </c>
      <c r="E33" s="81" t="str">
        <f>IF($B33="","",INDEX('Bảng 3'!E:E,MATCH($B33,'Bảng 3'!$A:$A,0)))</f>
        <v>Nhà hát</v>
      </c>
      <c r="F33" s="81" t="str">
        <f>IF($B33="","",INDEX('Bảng 3'!F:F,MATCH($B33,'Bảng 3'!$A:$A,0)))</f>
        <v>KT</v>
      </c>
      <c r="G33" s="81" t="str">
        <f>IF($B33="","",INDEX('Bảng 3'!G:G,MATCH($B33,'Bảng 3'!$A:$A,0)))</f>
        <v>KSCL mô hình BIM</v>
      </c>
      <c r="H33" s="121"/>
      <c r="I33" s="135"/>
      <c r="J33" s="135">
        <f>J$3</f>
        <v>46174</v>
      </c>
      <c r="K33" s="148" t="s">
        <v>501</v>
      </c>
      <c r="L33" s="168"/>
      <c r="M33" s="135">
        <f>M$3</f>
        <v>46175</v>
      </c>
      <c r="N33" s="148" t="s">
        <v>501</v>
      </c>
      <c r="O33" s="137" t="s">
        <v>501</v>
      </c>
      <c r="P33" s="135">
        <f>P$3</f>
        <v>46176</v>
      </c>
      <c r="Q33" s="136" t="s">
        <v>501</v>
      </c>
      <c r="R33" s="137" t="s">
        <v>501</v>
      </c>
      <c r="S33" s="135">
        <f>S$3</f>
        <v>46177</v>
      </c>
      <c r="T33" s="136" t="s">
        <v>501</v>
      </c>
      <c r="U33" s="137" t="s">
        <v>501</v>
      </c>
      <c r="V33" s="135">
        <f>V$3</f>
        <v>46178</v>
      </c>
      <c r="W33" s="136" t="s">
        <v>501</v>
      </c>
      <c r="X33" s="137" t="s">
        <v>501</v>
      </c>
      <c r="Y33" s="135">
        <f>Y$3</f>
        <v>46179</v>
      </c>
      <c r="Z33" s="136" t="s">
        <v>501</v>
      </c>
      <c r="AA33" s="137" t="s">
        <v>501</v>
      </c>
      <c r="AB33" s="135"/>
      <c r="AC33" s="135">
        <f>AC$3</f>
        <v>46181</v>
      </c>
      <c r="AD33" s="136" t="s">
        <v>501</v>
      </c>
      <c r="AE33" s="137" t="s">
        <v>501</v>
      </c>
      <c r="AF33" s="135">
        <f>AF$3</f>
        <v>46182</v>
      </c>
      <c r="AG33" s="136" t="s">
        <v>501</v>
      </c>
      <c r="AH33" s="137" t="s">
        <v>501</v>
      </c>
      <c r="AI33" s="135">
        <f>AI$3</f>
        <v>46183</v>
      </c>
      <c r="AJ33" s="136" t="s">
        <v>501</v>
      </c>
      <c r="AK33" s="137" t="s">
        <v>501</v>
      </c>
      <c r="AL33" s="135">
        <f>AL$3</f>
        <v>46184</v>
      </c>
      <c r="AM33" s="136" t="s">
        <v>501</v>
      </c>
      <c r="AN33" s="137" t="s">
        <v>501</v>
      </c>
      <c r="AO33" s="135">
        <f>AO$3</f>
        <v>46185</v>
      </c>
      <c r="AP33" s="136" t="s">
        <v>501</v>
      </c>
      <c r="AQ33" s="137" t="s">
        <v>501</v>
      </c>
      <c r="AR33" s="135">
        <f>AR$3</f>
        <v>46186</v>
      </c>
      <c r="AS33" s="136" t="s">
        <v>501</v>
      </c>
      <c r="AT33" s="137" t="s">
        <v>501</v>
      </c>
      <c r="AU33" s="135"/>
      <c r="AV33" s="135">
        <f>AV$3</f>
        <v>46188</v>
      </c>
      <c r="AW33" s="148" t="s">
        <v>501</v>
      </c>
      <c r="AX33" s="137" t="s">
        <v>501</v>
      </c>
      <c r="AY33" s="135">
        <f>AY$3</f>
        <v>46189</v>
      </c>
      <c r="AZ33" s="136" t="s">
        <v>501</v>
      </c>
      <c r="BA33" s="137" t="s">
        <v>501</v>
      </c>
      <c r="BB33" s="135">
        <f>BB$3</f>
        <v>46190</v>
      </c>
      <c r="BC33" s="136" t="s">
        <v>501</v>
      </c>
      <c r="BD33" s="137" t="s">
        <v>501</v>
      </c>
      <c r="BE33" s="135">
        <f>BE$3</f>
        <v>46191</v>
      </c>
      <c r="BF33" s="136" t="s">
        <v>501</v>
      </c>
      <c r="BG33" s="137" t="s">
        <v>501</v>
      </c>
      <c r="BH33" s="135">
        <f>BH$3</f>
        <v>46192</v>
      </c>
      <c r="BI33" s="136" t="s">
        <v>501</v>
      </c>
      <c r="BJ33" s="137" t="s">
        <v>501</v>
      </c>
      <c r="BK33" s="135">
        <f>BK$3</f>
        <v>46193</v>
      </c>
      <c r="BL33" s="136" t="s">
        <v>501</v>
      </c>
      <c r="BM33" s="137" t="s">
        <v>501</v>
      </c>
      <c r="BN33" s="135"/>
      <c r="BO33" s="135">
        <f>BO$3</f>
        <v>46195</v>
      </c>
      <c r="BP33" s="136" t="s">
        <v>501</v>
      </c>
      <c r="BQ33" s="137" t="s">
        <v>501</v>
      </c>
      <c r="BR33" s="135">
        <f>BR$3</f>
        <v>46196</v>
      </c>
      <c r="BS33" s="136" t="s">
        <v>501</v>
      </c>
      <c r="BT33" s="137" t="s">
        <v>501</v>
      </c>
      <c r="BU33" s="135">
        <f>BU$3</f>
        <v>46197</v>
      </c>
      <c r="BV33" s="136" t="s">
        <v>501</v>
      </c>
      <c r="BW33" s="137" t="s">
        <v>501</v>
      </c>
      <c r="BX33" s="135">
        <f>BX$3</f>
        <v>46198</v>
      </c>
      <c r="BY33" s="136" t="s">
        <v>501</v>
      </c>
      <c r="BZ33" s="137" t="s">
        <v>501</v>
      </c>
      <c r="CA33" s="135">
        <f>CA$3</f>
        <v>46199</v>
      </c>
      <c r="CB33" s="136" t="s">
        <v>501</v>
      </c>
      <c r="CC33" s="137" t="s">
        <v>501</v>
      </c>
      <c r="CD33" s="135">
        <f>CD$3</f>
        <v>46200</v>
      </c>
      <c r="CE33" s="136" t="s">
        <v>501</v>
      </c>
      <c r="CF33" s="137" t="s">
        <v>501</v>
      </c>
      <c r="CG33" s="135"/>
      <c r="CH33" s="135">
        <f>CH$3</f>
        <v>46202</v>
      </c>
      <c r="CI33" s="148" t="s">
        <v>501</v>
      </c>
      <c r="CJ33" s="137" t="s">
        <v>501</v>
      </c>
      <c r="CK33" s="135">
        <f>CK$3</f>
        <v>46203</v>
      </c>
      <c r="CL33" s="136" t="s">
        <v>501</v>
      </c>
      <c r="CM33" s="137" t="s">
        <v>501</v>
      </c>
      <c r="CN33" s="135">
        <f>CN$3</f>
        <v>46204</v>
      </c>
      <c r="CO33" s="136" t="s">
        <v>501</v>
      </c>
      <c r="CP33" s="137" t="s">
        <v>501</v>
      </c>
      <c r="CQ33" s="135">
        <f>CQ$3</f>
        <v>46205</v>
      </c>
      <c r="CR33" s="136" t="s">
        <v>501</v>
      </c>
      <c r="CS33" s="137" t="s">
        <v>501</v>
      </c>
      <c r="CT33" s="135">
        <f>CT$3</f>
        <v>46206</v>
      </c>
      <c r="CU33" s="136" t="s">
        <v>501</v>
      </c>
      <c r="CV33" s="137" t="s">
        <v>501</v>
      </c>
      <c r="CW33" s="135">
        <f>CW$3</f>
        <v>46207</v>
      </c>
      <c r="CX33" s="136" t="s">
        <v>501</v>
      </c>
      <c r="CY33" s="137" t="s">
        <v>501</v>
      </c>
      <c r="CZ33" s="135"/>
      <c r="DA33" s="135">
        <f>DA$3</f>
        <v>46209</v>
      </c>
      <c r="DB33" s="136" t="s">
        <v>501</v>
      </c>
      <c r="DC33" s="137" t="s">
        <v>501</v>
      </c>
      <c r="DD33" s="135">
        <f>DD$3</f>
        <v>46210</v>
      </c>
      <c r="DE33" s="136" t="s">
        <v>501</v>
      </c>
      <c r="DF33" s="137" t="s">
        <v>501</v>
      </c>
      <c r="DG33" s="135">
        <f>DG$3</f>
        <v>46211</v>
      </c>
      <c r="DH33" s="136" t="s">
        <v>501</v>
      </c>
      <c r="DI33" s="137" t="s">
        <v>501</v>
      </c>
      <c r="DJ33" s="135">
        <f>DJ$3</f>
        <v>46212</v>
      </c>
      <c r="DK33" s="136" t="s">
        <v>501</v>
      </c>
      <c r="DL33" s="137" t="s">
        <v>501</v>
      </c>
      <c r="DM33" s="135">
        <f>DM$3</f>
        <v>46213</v>
      </c>
      <c r="DN33" s="136" t="s">
        <v>501</v>
      </c>
      <c r="DO33" s="137" t="s">
        <v>501</v>
      </c>
      <c r="DP33" s="135">
        <f>DP$3</f>
        <v>46214</v>
      </c>
      <c r="DQ33" s="136" t="s">
        <v>501</v>
      </c>
      <c r="DR33" s="137" t="s">
        <v>501</v>
      </c>
    </row>
    <row r="34" spans="1:122" outlineLevel="1">
      <c r="A34" s="122" t="str">
        <f>$A$16</f>
        <v>Trần Văn Diện</v>
      </c>
      <c r="B34" s="82" t="s">
        <v>633</v>
      </c>
      <c r="C34" s="81" t="str">
        <f>IF($B34="","",INDEX('Bảng 3'!C:C,MATCH($B34,'Bảng 3'!$A:$A,0)))</f>
        <v>Quản lý BIM</v>
      </c>
      <c r="D34" s="81" t="str">
        <f>IF($B34="","",INDEX('Bảng 3'!D:D,MATCH($B34,'Bảng 3'!$A:$A,0)))</f>
        <v>N.HCM.CGIO.NH</v>
      </c>
      <c r="E34" s="81" t="str">
        <f>IF($B34="","",INDEX('Bảng 3'!E:E,MATCH($B34,'Bảng 3'!$A:$A,0)))</f>
        <v>Nhà hát</v>
      </c>
      <c r="F34" s="81" t="str">
        <f>IF($B34="","",INDEX('Bảng 3'!F:F,MATCH($B34,'Bảng 3'!$A:$A,0)))</f>
        <v>KC</v>
      </c>
      <c r="G34" s="81" t="str">
        <f>IF($B34="","",INDEX('Bảng 3'!G:G,MATCH($B34,'Bảng 3'!$A:$A,0)))</f>
        <v>KSCL mô hình BIM</v>
      </c>
      <c r="H34" s="121"/>
      <c r="I34" s="135"/>
      <c r="J34" s="135">
        <f>J$3</f>
        <v>46174</v>
      </c>
      <c r="K34" s="148" t="s">
        <v>501</v>
      </c>
      <c r="L34" s="168"/>
      <c r="M34" s="135">
        <f>M$3</f>
        <v>46175</v>
      </c>
      <c r="N34" s="148" t="s">
        <v>501</v>
      </c>
      <c r="O34" s="137" t="s">
        <v>501</v>
      </c>
      <c r="P34" s="135">
        <f>P$3</f>
        <v>46176</v>
      </c>
      <c r="Q34" s="136" t="s">
        <v>501</v>
      </c>
      <c r="R34" s="137" t="s">
        <v>501</v>
      </c>
      <c r="S34" s="135">
        <f>S$3</f>
        <v>46177</v>
      </c>
      <c r="T34" s="136" t="s">
        <v>501</v>
      </c>
      <c r="U34" s="137" t="s">
        <v>501</v>
      </c>
      <c r="V34" s="135">
        <f>V$3</f>
        <v>46178</v>
      </c>
      <c r="W34" s="136" t="s">
        <v>501</v>
      </c>
      <c r="X34" s="137" t="s">
        <v>501</v>
      </c>
      <c r="Y34" s="135">
        <f>Y$3</f>
        <v>46179</v>
      </c>
      <c r="Z34" s="136" t="s">
        <v>501</v>
      </c>
      <c r="AA34" s="137" t="s">
        <v>501</v>
      </c>
      <c r="AB34" s="135"/>
      <c r="AC34" s="135">
        <f>AC$3</f>
        <v>46181</v>
      </c>
      <c r="AD34" s="136" t="s">
        <v>501</v>
      </c>
      <c r="AE34" s="137" t="s">
        <v>501</v>
      </c>
      <c r="AF34" s="135">
        <f>AF$3</f>
        <v>46182</v>
      </c>
      <c r="AG34" s="136" t="s">
        <v>501</v>
      </c>
      <c r="AH34" s="137" t="s">
        <v>501</v>
      </c>
      <c r="AI34" s="135">
        <f>AI$3</f>
        <v>46183</v>
      </c>
      <c r="AJ34" s="136" t="s">
        <v>501</v>
      </c>
      <c r="AK34" s="137" t="s">
        <v>501</v>
      </c>
      <c r="AL34" s="135">
        <f>AL$3</f>
        <v>46184</v>
      </c>
      <c r="AM34" s="136" t="s">
        <v>501</v>
      </c>
      <c r="AN34" s="137" t="s">
        <v>501</v>
      </c>
      <c r="AO34" s="135">
        <f>AO$3</f>
        <v>46185</v>
      </c>
      <c r="AP34" s="136" t="s">
        <v>501</v>
      </c>
      <c r="AQ34" s="137" t="s">
        <v>501</v>
      </c>
      <c r="AR34" s="135">
        <f>AR$3</f>
        <v>46186</v>
      </c>
      <c r="AS34" s="136" t="s">
        <v>501</v>
      </c>
      <c r="AT34" s="137" t="s">
        <v>501</v>
      </c>
      <c r="AU34" s="135"/>
      <c r="AV34" s="135">
        <f>AV$3</f>
        <v>46188</v>
      </c>
      <c r="AW34" s="148" t="s">
        <v>501</v>
      </c>
      <c r="AX34" s="137" t="s">
        <v>501</v>
      </c>
      <c r="AY34" s="135">
        <f>AY$3</f>
        <v>46189</v>
      </c>
      <c r="AZ34" s="136" t="s">
        <v>501</v>
      </c>
      <c r="BA34" s="137" t="s">
        <v>501</v>
      </c>
      <c r="BB34" s="135">
        <f>BB$3</f>
        <v>46190</v>
      </c>
      <c r="BC34" s="136" t="s">
        <v>501</v>
      </c>
      <c r="BD34" s="137" t="s">
        <v>501</v>
      </c>
      <c r="BE34" s="135">
        <f>BE$3</f>
        <v>46191</v>
      </c>
      <c r="BF34" s="136" t="s">
        <v>501</v>
      </c>
      <c r="BG34" s="137" t="s">
        <v>501</v>
      </c>
      <c r="BH34" s="135">
        <f>BH$3</f>
        <v>46192</v>
      </c>
      <c r="BI34" s="136" t="s">
        <v>501</v>
      </c>
      <c r="BJ34" s="137" t="s">
        <v>501</v>
      </c>
      <c r="BK34" s="135">
        <f>BK$3</f>
        <v>46193</v>
      </c>
      <c r="BL34" s="136" t="s">
        <v>501</v>
      </c>
      <c r="BM34" s="137" t="s">
        <v>501</v>
      </c>
      <c r="BN34" s="135"/>
      <c r="BO34" s="135">
        <f>BO$3</f>
        <v>46195</v>
      </c>
      <c r="BP34" s="136" t="s">
        <v>501</v>
      </c>
      <c r="BQ34" s="137" t="s">
        <v>501</v>
      </c>
      <c r="BR34" s="135">
        <f>BR$3</f>
        <v>46196</v>
      </c>
      <c r="BS34" s="136" t="s">
        <v>501</v>
      </c>
      <c r="BT34" s="137" t="s">
        <v>501</v>
      </c>
      <c r="BU34" s="135">
        <f>BU$3</f>
        <v>46197</v>
      </c>
      <c r="BV34" s="136" t="s">
        <v>501</v>
      </c>
      <c r="BW34" s="137" t="s">
        <v>501</v>
      </c>
      <c r="BX34" s="135">
        <f>BX$3</f>
        <v>46198</v>
      </c>
      <c r="BY34" s="136" t="s">
        <v>501</v>
      </c>
      <c r="BZ34" s="137" t="s">
        <v>501</v>
      </c>
      <c r="CA34" s="135">
        <f>CA$3</f>
        <v>46199</v>
      </c>
      <c r="CB34" s="136" t="s">
        <v>501</v>
      </c>
      <c r="CC34" s="137" t="s">
        <v>501</v>
      </c>
      <c r="CD34" s="135">
        <f>CD$3</f>
        <v>46200</v>
      </c>
      <c r="CE34" s="136" t="s">
        <v>501</v>
      </c>
      <c r="CF34" s="137" t="s">
        <v>501</v>
      </c>
      <c r="CG34" s="135"/>
      <c r="CH34" s="135">
        <f>CH$3</f>
        <v>46202</v>
      </c>
      <c r="CI34" s="148" t="s">
        <v>501</v>
      </c>
      <c r="CJ34" s="137" t="s">
        <v>501</v>
      </c>
      <c r="CK34" s="135">
        <f>CK$3</f>
        <v>46203</v>
      </c>
      <c r="CL34" s="136" t="s">
        <v>501</v>
      </c>
      <c r="CM34" s="137" t="s">
        <v>501</v>
      </c>
      <c r="CN34" s="135">
        <f>CN$3</f>
        <v>46204</v>
      </c>
      <c r="CO34" s="136" t="s">
        <v>501</v>
      </c>
      <c r="CP34" s="137" t="s">
        <v>501</v>
      </c>
      <c r="CQ34" s="135">
        <f>CQ$3</f>
        <v>46205</v>
      </c>
      <c r="CR34" s="136" t="s">
        <v>501</v>
      </c>
      <c r="CS34" s="137" t="s">
        <v>501</v>
      </c>
      <c r="CT34" s="135">
        <f>CT$3</f>
        <v>46206</v>
      </c>
      <c r="CU34" s="136" t="s">
        <v>501</v>
      </c>
      <c r="CV34" s="137" t="s">
        <v>501</v>
      </c>
      <c r="CW34" s="135">
        <f>CW$3</f>
        <v>46207</v>
      </c>
      <c r="CX34" s="136" t="s">
        <v>501</v>
      </c>
      <c r="CY34" s="137" t="s">
        <v>501</v>
      </c>
      <c r="CZ34" s="135"/>
      <c r="DA34" s="135">
        <f>DA$3</f>
        <v>46209</v>
      </c>
      <c r="DB34" s="136" t="s">
        <v>501</v>
      </c>
      <c r="DC34" s="137" t="s">
        <v>501</v>
      </c>
      <c r="DD34" s="135">
        <f>DD$3</f>
        <v>46210</v>
      </c>
      <c r="DE34" s="136" t="s">
        <v>501</v>
      </c>
      <c r="DF34" s="137" t="s">
        <v>501</v>
      </c>
      <c r="DG34" s="135">
        <f>DG$3</f>
        <v>46211</v>
      </c>
      <c r="DH34" s="136" t="s">
        <v>501</v>
      </c>
      <c r="DI34" s="137" t="s">
        <v>501</v>
      </c>
      <c r="DJ34" s="135">
        <f>DJ$3</f>
        <v>46212</v>
      </c>
      <c r="DK34" s="136" t="s">
        <v>501</v>
      </c>
      <c r="DL34" s="137" t="s">
        <v>501</v>
      </c>
      <c r="DM34" s="135">
        <f>DM$3</f>
        <v>46213</v>
      </c>
      <c r="DN34" s="136" t="s">
        <v>501</v>
      </c>
      <c r="DO34" s="137" t="s">
        <v>501</v>
      </c>
      <c r="DP34" s="135">
        <f>DP$3</f>
        <v>46214</v>
      </c>
      <c r="DQ34" s="136" t="s">
        <v>501</v>
      </c>
      <c r="DR34" s="137" t="s">
        <v>501</v>
      </c>
    </row>
    <row r="35" spans="1:122" outlineLevel="1">
      <c r="A35" s="122" t="str">
        <f>$A$16</f>
        <v>Trần Văn Diện</v>
      </c>
      <c r="B35" s="82" t="s">
        <v>634</v>
      </c>
      <c r="C35" s="81" t="str">
        <f>IF($B35="","",INDEX('Bảng 3'!C:C,MATCH($B35,'Bảng 3'!$A:$A,0)))</f>
        <v>Quản lý BIM</v>
      </c>
      <c r="D35" s="81" t="str">
        <f>IF($B35="","",INDEX('Bảng 3'!D:D,MATCH($B35,'Bảng 3'!$A:$A,0)))</f>
        <v>T.KHO.VPNT.KSMN</v>
      </c>
      <c r="E35" s="81" t="str">
        <f>IF($B35="","",INDEX('Bảng 3'!E:E,MATCH($B35,'Bảng 3'!$A:$A,0)))</f>
        <v>Mẫu M6</v>
      </c>
      <c r="F35" s="81" t="str">
        <f>IF($B35="","",INDEX('Bảng 3'!F:F,MATCH($B35,'Bảng 3'!$A:$A,0)))</f>
        <v>KT</v>
      </c>
      <c r="G35" s="81" t="str">
        <f>IF($B35="","",INDEX('Bảng 3'!G:G,MATCH($B35,'Bảng 3'!$A:$A,0)))</f>
        <v>KSCL mô hình BIM</v>
      </c>
      <c r="H35" s="121"/>
      <c r="I35" s="135"/>
      <c r="J35" s="135">
        <f>J$3</f>
        <v>46174</v>
      </c>
      <c r="K35" s="148" t="s">
        <v>501</v>
      </c>
      <c r="L35" s="168"/>
      <c r="M35" s="135">
        <f>M$3</f>
        <v>46175</v>
      </c>
      <c r="N35" s="148" t="s">
        <v>501</v>
      </c>
      <c r="O35" s="137" t="s">
        <v>501</v>
      </c>
      <c r="P35" s="135">
        <f>P$3</f>
        <v>46176</v>
      </c>
      <c r="Q35" s="136" t="s">
        <v>501</v>
      </c>
      <c r="R35" s="137" t="s">
        <v>501</v>
      </c>
      <c r="S35" s="135">
        <f>S$3</f>
        <v>46177</v>
      </c>
      <c r="T35" s="136" t="s">
        <v>501</v>
      </c>
      <c r="U35" s="137" t="s">
        <v>501</v>
      </c>
      <c r="V35" s="135">
        <f>V$3</f>
        <v>46178</v>
      </c>
      <c r="W35" s="136" t="s">
        <v>501</v>
      </c>
      <c r="X35" s="137" t="s">
        <v>501</v>
      </c>
      <c r="Y35" s="135">
        <f>Y$3</f>
        <v>46179</v>
      </c>
      <c r="Z35" s="136" t="s">
        <v>501</v>
      </c>
      <c r="AA35" s="137" t="s">
        <v>501</v>
      </c>
      <c r="AB35" s="135"/>
      <c r="AC35" s="135">
        <f>AC$3</f>
        <v>46181</v>
      </c>
      <c r="AD35" s="136" t="s">
        <v>501</v>
      </c>
      <c r="AE35" s="137" t="s">
        <v>501</v>
      </c>
      <c r="AF35" s="135">
        <f>AF$3</f>
        <v>46182</v>
      </c>
      <c r="AG35" s="136" t="s">
        <v>501</v>
      </c>
      <c r="AH35" s="137" t="s">
        <v>501</v>
      </c>
      <c r="AI35" s="135">
        <f>AI$3</f>
        <v>46183</v>
      </c>
      <c r="AJ35" s="136" t="s">
        <v>501</v>
      </c>
      <c r="AK35" s="137" t="s">
        <v>501</v>
      </c>
      <c r="AL35" s="135">
        <f>AL$3</f>
        <v>46184</v>
      </c>
      <c r="AM35" s="136" t="s">
        <v>501</v>
      </c>
      <c r="AN35" s="137" t="s">
        <v>501</v>
      </c>
      <c r="AO35" s="135">
        <f>AO$3</f>
        <v>46185</v>
      </c>
      <c r="AP35" s="136" t="s">
        <v>501</v>
      </c>
      <c r="AQ35" s="137" t="s">
        <v>501</v>
      </c>
      <c r="AR35" s="135">
        <f>AR$3</f>
        <v>46186</v>
      </c>
      <c r="AS35" s="136" t="s">
        <v>501</v>
      </c>
      <c r="AT35" s="137" t="s">
        <v>501</v>
      </c>
      <c r="AU35" s="135"/>
      <c r="AV35" s="135">
        <f>AV$3</f>
        <v>46188</v>
      </c>
      <c r="AW35" s="148" t="s">
        <v>501</v>
      </c>
      <c r="AX35" s="137" t="s">
        <v>501</v>
      </c>
      <c r="AY35" s="135">
        <f>AY$3</f>
        <v>46189</v>
      </c>
      <c r="AZ35" s="136" t="s">
        <v>501</v>
      </c>
      <c r="BA35" s="137" t="s">
        <v>501</v>
      </c>
      <c r="BB35" s="135">
        <f>BB$3</f>
        <v>46190</v>
      </c>
      <c r="BC35" s="136" t="s">
        <v>501</v>
      </c>
      <c r="BD35" s="137" t="s">
        <v>501</v>
      </c>
      <c r="BE35" s="135">
        <f>BE$3</f>
        <v>46191</v>
      </c>
      <c r="BF35" s="136" t="s">
        <v>501</v>
      </c>
      <c r="BG35" s="137" t="s">
        <v>501</v>
      </c>
      <c r="BH35" s="135">
        <f>BH$3</f>
        <v>46192</v>
      </c>
      <c r="BI35" s="136" t="s">
        <v>501</v>
      </c>
      <c r="BJ35" s="137" t="s">
        <v>501</v>
      </c>
      <c r="BK35" s="135">
        <f>BK$3</f>
        <v>46193</v>
      </c>
      <c r="BL35" s="136" t="s">
        <v>501</v>
      </c>
      <c r="BM35" s="137" t="s">
        <v>501</v>
      </c>
      <c r="BN35" s="135"/>
      <c r="BO35" s="135">
        <f>BO$3</f>
        <v>46195</v>
      </c>
      <c r="BP35" s="136" t="s">
        <v>501</v>
      </c>
      <c r="BQ35" s="137" t="s">
        <v>501</v>
      </c>
      <c r="BR35" s="135">
        <f>BR$3</f>
        <v>46196</v>
      </c>
      <c r="BS35" s="136" t="s">
        <v>501</v>
      </c>
      <c r="BT35" s="137" t="s">
        <v>501</v>
      </c>
      <c r="BU35" s="135">
        <f>BU$3</f>
        <v>46197</v>
      </c>
      <c r="BV35" s="136" t="s">
        <v>501</v>
      </c>
      <c r="BW35" s="137" t="s">
        <v>501</v>
      </c>
      <c r="BX35" s="135">
        <f>BX$3</f>
        <v>46198</v>
      </c>
      <c r="BY35" s="136" t="s">
        <v>501</v>
      </c>
      <c r="BZ35" s="137" t="s">
        <v>501</v>
      </c>
      <c r="CA35" s="135">
        <f>CA$3</f>
        <v>46199</v>
      </c>
      <c r="CB35" s="136" t="s">
        <v>501</v>
      </c>
      <c r="CC35" s="137" t="s">
        <v>501</v>
      </c>
      <c r="CD35" s="135">
        <f>CD$3</f>
        <v>46200</v>
      </c>
      <c r="CE35" s="136" t="s">
        <v>501</v>
      </c>
      <c r="CF35" s="137" t="s">
        <v>501</v>
      </c>
      <c r="CG35" s="135"/>
      <c r="CH35" s="135">
        <f>CH$3</f>
        <v>46202</v>
      </c>
      <c r="CI35" s="148" t="s">
        <v>501</v>
      </c>
      <c r="CJ35" s="137" t="s">
        <v>501</v>
      </c>
      <c r="CK35" s="135">
        <f>CK$3</f>
        <v>46203</v>
      </c>
      <c r="CL35" s="136" t="s">
        <v>501</v>
      </c>
      <c r="CM35" s="137" t="s">
        <v>501</v>
      </c>
      <c r="CN35" s="135">
        <f>CN$3</f>
        <v>46204</v>
      </c>
      <c r="CO35" s="136" t="s">
        <v>501</v>
      </c>
      <c r="CP35" s="137" t="s">
        <v>501</v>
      </c>
      <c r="CQ35" s="135">
        <f>CQ$3</f>
        <v>46205</v>
      </c>
      <c r="CR35" s="136" t="s">
        <v>501</v>
      </c>
      <c r="CS35" s="137" t="s">
        <v>501</v>
      </c>
      <c r="CT35" s="135">
        <f>CT$3</f>
        <v>46206</v>
      </c>
      <c r="CU35" s="136" t="s">
        <v>501</v>
      </c>
      <c r="CV35" s="137" t="s">
        <v>501</v>
      </c>
      <c r="CW35" s="135">
        <f>CW$3</f>
        <v>46207</v>
      </c>
      <c r="CX35" s="136" t="s">
        <v>501</v>
      </c>
      <c r="CY35" s="137" t="s">
        <v>501</v>
      </c>
      <c r="CZ35" s="135"/>
      <c r="DA35" s="135">
        <f>DA$3</f>
        <v>46209</v>
      </c>
      <c r="DB35" s="136" t="s">
        <v>501</v>
      </c>
      <c r="DC35" s="137" t="s">
        <v>501</v>
      </c>
      <c r="DD35" s="135">
        <f>DD$3</f>
        <v>46210</v>
      </c>
      <c r="DE35" s="136" t="s">
        <v>501</v>
      </c>
      <c r="DF35" s="137" t="s">
        <v>501</v>
      </c>
      <c r="DG35" s="135">
        <f>DG$3</f>
        <v>46211</v>
      </c>
      <c r="DH35" s="136" t="s">
        <v>501</v>
      </c>
      <c r="DI35" s="137" t="s">
        <v>501</v>
      </c>
      <c r="DJ35" s="135">
        <f>DJ$3</f>
        <v>46212</v>
      </c>
      <c r="DK35" s="136" t="s">
        <v>501</v>
      </c>
      <c r="DL35" s="137" t="s">
        <v>501</v>
      </c>
      <c r="DM35" s="135">
        <f>DM$3</f>
        <v>46213</v>
      </c>
      <c r="DN35" s="136" t="s">
        <v>501</v>
      </c>
      <c r="DO35" s="137" t="s">
        <v>501</v>
      </c>
      <c r="DP35" s="135">
        <f>DP$3</f>
        <v>46214</v>
      </c>
      <c r="DQ35" s="136" t="s">
        <v>501</v>
      </c>
      <c r="DR35" s="137" t="s">
        <v>501</v>
      </c>
    </row>
    <row r="36" spans="1:122" outlineLevel="1">
      <c r="A36" s="122" t="str">
        <f>$A$16</f>
        <v>Trần Văn Diện</v>
      </c>
      <c r="B36" s="82" t="s">
        <v>635</v>
      </c>
      <c r="C36" s="81" t="str">
        <f>IF($B36="","",INDEX('Bảng 3'!C:C,MATCH($B36,'Bảng 3'!$A:$A,0)))</f>
        <v>Quản lý BIM</v>
      </c>
      <c r="D36" s="81" t="str">
        <f>IF($B36="","",INDEX('Bảng 3'!D:D,MATCH($B36,'Bảng 3'!$A:$A,0)))</f>
        <v>T.KHO.VPNT.KSMN</v>
      </c>
      <c r="E36" s="81" t="str">
        <f>IF($B36="","",INDEX('Bảng 3'!E:E,MATCH($B36,'Bảng 3'!$A:$A,0)))</f>
        <v>Mẫu M6</v>
      </c>
      <c r="F36" s="81" t="str">
        <f>IF($B36="","",INDEX('Bảng 3'!F:F,MATCH($B36,'Bảng 3'!$A:$A,0)))</f>
        <v>KT</v>
      </c>
      <c r="G36" s="81" t="str">
        <f>IF($B36="","",INDEX('Bảng 3'!G:G,MATCH($B36,'Bảng 3'!$A:$A,0)))</f>
        <v>Tạo lập mô hình BIM</v>
      </c>
      <c r="H36" s="121"/>
      <c r="I36" s="135"/>
      <c r="J36" s="135">
        <f>J$3</f>
        <v>46174</v>
      </c>
      <c r="K36" s="148" t="s">
        <v>501</v>
      </c>
      <c r="L36" s="168"/>
      <c r="M36" s="135">
        <f>M$3</f>
        <v>46175</v>
      </c>
      <c r="N36" s="148" t="s">
        <v>501</v>
      </c>
      <c r="O36" s="137" t="s">
        <v>501</v>
      </c>
      <c r="P36" s="135">
        <f>P$3</f>
        <v>46176</v>
      </c>
      <c r="Q36" s="136" t="s">
        <v>501</v>
      </c>
      <c r="R36" s="137" t="s">
        <v>501</v>
      </c>
      <c r="S36" s="135">
        <f>S$3</f>
        <v>46177</v>
      </c>
      <c r="T36" s="136" t="s">
        <v>501</v>
      </c>
      <c r="U36" s="137" t="s">
        <v>501</v>
      </c>
      <c r="V36" s="135">
        <f>V$3</f>
        <v>46178</v>
      </c>
      <c r="W36" s="136" t="s">
        <v>501</v>
      </c>
      <c r="X36" s="137" t="s">
        <v>501</v>
      </c>
      <c r="Y36" s="135">
        <f>Y$3</f>
        <v>46179</v>
      </c>
      <c r="Z36" s="136" t="s">
        <v>501</v>
      </c>
      <c r="AA36" s="137" t="s">
        <v>501</v>
      </c>
      <c r="AB36" s="135"/>
      <c r="AC36" s="135">
        <f>AC$3</f>
        <v>46181</v>
      </c>
      <c r="AD36" s="136" t="s">
        <v>501</v>
      </c>
      <c r="AE36" s="137" t="s">
        <v>501</v>
      </c>
      <c r="AF36" s="135">
        <f>AF$3</f>
        <v>46182</v>
      </c>
      <c r="AG36" s="136" t="s">
        <v>501</v>
      </c>
      <c r="AH36" s="137" t="s">
        <v>501</v>
      </c>
      <c r="AI36" s="135">
        <f>AI$3</f>
        <v>46183</v>
      </c>
      <c r="AJ36" s="136" t="s">
        <v>501</v>
      </c>
      <c r="AK36" s="137" t="s">
        <v>501</v>
      </c>
      <c r="AL36" s="135">
        <f>AL$3</f>
        <v>46184</v>
      </c>
      <c r="AM36" s="136" t="s">
        <v>501</v>
      </c>
      <c r="AN36" s="137" t="s">
        <v>501</v>
      </c>
      <c r="AO36" s="135">
        <f>AO$3</f>
        <v>46185</v>
      </c>
      <c r="AP36" s="136" t="s">
        <v>501</v>
      </c>
      <c r="AQ36" s="137" t="s">
        <v>501</v>
      </c>
      <c r="AR36" s="135">
        <f>AR$3</f>
        <v>46186</v>
      </c>
      <c r="AS36" s="136" t="s">
        <v>501</v>
      </c>
      <c r="AT36" s="137" t="s">
        <v>501</v>
      </c>
      <c r="AU36" s="135"/>
      <c r="AV36" s="135">
        <f>AV$3</f>
        <v>46188</v>
      </c>
      <c r="AW36" s="148" t="s">
        <v>501</v>
      </c>
      <c r="AX36" s="137" t="s">
        <v>501</v>
      </c>
      <c r="AY36" s="135">
        <f>AY$3</f>
        <v>46189</v>
      </c>
      <c r="AZ36" s="136" t="s">
        <v>501</v>
      </c>
      <c r="BA36" s="137" t="s">
        <v>501</v>
      </c>
      <c r="BB36" s="135">
        <f>BB$3</f>
        <v>46190</v>
      </c>
      <c r="BC36" s="136" t="s">
        <v>501</v>
      </c>
      <c r="BD36" s="137" t="s">
        <v>501</v>
      </c>
      <c r="BE36" s="135">
        <f>BE$3</f>
        <v>46191</v>
      </c>
      <c r="BF36" s="136" t="s">
        <v>501</v>
      </c>
      <c r="BG36" s="137" t="s">
        <v>501</v>
      </c>
      <c r="BH36" s="135">
        <f>BH$3</f>
        <v>46192</v>
      </c>
      <c r="BI36" s="136" t="s">
        <v>501</v>
      </c>
      <c r="BJ36" s="137" t="s">
        <v>501</v>
      </c>
      <c r="BK36" s="135">
        <f>BK$3</f>
        <v>46193</v>
      </c>
      <c r="BL36" s="136" t="s">
        <v>501</v>
      </c>
      <c r="BM36" s="137" t="s">
        <v>501</v>
      </c>
      <c r="BN36" s="135"/>
      <c r="BO36" s="135">
        <f>BO$3</f>
        <v>46195</v>
      </c>
      <c r="BP36" s="136" t="s">
        <v>501</v>
      </c>
      <c r="BQ36" s="137" t="s">
        <v>501</v>
      </c>
      <c r="BR36" s="135">
        <f>BR$3</f>
        <v>46196</v>
      </c>
      <c r="BS36" s="136" t="s">
        <v>501</v>
      </c>
      <c r="BT36" s="137" t="s">
        <v>501</v>
      </c>
      <c r="BU36" s="135">
        <f>BU$3</f>
        <v>46197</v>
      </c>
      <c r="BV36" s="136" t="s">
        <v>501</v>
      </c>
      <c r="BW36" s="137" t="s">
        <v>501</v>
      </c>
      <c r="BX36" s="135">
        <f>BX$3</f>
        <v>46198</v>
      </c>
      <c r="BY36" s="136" t="s">
        <v>501</v>
      </c>
      <c r="BZ36" s="137" t="s">
        <v>501</v>
      </c>
      <c r="CA36" s="135">
        <f>CA$3</f>
        <v>46199</v>
      </c>
      <c r="CB36" s="136" t="s">
        <v>501</v>
      </c>
      <c r="CC36" s="137" t="s">
        <v>501</v>
      </c>
      <c r="CD36" s="135">
        <f>CD$3</f>
        <v>46200</v>
      </c>
      <c r="CE36" s="136" t="s">
        <v>501</v>
      </c>
      <c r="CF36" s="137" t="s">
        <v>501</v>
      </c>
      <c r="CG36" s="135"/>
      <c r="CH36" s="135">
        <f>CH$3</f>
        <v>46202</v>
      </c>
      <c r="CI36" s="148" t="s">
        <v>501</v>
      </c>
      <c r="CJ36" s="137" t="s">
        <v>501</v>
      </c>
      <c r="CK36" s="135">
        <f>CK$3</f>
        <v>46203</v>
      </c>
      <c r="CL36" s="136" t="s">
        <v>501</v>
      </c>
      <c r="CM36" s="137" t="s">
        <v>501</v>
      </c>
      <c r="CN36" s="135">
        <f>CN$3</f>
        <v>46204</v>
      </c>
      <c r="CO36" s="136" t="s">
        <v>501</v>
      </c>
      <c r="CP36" s="137" t="s">
        <v>501</v>
      </c>
      <c r="CQ36" s="135">
        <f>CQ$3</f>
        <v>46205</v>
      </c>
      <c r="CR36" s="136" t="s">
        <v>501</v>
      </c>
      <c r="CS36" s="137" t="s">
        <v>501</v>
      </c>
      <c r="CT36" s="135">
        <f>CT$3</f>
        <v>46206</v>
      </c>
      <c r="CU36" s="136" t="s">
        <v>501</v>
      </c>
      <c r="CV36" s="137" t="s">
        <v>501</v>
      </c>
      <c r="CW36" s="135">
        <f>CW$3</f>
        <v>46207</v>
      </c>
      <c r="CX36" s="136" t="s">
        <v>501</v>
      </c>
      <c r="CY36" s="137" t="s">
        <v>501</v>
      </c>
      <c r="CZ36" s="135"/>
      <c r="DA36" s="135">
        <f>DA$3</f>
        <v>46209</v>
      </c>
      <c r="DB36" s="136" t="s">
        <v>501</v>
      </c>
      <c r="DC36" s="137" t="s">
        <v>501</v>
      </c>
      <c r="DD36" s="135">
        <f>DD$3</f>
        <v>46210</v>
      </c>
      <c r="DE36" s="136" t="s">
        <v>501</v>
      </c>
      <c r="DF36" s="137" t="s">
        <v>501</v>
      </c>
      <c r="DG36" s="135">
        <f>DG$3</f>
        <v>46211</v>
      </c>
      <c r="DH36" s="136" t="s">
        <v>501</v>
      </c>
      <c r="DI36" s="137" t="s">
        <v>501</v>
      </c>
      <c r="DJ36" s="135">
        <f>DJ$3</f>
        <v>46212</v>
      </c>
      <c r="DK36" s="136" t="s">
        <v>501</v>
      </c>
      <c r="DL36" s="137" t="s">
        <v>501</v>
      </c>
      <c r="DM36" s="135">
        <f>DM$3</f>
        <v>46213</v>
      </c>
      <c r="DN36" s="136" t="s">
        <v>501</v>
      </c>
      <c r="DO36" s="137" t="s">
        <v>501</v>
      </c>
      <c r="DP36" s="135">
        <f>DP$3</f>
        <v>46214</v>
      </c>
      <c r="DQ36" s="136" t="s">
        <v>501</v>
      </c>
      <c r="DR36" s="137" t="s">
        <v>501</v>
      </c>
    </row>
    <row r="37" spans="1:122" outlineLevel="1">
      <c r="A37" s="122" t="str">
        <f>$A$16</f>
        <v>Trần Văn Diện</v>
      </c>
      <c r="B37" s="172" t="s">
        <v>636</v>
      </c>
      <c r="C37" s="173" t="str">
        <f>IF($B37="","",INDEX('Bảng 3'!C:C,MATCH($B37,'Bảng 3'!$A:$A,0)))</f>
        <v>Quản lý BIM</v>
      </c>
      <c r="D37" s="81" t="str">
        <f>IF($B37="","",INDEX('Bảng 3'!D:D,MATCH($B37,'Bảng 3'!$A:$A,0)))</f>
        <v>T.KHO.VPNT.KSMN</v>
      </c>
      <c r="E37" s="81" t="str">
        <f>IF($B37="","",INDEX('Bảng 3'!E:E,MATCH($B37,'Bảng 3'!$A:$A,0)))</f>
        <v>Mẫu M6</v>
      </c>
      <c r="F37" s="81" t="str">
        <f>IF($B37="","",INDEX('Bảng 3'!F:F,MATCH($B37,'Bảng 3'!$A:$A,0)))</f>
        <v>KC</v>
      </c>
      <c r="G37" s="81" t="str">
        <f>IF($B37="","",INDEX('Bảng 3'!G:G,MATCH($B37,'Bảng 3'!$A:$A,0)))</f>
        <v>KSCL mô hình BIM</v>
      </c>
      <c r="H37" s="121"/>
      <c r="I37" s="135"/>
      <c r="J37" s="135">
        <f>J$3</f>
        <v>46174</v>
      </c>
      <c r="K37" s="148" t="s">
        <v>501</v>
      </c>
      <c r="L37" s="168"/>
      <c r="M37" s="135">
        <f>M$3</f>
        <v>46175</v>
      </c>
      <c r="N37" s="148" t="s">
        <v>501</v>
      </c>
      <c r="O37" s="137" t="s">
        <v>501</v>
      </c>
      <c r="P37" s="135">
        <f>P$3</f>
        <v>46176</v>
      </c>
      <c r="Q37" s="136" t="s">
        <v>501</v>
      </c>
      <c r="R37" s="137" t="s">
        <v>501</v>
      </c>
      <c r="S37" s="135">
        <f>S$3</f>
        <v>46177</v>
      </c>
      <c r="T37" s="136" t="s">
        <v>501</v>
      </c>
      <c r="U37" s="137" t="s">
        <v>501</v>
      </c>
      <c r="V37" s="135">
        <f>V$3</f>
        <v>46178</v>
      </c>
      <c r="W37" s="136" t="s">
        <v>501</v>
      </c>
      <c r="X37" s="137" t="s">
        <v>501</v>
      </c>
      <c r="Y37" s="135">
        <f>Y$3</f>
        <v>46179</v>
      </c>
      <c r="Z37" s="136" t="s">
        <v>501</v>
      </c>
      <c r="AA37" s="137" t="s">
        <v>501</v>
      </c>
      <c r="AB37" s="135"/>
      <c r="AC37" s="135">
        <f>AC$3</f>
        <v>46181</v>
      </c>
      <c r="AD37" s="136" t="s">
        <v>501</v>
      </c>
      <c r="AE37" s="137" t="s">
        <v>501</v>
      </c>
      <c r="AF37" s="135">
        <f>AF$3</f>
        <v>46182</v>
      </c>
      <c r="AG37" s="136" t="s">
        <v>501</v>
      </c>
      <c r="AH37" s="137" t="s">
        <v>501</v>
      </c>
      <c r="AI37" s="135">
        <f>AI$3</f>
        <v>46183</v>
      </c>
      <c r="AJ37" s="136" t="s">
        <v>501</v>
      </c>
      <c r="AK37" s="137" t="s">
        <v>501</v>
      </c>
      <c r="AL37" s="135">
        <f>AL$3</f>
        <v>46184</v>
      </c>
      <c r="AM37" s="136" t="s">
        <v>501</v>
      </c>
      <c r="AN37" s="137" t="s">
        <v>501</v>
      </c>
      <c r="AO37" s="135">
        <f>AO$3</f>
        <v>46185</v>
      </c>
      <c r="AP37" s="136" t="s">
        <v>501</v>
      </c>
      <c r="AQ37" s="137" t="s">
        <v>501</v>
      </c>
      <c r="AR37" s="135">
        <f>AR$3</f>
        <v>46186</v>
      </c>
      <c r="AS37" s="136" t="s">
        <v>501</v>
      </c>
      <c r="AT37" s="137" t="s">
        <v>501</v>
      </c>
      <c r="AU37" s="135"/>
      <c r="AV37" s="135">
        <f>AV$3</f>
        <v>46188</v>
      </c>
      <c r="AW37" s="148" t="s">
        <v>501</v>
      </c>
      <c r="AX37" s="137" t="s">
        <v>501</v>
      </c>
      <c r="AY37" s="135">
        <f>AY$3</f>
        <v>46189</v>
      </c>
      <c r="AZ37" s="136" t="s">
        <v>501</v>
      </c>
      <c r="BA37" s="137" t="s">
        <v>501</v>
      </c>
      <c r="BB37" s="135">
        <f>BB$3</f>
        <v>46190</v>
      </c>
      <c r="BC37" s="136" t="s">
        <v>501</v>
      </c>
      <c r="BD37" s="137" t="s">
        <v>501</v>
      </c>
      <c r="BE37" s="135">
        <f>BE$3</f>
        <v>46191</v>
      </c>
      <c r="BF37" s="136" t="s">
        <v>501</v>
      </c>
      <c r="BG37" s="137" t="s">
        <v>501</v>
      </c>
      <c r="BH37" s="135">
        <f>BH$3</f>
        <v>46192</v>
      </c>
      <c r="BI37" s="136" t="s">
        <v>501</v>
      </c>
      <c r="BJ37" s="137" t="s">
        <v>501</v>
      </c>
      <c r="BK37" s="135">
        <f>BK$3</f>
        <v>46193</v>
      </c>
      <c r="BL37" s="136" t="s">
        <v>501</v>
      </c>
      <c r="BM37" s="137" t="s">
        <v>501</v>
      </c>
      <c r="BN37" s="135"/>
      <c r="BO37" s="135">
        <f>BO$3</f>
        <v>46195</v>
      </c>
      <c r="BP37" s="136" t="s">
        <v>501</v>
      </c>
      <c r="BQ37" s="137" t="s">
        <v>501</v>
      </c>
      <c r="BR37" s="135">
        <f>BR$3</f>
        <v>46196</v>
      </c>
      <c r="BS37" s="136" t="s">
        <v>501</v>
      </c>
      <c r="BT37" s="137" t="s">
        <v>501</v>
      </c>
      <c r="BU37" s="135">
        <f>BU$3</f>
        <v>46197</v>
      </c>
      <c r="BV37" s="136" t="s">
        <v>501</v>
      </c>
      <c r="BW37" s="137" t="s">
        <v>501</v>
      </c>
      <c r="BX37" s="135">
        <f>BX$3</f>
        <v>46198</v>
      </c>
      <c r="BY37" s="136" t="s">
        <v>501</v>
      </c>
      <c r="BZ37" s="137" t="s">
        <v>501</v>
      </c>
      <c r="CA37" s="135">
        <f>CA$3</f>
        <v>46199</v>
      </c>
      <c r="CB37" s="136" t="s">
        <v>501</v>
      </c>
      <c r="CC37" s="137" t="s">
        <v>501</v>
      </c>
      <c r="CD37" s="135">
        <f>CD$3</f>
        <v>46200</v>
      </c>
      <c r="CE37" s="136" t="s">
        <v>501</v>
      </c>
      <c r="CF37" s="137" t="s">
        <v>501</v>
      </c>
      <c r="CG37" s="135"/>
      <c r="CH37" s="135">
        <f>CH$3</f>
        <v>46202</v>
      </c>
      <c r="CI37" s="148" t="s">
        <v>501</v>
      </c>
      <c r="CJ37" s="137" t="s">
        <v>501</v>
      </c>
      <c r="CK37" s="135">
        <f>CK$3</f>
        <v>46203</v>
      </c>
      <c r="CL37" s="136" t="s">
        <v>501</v>
      </c>
      <c r="CM37" s="137" t="s">
        <v>501</v>
      </c>
      <c r="CN37" s="135">
        <f>CN$3</f>
        <v>46204</v>
      </c>
      <c r="CO37" s="136" t="s">
        <v>501</v>
      </c>
      <c r="CP37" s="137" t="s">
        <v>501</v>
      </c>
      <c r="CQ37" s="135">
        <f>CQ$3</f>
        <v>46205</v>
      </c>
      <c r="CR37" s="136" t="s">
        <v>501</v>
      </c>
      <c r="CS37" s="137" t="s">
        <v>501</v>
      </c>
      <c r="CT37" s="135">
        <f>CT$3</f>
        <v>46206</v>
      </c>
      <c r="CU37" s="136" t="s">
        <v>501</v>
      </c>
      <c r="CV37" s="137" t="s">
        <v>501</v>
      </c>
      <c r="CW37" s="135">
        <f>CW$3</f>
        <v>46207</v>
      </c>
      <c r="CX37" s="136" t="s">
        <v>501</v>
      </c>
      <c r="CY37" s="137" t="s">
        <v>501</v>
      </c>
      <c r="CZ37" s="135"/>
      <c r="DA37" s="135">
        <f>DA$3</f>
        <v>46209</v>
      </c>
      <c r="DB37" s="136" t="s">
        <v>501</v>
      </c>
      <c r="DC37" s="137" t="s">
        <v>501</v>
      </c>
      <c r="DD37" s="135">
        <f>DD$3</f>
        <v>46210</v>
      </c>
      <c r="DE37" s="136" t="s">
        <v>501</v>
      </c>
      <c r="DF37" s="137" t="s">
        <v>501</v>
      </c>
      <c r="DG37" s="135">
        <f>DG$3</f>
        <v>46211</v>
      </c>
      <c r="DH37" s="136" t="s">
        <v>501</v>
      </c>
      <c r="DI37" s="137" t="s">
        <v>501</v>
      </c>
      <c r="DJ37" s="135">
        <f>DJ$3</f>
        <v>46212</v>
      </c>
      <c r="DK37" s="136" t="s">
        <v>501</v>
      </c>
      <c r="DL37" s="137" t="s">
        <v>501</v>
      </c>
      <c r="DM37" s="135">
        <f>DM$3</f>
        <v>46213</v>
      </c>
      <c r="DN37" s="136" t="s">
        <v>501</v>
      </c>
      <c r="DO37" s="137" t="s">
        <v>501</v>
      </c>
      <c r="DP37" s="135">
        <f>DP$3</f>
        <v>46214</v>
      </c>
      <c r="DQ37" s="136" t="s">
        <v>501</v>
      </c>
      <c r="DR37" s="137" t="s">
        <v>501</v>
      </c>
    </row>
    <row r="38" spans="1:122" outlineLevel="1">
      <c r="A38" s="122" t="str">
        <f>$A$16</f>
        <v>Trần Văn Diện</v>
      </c>
      <c r="B38" s="82"/>
      <c r="C38" s="81" t="str">
        <f>IF($B38="","",INDEX('Bảng 3'!C:C,MATCH($B38,'Bảng 3'!$A:$A,0)))</f>
        <v/>
      </c>
      <c r="D38" s="81" t="str">
        <f>IF($B38="","",INDEX('Bảng 3'!D:D,MATCH($B38,'Bảng 3'!$A:$A,0)))</f>
        <v/>
      </c>
      <c r="E38" s="81" t="str">
        <f>IF($B38="","",INDEX('Bảng 3'!E:E,MATCH($B38,'Bảng 3'!$A:$A,0)))</f>
        <v/>
      </c>
      <c r="F38" s="81" t="str">
        <f>IF($B38="","",INDEX('Bảng 3'!F:F,MATCH($B38,'Bảng 3'!$A:$A,0)))</f>
        <v/>
      </c>
      <c r="G38" s="81" t="str">
        <f>IF($B38="","",INDEX('Bảng 3'!G:G,MATCH($B38,'Bảng 3'!$A:$A,0)))</f>
        <v/>
      </c>
      <c r="H38" s="121"/>
      <c r="I38" s="135"/>
      <c r="J38" s="135">
        <f>J$3</f>
        <v>46174</v>
      </c>
      <c r="K38" s="148" t="s">
        <v>501</v>
      </c>
      <c r="L38" s="168"/>
      <c r="M38" s="135">
        <f>M$3</f>
        <v>46175</v>
      </c>
      <c r="N38" s="148" t="s">
        <v>501</v>
      </c>
      <c r="O38" s="137" t="s">
        <v>501</v>
      </c>
      <c r="P38" s="135">
        <f>P$3</f>
        <v>46176</v>
      </c>
      <c r="Q38" s="136" t="s">
        <v>501</v>
      </c>
      <c r="R38" s="137" t="s">
        <v>501</v>
      </c>
      <c r="S38" s="135">
        <f>S$3</f>
        <v>46177</v>
      </c>
      <c r="T38" s="136" t="s">
        <v>501</v>
      </c>
      <c r="U38" s="137" t="s">
        <v>501</v>
      </c>
      <c r="V38" s="135">
        <f>V$3</f>
        <v>46178</v>
      </c>
      <c r="W38" s="136" t="s">
        <v>501</v>
      </c>
      <c r="X38" s="137" t="s">
        <v>501</v>
      </c>
      <c r="Y38" s="135">
        <f>Y$3</f>
        <v>46179</v>
      </c>
      <c r="Z38" s="136" t="s">
        <v>501</v>
      </c>
      <c r="AA38" s="137" t="s">
        <v>501</v>
      </c>
      <c r="AB38" s="135"/>
      <c r="AC38" s="135">
        <f>AC$3</f>
        <v>46181</v>
      </c>
      <c r="AD38" s="136" t="s">
        <v>501</v>
      </c>
      <c r="AE38" s="137" t="s">
        <v>501</v>
      </c>
      <c r="AF38" s="135">
        <f>AF$3</f>
        <v>46182</v>
      </c>
      <c r="AG38" s="136" t="s">
        <v>501</v>
      </c>
      <c r="AH38" s="137" t="s">
        <v>501</v>
      </c>
      <c r="AI38" s="135">
        <f>AI$3</f>
        <v>46183</v>
      </c>
      <c r="AJ38" s="136" t="s">
        <v>501</v>
      </c>
      <c r="AK38" s="137" t="s">
        <v>501</v>
      </c>
      <c r="AL38" s="135">
        <f>AL$3</f>
        <v>46184</v>
      </c>
      <c r="AM38" s="136" t="s">
        <v>501</v>
      </c>
      <c r="AN38" s="137" t="s">
        <v>501</v>
      </c>
      <c r="AO38" s="135">
        <f>AO$3</f>
        <v>46185</v>
      </c>
      <c r="AP38" s="136" t="s">
        <v>501</v>
      </c>
      <c r="AQ38" s="137" t="s">
        <v>501</v>
      </c>
      <c r="AR38" s="135">
        <f>AR$3</f>
        <v>46186</v>
      </c>
      <c r="AS38" s="136" t="s">
        <v>501</v>
      </c>
      <c r="AT38" s="137" t="s">
        <v>501</v>
      </c>
      <c r="AU38" s="135"/>
      <c r="AV38" s="135">
        <f>AV$3</f>
        <v>46188</v>
      </c>
      <c r="AW38" s="148" t="s">
        <v>501</v>
      </c>
      <c r="AX38" s="137" t="s">
        <v>501</v>
      </c>
      <c r="AY38" s="135">
        <f>AY$3</f>
        <v>46189</v>
      </c>
      <c r="AZ38" s="136" t="s">
        <v>501</v>
      </c>
      <c r="BA38" s="137" t="s">
        <v>501</v>
      </c>
      <c r="BB38" s="135">
        <f>BB$3</f>
        <v>46190</v>
      </c>
      <c r="BC38" s="136" t="s">
        <v>501</v>
      </c>
      <c r="BD38" s="137" t="s">
        <v>501</v>
      </c>
      <c r="BE38" s="135">
        <f>BE$3</f>
        <v>46191</v>
      </c>
      <c r="BF38" s="136" t="s">
        <v>501</v>
      </c>
      <c r="BG38" s="137" t="s">
        <v>501</v>
      </c>
      <c r="BH38" s="135">
        <f>BH$3</f>
        <v>46192</v>
      </c>
      <c r="BI38" s="136" t="s">
        <v>501</v>
      </c>
      <c r="BJ38" s="137" t="s">
        <v>501</v>
      </c>
      <c r="BK38" s="135">
        <f>BK$3</f>
        <v>46193</v>
      </c>
      <c r="BL38" s="136" t="s">
        <v>501</v>
      </c>
      <c r="BM38" s="137" t="s">
        <v>501</v>
      </c>
      <c r="BN38" s="135"/>
      <c r="BO38" s="135">
        <f>BO$3</f>
        <v>46195</v>
      </c>
      <c r="BP38" s="136" t="s">
        <v>501</v>
      </c>
      <c r="BQ38" s="137" t="s">
        <v>501</v>
      </c>
      <c r="BR38" s="135">
        <f>BR$3</f>
        <v>46196</v>
      </c>
      <c r="BS38" s="136" t="s">
        <v>501</v>
      </c>
      <c r="BT38" s="137" t="s">
        <v>501</v>
      </c>
      <c r="BU38" s="135">
        <f>BU$3</f>
        <v>46197</v>
      </c>
      <c r="BV38" s="136" t="s">
        <v>501</v>
      </c>
      <c r="BW38" s="137" t="s">
        <v>501</v>
      </c>
      <c r="BX38" s="135">
        <f>BX$3</f>
        <v>46198</v>
      </c>
      <c r="BY38" s="136" t="s">
        <v>501</v>
      </c>
      <c r="BZ38" s="137" t="s">
        <v>501</v>
      </c>
      <c r="CA38" s="135">
        <f>CA$3</f>
        <v>46199</v>
      </c>
      <c r="CB38" s="136" t="s">
        <v>501</v>
      </c>
      <c r="CC38" s="137" t="s">
        <v>501</v>
      </c>
      <c r="CD38" s="135">
        <f>CD$3</f>
        <v>46200</v>
      </c>
      <c r="CE38" s="136" t="s">
        <v>501</v>
      </c>
      <c r="CF38" s="137" t="s">
        <v>501</v>
      </c>
      <c r="CG38" s="135"/>
      <c r="CH38" s="135">
        <f>CH$3</f>
        <v>46202</v>
      </c>
      <c r="CI38" s="148" t="s">
        <v>501</v>
      </c>
      <c r="CJ38" s="137" t="s">
        <v>501</v>
      </c>
      <c r="CK38" s="135">
        <f>CK$3</f>
        <v>46203</v>
      </c>
      <c r="CL38" s="136" t="s">
        <v>501</v>
      </c>
      <c r="CM38" s="137" t="s">
        <v>501</v>
      </c>
      <c r="CN38" s="135">
        <f>CN$3</f>
        <v>46204</v>
      </c>
      <c r="CO38" s="136" t="s">
        <v>501</v>
      </c>
      <c r="CP38" s="137" t="s">
        <v>501</v>
      </c>
      <c r="CQ38" s="135">
        <f>CQ$3</f>
        <v>46205</v>
      </c>
      <c r="CR38" s="136" t="s">
        <v>501</v>
      </c>
      <c r="CS38" s="137" t="s">
        <v>501</v>
      </c>
      <c r="CT38" s="135">
        <f>CT$3</f>
        <v>46206</v>
      </c>
      <c r="CU38" s="136" t="s">
        <v>501</v>
      </c>
      <c r="CV38" s="137" t="s">
        <v>501</v>
      </c>
      <c r="CW38" s="135">
        <f>CW$3</f>
        <v>46207</v>
      </c>
      <c r="CX38" s="136" t="s">
        <v>501</v>
      </c>
      <c r="CY38" s="137" t="s">
        <v>501</v>
      </c>
      <c r="CZ38" s="135"/>
      <c r="DA38" s="135">
        <f>DA$3</f>
        <v>46209</v>
      </c>
      <c r="DB38" s="136" t="s">
        <v>501</v>
      </c>
      <c r="DC38" s="137" t="s">
        <v>501</v>
      </c>
      <c r="DD38" s="135">
        <f>DD$3</f>
        <v>46210</v>
      </c>
      <c r="DE38" s="136" t="s">
        <v>501</v>
      </c>
      <c r="DF38" s="137" t="s">
        <v>501</v>
      </c>
      <c r="DG38" s="135">
        <f>DG$3</f>
        <v>46211</v>
      </c>
      <c r="DH38" s="136" t="s">
        <v>501</v>
      </c>
      <c r="DI38" s="137" t="s">
        <v>501</v>
      </c>
      <c r="DJ38" s="135">
        <f>DJ$3</f>
        <v>46212</v>
      </c>
      <c r="DK38" s="136" t="s">
        <v>501</v>
      </c>
      <c r="DL38" s="137" t="s">
        <v>501</v>
      </c>
      <c r="DM38" s="135">
        <f>DM$3</f>
        <v>46213</v>
      </c>
      <c r="DN38" s="136" t="s">
        <v>501</v>
      </c>
      <c r="DO38" s="137" t="s">
        <v>501</v>
      </c>
      <c r="DP38" s="135">
        <f>DP$3</f>
        <v>46214</v>
      </c>
      <c r="DQ38" s="136" t="s">
        <v>501</v>
      </c>
      <c r="DR38" s="137" t="s">
        <v>501</v>
      </c>
    </row>
    <row r="39" spans="1:122" outlineLevel="1">
      <c r="A39" s="122" t="str">
        <f>$A$16</f>
        <v>Trần Văn Diện</v>
      </c>
      <c r="B39" s="82"/>
      <c r="C39" s="81" t="str">
        <f>IF($B39="","",INDEX('Bảng 3'!C:C,MATCH($B39,'Bảng 3'!$A:$A,0)))</f>
        <v/>
      </c>
      <c r="D39" s="81" t="str">
        <f>IF($B39="","",INDEX('Bảng 3'!D:D,MATCH($B39,'Bảng 3'!$A:$A,0)))</f>
        <v/>
      </c>
      <c r="E39" s="81" t="str">
        <f>IF($B39="","",INDEX('Bảng 3'!E:E,MATCH($B39,'Bảng 3'!$A:$A,0)))</f>
        <v/>
      </c>
      <c r="F39" s="81" t="str">
        <f>IF($B39="","",INDEX('Bảng 3'!F:F,MATCH($B39,'Bảng 3'!$A:$A,0)))</f>
        <v/>
      </c>
      <c r="G39" s="81" t="str">
        <f>IF($B39="","",INDEX('Bảng 3'!G:G,MATCH($B39,'Bảng 3'!$A:$A,0)))</f>
        <v/>
      </c>
      <c r="H39" s="121"/>
      <c r="I39" s="135"/>
      <c r="J39" s="135">
        <f>J$3</f>
        <v>46174</v>
      </c>
      <c r="K39" s="148" t="s">
        <v>501</v>
      </c>
      <c r="L39" s="168"/>
      <c r="M39" s="135">
        <f>M$3</f>
        <v>46175</v>
      </c>
      <c r="N39" s="148" t="s">
        <v>501</v>
      </c>
      <c r="O39" s="137" t="s">
        <v>501</v>
      </c>
      <c r="P39" s="135">
        <f>P$3</f>
        <v>46176</v>
      </c>
      <c r="Q39" s="136" t="s">
        <v>501</v>
      </c>
      <c r="R39" s="137" t="s">
        <v>501</v>
      </c>
      <c r="S39" s="135">
        <f>S$3</f>
        <v>46177</v>
      </c>
      <c r="T39" s="136" t="s">
        <v>501</v>
      </c>
      <c r="U39" s="137" t="s">
        <v>501</v>
      </c>
      <c r="V39" s="135">
        <f>V$3</f>
        <v>46178</v>
      </c>
      <c r="W39" s="136" t="s">
        <v>501</v>
      </c>
      <c r="X39" s="137" t="s">
        <v>501</v>
      </c>
      <c r="Y39" s="135">
        <f>Y$3</f>
        <v>46179</v>
      </c>
      <c r="Z39" s="136" t="s">
        <v>501</v>
      </c>
      <c r="AA39" s="137" t="s">
        <v>501</v>
      </c>
      <c r="AB39" s="135"/>
      <c r="AC39" s="135">
        <f>AC$3</f>
        <v>46181</v>
      </c>
      <c r="AD39" s="136" t="s">
        <v>501</v>
      </c>
      <c r="AE39" s="137" t="s">
        <v>501</v>
      </c>
      <c r="AF39" s="135">
        <f>AF$3</f>
        <v>46182</v>
      </c>
      <c r="AG39" s="136" t="s">
        <v>501</v>
      </c>
      <c r="AH39" s="137" t="s">
        <v>501</v>
      </c>
      <c r="AI39" s="135">
        <f>AI$3</f>
        <v>46183</v>
      </c>
      <c r="AJ39" s="136" t="s">
        <v>501</v>
      </c>
      <c r="AK39" s="137" t="s">
        <v>501</v>
      </c>
      <c r="AL39" s="135">
        <f>AL$3</f>
        <v>46184</v>
      </c>
      <c r="AM39" s="136" t="s">
        <v>501</v>
      </c>
      <c r="AN39" s="137" t="s">
        <v>501</v>
      </c>
      <c r="AO39" s="135">
        <f>AO$3</f>
        <v>46185</v>
      </c>
      <c r="AP39" s="136" t="s">
        <v>501</v>
      </c>
      <c r="AQ39" s="137" t="s">
        <v>501</v>
      </c>
      <c r="AR39" s="135">
        <f>AR$3</f>
        <v>46186</v>
      </c>
      <c r="AS39" s="136" t="s">
        <v>501</v>
      </c>
      <c r="AT39" s="137" t="s">
        <v>501</v>
      </c>
      <c r="AU39" s="135"/>
      <c r="AV39" s="135">
        <f>AV$3</f>
        <v>46188</v>
      </c>
      <c r="AW39" s="148" t="s">
        <v>501</v>
      </c>
      <c r="AX39" s="137" t="s">
        <v>501</v>
      </c>
      <c r="AY39" s="135">
        <f>AY$3</f>
        <v>46189</v>
      </c>
      <c r="AZ39" s="136" t="s">
        <v>501</v>
      </c>
      <c r="BA39" s="137" t="s">
        <v>501</v>
      </c>
      <c r="BB39" s="135">
        <f>BB$3</f>
        <v>46190</v>
      </c>
      <c r="BC39" s="136" t="s">
        <v>501</v>
      </c>
      <c r="BD39" s="137" t="s">
        <v>501</v>
      </c>
      <c r="BE39" s="135">
        <f>BE$3</f>
        <v>46191</v>
      </c>
      <c r="BF39" s="136" t="s">
        <v>501</v>
      </c>
      <c r="BG39" s="137" t="s">
        <v>501</v>
      </c>
      <c r="BH39" s="135">
        <f>BH$3</f>
        <v>46192</v>
      </c>
      <c r="BI39" s="136" t="s">
        <v>501</v>
      </c>
      <c r="BJ39" s="137" t="s">
        <v>501</v>
      </c>
      <c r="BK39" s="135">
        <f>BK$3</f>
        <v>46193</v>
      </c>
      <c r="BL39" s="136" t="s">
        <v>501</v>
      </c>
      <c r="BM39" s="137" t="s">
        <v>501</v>
      </c>
      <c r="BN39" s="135"/>
      <c r="BO39" s="135">
        <f>BO$3</f>
        <v>46195</v>
      </c>
      <c r="BP39" s="136" t="s">
        <v>501</v>
      </c>
      <c r="BQ39" s="137" t="s">
        <v>501</v>
      </c>
      <c r="BR39" s="135">
        <f>BR$3</f>
        <v>46196</v>
      </c>
      <c r="BS39" s="136" t="s">
        <v>501</v>
      </c>
      <c r="BT39" s="137" t="s">
        <v>501</v>
      </c>
      <c r="BU39" s="135">
        <f>BU$3</f>
        <v>46197</v>
      </c>
      <c r="BV39" s="136" t="s">
        <v>501</v>
      </c>
      <c r="BW39" s="137" t="s">
        <v>501</v>
      </c>
      <c r="BX39" s="135">
        <f>BX$3</f>
        <v>46198</v>
      </c>
      <c r="BY39" s="136" t="s">
        <v>501</v>
      </c>
      <c r="BZ39" s="137" t="s">
        <v>501</v>
      </c>
      <c r="CA39" s="135">
        <f>CA$3</f>
        <v>46199</v>
      </c>
      <c r="CB39" s="136" t="s">
        <v>501</v>
      </c>
      <c r="CC39" s="137" t="s">
        <v>501</v>
      </c>
      <c r="CD39" s="135">
        <f>CD$3</f>
        <v>46200</v>
      </c>
      <c r="CE39" s="136" t="s">
        <v>501</v>
      </c>
      <c r="CF39" s="137" t="s">
        <v>501</v>
      </c>
      <c r="CG39" s="135"/>
      <c r="CH39" s="135">
        <f>CH$3</f>
        <v>46202</v>
      </c>
      <c r="CI39" s="148" t="s">
        <v>501</v>
      </c>
      <c r="CJ39" s="137" t="s">
        <v>501</v>
      </c>
      <c r="CK39" s="135">
        <f>CK$3</f>
        <v>46203</v>
      </c>
      <c r="CL39" s="136" t="s">
        <v>501</v>
      </c>
      <c r="CM39" s="137" t="s">
        <v>501</v>
      </c>
      <c r="CN39" s="135">
        <f>CN$3</f>
        <v>46204</v>
      </c>
      <c r="CO39" s="136" t="s">
        <v>501</v>
      </c>
      <c r="CP39" s="137" t="s">
        <v>501</v>
      </c>
      <c r="CQ39" s="135">
        <f>CQ$3</f>
        <v>46205</v>
      </c>
      <c r="CR39" s="136" t="s">
        <v>501</v>
      </c>
      <c r="CS39" s="137" t="s">
        <v>501</v>
      </c>
      <c r="CT39" s="135">
        <f>CT$3</f>
        <v>46206</v>
      </c>
      <c r="CU39" s="136" t="s">
        <v>501</v>
      </c>
      <c r="CV39" s="137" t="s">
        <v>501</v>
      </c>
      <c r="CW39" s="135">
        <f>CW$3</f>
        <v>46207</v>
      </c>
      <c r="CX39" s="136" t="s">
        <v>501</v>
      </c>
      <c r="CY39" s="137" t="s">
        <v>501</v>
      </c>
      <c r="CZ39" s="135"/>
      <c r="DA39" s="135">
        <f>DA$3</f>
        <v>46209</v>
      </c>
      <c r="DB39" s="136" t="s">
        <v>501</v>
      </c>
      <c r="DC39" s="137" t="s">
        <v>501</v>
      </c>
      <c r="DD39" s="135">
        <f>DD$3</f>
        <v>46210</v>
      </c>
      <c r="DE39" s="136" t="s">
        <v>501</v>
      </c>
      <c r="DF39" s="137" t="s">
        <v>501</v>
      </c>
      <c r="DG39" s="135">
        <f>DG$3</f>
        <v>46211</v>
      </c>
      <c r="DH39" s="136" t="s">
        <v>501</v>
      </c>
      <c r="DI39" s="137" t="s">
        <v>501</v>
      </c>
      <c r="DJ39" s="135">
        <f>DJ$3</f>
        <v>46212</v>
      </c>
      <c r="DK39" s="136" t="s">
        <v>501</v>
      </c>
      <c r="DL39" s="137" t="s">
        <v>501</v>
      </c>
      <c r="DM39" s="135">
        <f>DM$3</f>
        <v>46213</v>
      </c>
      <c r="DN39" s="136" t="s">
        <v>501</v>
      </c>
      <c r="DO39" s="137" t="s">
        <v>501</v>
      </c>
      <c r="DP39" s="135">
        <f>DP$3</f>
        <v>46214</v>
      </c>
      <c r="DQ39" s="136" t="s">
        <v>501</v>
      </c>
      <c r="DR39" s="137" t="s">
        <v>501</v>
      </c>
    </row>
    <row r="40" spans="1:122" outlineLevel="1">
      <c r="A40" s="122" t="str">
        <f>$A$16</f>
        <v>Trần Văn Diện</v>
      </c>
      <c r="B40" s="172"/>
      <c r="C40" s="173" t="str">
        <f>IF($B40="","",INDEX('Bảng 3'!C:C,MATCH($B40,'Bảng 3'!$A:$A,0)))</f>
        <v/>
      </c>
      <c r="D40" s="81" t="str">
        <f>IF($B40="","",INDEX('Bảng 3'!D:D,MATCH($B40,'Bảng 3'!$A:$A,0)))</f>
        <v/>
      </c>
      <c r="E40" s="81" t="str">
        <f>IF($B40="","",INDEX('Bảng 3'!E:E,MATCH($B40,'Bảng 3'!$A:$A,0)))</f>
        <v/>
      </c>
      <c r="F40" s="81" t="str">
        <f>IF($B40="","",INDEX('Bảng 3'!F:F,MATCH($B40,'Bảng 3'!$A:$A,0)))</f>
        <v/>
      </c>
      <c r="G40" s="81" t="str">
        <f>IF($B40="","",INDEX('Bảng 3'!G:G,MATCH($B40,'Bảng 3'!$A:$A,0)))</f>
        <v/>
      </c>
      <c r="H40" s="121"/>
      <c r="I40" s="135"/>
      <c r="J40" s="135">
        <f>J$3</f>
        <v>46174</v>
      </c>
      <c r="K40" s="148" t="s">
        <v>501</v>
      </c>
      <c r="L40" s="168"/>
      <c r="M40" s="135">
        <f>M$3</f>
        <v>46175</v>
      </c>
      <c r="N40" s="148" t="s">
        <v>501</v>
      </c>
      <c r="O40" s="137" t="s">
        <v>501</v>
      </c>
      <c r="P40" s="135">
        <f>P$3</f>
        <v>46176</v>
      </c>
      <c r="Q40" s="136" t="s">
        <v>501</v>
      </c>
      <c r="R40" s="137" t="s">
        <v>501</v>
      </c>
      <c r="S40" s="135">
        <f>S$3</f>
        <v>46177</v>
      </c>
      <c r="T40" s="136" t="s">
        <v>501</v>
      </c>
      <c r="U40" s="137" t="s">
        <v>501</v>
      </c>
      <c r="V40" s="135">
        <f>V$3</f>
        <v>46178</v>
      </c>
      <c r="W40" s="136" t="s">
        <v>501</v>
      </c>
      <c r="X40" s="137" t="s">
        <v>501</v>
      </c>
      <c r="Y40" s="135">
        <f>Y$3</f>
        <v>46179</v>
      </c>
      <c r="Z40" s="136" t="s">
        <v>501</v>
      </c>
      <c r="AA40" s="137" t="s">
        <v>501</v>
      </c>
      <c r="AB40" s="135"/>
      <c r="AC40" s="135">
        <f>AC$3</f>
        <v>46181</v>
      </c>
      <c r="AD40" s="136" t="s">
        <v>501</v>
      </c>
      <c r="AE40" s="137" t="s">
        <v>501</v>
      </c>
      <c r="AF40" s="135">
        <f>AF$3</f>
        <v>46182</v>
      </c>
      <c r="AG40" s="136" t="s">
        <v>501</v>
      </c>
      <c r="AH40" s="137" t="s">
        <v>501</v>
      </c>
      <c r="AI40" s="135">
        <f>AI$3</f>
        <v>46183</v>
      </c>
      <c r="AJ40" s="136" t="s">
        <v>501</v>
      </c>
      <c r="AK40" s="137" t="s">
        <v>501</v>
      </c>
      <c r="AL40" s="135">
        <f>AL$3</f>
        <v>46184</v>
      </c>
      <c r="AM40" s="136" t="s">
        <v>501</v>
      </c>
      <c r="AN40" s="137" t="s">
        <v>501</v>
      </c>
      <c r="AO40" s="135">
        <f>AO$3</f>
        <v>46185</v>
      </c>
      <c r="AP40" s="136" t="s">
        <v>501</v>
      </c>
      <c r="AQ40" s="137" t="s">
        <v>501</v>
      </c>
      <c r="AR40" s="135">
        <f>AR$3</f>
        <v>46186</v>
      </c>
      <c r="AS40" s="136" t="s">
        <v>501</v>
      </c>
      <c r="AT40" s="137" t="s">
        <v>501</v>
      </c>
      <c r="AU40" s="135"/>
      <c r="AV40" s="135">
        <f>AV$3</f>
        <v>46188</v>
      </c>
      <c r="AW40" s="148" t="s">
        <v>501</v>
      </c>
      <c r="AX40" s="137" t="s">
        <v>501</v>
      </c>
      <c r="AY40" s="135">
        <f>AY$3</f>
        <v>46189</v>
      </c>
      <c r="AZ40" s="136" t="s">
        <v>501</v>
      </c>
      <c r="BA40" s="137" t="s">
        <v>501</v>
      </c>
      <c r="BB40" s="135">
        <f>BB$3</f>
        <v>46190</v>
      </c>
      <c r="BC40" s="136" t="s">
        <v>501</v>
      </c>
      <c r="BD40" s="137" t="s">
        <v>501</v>
      </c>
      <c r="BE40" s="135">
        <f>BE$3</f>
        <v>46191</v>
      </c>
      <c r="BF40" s="136" t="s">
        <v>501</v>
      </c>
      <c r="BG40" s="137" t="s">
        <v>501</v>
      </c>
      <c r="BH40" s="135">
        <f>BH$3</f>
        <v>46192</v>
      </c>
      <c r="BI40" s="136" t="s">
        <v>501</v>
      </c>
      <c r="BJ40" s="137" t="s">
        <v>501</v>
      </c>
      <c r="BK40" s="135">
        <f>BK$3</f>
        <v>46193</v>
      </c>
      <c r="BL40" s="136" t="s">
        <v>501</v>
      </c>
      <c r="BM40" s="137" t="s">
        <v>501</v>
      </c>
      <c r="BN40" s="135"/>
      <c r="BO40" s="135">
        <f>BO$3</f>
        <v>46195</v>
      </c>
      <c r="BP40" s="136" t="s">
        <v>501</v>
      </c>
      <c r="BQ40" s="137" t="s">
        <v>501</v>
      </c>
      <c r="BR40" s="135">
        <f>BR$3</f>
        <v>46196</v>
      </c>
      <c r="BS40" s="136" t="s">
        <v>501</v>
      </c>
      <c r="BT40" s="137" t="s">
        <v>501</v>
      </c>
      <c r="BU40" s="135">
        <f>BU$3</f>
        <v>46197</v>
      </c>
      <c r="BV40" s="136" t="s">
        <v>501</v>
      </c>
      <c r="BW40" s="137" t="s">
        <v>501</v>
      </c>
      <c r="BX40" s="135">
        <f>BX$3</f>
        <v>46198</v>
      </c>
      <c r="BY40" s="136" t="s">
        <v>501</v>
      </c>
      <c r="BZ40" s="137" t="s">
        <v>501</v>
      </c>
      <c r="CA40" s="135">
        <f>CA$3</f>
        <v>46199</v>
      </c>
      <c r="CB40" s="136" t="s">
        <v>501</v>
      </c>
      <c r="CC40" s="137" t="s">
        <v>501</v>
      </c>
      <c r="CD40" s="135">
        <f>CD$3</f>
        <v>46200</v>
      </c>
      <c r="CE40" s="136" t="s">
        <v>501</v>
      </c>
      <c r="CF40" s="137" t="s">
        <v>501</v>
      </c>
      <c r="CG40" s="135"/>
      <c r="CH40" s="135">
        <f>CH$3</f>
        <v>46202</v>
      </c>
      <c r="CI40" s="148" t="s">
        <v>501</v>
      </c>
      <c r="CJ40" s="137" t="s">
        <v>501</v>
      </c>
      <c r="CK40" s="135">
        <f>CK$3</f>
        <v>46203</v>
      </c>
      <c r="CL40" s="136" t="s">
        <v>501</v>
      </c>
      <c r="CM40" s="137" t="s">
        <v>501</v>
      </c>
      <c r="CN40" s="135">
        <f>CN$3</f>
        <v>46204</v>
      </c>
      <c r="CO40" s="136" t="s">
        <v>501</v>
      </c>
      <c r="CP40" s="137" t="s">
        <v>501</v>
      </c>
      <c r="CQ40" s="135">
        <f>CQ$3</f>
        <v>46205</v>
      </c>
      <c r="CR40" s="136" t="s">
        <v>501</v>
      </c>
      <c r="CS40" s="137" t="s">
        <v>501</v>
      </c>
      <c r="CT40" s="135">
        <f>CT$3</f>
        <v>46206</v>
      </c>
      <c r="CU40" s="136" t="s">
        <v>501</v>
      </c>
      <c r="CV40" s="137" t="s">
        <v>501</v>
      </c>
      <c r="CW40" s="135">
        <f>CW$3</f>
        <v>46207</v>
      </c>
      <c r="CX40" s="136" t="s">
        <v>501</v>
      </c>
      <c r="CY40" s="137" t="s">
        <v>501</v>
      </c>
      <c r="CZ40" s="135"/>
      <c r="DA40" s="135">
        <f>DA$3</f>
        <v>46209</v>
      </c>
      <c r="DB40" s="136" t="s">
        <v>501</v>
      </c>
      <c r="DC40" s="137" t="s">
        <v>501</v>
      </c>
      <c r="DD40" s="135">
        <f>DD$3</f>
        <v>46210</v>
      </c>
      <c r="DE40" s="136" t="s">
        <v>501</v>
      </c>
      <c r="DF40" s="137" t="s">
        <v>501</v>
      </c>
      <c r="DG40" s="135">
        <f>DG$3</f>
        <v>46211</v>
      </c>
      <c r="DH40" s="136" t="s">
        <v>501</v>
      </c>
      <c r="DI40" s="137" t="s">
        <v>501</v>
      </c>
      <c r="DJ40" s="135">
        <f>DJ$3</f>
        <v>46212</v>
      </c>
      <c r="DK40" s="136" t="s">
        <v>501</v>
      </c>
      <c r="DL40" s="137" t="s">
        <v>501</v>
      </c>
      <c r="DM40" s="135">
        <f>DM$3</f>
        <v>46213</v>
      </c>
      <c r="DN40" s="136" t="s">
        <v>501</v>
      </c>
      <c r="DO40" s="137" t="s">
        <v>501</v>
      </c>
      <c r="DP40" s="135">
        <f>DP$3</f>
        <v>46214</v>
      </c>
      <c r="DQ40" s="136" t="s">
        <v>501</v>
      </c>
      <c r="DR40" s="137" t="s">
        <v>501</v>
      </c>
    </row>
    <row r="41" spans="1:122" outlineLevel="1">
      <c r="A41" s="171" t="str">
        <f>$A$16</f>
        <v>Trần Văn Diện</v>
      </c>
      <c r="B41" s="28"/>
      <c r="C41" s="81" t="s">
        <v>38</v>
      </c>
      <c r="D41" s="81" t="s">
        <v>53</v>
      </c>
      <c r="E41" s="81" t="s">
        <v>53</v>
      </c>
      <c r="F41" s="81" t="s">
        <v>53</v>
      </c>
      <c r="G41" s="81" t="s">
        <v>53</v>
      </c>
      <c r="H41" s="121"/>
      <c r="I41" s="135"/>
      <c r="J41" s="135">
        <f>J$3</f>
        <v>46174</v>
      </c>
      <c r="K41" s="148" t="s">
        <v>501</v>
      </c>
      <c r="L41" s="168"/>
      <c r="M41" s="135">
        <f>M$3</f>
        <v>46175</v>
      </c>
      <c r="N41" s="148" t="s">
        <v>501</v>
      </c>
      <c r="O41" s="137" t="s">
        <v>501</v>
      </c>
      <c r="P41" s="135">
        <f>P$3</f>
        <v>46176</v>
      </c>
      <c r="Q41" s="136" t="s">
        <v>501</v>
      </c>
      <c r="R41" s="137" t="s">
        <v>501</v>
      </c>
      <c r="S41" s="135">
        <f>S$3</f>
        <v>46177</v>
      </c>
      <c r="T41" s="136" t="s">
        <v>501</v>
      </c>
      <c r="U41" s="137" t="s">
        <v>501</v>
      </c>
      <c r="V41" s="135">
        <f>V$3</f>
        <v>46178</v>
      </c>
      <c r="W41" s="136" t="s">
        <v>501</v>
      </c>
      <c r="X41" s="137" t="s">
        <v>501</v>
      </c>
      <c r="Y41" s="135">
        <f>Y$3</f>
        <v>46179</v>
      </c>
      <c r="Z41" s="136" t="s">
        <v>501</v>
      </c>
      <c r="AA41" s="137" t="s">
        <v>501</v>
      </c>
      <c r="AB41" s="135"/>
      <c r="AC41" s="135">
        <f>AC$3</f>
        <v>46181</v>
      </c>
      <c r="AD41" s="136" t="s">
        <v>501</v>
      </c>
      <c r="AE41" s="137" t="s">
        <v>501</v>
      </c>
      <c r="AF41" s="135">
        <f>AF$3</f>
        <v>46182</v>
      </c>
      <c r="AG41" s="136" t="s">
        <v>501</v>
      </c>
      <c r="AH41" s="137" t="s">
        <v>501</v>
      </c>
      <c r="AI41" s="135">
        <f>AI$3</f>
        <v>46183</v>
      </c>
      <c r="AJ41" s="136" t="s">
        <v>501</v>
      </c>
      <c r="AK41" s="137" t="s">
        <v>501</v>
      </c>
      <c r="AL41" s="135">
        <f>AL$3</f>
        <v>46184</v>
      </c>
      <c r="AM41" s="136" t="s">
        <v>501</v>
      </c>
      <c r="AN41" s="137" t="s">
        <v>501</v>
      </c>
      <c r="AO41" s="135">
        <f>AO$3</f>
        <v>46185</v>
      </c>
      <c r="AP41" s="136" t="s">
        <v>501</v>
      </c>
      <c r="AQ41" s="137" t="s">
        <v>501</v>
      </c>
      <c r="AR41" s="135">
        <f>AR$3</f>
        <v>46186</v>
      </c>
      <c r="AS41" s="136" t="s">
        <v>501</v>
      </c>
      <c r="AT41" s="137" t="s">
        <v>501</v>
      </c>
      <c r="AU41" s="135"/>
      <c r="AV41" s="135">
        <f>AV$3</f>
        <v>46188</v>
      </c>
      <c r="AW41" s="148" t="s">
        <v>501</v>
      </c>
      <c r="AX41" s="137" t="s">
        <v>501</v>
      </c>
      <c r="AY41" s="135">
        <f>AY$3</f>
        <v>46189</v>
      </c>
      <c r="AZ41" s="136" t="s">
        <v>501</v>
      </c>
      <c r="BA41" s="137" t="s">
        <v>501</v>
      </c>
      <c r="BB41" s="135">
        <f>BB$3</f>
        <v>46190</v>
      </c>
      <c r="BC41" s="136" t="s">
        <v>501</v>
      </c>
      <c r="BD41" s="137" t="s">
        <v>501</v>
      </c>
      <c r="BE41" s="135">
        <f>BE$3</f>
        <v>46191</v>
      </c>
      <c r="BF41" s="136" t="s">
        <v>501</v>
      </c>
      <c r="BG41" s="137" t="s">
        <v>501</v>
      </c>
      <c r="BH41" s="135">
        <f>BH$3</f>
        <v>46192</v>
      </c>
      <c r="BI41" s="136" t="s">
        <v>501</v>
      </c>
      <c r="BJ41" s="137" t="s">
        <v>501</v>
      </c>
      <c r="BK41" s="135">
        <f>BK$3</f>
        <v>46193</v>
      </c>
      <c r="BL41" s="136" t="s">
        <v>501</v>
      </c>
      <c r="BM41" s="137" t="s">
        <v>501</v>
      </c>
      <c r="BN41" s="135"/>
      <c r="BO41" s="135">
        <f>BO$3</f>
        <v>46195</v>
      </c>
      <c r="BP41" s="136" t="s">
        <v>501</v>
      </c>
      <c r="BQ41" s="137" t="s">
        <v>501</v>
      </c>
      <c r="BR41" s="135">
        <f>BR$3</f>
        <v>46196</v>
      </c>
      <c r="BS41" s="136" t="s">
        <v>501</v>
      </c>
      <c r="BT41" s="137" t="s">
        <v>501</v>
      </c>
      <c r="BU41" s="135">
        <f>BU$3</f>
        <v>46197</v>
      </c>
      <c r="BV41" s="136" t="s">
        <v>501</v>
      </c>
      <c r="BW41" s="137" t="s">
        <v>501</v>
      </c>
      <c r="BX41" s="135">
        <f>BX$3</f>
        <v>46198</v>
      </c>
      <c r="BY41" s="136" t="s">
        <v>501</v>
      </c>
      <c r="BZ41" s="137" t="s">
        <v>501</v>
      </c>
      <c r="CA41" s="135">
        <f>CA$3</f>
        <v>46199</v>
      </c>
      <c r="CB41" s="136" t="s">
        <v>501</v>
      </c>
      <c r="CC41" s="137" t="s">
        <v>501</v>
      </c>
      <c r="CD41" s="135">
        <f>CD$3</f>
        <v>46200</v>
      </c>
      <c r="CE41" s="136" t="s">
        <v>501</v>
      </c>
      <c r="CF41" s="137" t="s">
        <v>501</v>
      </c>
      <c r="CG41" s="135"/>
      <c r="CH41" s="135">
        <f>CH$3</f>
        <v>46202</v>
      </c>
      <c r="CI41" s="148" t="s">
        <v>501</v>
      </c>
      <c r="CJ41" s="137" t="s">
        <v>501</v>
      </c>
      <c r="CK41" s="135">
        <f>CK$3</f>
        <v>46203</v>
      </c>
      <c r="CL41" s="136" t="s">
        <v>501</v>
      </c>
      <c r="CM41" s="137" t="s">
        <v>501</v>
      </c>
      <c r="CN41" s="135">
        <f>CN$3</f>
        <v>46204</v>
      </c>
      <c r="CO41" s="136" t="s">
        <v>501</v>
      </c>
      <c r="CP41" s="137" t="s">
        <v>501</v>
      </c>
      <c r="CQ41" s="135">
        <f>CQ$3</f>
        <v>46205</v>
      </c>
      <c r="CR41" s="136" t="s">
        <v>501</v>
      </c>
      <c r="CS41" s="137" t="s">
        <v>501</v>
      </c>
      <c r="CT41" s="135">
        <f>CT$3</f>
        <v>46206</v>
      </c>
      <c r="CU41" s="136" t="s">
        <v>501</v>
      </c>
      <c r="CV41" s="137" t="s">
        <v>501</v>
      </c>
      <c r="CW41" s="135">
        <f>CW$3</f>
        <v>46207</v>
      </c>
      <c r="CX41" s="136" t="s">
        <v>501</v>
      </c>
      <c r="CY41" s="137" t="s">
        <v>501</v>
      </c>
      <c r="CZ41" s="135"/>
      <c r="DA41" s="135"/>
      <c r="DB41" s="136"/>
      <c r="DC41" s="137"/>
      <c r="DD41" s="135"/>
      <c r="DE41" s="136"/>
      <c r="DF41" s="137"/>
      <c r="DG41" s="135"/>
      <c r="DH41" s="136"/>
      <c r="DI41" s="137"/>
      <c r="DJ41" s="135"/>
      <c r="DK41" s="136"/>
      <c r="DL41" s="137"/>
      <c r="DM41" s="135"/>
      <c r="DN41" s="136"/>
      <c r="DO41" s="137"/>
      <c r="DP41" s="135"/>
      <c r="DQ41" s="136"/>
      <c r="DR41" s="137"/>
    </row>
    <row r="42" spans="1:122">
      <c r="A42" s="36" t="s">
        <v>33</v>
      </c>
      <c r="B42" s="95"/>
      <c r="C42" s="174" t="str">
        <f>IF($B42="","",INDEX('Bảng 3'!C:C,MATCH($B42,'Bảng 3'!$A:$A,0)))</f>
        <v/>
      </c>
      <c r="D42" s="81" t="str">
        <f>IF($B42="","",INDEX('Bảng 3'!D:D,MATCH($B42,'Bảng 3'!$A:$A,0)))</f>
        <v/>
      </c>
      <c r="E42" s="81" t="str">
        <f>IF($B42="","",INDEX('Bảng 3'!E:E,MATCH($B42,'Bảng 3'!$A:$A,0)))</f>
        <v/>
      </c>
      <c r="F42" s="81" t="str">
        <f>IF($B42="","",INDEX('Bảng 3'!F:F,MATCH($B42,'Bảng 3'!$A:$A,0)))</f>
        <v/>
      </c>
      <c r="G42" s="81" t="str">
        <f>IF($B42="","",INDEX('Bảng 3'!G:G,MATCH($B42,'Bảng 3'!$A:$A,0)))</f>
        <v/>
      </c>
      <c r="H42" s="121"/>
      <c r="I42" s="138"/>
      <c r="J42" s="138">
        <f>J$3</f>
        <v>46174</v>
      </c>
      <c r="K42" s="158" t="s">
        <v>501</v>
      </c>
      <c r="L42" s="167">
        <f>SUM(L43:L79)</f>
        <v>8.5</v>
      </c>
      <c r="M42" s="138">
        <f>M$3</f>
        <v>46175</v>
      </c>
      <c r="N42" s="147" t="s">
        <v>501</v>
      </c>
      <c r="O42" s="133">
        <f>SUM(O43:O79)</f>
        <v>9</v>
      </c>
      <c r="P42" s="138">
        <f>P$3</f>
        <v>46176</v>
      </c>
      <c r="Q42" s="132" t="s">
        <v>501</v>
      </c>
      <c r="R42" s="133">
        <f>SUM(R43:R79)</f>
        <v>0</v>
      </c>
      <c r="S42" s="138">
        <f>S$3</f>
        <v>46177</v>
      </c>
      <c r="T42" s="132" t="s">
        <v>501</v>
      </c>
      <c r="U42" s="133">
        <f>SUM(U43:U79)</f>
        <v>0</v>
      </c>
      <c r="V42" s="138">
        <f>V$3</f>
        <v>46178</v>
      </c>
      <c r="W42" s="132" t="s">
        <v>501</v>
      </c>
      <c r="X42" s="133">
        <f>SUM(X43:X79)</f>
        <v>0</v>
      </c>
      <c r="Y42" s="138">
        <f>Y$3</f>
        <v>46179</v>
      </c>
      <c r="Z42" s="132" t="s">
        <v>501</v>
      </c>
      <c r="AA42" s="133">
        <f>SUM(AA43:AA79)</f>
        <v>0</v>
      </c>
      <c r="AB42" s="138"/>
      <c r="AC42" s="138">
        <f>AC$3</f>
        <v>46181</v>
      </c>
      <c r="AD42" s="132" t="s">
        <v>501</v>
      </c>
      <c r="AE42" s="133">
        <f>SUM(AE43:AE79)</f>
        <v>0</v>
      </c>
      <c r="AF42" s="138">
        <f>AF$3</f>
        <v>46182</v>
      </c>
      <c r="AG42" s="132" t="s">
        <v>501</v>
      </c>
      <c r="AH42" s="133">
        <f>SUM(AH43:AH79)</f>
        <v>0</v>
      </c>
      <c r="AI42" s="138">
        <f>AI$3</f>
        <v>46183</v>
      </c>
      <c r="AJ42" s="132" t="s">
        <v>501</v>
      </c>
      <c r="AK42" s="133">
        <f>SUM(AK43:AK79)</f>
        <v>0</v>
      </c>
      <c r="AL42" s="138">
        <f>AL$3</f>
        <v>46184</v>
      </c>
      <c r="AM42" s="132" t="s">
        <v>501</v>
      </c>
      <c r="AN42" s="133">
        <f>SUM(AN43:AN79)</f>
        <v>0</v>
      </c>
      <c r="AO42" s="138">
        <f>AO$3</f>
        <v>46185</v>
      </c>
      <c r="AP42" s="132" t="s">
        <v>501</v>
      </c>
      <c r="AQ42" s="133">
        <f>SUM(AQ43:AQ79)</f>
        <v>0</v>
      </c>
      <c r="AR42" s="138">
        <f>AR$3</f>
        <v>46186</v>
      </c>
      <c r="AS42" s="132" t="s">
        <v>501</v>
      </c>
      <c r="AT42" s="133">
        <f>SUM(AT43:AT79)</f>
        <v>0</v>
      </c>
      <c r="AU42" s="138"/>
      <c r="AV42" s="138">
        <f>AV$3</f>
        <v>46188</v>
      </c>
      <c r="AW42" s="147" t="s">
        <v>501</v>
      </c>
      <c r="AX42" s="133">
        <f>SUM(AX43:AX79)</f>
        <v>0</v>
      </c>
      <c r="AY42" s="138">
        <f>AY$3</f>
        <v>46189</v>
      </c>
      <c r="AZ42" s="132" t="s">
        <v>501</v>
      </c>
      <c r="BA42" s="133">
        <f>SUM(BA43:BA79)</f>
        <v>0</v>
      </c>
      <c r="BB42" s="138">
        <f>BB$3</f>
        <v>46190</v>
      </c>
      <c r="BC42" s="132" t="s">
        <v>501</v>
      </c>
      <c r="BD42" s="133">
        <f>SUM(BD43:BD79)</f>
        <v>0</v>
      </c>
      <c r="BE42" s="138">
        <f>BE$3</f>
        <v>46191</v>
      </c>
      <c r="BF42" s="132" t="s">
        <v>501</v>
      </c>
      <c r="BG42" s="133">
        <f>SUM(BG43:BG79)</f>
        <v>0</v>
      </c>
      <c r="BH42" s="138">
        <f>BH$3</f>
        <v>46192</v>
      </c>
      <c r="BI42" s="132" t="s">
        <v>501</v>
      </c>
      <c r="BJ42" s="133">
        <f>SUM(BJ43:BJ79)</f>
        <v>0</v>
      </c>
      <c r="BK42" s="138">
        <f>BK$3</f>
        <v>46193</v>
      </c>
      <c r="BL42" s="132" t="s">
        <v>501</v>
      </c>
      <c r="BM42" s="133">
        <f>SUM(BM43:BM79)</f>
        <v>0</v>
      </c>
      <c r="BN42" s="138"/>
      <c r="BO42" s="138">
        <f>BO$3</f>
        <v>46195</v>
      </c>
      <c r="BP42" s="132" t="s">
        <v>501</v>
      </c>
      <c r="BQ42" s="133">
        <f>SUM(BQ43:BQ79)</f>
        <v>0</v>
      </c>
      <c r="BR42" s="138">
        <f>BR$3</f>
        <v>46196</v>
      </c>
      <c r="BS42" s="132" t="s">
        <v>501</v>
      </c>
      <c r="BT42" s="133">
        <f>SUM(BT43:BT79)</f>
        <v>0</v>
      </c>
      <c r="BU42" s="138">
        <f>BU$3</f>
        <v>46197</v>
      </c>
      <c r="BV42" s="132" t="s">
        <v>501</v>
      </c>
      <c r="BW42" s="133">
        <f>SUM(BW43:BW79)</f>
        <v>0</v>
      </c>
      <c r="BX42" s="138">
        <f>BX$3</f>
        <v>46198</v>
      </c>
      <c r="BY42" s="132" t="s">
        <v>501</v>
      </c>
      <c r="BZ42" s="133">
        <f>SUM(BZ43:BZ79)</f>
        <v>0</v>
      </c>
      <c r="CA42" s="138">
        <f>CA$3</f>
        <v>46199</v>
      </c>
      <c r="CB42" s="132" t="s">
        <v>501</v>
      </c>
      <c r="CC42" s="133">
        <f>SUM(CC43:CC79)</f>
        <v>0</v>
      </c>
      <c r="CD42" s="138">
        <f>CD$3</f>
        <v>46200</v>
      </c>
      <c r="CE42" s="132" t="s">
        <v>501</v>
      </c>
      <c r="CF42" s="133">
        <f>SUM(CF43:CF79)</f>
        <v>0</v>
      </c>
      <c r="CG42" s="138"/>
      <c r="CH42" s="138">
        <f>CH$3</f>
        <v>46202</v>
      </c>
      <c r="CI42" s="147" t="s">
        <v>501</v>
      </c>
      <c r="CJ42" s="133">
        <f>SUM(CJ43:CJ79)</f>
        <v>0</v>
      </c>
      <c r="CK42" s="138">
        <f>CK$3</f>
        <v>46203</v>
      </c>
      <c r="CL42" s="132" t="s">
        <v>501</v>
      </c>
      <c r="CM42" s="133">
        <f>SUM(CM43:CM79)</f>
        <v>0</v>
      </c>
      <c r="CN42" s="138">
        <f>CN$3</f>
        <v>46204</v>
      </c>
      <c r="CO42" s="132" t="s">
        <v>501</v>
      </c>
      <c r="CP42" s="133">
        <f>SUM(CP43:CP79)</f>
        <v>0</v>
      </c>
      <c r="CQ42" s="138">
        <f>CQ$3</f>
        <v>46205</v>
      </c>
      <c r="CR42" s="132" t="s">
        <v>501</v>
      </c>
      <c r="CS42" s="133">
        <f>SUM(CS43:CS79)</f>
        <v>0</v>
      </c>
      <c r="CT42" s="138">
        <f>CT$3</f>
        <v>46206</v>
      </c>
      <c r="CU42" s="132" t="s">
        <v>501</v>
      </c>
      <c r="CV42" s="133">
        <f>SUM(CV43:CV79)</f>
        <v>0</v>
      </c>
      <c r="CW42" s="138">
        <f>CW$3</f>
        <v>46207</v>
      </c>
      <c r="CX42" s="132" t="s">
        <v>501</v>
      </c>
      <c r="CY42" s="133">
        <f>SUM(CY43:CY79)</f>
        <v>0</v>
      </c>
      <c r="CZ42" s="138"/>
      <c r="DA42" s="138">
        <f>DA$3</f>
        <v>46209</v>
      </c>
      <c r="DB42" s="132" t="s">
        <v>501</v>
      </c>
      <c r="DC42" s="133">
        <f>SUM(DC43:DC79)</f>
        <v>0</v>
      </c>
      <c r="DD42" s="138">
        <f>DD$3</f>
        <v>46210</v>
      </c>
      <c r="DE42" s="132" t="s">
        <v>501</v>
      </c>
      <c r="DF42" s="133">
        <f>SUM(DF43:DF79)</f>
        <v>0</v>
      </c>
      <c r="DG42" s="138">
        <f>DG$3</f>
        <v>46211</v>
      </c>
      <c r="DH42" s="132" t="s">
        <v>501</v>
      </c>
      <c r="DI42" s="133">
        <f>SUM(DI43:DI79)</f>
        <v>0</v>
      </c>
      <c r="DJ42" s="138">
        <f>DJ$3</f>
        <v>46212</v>
      </c>
      <c r="DK42" s="132" t="s">
        <v>501</v>
      </c>
      <c r="DL42" s="133">
        <f>SUM(DL43:DL79)</f>
        <v>0</v>
      </c>
      <c r="DM42" s="138">
        <f>DM$3</f>
        <v>46213</v>
      </c>
      <c r="DN42" s="132" t="s">
        <v>501</v>
      </c>
      <c r="DO42" s="133">
        <f>SUM(DO43:DO79)</f>
        <v>0</v>
      </c>
      <c r="DP42" s="138">
        <f>DP$3</f>
        <v>46214</v>
      </c>
      <c r="DQ42" s="132" t="s">
        <v>501</v>
      </c>
      <c r="DR42" s="133">
        <f>SUM(DR43:DR79)</f>
        <v>0</v>
      </c>
    </row>
    <row r="43" spans="1:122" outlineLevel="1">
      <c r="A43" s="122" t="str">
        <f>$A$42</f>
        <v>Đỗ Minh Ngọc</v>
      </c>
      <c r="B43" s="82" t="str">
        <f>'Bảng 3'!A105</f>
        <v>3.B.HYE.NOXHHY.CT.101</v>
      </c>
      <c r="C43" s="81" t="str">
        <f>IF($B43="","",INDEX('Bảng 3'!C:C,MATCH($B43,'Bảng 3'!$A:$A,0)))</f>
        <v>Quản lý BIM</v>
      </c>
      <c r="D43" s="81" t="str">
        <f>IF($B43="","",INDEX('Bảng 3'!D:D,MATCH($B43,'Bảng 3'!$A:$A,0)))</f>
        <v>B.HYE.NOXHHY.CT</v>
      </c>
      <c r="E43" s="81" t="str">
        <f>IF($B43="","",INDEX('Bảng 3'!E:E,MATCH($B43,'Bảng 3'!$A:$A,0)))</f>
        <v>NOXH01 (04 tòa)</v>
      </c>
      <c r="F43" s="81" t="str">
        <f>IF($B43="","",INDEX('Bảng 3'!F:F,MATCH($B43,'Bảng 3'!$A:$A,0)))</f>
        <v>KT</v>
      </c>
      <c r="G43" s="81" t="str">
        <f>IF($B43="","",INDEX('Bảng 3'!G:G,MATCH($B43,'Bảng 3'!$A:$A,0)))</f>
        <v>KSCL mô hình BIM</v>
      </c>
      <c r="H43" s="121"/>
      <c r="I43" s="135"/>
      <c r="J43" s="135">
        <f>J$3</f>
        <v>46174</v>
      </c>
      <c r="K43" s="148" t="s">
        <v>637</v>
      </c>
      <c r="L43" s="168">
        <v>1</v>
      </c>
      <c r="M43" s="135">
        <f>M$3</f>
        <v>46175</v>
      </c>
      <c r="N43" s="278" t="s">
        <v>501</v>
      </c>
      <c r="O43" s="137" t="s">
        <v>501</v>
      </c>
      <c r="P43" s="135">
        <f>P$3</f>
        <v>46176</v>
      </c>
      <c r="Q43" s="136" t="s">
        <v>501</v>
      </c>
      <c r="R43" s="137" t="s">
        <v>501</v>
      </c>
      <c r="S43" s="135">
        <f>S$3</f>
        <v>46177</v>
      </c>
      <c r="T43" s="136" t="s">
        <v>501</v>
      </c>
      <c r="U43" s="137" t="s">
        <v>501</v>
      </c>
      <c r="V43" s="135">
        <f>V$3</f>
        <v>46178</v>
      </c>
      <c r="W43" s="136" t="s">
        <v>501</v>
      </c>
      <c r="X43" s="137" t="s">
        <v>501</v>
      </c>
      <c r="Y43" s="135">
        <f>Y$3</f>
        <v>46179</v>
      </c>
      <c r="Z43" s="136" t="s">
        <v>501</v>
      </c>
      <c r="AA43" s="137" t="s">
        <v>501</v>
      </c>
      <c r="AB43" s="135"/>
      <c r="AC43" s="135">
        <f>AC$3</f>
        <v>46181</v>
      </c>
      <c r="AD43" s="136" t="s">
        <v>501</v>
      </c>
      <c r="AE43" s="137" t="s">
        <v>501</v>
      </c>
      <c r="AF43" s="135">
        <f>AF$3</f>
        <v>46182</v>
      </c>
      <c r="AG43" s="136" t="s">
        <v>501</v>
      </c>
      <c r="AH43" s="137" t="s">
        <v>501</v>
      </c>
      <c r="AI43" s="135">
        <f>AI$3</f>
        <v>46183</v>
      </c>
      <c r="AJ43" s="136" t="s">
        <v>501</v>
      </c>
      <c r="AK43" s="137" t="s">
        <v>501</v>
      </c>
      <c r="AL43" s="135">
        <f>AL$3</f>
        <v>46184</v>
      </c>
      <c r="AM43" s="136" t="s">
        <v>501</v>
      </c>
      <c r="AN43" s="137" t="s">
        <v>501</v>
      </c>
      <c r="AO43" s="135">
        <f>AO$3</f>
        <v>46185</v>
      </c>
      <c r="AP43" s="136" t="s">
        <v>501</v>
      </c>
      <c r="AQ43" s="137" t="s">
        <v>501</v>
      </c>
      <c r="AR43" s="135">
        <f>AR$3</f>
        <v>46186</v>
      </c>
      <c r="AS43" s="136" t="s">
        <v>501</v>
      </c>
      <c r="AT43" s="137" t="s">
        <v>501</v>
      </c>
      <c r="AU43" s="135"/>
      <c r="AV43" s="135">
        <f>AV$3</f>
        <v>46188</v>
      </c>
      <c r="AW43" s="148" t="s">
        <v>501</v>
      </c>
      <c r="AX43" s="137"/>
      <c r="AY43" s="135">
        <f>AY$3</f>
        <v>46189</v>
      </c>
      <c r="AZ43" s="136" t="s">
        <v>501</v>
      </c>
      <c r="BA43" s="137" t="s">
        <v>501</v>
      </c>
      <c r="BB43" s="135">
        <f>BB$3</f>
        <v>46190</v>
      </c>
      <c r="BC43" s="136" t="s">
        <v>501</v>
      </c>
      <c r="BD43" s="137" t="s">
        <v>501</v>
      </c>
      <c r="BE43" s="135">
        <f>BE$3</f>
        <v>46191</v>
      </c>
      <c r="BF43" s="136" t="s">
        <v>501</v>
      </c>
      <c r="BG43" s="137" t="s">
        <v>501</v>
      </c>
      <c r="BH43" s="135">
        <f>BH$3</f>
        <v>46192</v>
      </c>
      <c r="BI43" s="136" t="s">
        <v>501</v>
      </c>
      <c r="BJ43" s="137" t="s">
        <v>501</v>
      </c>
      <c r="BK43" s="135">
        <f>BK$3</f>
        <v>46193</v>
      </c>
      <c r="BL43" s="136" t="s">
        <v>501</v>
      </c>
      <c r="BM43" s="137" t="s">
        <v>501</v>
      </c>
      <c r="BN43" s="135"/>
      <c r="BO43" s="135">
        <f>BO$3</f>
        <v>46195</v>
      </c>
      <c r="BP43" s="136" t="s">
        <v>501</v>
      </c>
      <c r="BQ43" s="137" t="s">
        <v>501</v>
      </c>
      <c r="BR43" s="135">
        <f>BR$3</f>
        <v>46196</v>
      </c>
      <c r="BS43" s="136" t="s">
        <v>501</v>
      </c>
      <c r="BT43" s="137" t="s">
        <v>501</v>
      </c>
      <c r="BU43" s="135">
        <f>BU$3</f>
        <v>46197</v>
      </c>
      <c r="BV43" s="136" t="s">
        <v>501</v>
      </c>
      <c r="BW43" s="137" t="s">
        <v>501</v>
      </c>
      <c r="BX43" s="135">
        <f>BX$3</f>
        <v>46198</v>
      </c>
      <c r="BY43" s="136" t="s">
        <v>501</v>
      </c>
      <c r="BZ43" s="137" t="s">
        <v>501</v>
      </c>
      <c r="CA43" s="135">
        <f>CA$3</f>
        <v>46199</v>
      </c>
      <c r="CB43" s="136" t="s">
        <v>501</v>
      </c>
      <c r="CC43" s="137" t="s">
        <v>501</v>
      </c>
      <c r="CD43" s="135">
        <f>CD$3</f>
        <v>46200</v>
      </c>
      <c r="CE43" s="136" t="s">
        <v>501</v>
      </c>
      <c r="CF43" s="137" t="s">
        <v>501</v>
      </c>
      <c r="CG43" s="135"/>
      <c r="CH43" s="135">
        <f>CH$3</f>
        <v>46202</v>
      </c>
      <c r="CI43" s="148" t="s">
        <v>501</v>
      </c>
      <c r="CJ43" s="137"/>
      <c r="CK43" s="135">
        <f>CK$3</f>
        <v>46203</v>
      </c>
      <c r="CL43" s="136" t="s">
        <v>501</v>
      </c>
      <c r="CM43" s="137" t="s">
        <v>501</v>
      </c>
      <c r="CN43" s="135">
        <f>CN$3</f>
        <v>46204</v>
      </c>
      <c r="CO43" s="136" t="s">
        <v>501</v>
      </c>
      <c r="CP43" s="137" t="s">
        <v>501</v>
      </c>
      <c r="CQ43" s="135">
        <f>CQ$3</f>
        <v>46205</v>
      </c>
      <c r="CR43" s="136" t="s">
        <v>501</v>
      </c>
      <c r="CS43" s="137" t="s">
        <v>501</v>
      </c>
      <c r="CT43" s="135">
        <f>CT$3</f>
        <v>46206</v>
      </c>
      <c r="CU43" s="136" t="s">
        <v>501</v>
      </c>
      <c r="CV43" s="137" t="s">
        <v>501</v>
      </c>
      <c r="CW43" s="135">
        <f>CW$3</f>
        <v>46207</v>
      </c>
      <c r="CX43" s="136" t="s">
        <v>501</v>
      </c>
      <c r="CY43" s="137" t="s">
        <v>501</v>
      </c>
      <c r="CZ43" s="135"/>
      <c r="DA43" s="135">
        <f>DA$3</f>
        <v>46209</v>
      </c>
      <c r="DB43" s="136" t="s">
        <v>501</v>
      </c>
      <c r="DC43" s="137" t="s">
        <v>501</v>
      </c>
      <c r="DD43" s="135">
        <f>DD$3</f>
        <v>46210</v>
      </c>
      <c r="DE43" s="136" t="s">
        <v>501</v>
      </c>
      <c r="DF43" s="137" t="s">
        <v>501</v>
      </c>
      <c r="DG43" s="135">
        <f>DG$3</f>
        <v>46211</v>
      </c>
      <c r="DH43" s="136" t="s">
        <v>501</v>
      </c>
      <c r="DI43" s="137" t="s">
        <v>501</v>
      </c>
      <c r="DJ43" s="135">
        <f>DJ$3</f>
        <v>46212</v>
      </c>
      <c r="DK43" s="136" t="s">
        <v>501</v>
      </c>
      <c r="DL43" s="137" t="s">
        <v>501</v>
      </c>
      <c r="DM43" s="135">
        <f>DM$3</f>
        <v>46213</v>
      </c>
      <c r="DN43" s="136" t="s">
        <v>501</v>
      </c>
      <c r="DO43" s="137" t="s">
        <v>501</v>
      </c>
      <c r="DP43" s="135">
        <f>DP$3</f>
        <v>46214</v>
      </c>
      <c r="DQ43" s="136" t="s">
        <v>501</v>
      </c>
      <c r="DR43" s="137" t="s">
        <v>501</v>
      </c>
    </row>
    <row r="44" spans="1:122" outlineLevel="1">
      <c r="A44" s="122" t="str">
        <f>$A$42</f>
        <v>Đỗ Minh Ngọc</v>
      </c>
      <c r="B44" s="82" t="str">
        <f>'Bảng 3'!A106</f>
        <v>3.B.HYE.NOXHHY.CT.201</v>
      </c>
      <c r="C44" s="81" t="str">
        <f>IF($B44="","",INDEX('Bảng 3'!C:C,MATCH($B44,'Bảng 3'!$A:$A,0)))</f>
        <v>Quản lý BIM</v>
      </c>
      <c r="D44" s="81" t="str">
        <f>IF($B44="","",INDEX('Bảng 3'!D:D,MATCH($B44,'Bảng 3'!$A:$A,0)))</f>
        <v>B.HYE.NOXHHY.CT</v>
      </c>
      <c r="E44" s="81" t="str">
        <f>IF($B44="","",INDEX('Bảng 3'!E:E,MATCH($B44,'Bảng 3'!$A:$A,0)))</f>
        <v>NOXH01 (04 tòa)</v>
      </c>
      <c r="F44" s="81" t="str">
        <f>IF($B44="","",INDEX('Bảng 3'!F:F,MATCH($B44,'Bảng 3'!$A:$A,0)))</f>
        <v>KC</v>
      </c>
      <c r="G44" s="81" t="str">
        <f>IF($B44="","",INDEX('Bảng 3'!G:G,MATCH($B44,'Bảng 3'!$A:$A,0)))</f>
        <v>KSCL mô hình BIM</v>
      </c>
      <c r="H44" s="121"/>
      <c r="I44" s="135"/>
      <c r="J44" s="135">
        <f>J$3</f>
        <v>46174</v>
      </c>
      <c r="K44" s="148" t="s">
        <v>501</v>
      </c>
      <c r="L44" s="168"/>
      <c r="M44" s="135">
        <f>M$3</f>
        <v>46175</v>
      </c>
      <c r="N44" s="148" t="s">
        <v>501</v>
      </c>
      <c r="O44" s="137"/>
      <c r="P44" s="135">
        <f>P$3</f>
        <v>46176</v>
      </c>
      <c r="Q44" s="136" t="s">
        <v>501</v>
      </c>
      <c r="R44" s="137" t="s">
        <v>501</v>
      </c>
      <c r="S44" s="135">
        <f>S$3</f>
        <v>46177</v>
      </c>
      <c r="T44" s="136" t="s">
        <v>501</v>
      </c>
      <c r="U44" s="137" t="s">
        <v>501</v>
      </c>
      <c r="V44" s="135">
        <f>V$3</f>
        <v>46178</v>
      </c>
      <c r="W44" s="136" t="s">
        <v>501</v>
      </c>
      <c r="X44" s="137" t="s">
        <v>501</v>
      </c>
      <c r="Y44" s="135">
        <f>Y$3</f>
        <v>46179</v>
      </c>
      <c r="Z44" s="136" t="s">
        <v>501</v>
      </c>
      <c r="AA44" s="137" t="s">
        <v>501</v>
      </c>
      <c r="AB44" s="135"/>
      <c r="AC44" s="135">
        <f>AC$3</f>
        <v>46181</v>
      </c>
      <c r="AD44" s="136" t="s">
        <v>501</v>
      </c>
      <c r="AE44" s="137" t="s">
        <v>501</v>
      </c>
      <c r="AF44" s="135">
        <f>AF$3</f>
        <v>46182</v>
      </c>
      <c r="AG44" s="136" t="s">
        <v>501</v>
      </c>
      <c r="AH44" s="137" t="s">
        <v>501</v>
      </c>
      <c r="AI44" s="135">
        <f>AI$3</f>
        <v>46183</v>
      </c>
      <c r="AJ44" s="136" t="s">
        <v>501</v>
      </c>
      <c r="AK44" s="137" t="s">
        <v>501</v>
      </c>
      <c r="AL44" s="135">
        <f>AL$3</f>
        <v>46184</v>
      </c>
      <c r="AM44" s="136" t="s">
        <v>501</v>
      </c>
      <c r="AN44" s="137" t="s">
        <v>501</v>
      </c>
      <c r="AO44" s="135">
        <f>AO$3</f>
        <v>46185</v>
      </c>
      <c r="AP44" s="136" t="s">
        <v>501</v>
      </c>
      <c r="AQ44" s="137" t="s">
        <v>501</v>
      </c>
      <c r="AR44" s="135">
        <f>AR$3</f>
        <v>46186</v>
      </c>
      <c r="AS44" s="136" t="s">
        <v>501</v>
      </c>
      <c r="AT44" s="137" t="s">
        <v>501</v>
      </c>
      <c r="AU44" s="135"/>
      <c r="AV44" s="135">
        <f>AV$3</f>
        <v>46188</v>
      </c>
      <c r="AW44" s="148" t="s">
        <v>501</v>
      </c>
      <c r="AX44" s="137"/>
      <c r="AY44" s="135">
        <f>AY$3</f>
        <v>46189</v>
      </c>
      <c r="AZ44" s="136" t="s">
        <v>501</v>
      </c>
      <c r="BA44" s="137"/>
      <c r="BB44" s="135">
        <f>BB$3</f>
        <v>46190</v>
      </c>
      <c r="BC44" s="136" t="s">
        <v>501</v>
      </c>
      <c r="BD44" s="137" t="s">
        <v>501</v>
      </c>
      <c r="BE44" s="135">
        <f>BE$3</f>
        <v>46191</v>
      </c>
      <c r="BF44" s="136" t="s">
        <v>501</v>
      </c>
      <c r="BG44" s="137" t="s">
        <v>501</v>
      </c>
      <c r="BH44" s="135">
        <f>BH$3</f>
        <v>46192</v>
      </c>
      <c r="BI44" s="136" t="s">
        <v>501</v>
      </c>
      <c r="BJ44" s="137" t="s">
        <v>501</v>
      </c>
      <c r="BK44" s="135">
        <f>BK$3</f>
        <v>46193</v>
      </c>
      <c r="BL44" s="136" t="s">
        <v>501</v>
      </c>
      <c r="BM44" s="137" t="s">
        <v>501</v>
      </c>
      <c r="BN44" s="135"/>
      <c r="BO44" s="135">
        <f>BO$3</f>
        <v>46195</v>
      </c>
      <c r="BP44" s="136" t="s">
        <v>501</v>
      </c>
      <c r="BQ44" s="137" t="s">
        <v>501</v>
      </c>
      <c r="BR44" s="135">
        <f>BR$3</f>
        <v>46196</v>
      </c>
      <c r="BS44" s="136" t="s">
        <v>501</v>
      </c>
      <c r="BT44" s="137" t="s">
        <v>501</v>
      </c>
      <c r="BU44" s="135">
        <f>BU$3</f>
        <v>46197</v>
      </c>
      <c r="BV44" s="136" t="s">
        <v>501</v>
      </c>
      <c r="BW44" s="137" t="s">
        <v>501</v>
      </c>
      <c r="BX44" s="135">
        <f>BX$3</f>
        <v>46198</v>
      </c>
      <c r="BY44" s="136" t="s">
        <v>501</v>
      </c>
      <c r="BZ44" s="137" t="s">
        <v>501</v>
      </c>
      <c r="CA44" s="135">
        <f>CA$3</f>
        <v>46199</v>
      </c>
      <c r="CB44" s="136" t="s">
        <v>501</v>
      </c>
      <c r="CC44" s="137" t="s">
        <v>501</v>
      </c>
      <c r="CD44" s="135">
        <f>CD$3</f>
        <v>46200</v>
      </c>
      <c r="CE44" s="136" t="s">
        <v>501</v>
      </c>
      <c r="CF44" s="137" t="s">
        <v>501</v>
      </c>
      <c r="CG44" s="135"/>
      <c r="CH44" s="135">
        <f>CH$3</f>
        <v>46202</v>
      </c>
      <c r="CI44" s="148" t="s">
        <v>501</v>
      </c>
      <c r="CJ44" s="137"/>
      <c r="CK44" s="135">
        <f>CK$3</f>
        <v>46203</v>
      </c>
      <c r="CL44" s="136" t="s">
        <v>501</v>
      </c>
      <c r="CM44" s="137"/>
      <c r="CN44" s="135">
        <f>CN$3</f>
        <v>46204</v>
      </c>
      <c r="CO44" s="136" t="s">
        <v>501</v>
      </c>
      <c r="CP44" s="137" t="s">
        <v>501</v>
      </c>
      <c r="CQ44" s="135">
        <f>CQ$3</f>
        <v>46205</v>
      </c>
      <c r="CR44" s="136" t="s">
        <v>501</v>
      </c>
      <c r="CS44" s="137" t="s">
        <v>501</v>
      </c>
      <c r="CT44" s="135">
        <f>CT$3</f>
        <v>46206</v>
      </c>
      <c r="CU44" s="136" t="s">
        <v>501</v>
      </c>
      <c r="CV44" s="137" t="s">
        <v>501</v>
      </c>
      <c r="CW44" s="135">
        <f>CW$3</f>
        <v>46207</v>
      </c>
      <c r="CX44" s="136" t="s">
        <v>501</v>
      </c>
      <c r="CY44" s="137" t="s">
        <v>501</v>
      </c>
      <c r="CZ44" s="135"/>
      <c r="DA44" s="135">
        <f>DA$3</f>
        <v>46209</v>
      </c>
      <c r="DB44" s="136" t="s">
        <v>501</v>
      </c>
      <c r="DC44" s="137" t="s">
        <v>501</v>
      </c>
      <c r="DD44" s="135">
        <f>DD$3</f>
        <v>46210</v>
      </c>
      <c r="DE44" s="136" t="s">
        <v>501</v>
      </c>
      <c r="DF44" s="137" t="s">
        <v>501</v>
      </c>
      <c r="DG44" s="135">
        <f>DG$3</f>
        <v>46211</v>
      </c>
      <c r="DH44" s="136" t="s">
        <v>501</v>
      </c>
      <c r="DI44" s="137" t="s">
        <v>501</v>
      </c>
      <c r="DJ44" s="135">
        <f>DJ$3</f>
        <v>46212</v>
      </c>
      <c r="DK44" s="136" t="s">
        <v>501</v>
      </c>
      <c r="DL44" s="137" t="s">
        <v>501</v>
      </c>
      <c r="DM44" s="135">
        <f>DM$3</f>
        <v>46213</v>
      </c>
      <c r="DN44" s="136" t="s">
        <v>501</v>
      </c>
      <c r="DO44" s="137" t="s">
        <v>501</v>
      </c>
      <c r="DP44" s="135">
        <f>DP$3</f>
        <v>46214</v>
      </c>
      <c r="DQ44" s="136" t="s">
        <v>501</v>
      </c>
      <c r="DR44" s="137" t="s">
        <v>501</v>
      </c>
    </row>
    <row r="45" spans="1:122" ht="60.75" outlineLevel="1">
      <c r="A45" s="122" t="str">
        <f>$A$42</f>
        <v>Đỗ Minh Ngọc</v>
      </c>
      <c r="B45" s="82" t="str">
        <f>'Bảng 3'!A112</f>
        <v>3.B.HYE.NOXHHY.CT.102</v>
      </c>
      <c r="C45" s="81" t="str">
        <f>IF($B45="","",INDEX('Bảng 3'!C:C,MATCH($B45,'Bảng 3'!$A:$A,0)))</f>
        <v>Quản lý BIM</v>
      </c>
      <c r="D45" s="81" t="str">
        <f>IF($B45="","",INDEX('Bảng 3'!D:D,MATCH($B45,'Bảng 3'!$A:$A,0)))</f>
        <v>B.HYE.NOXHHY.CT</v>
      </c>
      <c r="E45" s="81" t="str">
        <f>IF($B45="","",INDEX('Bảng 3'!E:E,MATCH($B45,'Bảng 3'!$A:$A,0)))</f>
        <v>NOXH02 (09 tòa)</v>
      </c>
      <c r="F45" s="81" t="str">
        <f>IF($B45="","",INDEX('Bảng 3'!F:F,MATCH($B45,'Bảng 3'!$A:$A,0)))</f>
        <v>KT</v>
      </c>
      <c r="G45" s="81" t="str">
        <f>IF($B45="","",INDEX('Bảng 3'!G:G,MATCH($B45,'Bảng 3'!$A:$A,0)))</f>
        <v>KSCL mô hình BIM</v>
      </c>
      <c r="H45" s="121"/>
      <c r="I45" s="135"/>
      <c r="J45" s="135">
        <f>J$3</f>
        <v>46174</v>
      </c>
      <c r="K45" s="148" t="s">
        <v>501</v>
      </c>
      <c r="L45" s="168"/>
      <c r="M45" s="135">
        <f>M$3</f>
        <v>46175</v>
      </c>
      <c r="N45" s="148" t="s">
        <v>638</v>
      </c>
      <c r="O45" s="137">
        <v>6</v>
      </c>
      <c r="P45" s="135">
        <f>P$3</f>
        <v>46176</v>
      </c>
      <c r="Q45" s="136" t="s">
        <v>501</v>
      </c>
      <c r="R45" s="137" t="s">
        <v>501</v>
      </c>
      <c r="S45" s="135">
        <f>S$3</f>
        <v>46177</v>
      </c>
      <c r="T45" s="136" t="s">
        <v>501</v>
      </c>
      <c r="U45" s="137" t="s">
        <v>501</v>
      </c>
      <c r="V45" s="135">
        <f>V$3</f>
        <v>46178</v>
      </c>
      <c r="W45" s="136" t="s">
        <v>501</v>
      </c>
      <c r="X45" s="137" t="s">
        <v>501</v>
      </c>
      <c r="Y45" s="135">
        <f>Y$3</f>
        <v>46179</v>
      </c>
      <c r="Z45" s="136" t="s">
        <v>501</v>
      </c>
      <c r="AA45" s="137" t="s">
        <v>501</v>
      </c>
      <c r="AB45" s="135"/>
      <c r="AC45" s="135">
        <f>AC$3</f>
        <v>46181</v>
      </c>
      <c r="AD45" s="136" t="s">
        <v>501</v>
      </c>
      <c r="AE45" s="137" t="s">
        <v>501</v>
      </c>
      <c r="AF45" s="135">
        <f>AF$3</f>
        <v>46182</v>
      </c>
      <c r="AG45" s="136" t="s">
        <v>501</v>
      </c>
      <c r="AH45" s="137" t="s">
        <v>501</v>
      </c>
      <c r="AI45" s="135">
        <f>AI$3</f>
        <v>46183</v>
      </c>
      <c r="AJ45" s="136" t="s">
        <v>501</v>
      </c>
      <c r="AK45" s="137" t="s">
        <v>501</v>
      </c>
      <c r="AL45" s="135">
        <f>AL$3</f>
        <v>46184</v>
      </c>
      <c r="AM45" s="136" t="s">
        <v>501</v>
      </c>
      <c r="AN45" s="137" t="s">
        <v>501</v>
      </c>
      <c r="AO45" s="135">
        <f>AO$3</f>
        <v>46185</v>
      </c>
      <c r="AP45" s="136" t="s">
        <v>501</v>
      </c>
      <c r="AQ45" s="137" t="s">
        <v>501</v>
      </c>
      <c r="AR45" s="135">
        <f>AR$3</f>
        <v>46186</v>
      </c>
      <c r="AS45" s="136" t="s">
        <v>501</v>
      </c>
      <c r="AT45" s="137" t="s">
        <v>501</v>
      </c>
      <c r="AU45" s="135"/>
      <c r="AV45" s="135">
        <f>AV$3</f>
        <v>46188</v>
      </c>
      <c r="AW45" s="148" t="s">
        <v>501</v>
      </c>
      <c r="AX45" s="137"/>
      <c r="AY45" s="135">
        <f>AY$3</f>
        <v>46189</v>
      </c>
      <c r="AZ45" s="136" t="s">
        <v>501</v>
      </c>
      <c r="BA45" s="137"/>
      <c r="BB45" s="135">
        <f>BB$3</f>
        <v>46190</v>
      </c>
      <c r="BC45" s="136" t="s">
        <v>501</v>
      </c>
      <c r="BD45" s="137" t="s">
        <v>501</v>
      </c>
      <c r="BE45" s="135">
        <f>BE$3</f>
        <v>46191</v>
      </c>
      <c r="BF45" s="136" t="s">
        <v>501</v>
      </c>
      <c r="BG45" s="137" t="s">
        <v>501</v>
      </c>
      <c r="BH45" s="135">
        <f>BH$3</f>
        <v>46192</v>
      </c>
      <c r="BI45" s="136" t="s">
        <v>501</v>
      </c>
      <c r="BJ45" s="137" t="s">
        <v>501</v>
      </c>
      <c r="BK45" s="135">
        <f>BK$3</f>
        <v>46193</v>
      </c>
      <c r="BL45" s="136" t="s">
        <v>501</v>
      </c>
      <c r="BM45" s="137" t="s">
        <v>501</v>
      </c>
      <c r="BN45" s="135"/>
      <c r="BO45" s="135">
        <f>BO$3</f>
        <v>46195</v>
      </c>
      <c r="BP45" s="136" t="s">
        <v>501</v>
      </c>
      <c r="BQ45" s="137" t="s">
        <v>501</v>
      </c>
      <c r="BR45" s="135">
        <f>BR$3</f>
        <v>46196</v>
      </c>
      <c r="BS45" s="136" t="s">
        <v>501</v>
      </c>
      <c r="BT45" s="137" t="s">
        <v>501</v>
      </c>
      <c r="BU45" s="135">
        <f>BU$3</f>
        <v>46197</v>
      </c>
      <c r="BV45" s="136" t="s">
        <v>501</v>
      </c>
      <c r="BW45" s="137" t="s">
        <v>501</v>
      </c>
      <c r="BX45" s="135">
        <f>BX$3</f>
        <v>46198</v>
      </c>
      <c r="BY45" s="136" t="s">
        <v>501</v>
      </c>
      <c r="BZ45" s="137" t="s">
        <v>501</v>
      </c>
      <c r="CA45" s="135">
        <f>CA$3</f>
        <v>46199</v>
      </c>
      <c r="CB45" s="136" t="s">
        <v>501</v>
      </c>
      <c r="CC45" s="137" t="s">
        <v>501</v>
      </c>
      <c r="CD45" s="135">
        <f>CD$3</f>
        <v>46200</v>
      </c>
      <c r="CE45" s="136" t="s">
        <v>501</v>
      </c>
      <c r="CF45" s="137" t="s">
        <v>501</v>
      </c>
      <c r="CG45" s="135"/>
      <c r="CH45" s="135">
        <f>CH$3</f>
        <v>46202</v>
      </c>
      <c r="CI45" s="148" t="s">
        <v>501</v>
      </c>
      <c r="CJ45" s="137"/>
      <c r="CK45" s="135">
        <f>CK$3</f>
        <v>46203</v>
      </c>
      <c r="CL45" s="136" t="s">
        <v>501</v>
      </c>
      <c r="CM45" s="137"/>
      <c r="CN45" s="135">
        <f>CN$3</f>
        <v>46204</v>
      </c>
      <c r="CO45" s="136" t="s">
        <v>501</v>
      </c>
      <c r="CP45" s="137" t="s">
        <v>501</v>
      </c>
      <c r="CQ45" s="135">
        <f>CQ$3</f>
        <v>46205</v>
      </c>
      <c r="CR45" s="136" t="s">
        <v>501</v>
      </c>
      <c r="CS45" s="137" t="s">
        <v>501</v>
      </c>
      <c r="CT45" s="135">
        <f>CT$3</f>
        <v>46206</v>
      </c>
      <c r="CU45" s="136" t="s">
        <v>501</v>
      </c>
      <c r="CV45" s="137" t="s">
        <v>501</v>
      </c>
      <c r="CW45" s="135">
        <f>CW$3</f>
        <v>46207</v>
      </c>
      <c r="CX45" s="136" t="s">
        <v>501</v>
      </c>
      <c r="CY45" s="137" t="s">
        <v>501</v>
      </c>
      <c r="CZ45" s="135"/>
      <c r="DA45" s="135">
        <f>DA$3</f>
        <v>46209</v>
      </c>
      <c r="DB45" s="136" t="s">
        <v>501</v>
      </c>
      <c r="DC45" s="137" t="s">
        <v>501</v>
      </c>
      <c r="DD45" s="135">
        <f>DD$3</f>
        <v>46210</v>
      </c>
      <c r="DE45" s="136" t="s">
        <v>501</v>
      </c>
      <c r="DF45" s="137" t="s">
        <v>501</v>
      </c>
      <c r="DG45" s="135">
        <f>DG$3</f>
        <v>46211</v>
      </c>
      <c r="DH45" s="136" t="s">
        <v>501</v>
      </c>
      <c r="DI45" s="137" t="s">
        <v>501</v>
      </c>
      <c r="DJ45" s="135">
        <f>DJ$3</f>
        <v>46212</v>
      </c>
      <c r="DK45" s="136" t="s">
        <v>501</v>
      </c>
      <c r="DL45" s="137" t="s">
        <v>501</v>
      </c>
      <c r="DM45" s="135">
        <f>DM$3</f>
        <v>46213</v>
      </c>
      <c r="DN45" s="136" t="s">
        <v>501</v>
      </c>
      <c r="DO45" s="137" t="s">
        <v>501</v>
      </c>
      <c r="DP45" s="135">
        <f>DP$3</f>
        <v>46214</v>
      </c>
      <c r="DQ45" s="136" t="s">
        <v>501</v>
      </c>
      <c r="DR45" s="137" t="s">
        <v>501</v>
      </c>
    </row>
    <row r="46" spans="1:122" ht="30.75" outlineLevel="1">
      <c r="A46" s="122" t="str">
        <f>$A$42</f>
        <v>Đỗ Minh Ngọc</v>
      </c>
      <c r="B46" s="82" t="str">
        <f>'Bảng 3'!A113</f>
        <v>3.B.HYE.NOXHHY.CT.202</v>
      </c>
      <c r="C46" s="81" t="str">
        <f>IF($B46="","",INDEX('Bảng 3'!C:C,MATCH($B46,'Bảng 3'!$A:$A,0)))</f>
        <v>Quản lý BIM</v>
      </c>
      <c r="D46" s="81" t="str">
        <f>IF($B46="","",INDEX('Bảng 3'!D:D,MATCH($B46,'Bảng 3'!$A:$A,0)))</f>
        <v>B.HYE.NOXHHY.CT</v>
      </c>
      <c r="E46" s="81" t="str">
        <f>IF($B46="","",INDEX('Bảng 3'!E:E,MATCH($B46,'Bảng 3'!$A:$A,0)))</f>
        <v>NOXH02 (09 tòa)</v>
      </c>
      <c r="F46" s="81" t="str">
        <f>IF($B46="","",INDEX('Bảng 3'!F:F,MATCH($B46,'Bảng 3'!$A:$A,0)))</f>
        <v>KC</v>
      </c>
      <c r="G46" s="81" t="str">
        <f>IF($B46="","",INDEX('Bảng 3'!G:G,MATCH($B46,'Bảng 3'!$A:$A,0)))</f>
        <v>KSCL mô hình BIM</v>
      </c>
      <c r="H46" s="121"/>
      <c r="I46" s="135"/>
      <c r="J46" s="135">
        <f>J$3</f>
        <v>46174</v>
      </c>
      <c r="K46" s="148" t="s">
        <v>501</v>
      </c>
      <c r="L46" s="168" t="s">
        <v>501</v>
      </c>
      <c r="M46" s="135">
        <f>M$3</f>
        <v>46175</v>
      </c>
      <c r="N46" s="148" t="s">
        <v>639</v>
      </c>
      <c r="O46" s="137">
        <v>0.25</v>
      </c>
      <c r="P46" s="135">
        <f>P$3</f>
        <v>46176</v>
      </c>
      <c r="Q46" s="136" t="s">
        <v>501</v>
      </c>
      <c r="R46" s="137" t="s">
        <v>501</v>
      </c>
      <c r="S46" s="135">
        <f>S$3</f>
        <v>46177</v>
      </c>
      <c r="T46" s="136" t="s">
        <v>501</v>
      </c>
      <c r="U46" s="137" t="s">
        <v>501</v>
      </c>
      <c r="V46" s="135">
        <f>V$3</f>
        <v>46178</v>
      </c>
      <c r="W46" s="136" t="s">
        <v>501</v>
      </c>
      <c r="X46" s="137" t="s">
        <v>501</v>
      </c>
      <c r="Y46" s="135">
        <f>Y$3</f>
        <v>46179</v>
      </c>
      <c r="Z46" s="136" t="s">
        <v>501</v>
      </c>
      <c r="AA46" s="137" t="s">
        <v>501</v>
      </c>
      <c r="AB46" s="135"/>
      <c r="AC46" s="135">
        <f>AC$3</f>
        <v>46181</v>
      </c>
      <c r="AD46" s="136" t="s">
        <v>501</v>
      </c>
      <c r="AE46" s="137" t="s">
        <v>501</v>
      </c>
      <c r="AF46" s="135">
        <f>AF$3</f>
        <v>46182</v>
      </c>
      <c r="AG46" s="136" t="s">
        <v>501</v>
      </c>
      <c r="AH46" s="137" t="s">
        <v>501</v>
      </c>
      <c r="AI46" s="135">
        <f>AI$3</f>
        <v>46183</v>
      </c>
      <c r="AJ46" s="136" t="s">
        <v>501</v>
      </c>
      <c r="AK46" s="137" t="s">
        <v>501</v>
      </c>
      <c r="AL46" s="135">
        <f>AL$3</f>
        <v>46184</v>
      </c>
      <c r="AM46" s="136" t="s">
        <v>501</v>
      </c>
      <c r="AN46" s="137" t="s">
        <v>501</v>
      </c>
      <c r="AO46" s="135">
        <f>AO$3</f>
        <v>46185</v>
      </c>
      <c r="AP46" s="136" t="s">
        <v>501</v>
      </c>
      <c r="AQ46" s="137" t="s">
        <v>501</v>
      </c>
      <c r="AR46" s="135">
        <f>AR$3</f>
        <v>46186</v>
      </c>
      <c r="AS46" s="136" t="s">
        <v>501</v>
      </c>
      <c r="AT46" s="137" t="s">
        <v>501</v>
      </c>
      <c r="AU46" s="135"/>
      <c r="AV46" s="135">
        <f>AV$3</f>
        <v>46188</v>
      </c>
      <c r="AW46" s="148" t="s">
        <v>501</v>
      </c>
      <c r="AX46" s="137" t="s">
        <v>501</v>
      </c>
      <c r="AY46" s="135">
        <f>AY$3</f>
        <v>46189</v>
      </c>
      <c r="AZ46" s="136" t="s">
        <v>501</v>
      </c>
      <c r="BA46" s="137"/>
      <c r="BB46" s="135">
        <f>BB$3</f>
        <v>46190</v>
      </c>
      <c r="BC46" s="136" t="s">
        <v>501</v>
      </c>
      <c r="BD46" s="137" t="s">
        <v>501</v>
      </c>
      <c r="BE46" s="135">
        <f>BE$3</f>
        <v>46191</v>
      </c>
      <c r="BF46" s="136" t="s">
        <v>501</v>
      </c>
      <c r="BG46" s="137" t="s">
        <v>501</v>
      </c>
      <c r="BH46" s="135">
        <f>BH$3</f>
        <v>46192</v>
      </c>
      <c r="BI46" s="136" t="s">
        <v>501</v>
      </c>
      <c r="BJ46" s="137" t="s">
        <v>501</v>
      </c>
      <c r="BK46" s="135">
        <f>BK$3</f>
        <v>46193</v>
      </c>
      <c r="BL46" s="136" t="s">
        <v>501</v>
      </c>
      <c r="BM46" s="137" t="s">
        <v>501</v>
      </c>
      <c r="BN46" s="135"/>
      <c r="BO46" s="135">
        <f>BO$3</f>
        <v>46195</v>
      </c>
      <c r="BP46" s="136" t="s">
        <v>501</v>
      </c>
      <c r="BQ46" s="137" t="s">
        <v>501</v>
      </c>
      <c r="BR46" s="135">
        <f>BR$3</f>
        <v>46196</v>
      </c>
      <c r="BS46" s="136" t="s">
        <v>501</v>
      </c>
      <c r="BT46" s="137" t="s">
        <v>501</v>
      </c>
      <c r="BU46" s="135">
        <f>BU$3</f>
        <v>46197</v>
      </c>
      <c r="BV46" s="136" t="s">
        <v>501</v>
      </c>
      <c r="BW46" s="137" t="s">
        <v>501</v>
      </c>
      <c r="BX46" s="135">
        <f>BX$3</f>
        <v>46198</v>
      </c>
      <c r="BY46" s="136" t="s">
        <v>501</v>
      </c>
      <c r="BZ46" s="137" t="s">
        <v>501</v>
      </c>
      <c r="CA46" s="135">
        <f>CA$3</f>
        <v>46199</v>
      </c>
      <c r="CB46" s="136" t="s">
        <v>501</v>
      </c>
      <c r="CC46" s="137" t="s">
        <v>501</v>
      </c>
      <c r="CD46" s="135">
        <f>CD$3</f>
        <v>46200</v>
      </c>
      <c r="CE46" s="136" t="s">
        <v>501</v>
      </c>
      <c r="CF46" s="137" t="s">
        <v>501</v>
      </c>
      <c r="CG46" s="135"/>
      <c r="CH46" s="135">
        <f>CH$3</f>
        <v>46202</v>
      </c>
      <c r="CI46" s="148" t="s">
        <v>501</v>
      </c>
      <c r="CJ46" s="137" t="s">
        <v>501</v>
      </c>
      <c r="CK46" s="135">
        <f>CK$3</f>
        <v>46203</v>
      </c>
      <c r="CL46" s="136" t="s">
        <v>501</v>
      </c>
      <c r="CM46" s="137"/>
      <c r="CN46" s="135">
        <f>CN$3</f>
        <v>46204</v>
      </c>
      <c r="CO46" s="136" t="s">
        <v>501</v>
      </c>
      <c r="CP46" s="137" t="s">
        <v>501</v>
      </c>
      <c r="CQ46" s="135">
        <f>CQ$3</f>
        <v>46205</v>
      </c>
      <c r="CR46" s="136" t="s">
        <v>501</v>
      </c>
      <c r="CS46" s="137" t="s">
        <v>501</v>
      </c>
      <c r="CT46" s="135">
        <f>CT$3</f>
        <v>46206</v>
      </c>
      <c r="CU46" s="136" t="s">
        <v>501</v>
      </c>
      <c r="CV46" s="137" t="s">
        <v>501</v>
      </c>
      <c r="CW46" s="135">
        <f>CW$3</f>
        <v>46207</v>
      </c>
      <c r="CX46" s="136" t="s">
        <v>501</v>
      </c>
      <c r="CY46" s="137" t="s">
        <v>501</v>
      </c>
      <c r="CZ46" s="135"/>
      <c r="DA46" s="135">
        <f>DA$3</f>
        <v>46209</v>
      </c>
      <c r="DB46" s="136" t="s">
        <v>501</v>
      </c>
      <c r="DC46" s="137" t="s">
        <v>501</v>
      </c>
      <c r="DD46" s="135">
        <f>DD$3</f>
        <v>46210</v>
      </c>
      <c r="DE46" s="136" t="s">
        <v>501</v>
      </c>
      <c r="DF46" s="137" t="s">
        <v>501</v>
      </c>
      <c r="DG46" s="135">
        <f>DG$3</f>
        <v>46211</v>
      </c>
      <c r="DH46" s="136" t="s">
        <v>501</v>
      </c>
      <c r="DI46" s="137" t="s">
        <v>501</v>
      </c>
      <c r="DJ46" s="135">
        <f>DJ$3</f>
        <v>46212</v>
      </c>
      <c r="DK46" s="136" t="s">
        <v>501</v>
      </c>
      <c r="DL46" s="137" t="s">
        <v>501</v>
      </c>
      <c r="DM46" s="135">
        <f>DM$3</f>
        <v>46213</v>
      </c>
      <c r="DN46" s="136" t="s">
        <v>501</v>
      </c>
      <c r="DO46" s="137" t="s">
        <v>501</v>
      </c>
      <c r="DP46" s="135">
        <f>DP$3</f>
        <v>46214</v>
      </c>
      <c r="DQ46" s="136" t="s">
        <v>501</v>
      </c>
      <c r="DR46" s="137" t="s">
        <v>501</v>
      </c>
    </row>
    <row r="47" spans="1:122" ht="30.75" outlineLevel="1">
      <c r="A47" s="122" t="str">
        <f>$A$42</f>
        <v>Đỗ Minh Ngọc</v>
      </c>
      <c r="B47" s="82" t="str">
        <f>'Bảng 3'!A143</f>
        <v>3.B.HYE.PVF.101</v>
      </c>
      <c r="C47" s="81" t="str">
        <f>IF($B47="","",INDEX('Bảng 3'!C:C,MATCH($B47,'Bảng 3'!$A:$A,0)))</f>
        <v>Quản lý BIM</v>
      </c>
      <c r="D47" s="81" t="str">
        <f>IF($B47="","",INDEX('Bảng 3'!D:D,MATCH($B47,'Bảng 3'!$A:$A,0)))</f>
        <v>B.HYE.PVF</v>
      </c>
      <c r="E47" s="81" t="str">
        <f>IF($B47="","",INDEX('Bảng 3'!E:E,MATCH($B47,'Bảng 3'!$A:$A,0)))</f>
        <v>Nhà thi đấu TDTT03</v>
      </c>
      <c r="F47" s="81" t="str">
        <f>IF($B47="","",INDEX('Bảng 3'!F:F,MATCH($B47,'Bảng 3'!$A:$A,0)))</f>
        <v>KT</v>
      </c>
      <c r="G47" s="81" t="str">
        <f>IF($B47="","",INDEX('Bảng 3'!G:G,MATCH($B47,'Bảng 3'!$A:$A,0)))</f>
        <v>KSCL mô hình BIM</v>
      </c>
      <c r="H47" s="121"/>
      <c r="I47" s="135"/>
      <c r="J47" s="135">
        <f>J$3</f>
        <v>46174</v>
      </c>
      <c r="K47" s="148" t="s">
        <v>501</v>
      </c>
      <c r="L47" s="168" t="s">
        <v>501</v>
      </c>
      <c r="M47" s="135">
        <f>M$3</f>
        <v>46175</v>
      </c>
      <c r="N47" s="148" t="s">
        <v>640</v>
      </c>
      <c r="O47" s="137">
        <v>0.5</v>
      </c>
      <c r="P47" s="135">
        <f>P$3</f>
        <v>46176</v>
      </c>
      <c r="Q47" s="136" t="s">
        <v>501</v>
      </c>
      <c r="R47" s="137" t="s">
        <v>501</v>
      </c>
      <c r="S47" s="135">
        <f>S$3</f>
        <v>46177</v>
      </c>
      <c r="T47" s="136" t="s">
        <v>501</v>
      </c>
      <c r="U47" s="137" t="s">
        <v>501</v>
      </c>
      <c r="V47" s="135">
        <f>V$3</f>
        <v>46178</v>
      </c>
      <c r="W47" s="136" t="s">
        <v>501</v>
      </c>
      <c r="X47" s="137" t="s">
        <v>501</v>
      </c>
      <c r="Y47" s="135">
        <f>Y$3</f>
        <v>46179</v>
      </c>
      <c r="Z47" s="136" t="s">
        <v>501</v>
      </c>
      <c r="AA47" s="137" t="s">
        <v>501</v>
      </c>
      <c r="AB47" s="135"/>
      <c r="AC47" s="135">
        <f>AC$3</f>
        <v>46181</v>
      </c>
      <c r="AD47" s="136" t="s">
        <v>501</v>
      </c>
      <c r="AE47" s="137" t="s">
        <v>501</v>
      </c>
      <c r="AF47" s="135">
        <f>AF$3</f>
        <v>46182</v>
      </c>
      <c r="AG47" s="136" t="s">
        <v>501</v>
      </c>
      <c r="AH47" s="137" t="s">
        <v>501</v>
      </c>
      <c r="AI47" s="135">
        <f>AI$3</f>
        <v>46183</v>
      </c>
      <c r="AJ47" s="136" t="s">
        <v>501</v>
      </c>
      <c r="AK47" s="137" t="s">
        <v>501</v>
      </c>
      <c r="AL47" s="135">
        <f>AL$3</f>
        <v>46184</v>
      </c>
      <c r="AM47" s="136" t="s">
        <v>501</v>
      </c>
      <c r="AN47" s="137" t="s">
        <v>501</v>
      </c>
      <c r="AO47" s="135">
        <f>AO$3</f>
        <v>46185</v>
      </c>
      <c r="AP47" s="136" t="s">
        <v>501</v>
      </c>
      <c r="AQ47" s="137" t="s">
        <v>501</v>
      </c>
      <c r="AR47" s="135">
        <f>AR$3</f>
        <v>46186</v>
      </c>
      <c r="AS47" s="136" t="s">
        <v>501</v>
      </c>
      <c r="AT47" s="137" t="s">
        <v>501</v>
      </c>
      <c r="AU47" s="135"/>
      <c r="AV47" s="135">
        <f>AV$3</f>
        <v>46188</v>
      </c>
      <c r="AW47" s="148" t="s">
        <v>501</v>
      </c>
      <c r="AX47" s="137" t="s">
        <v>501</v>
      </c>
      <c r="AY47" s="135">
        <f>AY$3</f>
        <v>46189</v>
      </c>
      <c r="AZ47" s="136" t="s">
        <v>501</v>
      </c>
      <c r="BA47" s="137"/>
      <c r="BB47" s="135">
        <f>BB$3</f>
        <v>46190</v>
      </c>
      <c r="BC47" s="136" t="s">
        <v>501</v>
      </c>
      <c r="BD47" s="137" t="s">
        <v>501</v>
      </c>
      <c r="BE47" s="135">
        <f>BE$3</f>
        <v>46191</v>
      </c>
      <c r="BF47" s="136" t="s">
        <v>501</v>
      </c>
      <c r="BG47" s="137" t="s">
        <v>501</v>
      </c>
      <c r="BH47" s="135">
        <f>BH$3</f>
        <v>46192</v>
      </c>
      <c r="BI47" s="136" t="s">
        <v>501</v>
      </c>
      <c r="BJ47" s="137" t="s">
        <v>501</v>
      </c>
      <c r="BK47" s="135">
        <f>BK$3</f>
        <v>46193</v>
      </c>
      <c r="BL47" s="136" t="s">
        <v>501</v>
      </c>
      <c r="BM47" s="137" t="s">
        <v>501</v>
      </c>
      <c r="BN47" s="135"/>
      <c r="BO47" s="135">
        <f>BO$3</f>
        <v>46195</v>
      </c>
      <c r="BP47" s="136" t="s">
        <v>501</v>
      </c>
      <c r="BQ47" s="137" t="s">
        <v>501</v>
      </c>
      <c r="BR47" s="135">
        <f>BR$3</f>
        <v>46196</v>
      </c>
      <c r="BS47" s="136" t="s">
        <v>501</v>
      </c>
      <c r="BT47" s="137" t="s">
        <v>501</v>
      </c>
      <c r="BU47" s="135">
        <f>BU$3</f>
        <v>46197</v>
      </c>
      <c r="BV47" s="136" t="s">
        <v>501</v>
      </c>
      <c r="BW47" s="137" t="s">
        <v>501</v>
      </c>
      <c r="BX47" s="135">
        <f>BX$3</f>
        <v>46198</v>
      </c>
      <c r="BY47" s="136" t="s">
        <v>501</v>
      </c>
      <c r="BZ47" s="137" t="s">
        <v>501</v>
      </c>
      <c r="CA47" s="135">
        <f>CA$3</f>
        <v>46199</v>
      </c>
      <c r="CB47" s="136" t="s">
        <v>501</v>
      </c>
      <c r="CC47" s="137" t="s">
        <v>501</v>
      </c>
      <c r="CD47" s="135">
        <f>CD$3</f>
        <v>46200</v>
      </c>
      <c r="CE47" s="136" t="s">
        <v>501</v>
      </c>
      <c r="CF47" s="137" t="s">
        <v>501</v>
      </c>
      <c r="CG47" s="135"/>
      <c r="CH47" s="135">
        <f>CH$3</f>
        <v>46202</v>
      </c>
      <c r="CI47" s="148" t="s">
        <v>501</v>
      </c>
      <c r="CJ47" s="137" t="s">
        <v>501</v>
      </c>
      <c r="CK47" s="135">
        <f>CK$3</f>
        <v>46203</v>
      </c>
      <c r="CL47" s="136" t="s">
        <v>501</v>
      </c>
      <c r="CM47" s="137"/>
      <c r="CN47" s="135">
        <f>CN$3</f>
        <v>46204</v>
      </c>
      <c r="CO47" s="136" t="s">
        <v>501</v>
      </c>
      <c r="CP47" s="137" t="s">
        <v>501</v>
      </c>
      <c r="CQ47" s="135">
        <f>CQ$3</f>
        <v>46205</v>
      </c>
      <c r="CR47" s="136" t="s">
        <v>501</v>
      </c>
      <c r="CS47" s="137" t="s">
        <v>501</v>
      </c>
      <c r="CT47" s="135">
        <f>CT$3</f>
        <v>46206</v>
      </c>
      <c r="CU47" s="136" t="s">
        <v>501</v>
      </c>
      <c r="CV47" s="137" t="s">
        <v>501</v>
      </c>
      <c r="CW47" s="135">
        <f>CW$3</f>
        <v>46207</v>
      </c>
      <c r="CX47" s="136" t="s">
        <v>501</v>
      </c>
      <c r="CY47" s="137" t="s">
        <v>501</v>
      </c>
      <c r="CZ47" s="135"/>
      <c r="DA47" s="135">
        <f>DA$3</f>
        <v>46209</v>
      </c>
      <c r="DB47" s="136" t="s">
        <v>501</v>
      </c>
      <c r="DC47" s="137" t="s">
        <v>501</v>
      </c>
      <c r="DD47" s="135">
        <f>DD$3</f>
        <v>46210</v>
      </c>
      <c r="DE47" s="136" t="s">
        <v>501</v>
      </c>
      <c r="DF47" s="137" t="s">
        <v>501</v>
      </c>
      <c r="DG47" s="135">
        <f>DG$3</f>
        <v>46211</v>
      </c>
      <c r="DH47" s="136" t="s">
        <v>501</v>
      </c>
      <c r="DI47" s="137" t="s">
        <v>501</v>
      </c>
      <c r="DJ47" s="135">
        <f>DJ$3</f>
        <v>46212</v>
      </c>
      <c r="DK47" s="136" t="s">
        <v>501</v>
      </c>
      <c r="DL47" s="137" t="s">
        <v>501</v>
      </c>
      <c r="DM47" s="135">
        <f>DM$3</f>
        <v>46213</v>
      </c>
      <c r="DN47" s="136" t="s">
        <v>501</v>
      </c>
      <c r="DO47" s="137" t="s">
        <v>501</v>
      </c>
      <c r="DP47" s="135">
        <f>DP$3</f>
        <v>46214</v>
      </c>
      <c r="DQ47" s="136" t="s">
        <v>501</v>
      </c>
      <c r="DR47" s="137" t="s">
        <v>501</v>
      </c>
    </row>
    <row r="48" spans="1:122" outlineLevel="1">
      <c r="A48" s="122" t="str">
        <f>$A$42</f>
        <v>Đỗ Minh Ngọc</v>
      </c>
      <c r="B48" s="82" t="str">
        <f>'Bảng 3'!A145</f>
        <v>3.B.HYE.PVF.201</v>
      </c>
      <c r="C48" s="81" t="str">
        <f>IF($B48="","",INDEX('Bảng 3'!C:C,MATCH($B48,'Bảng 3'!$A:$A,0)))</f>
        <v>Quản lý BIM</v>
      </c>
      <c r="D48" s="81" t="str">
        <f>IF($B48="","",INDEX('Bảng 3'!D:D,MATCH($B48,'Bảng 3'!$A:$A,0)))</f>
        <v>B.HYE.PVF</v>
      </c>
      <c r="E48" s="81" t="str">
        <f>IF($B48="","",INDEX('Bảng 3'!E:E,MATCH($B48,'Bảng 3'!$A:$A,0)))</f>
        <v>Nhà thi đấu TDTT03</v>
      </c>
      <c r="F48" s="81" t="str">
        <f>IF($B48="","",INDEX('Bảng 3'!F:F,MATCH($B48,'Bảng 3'!$A:$A,0)))</f>
        <v>KC</v>
      </c>
      <c r="G48" s="81" t="str">
        <f>IF($B48="","",INDEX('Bảng 3'!G:G,MATCH($B48,'Bảng 3'!$A:$A,0)))</f>
        <v>KSCL mô hình BIM</v>
      </c>
      <c r="H48" s="121"/>
      <c r="I48" s="135"/>
      <c r="J48" s="135">
        <f>J$3</f>
        <v>46174</v>
      </c>
      <c r="K48" s="148" t="s">
        <v>501</v>
      </c>
      <c r="L48" s="168" t="s">
        <v>501</v>
      </c>
      <c r="M48" s="135">
        <f>M$3</f>
        <v>46175</v>
      </c>
      <c r="N48" s="148" t="s">
        <v>501</v>
      </c>
      <c r="O48" s="137"/>
      <c r="P48" s="135">
        <f>P$3</f>
        <v>46176</v>
      </c>
      <c r="Q48" s="136" t="s">
        <v>501</v>
      </c>
      <c r="R48" s="137" t="s">
        <v>501</v>
      </c>
      <c r="S48" s="135">
        <f>S$3</f>
        <v>46177</v>
      </c>
      <c r="T48" s="136" t="s">
        <v>501</v>
      </c>
      <c r="U48" s="137" t="s">
        <v>501</v>
      </c>
      <c r="V48" s="135">
        <f>V$3</f>
        <v>46178</v>
      </c>
      <c r="W48" s="136" t="s">
        <v>501</v>
      </c>
      <c r="X48" s="137" t="s">
        <v>501</v>
      </c>
      <c r="Y48" s="135">
        <f>Y$3</f>
        <v>46179</v>
      </c>
      <c r="Z48" s="136" t="s">
        <v>501</v>
      </c>
      <c r="AA48" s="137" t="s">
        <v>501</v>
      </c>
      <c r="AB48" s="135"/>
      <c r="AC48" s="135">
        <f>AC$3</f>
        <v>46181</v>
      </c>
      <c r="AD48" s="136" t="s">
        <v>501</v>
      </c>
      <c r="AE48" s="137" t="s">
        <v>501</v>
      </c>
      <c r="AF48" s="135">
        <f>AF$3</f>
        <v>46182</v>
      </c>
      <c r="AG48" s="136" t="s">
        <v>501</v>
      </c>
      <c r="AH48" s="137" t="s">
        <v>501</v>
      </c>
      <c r="AI48" s="135">
        <f>AI$3</f>
        <v>46183</v>
      </c>
      <c r="AJ48" s="136" t="s">
        <v>501</v>
      </c>
      <c r="AK48" s="137" t="s">
        <v>501</v>
      </c>
      <c r="AL48" s="135">
        <f>AL$3</f>
        <v>46184</v>
      </c>
      <c r="AM48" s="136" t="s">
        <v>501</v>
      </c>
      <c r="AN48" s="137" t="s">
        <v>501</v>
      </c>
      <c r="AO48" s="135">
        <f>AO$3</f>
        <v>46185</v>
      </c>
      <c r="AP48" s="136" t="s">
        <v>501</v>
      </c>
      <c r="AQ48" s="137" t="s">
        <v>501</v>
      </c>
      <c r="AR48" s="135">
        <f>AR$3</f>
        <v>46186</v>
      </c>
      <c r="AS48" s="136" t="s">
        <v>501</v>
      </c>
      <c r="AT48" s="137" t="s">
        <v>501</v>
      </c>
      <c r="AU48" s="135"/>
      <c r="AV48" s="135">
        <f>AV$3</f>
        <v>46188</v>
      </c>
      <c r="AW48" s="148" t="s">
        <v>501</v>
      </c>
      <c r="AX48" s="137" t="s">
        <v>501</v>
      </c>
      <c r="AY48" s="135">
        <f>AY$3</f>
        <v>46189</v>
      </c>
      <c r="AZ48" s="136" t="s">
        <v>501</v>
      </c>
      <c r="BA48" s="137"/>
      <c r="BB48" s="135">
        <f>BB$3</f>
        <v>46190</v>
      </c>
      <c r="BC48" s="136" t="s">
        <v>501</v>
      </c>
      <c r="BD48" s="137" t="s">
        <v>501</v>
      </c>
      <c r="BE48" s="135">
        <f>BE$3</f>
        <v>46191</v>
      </c>
      <c r="BF48" s="136" t="s">
        <v>501</v>
      </c>
      <c r="BG48" s="137" t="s">
        <v>501</v>
      </c>
      <c r="BH48" s="135">
        <f>BH$3</f>
        <v>46192</v>
      </c>
      <c r="BI48" s="136" t="s">
        <v>501</v>
      </c>
      <c r="BJ48" s="137" t="s">
        <v>501</v>
      </c>
      <c r="BK48" s="135">
        <f>BK$3</f>
        <v>46193</v>
      </c>
      <c r="BL48" s="136" t="s">
        <v>501</v>
      </c>
      <c r="BM48" s="137" t="s">
        <v>501</v>
      </c>
      <c r="BN48" s="135"/>
      <c r="BO48" s="135">
        <f>BO$3</f>
        <v>46195</v>
      </c>
      <c r="BP48" s="136" t="s">
        <v>501</v>
      </c>
      <c r="BQ48" s="137" t="s">
        <v>501</v>
      </c>
      <c r="BR48" s="135">
        <f>BR$3</f>
        <v>46196</v>
      </c>
      <c r="BS48" s="136" t="s">
        <v>501</v>
      </c>
      <c r="BT48" s="137" t="s">
        <v>501</v>
      </c>
      <c r="BU48" s="135">
        <f>BU$3</f>
        <v>46197</v>
      </c>
      <c r="BV48" s="136" t="s">
        <v>501</v>
      </c>
      <c r="BW48" s="137" t="s">
        <v>501</v>
      </c>
      <c r="BX48" s="135">
        <f>BX$3</f>
        <v>46198</v>
      </c>
      <c r="BY48" s="136" t="s">
        <v>501</v>
      </c>
      <c r="BZ48" s="137" t="s">
        <v>501</v>
      </c>
      <c r="CA48" s="135">
        <f>CA$3</f>
        <v>46199</v>
      </c>
      <c r="CB48" s="136" t="s">
        <v>501</v>
      </c>
      <c r="CC48" s="137" t="s">
        <v>501</v>
      </c>
      <c r="CD48" s="135">
        <f>CD$3</f>
        <v>46200</v>
      </c>
      <c r="CE48" s="136" t="s">
        <v>501</v>
      </c>
      <c r="CF48" s="137" t="s">
        <v>501</v>
      </c>
      <c r="CG48" s="135"/>
      <c r="CH48" s="135">
        <f>CH$3</f>
        <v>46202</v>
      </c>
      <c r="CI48" s="148" t="s">
        <v>501</v>
      </c>
      <c r="CJ48" s="137" t="s">
        <v>501</v>
      </c>
      <c r="CK48" s="135">
        <f>CK$3</f>
        <v>46203</v>
      </c>
      <c r="CL48" s="136" t="s">
        <v>501</v>
      </c>
      <c r="CM48" s="137"/>
      <c r="CN48" s="135">
        <f>CN$3</f>
        <v>46204</v>
      </c>
      <c r="CO48" s="136" t="s">
        <v>501</v>
      </c>
      <c r="CP48" s="137" t="s">
        <v>501</v>
      </c>
      <c r="CQ48" s="135">
        <f>CQ$3</f>
        <v>46205</v>
      </c>
      <c r="CR48" s="136" t="s">
        <v>501</v>
      </c>
      <c r="CS48" s="137" t="s">
        <v>501</v>
      </c>
      <c r="CT48" s="135">
        <f>CT$3</f>
        <v>46206</v>
      </c>
      <c r="CU48" s="136" t="s">
        <v>501</v>
      </c>
      <c r="CV48" s="137" t="s">
        <v>501</v>
      </c>
      <c r="CW48" s="135">
        <f>CW$3</f>
        <v>46207</v>
      </c>
      <c r="CX48" s="136" t="s">
        <v>501</v>
      </c>
      <c r="CY48" s="137" t="s">
        <v>501</v>
      </c>
      <c r="CZ48" s="135"/>
      <c r="DA48" s="135">
        <f>DA$3</f>
        <v>46209</v>
      </c>
      <c r="DB48" s="136" t="s">
        <v>501</v>
      </c>
      <c r="DC48" s="137" t="s">
        <v>501</v>
      </c>
      <c r="DD48" s="135">
        <f>DD$3</f>
        <v>46210</v>
      </c>
      <c r="DE48" s="136" t="s">
        <v>501</v>
      </c>
      <c r="DF48" s="137" t="s">
        <v>501</v>
      </c>
      <c r="DG48" s="135">
        <f>DG$3</f>
        <v>46211</v>
      </c>
      <c r="DH48" s="136" t="s">
        <v>501</v>
      </c>
      <c r="DI48" s="137" t="s">
        <v>501</v>
      </c>
      <c r="DJ48" s="135">
        <f>DJ$3</f>
        <v>46212</v>
      </c>
      <c r="DK48" s="136" t="s">
        <v>501</v>
      </c>
      <c r="DL48" s="137" t="s">
        <v>501</v>
      </c>
      <c r="DM48" s="135">
        <f>DM$3</f>
        <v>46213</v>
      </c>
      <c r="DN48" s="136" t="s">
        <v>501</v>
      </c>
      <c r="DO48" s="137" t="s">
        <v>501</v>
      </c>
      <c r="DP48" s="135">
        <f>DP$3</f>
        <v>46214</v>
      </c>
      <c r="DQ48" s="136" t="s">
        <v>501</v>
      </c>
      <c r="DR48" s="137" t="s">
        <v>501</v>
      </c>
    </row>
    <row r="49" spans="1:122" outlineLevel="1">
      <c r="A49" s="122" t="str">
        <f>$A$42</f>
        <v>Đỗ Minh Ngọc</v>
      </c>
      <c r="B49" s="82" t="str">
        <f>'Bảng 3'!A166</f>
        <v>3.B.QNI.HLX.CT.103</v>
      </c>
      <c r="C49" s="81" t="str">
        <f>IF($B49="","",INDEX('Bảng 3'!C:C,MATCH($B49,'Bảng 3'!$A:$A,0)))</f>
        <v>Quản lý BIM</v>
      </c>
      <c r="D49" s="81" t="str">
        <f>IF($B49="","",INDEX('Bảng 3'!D:D,MATCH($B49,'Bảng 3'!$A:$A,0)))</f>
        <v>B.QNI.HLX.CT</v>
      </c>
      <c r="E49" s="81" t="str">
        <f>IF($B49="","",INDEX('Bảng 3'!E:E,MATCH($B49,'Bảng 3'!$A:$A,0)))</f>
        <v>Hầm lô B03.2-CCCT-03</v>
      </c>
      <c r="F49" s="81" t="str">
        <f>IF($B49="","",INDEX('Bảng 3'!F:F,MATCH($B49,'Bảng 3'!$A:$A,0)))</f>
        <v>KT</v>
      </c>
      <c r="G49" s="81" t="str">
        <f>IF($B49="","",INDEX('Bảng 3'!G:G,MATCH($B49,'Bảng 3'!$A:$A,0)))</f>
        <v>Tạo lập mô hình BIM</v>
      </c>
      <c r="H49" s="121"/>
      <c r="I49" s="135"/>
      <c r="J49" s="135">
        <f>J$3</f>
        <v>46174</v>
      </c>
      <c r="K49" s="148" t="s">
        <v>501</v>
      </c>
      <c r="L49" s="168" t="s">
        <v>501</v>
      </c>
      <c r="M49" s="135">
        <f>M$3</f>
        <v>46175</v>
      </c>
      <c r="N49" s="148" t="s">
        <v>501</v>
      </c>
      <c r="O49" s="137"/>
      <c r="P49" s="135">
        <f>P$3</f>
        <v>46176</v>
      </c>
      <c r="Q49" s="136" t="s">
        <v>501</v>
      </c>
      <c r="R49" s="137" t="s">
        <v>501</v>
      </c>
      <c r="S49" s="135">
        <f>S$3</f>
        <v>46177</v>
      </c>
      <c r="T49" s="136" t="s">
        <v>501</v>
      </c>
      <c r="U49" s="137" t="s">
        <v>501</v>
      </c>
      <c r="V49" s="135">
        <f>V$3</f>
        <v>46178</v>
      </c>
      <c r="W49" s="136" t="s">
        <v>501</v>
      </c>
      <c r="X49" s="137" t="s">
        <v>501</v>
      </c>
      <c r="Y49" s="135">
        <f>Y$3</f>
        <v>46179</v>
      </c>
      <c r="Z49" s="136" t="s">
        <v>501</v>
      </c>
      <c r="AA49" s="137" t="s">
        <v>501</v>
      </c>
      <c r="AB49" s="135"/>
      <c r="AC49" s="135">
        <f>AC$3</f>
        <v>46181</v>
      </c>
      <c r="AD49" s="136" t="s">
        <v>501</v>
      </c>
      <c r="AE49" s="137" t="s">
        <v>501</v>
      </c>
      <c r="AF49" s="135">
        <f>AF$3</f>
        <v>46182</v>
      </c>
      <c r="AG49" s="136" t="s">
        <v>501</v>
      </c>
      <c r="AH49" s="137" t="s">
        <v>501</v>
      </c>
      <c r="AI49" s="135">
        <f>AI$3</f>
        <v>46183</v>
      </c>
      <c r="AJ49" s="136" t="s">
        <v>501</v>
      </c>
      <c r="AK49" s="137" t="s">
        <v>501</v>
      </c>
      <c r="AL49" s="135">
        <f>AL$3</f>
        <v>46184</v>
      </c>
      <c r="AM49" s="136" t="s">
        <v>501</v>
      </c>
      <c r="AN49" s="137" t="s">
        <v>501</v>
      </c>
      <c r="AO49" s="135">
        <f>AO$3</f>
        <v>46185</v>
      </c>
      <c r="AP49" s="136" t="s">
        <v>501</v>
      </c>
      <c r="AQ49" s="137" t="s">
        <v>501</v>
      </c>
      <c r="AR49" s="135">
        <f>AR$3</f>
        <v>46186</v>
      </c>
      <c r="AS49" s="136" t="s">
        <v>501</v>
      </c>
      <c r="AT49" s="137" t="s">
        <v>501</v>
      </c>
      <c r="AU49" s="135"/>
      <c r="AV49" s="135">
        <f>AV$3</f>
        <v>46188</v>
      </c>
      <c r="AW49" s="148" t="s">
        <v>501</v>
      </c>
      <c r="AX49" s="137" t="s">
        <v>501</v>
      </c>
      <c r="AY49" s="135">
        <f>AY$3</f>
        <v>46189</v>
      </c>
      <c r="AZ49" s="136" t="s">
        <v>501</v>
      </c>
      <c r="BA49" s="137"/>
      <c r="BB49" s="135">
        <f>BB$3</f>
        <v>46190</v>
      </c>
      <c r="BC49" s="136" t="s">
        <v>501</v>
      </c>
      <c r="BD49" s="137" t="s">
        <v>501</v>
      </c>
      <c r="BE49" s="135">
        <f>BE$3</f>
        <v>46191</v>
      </c>
      <c r="BF49" s="136" t="s">
        <v>501</v>
      </c>
      <c r="BG49" s="137" t="s">
        <v>501</v>
      </c>
      <c r="BH49" s="135">
        <f>BH$3</f>
        <v>46192</v>
      </c>
      <c r="BI49" s="136" t="s">
        <v>501</v>
      </c>
      <c r="BJ49" s="137" t="s">
        <v>501</v>
      </c>
      <c r="BK49" s="135">
        <f>BK$3</f>
        <v>46193</v>
      </c>
      <c r="BL49" s="136" t="s">
        <v>501</v>
      </c>
      <c r="BM49" s="137" t="s">
        <v>501</v>
      </c>
      <c r="BN49" s="135"/>
      <c r="BO49" s="135">
        <f>BO$3</f>
        <v>46195</v>
      </c>
      <c r="BP49" s="136" t="s">
        <v>501</v>
      </c>
      <c r="BQ49" s="137" t="s">
        <v>501</v>
      </c>
      <c r="BR49" s="135">
        <f>BR$3</f>
        <v>46196</v>
      </c>
      <c r="BS49" s="136" t="s">
        <v>501</v>
      </c>
      <c r="BT49" s="137" t="s">
        <v>501</v>
      </c>
      <c r="BU49" s="135">
        <f>BU$3</f>
        <v>46197</v>
      </c>
      <c r="BV49" s="136" t="s">
        <v>501</v>
      </c>
      <c r="BW49" s="137" t="s">
        <v>501</v>
      </c>
      <c r="BX49" s="135">
        <f>BX$3</f>
        <v>46198</v>
      </c>
      <c r="BY49" s="136" t="s">
        <v>501</v>
      </c>
      <c r="BZ49" s="137" t="s">
        <v>501</v>
      </c>
      <c r="CA49" s="135">
        <f>CA$3</f>
        <v>46199</v>
      </c>
      <c r="CB49" s="136" t="s">
        <v>501</v>
      </c>
      <c r="CC49" s="137" t="s">
        <v>501</v>
      </c>
      <c r="CD49" s="135">
        <f>CD$3</f>
        <v>46200</v>
      </c>
      <c r="CE49" s="136" t="s">
        <v>501</v>
      </c>
      <c r="CF49" s="137" t="s">
        <v>501</v>
      </c>
      <c r="CG49" s="135"/>
      <c r="CH49" s="135">
        <f>CH$3</f>
        <v>46202</v>
      </c>
      <c r="CI49" s="148" t="s">
        <v>501</v>
      </c>
      <c r="CJ49" s="137" t="s">
        <v>501</v>
      </c>
      <c r="CK49" s="135">
        <f>CK$3</f>
        <v>46203</v>
      </c>
      <c r="CL49" s="136" t="s">
        <v>501</v>
      </c>
      <c r="CM49" s="137"/>
      <c r="CN49" s="135">
        <f>CN$3</f>
        <v>46204</v>
      </c>
      <c r="CO49" s="136" t="s">
        <v>501</v>
      </c>
      <c r="CP49" s="137" t="s">
        <v>501</v>
      </c>
      <c r="CQ49" s="135">
        <f>CQ$3</f>
        <v>46205</v>
      </c>
      <c r="CR49" s="136" t="s">
        <v>501</v>
      </c>
      <c r="CS49" s="137" t="s">
        <v>501</v>
      </c>
      <c r="CT49" s="135">
        <f>CT$3</f>
        <v>46206</v>
      </c>
      <c r="CU49" s="136" t="s">
        <v>501</v>
      </c>
      <c r="CV49" s="137" t="s">
        <v>501</v>
      </c>
      <c r="CW49" s="135">
        <f>CW$3</f>
        <v>46207</v>
      </c>
      <c r="CX49" s="136" t="s">
        <v>501</v>
      </c>
      <c r="CY49" s="137" t="s">
        <v>501</v>
      </c>
      <c r="CZ49" s="135"/>
      <c r="DA49" s="135">
        <f>DA$3</f>
        <v>46209</v>
      </c>
      <c r="DB49" s="136" t="s">
        <v>501</v>
      </c>
      <c r="DC49" s="137" t="s">
        <v>501</v>
      </c>
      <c r="DD49" s="135">
        <f>DD$3</f>
        <v>46210</v>
      </c>
      <c r="DE49" s="136" t="s">
        <v>501</v>
      </c>
      <c r="DF49" s="137" t="s">
        <v>501</v>
      </c>
      <c r="DG49" s="135">
        <f>DG$3</f>
        <v>46211</v>
      </c>
      <c r="DH49" s="136" t="s">
        <v>501</v>
      </c>
      <c r="DI49" s="137" t="s">
        <v>501</v>
      </c>
      <c r="DJ49" s="135">
        <f>DJ$3</f>
        <v>46212</v>
      </c>
      <c r="DK49" s="136" t="s">
        <v>501</v>
      </c>
      <c r="DL49" s="137" t="s">
        <v>501</v>
      </c>
      <c r="DM49" s="135">
        <f>DM$3</f>
        <v>46213</v>
      </c>
      <c r="DN49" s="136" t="s">
        <v>501</v>
      </c>
      <c r="DO49" s="137" t="s">
        <v>501</v>
      </c>
      <c r="DP49" s="135">
        <f>DP$3</f>
        <v>46214</v>
      </c>
      <c r="DQ49" s="136" t="s">
        <v>501</v>
      </c>
      <c r="DR49" s="137" t="s">
        <v>501</v>
      </c>
    </row>
    <row r="50" spans="1:122" outlineLevel="1">
      <c r="A50" s="122" t="str">
        <f>$A$42</f>
        <v>Đỗ Minh Ngọc</v>
      </c>
      <c r="B50" s="82" t="str">
        <f>'Bảng 3'!A167</f>
        <v>3.B.QNI.HLX.CT.203</v>
      </c>
      <c r="C50" s="81" t="str">
        <f>IF($B50="","",INDEX('Bảng 3'!C:C,MATCH($B50,'Bảng 3'!$A:$A,0)))</f>
        <v>Quản lý BIM</v>
      </c>
      <c r="D50" s="81" t="str">
        <f>IF($B50="","",INDEX('Bảng 3'!D:D,MATCH($B50,'Bảng 3'!$A:$A,0)))</f>
        <v>B.QNI.HLX.CT</v>
      </c>
      <c r="E50" s="81" t="str">
        <f>IF($B50="","",INDEX('Bảng 3'!E:E,MATCH($B50,'Bảng 3'!$A:$A,0)))</f>
        <v>Hầm lô B03.2-CCCT-03</v>
      </c>
      <c r="F50" s="81" t="str">
        <f>IF($B50="","",INDEX('Bảng 3'!F:F,MATCH($B50,'Bảng 3'!$A:$A,0)))</f>
        <v>KC</v>
      </c>
      <c r="G50" s="81" t="str">
        <f>IF($B50="","",INDEX('Bảng 3'!G:G,MATCH($B50,'Bảng 3'!$A:$A,0)))</f>
        <v>Tạo lập mô hình BIM</v>
      </c>
      <c r="H50" s="121"/>
      <c r="I50" s="135"/>
      <c r="J50" s="135">
        <f>J$3</f>
        <v>46174</v>
      </c>
      <c r="K50" s="148" t="s">
        <v>501</v>
      </c>
      <c r="L50" s="168" t="s">
        <v>501</v>
      </c>
      <c r="M50" s="135">
        <f>M$3</f>
        <v>46175</v>
      </c>
      <c r="N50" s="148" t="s">
        <v>501</v>
      </c>
      <c r="O50" s="137"/>
      <c r="P50" s="135">
        <f>P$3</f>
        <v>46176</v>
      </c>
      <c r="Q50" s="136" t="s">
        <v>501</v>
      </c>
      <c r="R50" s="137" t="s">
        <v>501</v>
      </c>
      <c r="S50" s="135">
        <f>S$3</f>
        <v>46177</v>
      </c>
      <c r="T50" s="136" t="s">
        <v>501</v>
      </c>
      <c r="U50" s="137" t="s">
        <v>501</v>
      </c>
      <c r="V50" s="135">
        <f>V$3</f>
        <v>46178</v>
      </c>
      <c r="W50" s="136" t="s">
        <v>501</v>
      </c>
      <c r="X50" s="137" t="s">
        <v>501</v>
      </c>
      <c r="Y50" s="135">
        <f>Y$3</f>
        <v>46179</v>
      </c>
      <c r="Z50" s="136" t="s">
        <v>501</v>
      </c>
      <c r="AA50" s="137" t="s">
        <v>501</v>
      </c>
      <c r="AB50" s="135"/>
      <c r="AC50" s="135">
        <f>AC$3</f>
        <v>46181</v>
      </c>
      <c r="AD50" s="136" t="s">
        <v>501</v>
      </c>
      <c r="AE50" s="137" t="s">
        <v>501</v>
      </c>
      <c r="AF50" s="135">
        <f>AF$3</f>
        <v>46182</v>
      </c>
      <c r="AG50" s="136" t="s">
        <v>501</v>
      </c>
      <c r="AH50" s="137" t="s">
        <v>501</v>
      </c>
      <c r="AI50" s="135">
        <f>AI$3</f>
        <v>46183</v>
      </c>
      <c r="AJ50" s="136" t="s">
        <v>501</v>
      </c>
      <c r="AK50" s="137" t="s">
        <v>501</v>
      </c>
      <c r="AL50" s="135">
        <f>AL$3</f>
        <v>46184</v>
      </c>
      <c r="AM50" s="136" t="s">
        <v>501</v>
      </c>
      <c r="AN50" s="137" t="s">
        <v>501</v>
      </c>
      <c r="AO50" s="135">
        <f>AO$3</f>
        <v>46185</v>
      </c>
      <c r="AP50" s="136" t="s">
        <v>501</v>
      </c>
      <c r="AQ50" s="137" t="s">
        <v>501</v>
      </c>
      <c r="AR50" s="135">
        <f>AR$3</f>
        <v>46186</v>
      </c>
      <c r="AS50" s="136" t="s">
        <v>501</v>
      </c>
      <c r="AT50" s="137" t="s">
        <v>501</v>
      </c>
      <c r="AU50" s="135"/>
      <c r="AV50" s="135">
        <f>AV$3</f>
        <v>46188</v>
      </c>
      <c r="AW50" s="148" t="s">
        <v>501</v>
      </c>
      <c r="AX50" s="137" t="s">
        <v>501</v>
      </c>
      <c r="AY50" s="135">
        <f>AY$3</f>
        <v>46189</v>
      </c>
      <c r="AZ50" s="136" t="s">
        <v>501</v>
      </c>
      <c r="BA50" s="137"/>
      <c r="BB50" s="135">
        <f>BB$3</f>
        <v>46190</v>
      </c>
      <c r="BC50" s="136" t="s">
        <v>501</v>
      </c>
      <c r="BD50" s="137" t="s">
        <v>501</v>
      </c>
      <c r="BE50" s="135">
        <f>BE$3</f>
        <v>46191</v>
      </c>
      <c r="BF50" s="136" t="s">
        <v>501</v>
      </c>
      <c r="BG50" s="137" t="s">
        <v>501</v>
      </c>
      <c r="BH50" s="135">
        <f>BH$3</f>
        <v>46192</v>
      </c>
      <c r="BI50" s="136" t="s">
        <v>501</v>
      </c>
      <c r="BJ50" s="137" t="s">
        <v>501</v>
      </c>
      <c r="BK50" s="135">
        <f>BK$3</f>
        <v>46193</v>
      </c>
      <c r="BL50" s="136" t="s">
        <v>501</v>
      </c>
      <c r="BM50" s="137" t="s">
        <v>501</v>
      </c>
      <c r="BN50" s="135"/>
      <c r="BO50" s="135">
        <f>BO$3</f>
        <v>46195</v>
      </c>
      <c r="BP50" s="136" t="s">
        <v>501</v>
      </c>
      <c r="BQ50" s="137" t="s">
        <v>501</v>
      </c>
      <c r="BR50" s="135">
        <f>BR$3</f>
        <v>46196</v>
      </c>
      <c r="BS50" s="136" t="s">
        <v>501</v>
      </c>
      <c r="BT50" s="137" t="s">
        <v>501</v>
      </c>
      <c r="BU50" s="135">
        <f>BU$3</f>
        <v>46197</v>
      </c>
      <c r="BV50" s="136" t="s">
        <v>501</v>
      </c>
      <c r="BW50" s="137" t="s">
        <v>501</v>
      </c>
      <c r="BX50" s="135">
        <f>BX$3</f>
        <v>46198</v>
      </c>
      <c r="BY50" s="136" t="s">
        <v>501</v>
      </c>
      <c r="BZ50" s="137" t="s">
        <v>501</v>
      </c>
      <c r="CA50" s="135">
        <f>CA$3</f>
        <v>46199</v>
      </c>
      <c r="CB50" s="136" t="s">
        <v>501</v>
      </c>
      <c r="CC50" s="137" t="s">
        <v>501</v>
      </c>
      <c r="CD50" s="135">
        <f>CD$3</f>
        <v>46200</v>
      </c>
      <c r="CE50" s="136" t="s">
        <v>501</v>
      </c>
      <c r="CF50" s="137" t="s">
        <v>501</v>
      </c>
      <c r="CG50" s="135"/>
      <c r="CH50" s="135">
        <f>CH$3</f>
        <v>46202</v>
      </c>
      <c r="CI50" s="148" t="s">
        <v>501</v>
      </c>
      <c r="CJ50" s="137" t="s">
        <v>501</v>
      </c>
      <c r="CK50" s="135">
        <f>CK$3</f>
        <v>46203</v>
      </c>
      <c r="CL50" s="136" t="s">
        <v>501</v>
      </c>
      <c r="CM50" s="137"/>
      <c r="CN50" s="135">
        <f>CN$3</f>
        <v>46204</v>
      </c>
      <c r="CO50" s="136" t="s">
        <v>501</v>
      </c>
      <c r="CP50" s="137" t="s">
        <v>501</v>
      </c>
      <c r="CQ50" s="135">
        <f>CQ$3</f>
        <v>46205</v>
      </c>
      <c r="CR50" s="136" t="s">
        <v>501</v>
      </c>
      <c r="CS50" s="137" t="s">
        <v>501</v>
      </c>
      <c r="CT50" s="135">
        <f>CT$3</f>
        <v>46206</v>
      </c>
      <c r="CU50" s="136" t="s">
        <v>501</v>
      </c>
      <c r="CV50" s="137" t="s">
        <v>501</v>
      </c>
      <c r="CW50" s="135">
        <f>CW$3</f>
        <v>46207</v>
      </c>
      <c r="CX50" s="136" t="s">
        <v>501</v>
      </c>
      <c r="CY50" s="137" t="s">
        <v>501</v>
      </c>
      <c r="CZ50" s="135"/>
      <c r="DA50" s="135">
        <f>DA$3</f>
        <v>46209</v>
      </c>
      <c r="DB50" s="136" t="s">
        <v>501</v>
      </c>
      <c r="DC50" s="137" t="s">
        <v>501</v>
      </c>
      <c r="DD50" s="135">
        <f>DD$3</f>
        <v>46210</v>
      </c>
      <c r="DE50" s="136" t="s">
        <v>501</v>
      </c>
      <c r="DF50" s="137" t="s">
        <v>501</v>
      </c>
      <c r="DG50" s="135">
        <f>DG$3</f>
        <v>46211</v>
      </c>
      <c r="DH50" s="136" t="s">
        <v>501</v>
      </c>
      <c r="DI50" s="137" t="s">
        <v>501</v>
      </c>
      <c r="DJ50" s="135">
        <f>DJ$3</f>
        <v>46212</v>
      </c>
      <c r="DK50" s="136" t="s">
        <v>501</v>
      </c>
      <c r="DL50" s="137" t="s">
        <v>501</v>
      </c>
      <c r="DM50" s="135">
        <f>DM$3</f>
        <v>46213</v>
      </c>
      <c r="DN50" s="136" t="s">
        <v>501</v>
      </c>
      <c r="DO50" s="137" t="s">
        <v>501</v>
      </c>
      <c r="DP50" s="135">
        <f>DP$3</f>
        <v>46214</v>
      </c>
      <c r="DQ50" s="136" t="s">
        <v>501</v>
      </c>
      <c r="DR50" s="137" t="s">
        <v>501</v>
      </c>
    </row>
    <row r="51" spans="1:122" outlineLevel="1">
      <c r="A51" s="122" t="str">
        <f>$A$42</f>
        <v>Đỗ Minh Ngọc</v>
      </c>
      <c r="B51" s="82" t="str">
        <f>'Bảng 3'!A174</f>
        <v>3.B.QNI.HLX.CT.107</v>
      </c>
      <c r="C51" s="81" t="str">
        <f>IF($B51="","",INDEX('Bảng 3'!C:C,MATCH($B51,'Bảng 3'!$A:$A,0)))</f>
        <v>Quản lý BIM</v>
      </c>
      <c r="D51" s="81" t="str">
        <f>IF($B51="","",INDEX('Bảng 3'!D:D,MATCH($B51,'Bảng 3'!$A:$A,0)))</f>
        <v>B.QNI.HLX.CT</v>
      </c>
      <c r="E51" s="81" t="str">
        <f>IF($B51="","",INDEX('Bảng 3'!E:E,MATCH($B51,'Bảng 3'!$A:$A,0)))</f>
        <v>Tháp Z35</v>
      </c>
      <c r="F51" s="81" t="str">
        <f>IF($B51="","",INDEX('Bảng 3'!F:F,MATCH($B51,'Bảng 3'!$A:$A,0)))</f>
        <v>KT</v>
      </c>
      <c r="G51" s="81" t="str">
        <f>IF($B51="","",INDEX('Bảng 3'!G:G,MATCH($B51,'Bảng 3'!$A:$A,0)))</f>
        <v>Tạo lập mô hình BIM</v>
      </c>
      <c r="H51" s="121"/>
      <c r="I51" s="135"/>
      <c r="J51" s="135">
        <f>J$3</f>
        <v>46174</v>
      </c>
      <c r="K51" s="148" t="s">
        <v>501</v>
      </c>
      <c r="L51" s="168" t="s">
        <v>501</v>
      </c>
      <c r="M51" s="135">
        <f>M$3</f>
        <v>46175</v>
      </c>
      <c r="N51" s="148" t="s">
        <v>641</v>
      </c>
      <c r="O51" s="137"/>
      <c r="P51" s="135">
        <f>P$3</f>
        <v>46176</v>
      </c>
      <c r="Q51" s="136" t="s">
        <v>501</v>
      </c>
      <c r="R51" s="137" t="s">
        <v>501</v>
      </c>
      <c r="S51" s="135">
        <f>S$3</f>
        <v>46177</v>
      </c>
      <c r="T51" s="136" t="s">
        <v>501</v>
      </c>
      <c r="U51" s="137" t="s">
        <v>501</v>
      </c>
      <c r="V51" s="135">
        <f>V$3</f>
        <v>46178</v>
      </c>
      <c r="W51" s="136" t="s">
        <v>501</v>
      </c>
      <c r="X51" s="137" t="s">
        <v>501</v>
      </c>
      <c r="Y51" s="135">
        <f>Y$3</f>
        <v>46179</v>
      </c>
      <c r="Z51" s="136" t="s">
        <v>501</v>
      </c>
      <c r="AA51" s="137" t="s">
        <v>501</v>
      </c>
      <c r="AB51" s="135"/>
      <c r="AC51" s="135">
        <f>AC$3</f>
        <v>46181</v>
      </c>
      <c r="AD51" s="136" t="s">
        <v>501</v>
      </c>
      <c r="AE51" s="137" t="s">
        <v>501</v>
      </c>
      <c r="AF51" s="135">
        <f>AF$3</f>
        <v>46182</v>
      </c>
      <c r="AG51" s="136" t="s">
        <v>501</v>
      </c>
      <c r="AH51" s="137" t="s">
        <v>501</v>
      </c>
      <c r="AI51" s="135">
        <f>AI$3</f>
        <v>46183</v>
      </c>
      <c r="AJ51" s="136" t="s">
        <v>501</v>
      </c>
      <c r="AK51" s="137" t="s">
        <v>501</v>
      </c>
      <c r="AL51" s="135">
        <f>AL$3</f>
        <v>46184</v>
      </c>
      <c r="AM51" s="136" t="s">
        <v>501</v>
      </c>
      <c r="AN51" s="137" t="s">
        <v>501</v>
      </c>
      <c r="AO51" s="135">
        <f>AO$3</f>
        <v>46185</v>
      </c>
      <c r="AP51" s="136" t="s">
        <v>501</v>
      </c>
      <c r="AQ51" s="137" t="s">
        <v>501</v>
      </c>
      <c r="AR51" s="135">
        <f>AR$3</f>
        <v>46186</v>
      </c>
      <c r="AS51" s="136" t="s">
        <v>501</v>
      </c>
      <c r="AT51" s="137" t="s">
        <v>501</v>
      </c>
      <c r="AU51" s="135"/>
      <c r="AV51" s="135">
        <f>AV$3</f>
        <v>46188</v>
      </c>
      <c r="AW51" s="148" t="s">
        <v>501</v>
      </c>
      <c r="AX51" s="137" t="s">
        <v>501</v>
      </c>
      <c r="AY51" s="135">
        <f>AY$3</f>
        <v>46189</v>
      </c>
      <c r="AZ51" s="136" t="s">
        <v>501</v>
      </c>
      <c r="BA51" s="137"/>
      <c r="BB51" s="135">
        <f>BB$3</f>
        <v>46190</v>
      </c>
      <c r="BC51" s="136" t="s">
        <v>501</v>
      </c>
      <c r="BD51" s="137" t="s">
        <v>501</v>
      </c>
      <c r="BE51" s="135">
        <f>BE$3</f>
        <v>46191</v>
      </c>
      <c r="BF51" s="136" t="s">
        <v>501</v>
      </c>
      <c r="BG51" s="137" t="s">
        <v>501</v>
      </c>
      <c r="BH51" s="135">
        <f>BH$3</f>
        <v>46192</v>
      </c>
      <c r="BI51" s="136" t="s">
        <v>501</v>
      </c>
      <c r="BJ51" s="137" t="s">
        <v>501</v>
      </c>
      <c r="BK51" s="135">
        <f>BK$3</f>
        <v>46193</v>
      </c>
      <c r="BL51" s="136" t="s">
        <v>501</v>
      </c>
      <c r="BM51" s="137" t="s">
        <v>501</v>
      </c>
      <c r="BN51" s="135"/>
      <c r="BO51" s="135">
        <f>BO$3</f>
        <v>46195</v>
      </c>
      <c r="BP51" s="136" t="s">
        <v>501</v>
      </c>
      <c r="BQ51" s="137" t="s">
        <v>501</v>
      </c>
      <c r="BR51" s="135">
        <f>BR$3</f>
        <v>46196</v>
      </c>
      <c r="BS51" s="136" t="s">
        <v>501</v>
      </c>
      <c r="BT51" s="137" t="s">
        <v>501</v>
      </c>
      <c r="BU51" s="135">
        <f>BU$3</f>
        <v>46197</v>
      </c>
      <c r="BV51" s="136" t="s">
        <v>501</v>
      </c>
      <c r="BW51" s="137" t="s">
        <v>501</v>
      </c>
      <c r="BX51" s="135">
        <f>BX$3</f>
        <v>46198</v>
      </c>
      <c r="BY51" s="136" t="s">
        <v>501</v>
      </c>
      <c r="BZ51" s="137" t="s">
        <v>501</v>
      </c>
      <c r="CA51" s="135">
        <f>CA$3</f>
        <v>46199</v>
      </c>
      <c r="CB51" s="136" t="s">
        <v>501</v>
      </c>
      <c r="CC51" s="137" t="s">
        <v>501</v>
      </c>
      <c r="CD51" s="135">
        <f>CD$3</f>
        <v>46200</v>
      </c>
      <c r="CE51" s="136" t="s">
        <v>501</v>
      </c>
      <c r="CF51" s="137" t="s">
        <v>501</v>
      </c>
      <c r="CG51" s="135"/>
      <c r="CH51" s="135">
        <f>CH$3</f>
        <v>46202</v>
      </c>
      <c r="CI51" s="148" t="s">
        <v>501</v>
      </c>
      <c r="CJ51" s="137" t="s">
        <v>501</v>
      </c>
      <c r="CK51" s="135">
        <f>CK$3</f>
        <v>46203</v>
      </c>
      <c r="CL51" s="136" t="s">
        <v>501</v>
      </c>
      <c r="CM51" s="137"/>
      <c r="CN51" s="135">
        <f>CN$3</f>
        <v>46204</v>
      </c>
      <c r="CO51" s="136" t="s">
        <v>501</v>
      </c>
      <c r="CP51" s="137" t="s">
        <v>501</v>
      </c>
      <c r="CQ51" s="135">
        <f>CQ$3</f>
        <v>46205</v>
      </c>
      <c r="CR51" s="136" t="s">
        <v>501</v>
      </c>
      <c r="CS51" s="137" t="s">
        <v>501</v>
      </c>
      <c r="CT51" s="135">
        <f>CT$3</f>
        <v>46206</v>
      </c>
      <c r="CU51" s="136" t="s">
        <v>501</v>
      </c>
      <c r="CV51" s="137" t="s">
        <v>501</v>
      </c>
      <c r="CW51" s="135">
        <f>CW$3</f>
        <v>46207</v>
      </c>
      <c r="CX51" s="136" t="s">
        <v>501</v>
      </c>
      <c r="CY51" s="137" t="s">
        <v>501</v>
      </c>
      <c r="CZ51" s="135"/>
      <c r="DA51" s="135">
        <f>DA$3</f>
        <v>46209</v>
      </c>
      <c r="DB51" s="136" t="s">
        <v>501</v>
      </c>
      <c r="DC51" s="137" t="s">
        <v>501</v>
      </c>
      <c r="DD51" s="135">
        <f>DD$3</f>
        <v>46210</v>
      </c>
      <c r="DE51" s="136" t="s">
        <v>501</v>
      </c>
      <c r="DF51" s="137" t="s">
        <v>501</v>
      </c>
      <c r="DG51" s="135">
        <f>DG$3</f>
        <v>46211</v>
      </c>
      <c r="DH51" s="136" t="s">
        <v>501</v>
      </c>
      <c r="DI51" s="137" t="s">
        <v>501</v>
      </c>
      <c r="DJ51" s="135">
        <f>DJ$3</f>
        <v>46212</v>
      </c>
      <c r="DK51" s="136" t="s">
        <v>501</v>
      </c>
      <c r="DL51" s="137" t="s">
        <v>501</v>
      </c>
      <c r="DM51" s="135">
        <f>DM$3</f>
        <v>46213</v>
      </c>
      <c r="DN51" s="136" t="s">
        <v>501</v>
      </c>
      <c r="DO51" s="137" t="s">
        <v>501</v>
      </c>
      <c r="DP51" s="135">
        <f>DP$3</f>
        <v>46214</v>
      </c>
      <c r="DQ51" s="136" t="s">
        <v>501</v>
      </c>
      <c r="DR51" s="137" t="s">
        <v>501</v>
      </c>
    </row>
    <row r="52" spans="1:122" outlineLevel="1">
      <c r="A52" s="122" t="str">
        <f>$A$42</f>
        <v>Đỗ Minh Ngọc</v>
      </c>
      <c r="B52" s="82" t="str">
        <f>'Bảng 3'!A258</f>
        <v>3.N.HCM.CGIO.KS.104</v>
      </c>
      <c r="C52" s="81" t="str">
        <f>IF($B52="","",INDEX('Bảng 3'!C:C,MATCH($B52,'Bảng 3'!$A:$A,0)))</f>
        <v>Quản lý BIM</v>
      </c>
      <c r="D52" s="81" t="str">
        <f>IF($B52="","",INDEX('Bảng 3'!D:D,MATCH($B52,'Bảng 3'!$A:$A,0)))</f>
        <v>N.HCM.CGIO.KS</v>
      </c>
      <c r="E52" s="81" t="str">
        <f>IF($B52="","",INDEX('Bảng 3'!E:E,MATCH($B52,'Bảng 3'!$A:$A,0)))</f>
        <v>Khách sạn Vinpearl A5.02.13</v>
      </c>
      <c r="F52" s="81" t="str">
        <f>IF($B52="","",INDEX('Bảng 3'!F:F,MATCH($B52,'Bảng 3'!$A:$A,0)))</f>
        <v>KT</v>
      </c>
      <c r="G52" s="81" t="str">
        <f>IF($B52="","",INDEX('Bảng 3'!G:G,MATCH($B52,'Bảng 3'!$A:$A,0)))</f>
        <v>KSCL mô hình BIM</v>
      </c>
      <c r="H52" s="121"/>
      <c r="I52" s="135"/>
      <c r="J52" s="135">
        <f>J$3</f>
        <v>46174</v>
      </c>
      <c r="K52" s="148" t="s">
        <v>501</v>
      </c>
      <c r="L52" s="168" t="s">
        <v>501</v>
      </c>
      <c r="M52" s="135">
        <f>M$3</f>
        <v>46175</v>
      </c>
      <c r="N52" s="148" t="s">
        <v>501</v>
      </c>
      <c r="O52" s="137"/>
      <c r="P52" s="135">
        <f>P$3</f>
        <v>46176</v>
      </c>
      <c r="Q52" s="136" t="s">
        <v>501</v>
      </c>
      <c r="R52" s="137" t="s">
        <v>501</v>
      </c>
      <c r="S52" s="135">
        <f>S$3</f>
        <v>46177</v>
      </c>
      <c r="T52" s="136" t="s">
        <v>501</v>
      </c>
      <c r="U52" s="137" t="s">
        <v>501</v>
      </c>
      <c r="V52" s="135">
        <f>V$3</f>
        <v>46178</v>
      </c>
      <c r="W52" s="136" t="s">
        <v>501</v>
      </c>
      <c r="X52" s="137" t="s">
        <v>501</v>
      </c>
      <c r="Y52" s="135">
        <f>Y$3</f>
        <v>46179</v>
      </c>
      <c r="Z52" s="136" t="s">
        <v>501</v>
      </c>
      <c r="AA52" s="137" t="s">
        <v>501</v>
      </c>
      <c r="AB52" s="135"/>
      <c r="AC52" s="135">
        <f>AC$3</f>
        <v>46181</v>
      </c>
      <c r="AD52" s="136" t="s">
        <v>501</v>
      </c>
      <c r="AE52" s="137" t="s">
        <v>501</v>
      </c>
      <c r="AF52" s="135">
        <f>AF$3</f>
        <v>46182</v>
      </c>
      <c r="AG52" s="136" t="s">
        <v>501</v>
      </c>
      <c r="AH52" s="137" t="s">
        <v>501</v>
      </c>
      <c r="AI52" s="135">
        <f>AI$3</f>
        <v>46183</v>
      </c>
      <c r="AJ52" s="136" t="s">
        <v>501</v>
      </c>
      <c r="AK52" s="137" t="s">
        <v>501</v>
      </c>
      <c r="AL52" s="135">
        <f>AL$3</f>
        <v>46184</v>
      </c>
      <c r="AM52" s="136" t="s">
        <v>501</v>
      </c>
      <c r="AN52" s="137" t="s">
        <v>501</v>
      </c>
      <c r="AO52" s="135">
        <f>AO$3</f>
        <v>46185</v>
      </c>
      <c r="AP52" s="136" t="s">
        <v>501</v>
      </c>
      <c r="AQ52" s="137" t="s">
        <v>501</v>
      </c>
      <c r="AR52" s="135">
        <f>AR$3</f>
        <v>46186</v>
      </c>
      <c r="AS52" s="136" t="s">
        <v>501</v>
      </c>
      <c r="AT52" s="137" t="s">
        <v>501</v>
      </c>
      <c r="AU52" s="135"/>
      <c r="AV52" s="135">
        <f>AV$3</f>
        <v>46188</v>
      </c>
      <c r="AW52" s="148" t="s">
        <v>501</v>
      </c>
      <c r="AX52" s="137" t="s">
        <v>501</v>
      </c>
      <c r="AY52" s="135">
        <f>AY$3</f>
        <v>46189</v>
      </c>
      <c r="AZ52" s="136" t="s">
        <v>501</v>
      </c>
      <c r="BA52" s="137"/>
      <c r="BB52" s="135">
        <f>BB$3</f>
        <v>46190</v>
      </c>
      <c r="BC52" s="136" t="s">
        <v>501</v>
      </c>
      <c r="BD52" s="137" t="s">
        <v>501</v>
      </c>
      <c r="BE52" s="135">
        <f>BE$3</f>
        <v>46191</v>
      </c>
      <c r="BF52" s="136" t="s">
        <v>501</v>
      </c>
      <c r="BG52" s="137" t="s">
        <v>501</v>
      </c>
      <c r="BH52" s="135">
        <f>BH$3</f>
        <v>46192</v>
      </c>
      <c r="BI52" s="136" t="s">
        <v>501</v>
      </c>
      <c r="BJ52" s="137" t="s">
        <v>501</v>
      </c>
      <c r="BK52" s="135">
        <f>BK$3</f>
        <v>46193</v>
      </c>
      <c r="BL52" s="136" t="s">
        <v>501</v>
      </c>
      <c r="BM52" s="137" t="s">
        <v>501</v>
      </c>
      <c r="BN52" s="135"/>
      <c r="BO52" s="135">
        <f>BO$3</f>
        <v>46195</v>
      </c>
      <c r="BP52" s="136" t="s">
        <v>501</v>
      </c>
      <c r="BQ52" s="137" t="s">
        <v>501</v>
      </c>
      <c r="BR52" s="135">
        <f>BR$3</f>
        <v>46196</v>
      </c>
      <c r="BS52" s="136" t="s">
        <v>501</v>
      </c>
      <c r="BT52" s="137" t="s">
        <v>501</v>
      </c>
      <c r="BU52" s="135">
        <f>BU$3</f>
        <v>46197</v>
      </c>
      <c r="BV52" s="136" t="s">
        <v>501</v>
      </c>
      <c r="BW52" s="137" t="s">
        <v>501</v>
      </c>
      <c r="BX52" s="135">
        <f>BX$3</f>
        <v>46198</v>
      </c>
      <c r="BY52" s="136" t="s">
        <v>501</v>
      </c>
      <c r="BZ52" s="137" t="s">
        <v>501</v>
      </c>
      <c r="CA52" s="135">
        <f>CA$3</f>
        <v>46199</v>
      </c>
      <c r="CB52" s="136" t="s">
        <v>501</v>
      </c>
      <c r="CC52" s="137" t="s">
        <v>501</v>
      </c>
      <c r="CD52" s="135">
        <f>CD$3</f>
        <v>46200</v>
      </c>
      <c r="CE52" s="136" t="s">
        <v>501</v>
      </c>
      <c r="CF52" s="137" t="s">
        <v>501</v>
      </c>
      <c r="CG52" s="135"/>
      <c r="CH52" s="135">
        <f>CH$3</f>
        <v>46202</v>
      </c>
      <c r="CI52" s="148" t="s">
        <v>501</v>
      </c>
      <c r="CJ52" s="137" t="s">
        <v>501</v>
      </c>
      <c r="CK52" s="135">
        <f>CK$3</f>
        <v>46203</v>
      </c>
      <c r="CL52" s="136" t="s">
        <v>501</v>
      </c>
      <c r="CM52" s="137"/>
      <c r="CN52" s="135">
        <f>CN$3</f>
        <v>46204</v>
      </c>
      <c r="CO52" s="136" t="s">
        <v>501</v>
      </c>
      <c r="CP52" s="137" t="s">
        <v>501</v>
      </c>
      <c r="CQ52" s="135">
        <f>CQ$3</f>
        <v>46205</v>
      </c>
      <c r="CR52" s="136" t="s">
        <v>501</v>
      </c>
      <c r="CS52" s="137" t="s">
        <v>501</v>
      </c>
      <c r="CT52" s="135">
        <f>CT$3</f>
        <v>46206</v>
      </c>
      <c r="CU52" s="136" t="s">
        <v>501</v>
      </c>
      <c r="CV52" s="137" t="s">
        <v>501</v>
      </c>
      <c r="CW52" s="135">
        <f>CW$3</f>
        <v>46207</v>
      </c>
      <c r="CX52" s="136" t="s">
        <v>501</v>
      </c>
      <c r="CY52" s="137" t="s">
        <v>501</v>
      </c>
      <c r="CZ52" s="135"/>
      <c r="DA52" s="135">
        <f>DA$3</f>
        <v>46209</v>
      </c>
      <c r="DB52" s="136" t="s">
        <v>501</v>
      </c>
      <c r="DC52" s="137" t="s">
        <v>501</v>
      </c>
      <c r="DD52" s="135">
        <f>DD$3</f>
        <v>46210</v>
      </c>
      <c r="DE52" s="136" t="s">
        <v>501</v>
      </c>
      <c r="DF52" s="137" t="s">
        <v>501</v>
      </c>
      <c r="DG52" s="135">
        <f>DG$3</f>
        <v>46211</v>
      </c>
      <c r="DH52" s="136" t="s">
        <v>501</v>
      </c>
      <c r="DI52" s="137" t="s">
        <v>501</v>
      </c>
      <c r="DJ52" s="135">
        <f>DJ$3</f>
        <v>46212</v>
      </c>
      <c r="DK52" s="136" t="s">
        <v>501</v>
      </c>
      <c r="DL52" s="137" t="s">
        <v>501</v>
      </c>
      <c r="DM52" s="135">
        <f>DM$3</f>
        <v>46213</v>
      </c>
      <c r="DN52" s="136" t="s">
        <v>501</v>
      </c>
      <c r="DO52" s="137" t="s">
        <v>501</v>
      </c>
      <c r="DP52" s="135">
        <f>DP$3</f>
        <v>46214</v>
      </c>
      <c r="DQ52" s="136" t="s">
        <v>501</v>
      </c>
      <c r="DR52" s="137" t="s">
        <v>501</v>
      </c>
    </row>
    <row r="53" spans="1:122" outlineLevel="1">
      <c r="A53" s="122" t="str">
        <f>$A$42</f>
        <v>Đỗ Minh Ngọc</v>
      </c>
      <c r="B53" s="82" t="str">
        <f>'Bảng 3'!A259</f>
        <v>3.N.HCM.CGIO.KS.204</v>
      </c>
      <c r="C53" s="81" t="str">
        <f>IF($B53="","",INDEX('Bảng 3'!C:C,MATCH($B53,'Bảng 3'!$A:$A,0)))</f>
        <v>Quản lý BIM</v>
      </c>
      <c r="D53" s="81" t="str">
        <f>IF($B53="","",INDEX('Bảng 3'!D:D,MATCH($B53,'Bảng 3'!$A:$A,0)))</f>
        <v>N.HCM.CGIO.KS</v>
      </c>
      <c r="E53" s="81" t="str">
        <f>IF($B53="","",INDEX('Bảng 3'!E:E,MATCH($B53,'Bảng 3'!$A:$A,0)))</f>
        <v>Khách sạn Vinpearl A5.02.13</v>
      </c>
      <c r="F53" s="81" t="str">
        <f>IF($B53="","",INDEX('Bảng 3'!F:F,MATCH($B53,'Bảng 3'!$A:$A,0)))</f>
        <v>KC</v>
      </c>
      <c r="G53" s="81" t="str">
        <f>IF($B53="","",INDEX('Bảng 3'!G:G,MATCH($B53,'Bảng 3'!$A:$A,0)))</f>
        <v>KSCL mô hình BIM</v>
      </c>
      <c r="H53" s="121"/>
      <c r="I53" s="135"/>
      <c r="J53" s="135">
        <f>J$3</f>
        <v>46174</v>
      </c>
      <c r="K53" s="148" t="s">
        <v>501</v>
      </c>
      <c r="L53" s="168" t="s">
        <v>501</v>
      </c>
      <c r="M53" s="135">
        <f>M$3</f>
        <v>46175</v>
      </c>
      <c r="N53" s="148" t="s">
        <v>501</v>
      </c>
      <c r="O53" s="137"/>
      <c r="P53" s="135">
        <f>P$3</f>
        <v>46176</v>
      </c>
      <c r="Q53" s="136" t="s">
        <v>501</v>
      </c>
      <c r="R53" s="137" t="s">
        <v>501</v>
      </c>
      <c r="S53" s="135">
        <f>S$3</f>
        <v>46177</v>
      </c>
      <c r="T53" s="136" t="s">
        <v>501</v>
      </c>
      <c r="U53" s="137" t="s">
        <v>501</v>
      </c>
      <c r="V53" s="135">
        <f>V$3</f>
        <v>46178</v>
      </c>
      <c r="W53" s="136" t="s">
        <v>501</v>
      </c>
      <c r="X53" s="137" t="s">
        <v>501</v>
      </c>
      <c r="Y53" s="135">
        <f>Y$3</f>
        <v>46179</v>
      </c>
      <c r="Z53" s="136" t="s">
        <v>501</v>
      </c>
      <c r="AA53" s="137" t="s">
        <v>501</v>
      </c>
      <c r="AB53" s="135"/>
      <c r="AC53" s="135">
        <f>AC$3</f>
        <v>46181</v>
      </c>
      <c r="AD53" s="136" t="s">
        <v>501</v>
      </c>
      <c r="AE53" s="137" t="s">
        <v>501</v>
      </c>
      <c r="AF53" s="135">
        <f>AF$3</f>
        <v>46182</v>
      </c>
      <c r="AG53" s="136" t="s">
        <v>501</v>
      </c>
      <c r="AH53" s="137" t="s">
        <v>501</v>
      </c>
      <c r="AI53" s="135">
        <f>AI$3</f>
        <v>46183</v>
      </c>
      <c r="AJ53" s="136" t="s">
        <v>501</v>
      </c>
      <c r="AK53" s="137" t="s">
        <v>501</v>
      </c>
      <c r="AL53" s="135">
        <f>AL$3</f>
        <v>46184</v>
      </c>
      <c r="AM53" s="136" t="s">
        <v>501</v>
      </c>
      <c r="AN53" s="137" t="s">
        <v>501</v>
      </c>
      <c r="AO53" s="135">
        <f>AO$3</f>
        <v>46185</v>
      </c>
      <c r="AP53" s="136" t="s">
        <v>501</v>
      </c>
      <c r="AQ53" s="137" t="s">
        <v>501</v>
      </c>
      <c r="AR53" s="135">
        <f>AR$3</f>
        <v>46186</v>
      </c>
      <c r="AS53" s="136" t="s">
        <v>501</v>
      </c>
      <c r="AT53" s="137" t="s">
        <v>501</v>
      </c>
      <c r="AU53" s="135"/>
      <c r="AV53" s="135">
        <f>AV$3</f>
        <v>46188</v>
      </c>
      <c r="AW53" s="148" t="s">
        <v>501</v>
      </c>
      <c r="AX53" s="137" t="s">
        <v>501</v>
      </c>
      <c r="AY53" s="135">
        <f>AY$3</f>
        <v>46189</v>
      </c>
      <c r="AZ53" s="136" t="s">
        <v>501</v>
      </c>
      <c r="BA53" s="137"/>
      <c r="BB53" s="135">
        <f>BB$3</f>
        <v>46190</v>
      </c>
      <c r="BC53" s="136" t="s">
        <v>501</v>
      </c>
      <c r="BD53" s="137" t="s">
        <v>501</v>
      </c>
      <c r="BE53" s="135">
        <f>BE$3</f>
        <v>46191</v>
      </c>
      <c r="BF53" s="136" t="s">
        <v>501</v>
      </c>
      <c r="BG53" s="137" t="s">
        <v>501</v>
      </c>
      <c r="BH53" s="135">
        <f>BH$3</f>
        <v>46192</v>
      </c>
      <c r="BI53" s="136" t="s">
        <v>501</v>
      </c>
      <c r="BJ53" s="137" t="s">
        <v>501</v>
      </c>
      <c r="BK53" s="135">
        <f>BK$3</f>
        <v>46193</v>
      </c>
      <c r="BL53" s="136" t="s">
        <v>501</v>
      </c>
      <c r="BM53" s="137" t="s">
        <v>501</v>
      </c>
      <c r="BN53" s="135"/>
      <c r="BO53" s="135">
        <f>BO$3</f>
        <v>46195</v>
      </c>
      <c r="BP53" s="136" t="s">
        <v>501</v>
      </c>
      <c r="BQ53" s="137" t="s">
        <v>501</v>
      </c>
      <c r="BR53" s="135">
        <f>BR$3</f>
        <v>46196</v>
      </c>
      <c r="BS53" s="136" t="s">
        <v>501</v>
      </c>
      <c r="BT53" s="137" t="s">
        <v>501</v>
      </c>
      <c r="BU53" s="135">
        <f>BU$3</f>
        <v>46197</v>
      </c>
      <c r="BV53" s="136" t="s">
        <v>501</v>
      </c>
      <c r="BW53" s="137" t="s">
        <v>501</v>
      </c>
      <c r="BX53" s="135">
        <f>BX$3</f>
        <v>46198</v>
      </c>
      <c r="BY53" s="136" t="s">
        <v>501</v>
      </c>
      <c r="BZ53" s="137" t="s">
        <v>501</v>
      </c>
      <c r="CA53" s="135">
        <f>CA$3</f>
        <v>46199</v>
      </c>
      <c r="CB53" s="136" t="s">
        <v>501</v>
      </c>
      <c r="CC53" s="137" t="s">
        <v>501</v>
      </c>
      <c r="CD53" s="135">
        <f>CD$3</f>
        <v>46200</v>
      </c>
      <c r="CE53" s="136" t="s">
        <v>501</v>
      </c>
      <c r="CF53" s="137" t="s">
        <v>501</v>
      </c>
      <c r="CG53" s="135"/>
      <c r="CH53" s="135">
        <f>CH$3</f>
        <v>46202</v>
      </c>
      <c r="CI53" s="148" t="s">
        <v>501</v>
      </c>
      <c r="CJ53" s="137" t="s">
        <v>501</v>
      </c>
      <c r="CK53" s="135">
        <f>CK$3</f>
        <v>46203</v>
      </c>
      <c r="CL53" s="136" t="s">
        <v>501</v>
      </c>
      <c r="CM53" s="137"/>
      <c r="CN53" s="135">
        <f>CN$3</f>
        <v>46204</v>
      </c>
      <c r="CO53" s="136" t="s">
        <v>501</v>
      </c>
      <c r="CP53" s="137" t="s">
        <v>501</v>
      </c>
      <c r="CQ53" s="135">
        <f>CQ$3</f>
        <v>46205</v>
      </c>
      <c r="CR53" s="136" t="s">
        <v>501</v>
      </c>
      <c r="CS53" s="137" t="s">
        <v>501</v>
      </c>
      <c r="CT53" s="135">
        <f>CT$3</f>
        <v>46206</v>
      </c>
      <c r="CU53" s="136" t="s">
        <v>501</v>
      </c>
      <c r="CV53" s="137" t="s">
        <v>501</v>
      </c>
      <c r="CW53" s="135">
        <f>CW$3</f>
        <v>46207</v>
      </c>
      <c r="CX53" s="136" t="s">
        <v>501</v>
      </c>
      <c r="CY53" s="137" t="s">
        <v>501</v>
      </c>
      <c r="CZ53" s="135"/>
      <c r="DA53" s="135">
        <f>DA$3</f>
        <v>46209</v>
      </c>
      <c r="DB53" s="136" t="s">
        <v>501</v>
      </c>
      <c r="DC53" s="137" t="s">
        <v>501</v>
      </c>
      <c r="DD53" s="135">
        <f>DD$3</f>
        <v>46210</v>
      </c>
      <c r="DE53" s="136" t="s">
        <v>501</v>
      </c>
      <c r="DF53" s="137" t="s">
        <v>501</v>
      </c>
      <c r="DG53" s="135">
        <f>DG$3</f>
        <v>46211</v>
      </c>
      <c r="DH53" s="136" t="s">
        <v>501</v>
      </c>
      <c r="DI53" s="137" t="s">
        <v>501</v>
      </c>
      <c r="DJ53" s="135">
        <f>DJ$3</f>
        <v>46212</v>
      </c>
      <c r="DK53" s="136" t="s">
        <v>501</v>
      </c>
      <c r="DL53" s="137" t="s">
        <v>501</v>
      </c>
      <c r="DM53" s="135">
        <f>DM$3</f>
        <v>46213</v>
      </c>
      <c r="DN53" s="136" t="s">
        <v>501</v>
      </c>
      <c r="DO53" s="137" t="s">
        <v>501</v>
      </c>
      <c r="DP53" s="135">
        <f>DP$3</f>
        <v>46214</v>
      </c>
      <c r="DQ53" s="136" t="s">
        <v>501</v>
      </c>
      <c r="DR53" s="137" t="s">
        <v>501</v>
      </c>
    </row>
    <row r="54" spans="1:122" outlineLevel="1">
      <c r="A54" s="122" t="str">
        <f>$A$42</f>
        <v>Đỗ Minh Ngọc</v>
      </c>
      <c r="B54" s="82" t="str">
        <f>'Bảng 3'!A267</f>
        <v>3.N.HCM.CGIO.KSMN.101</v>
      </c>
      <c r="C54" s="81" t="str">
        <f>IF($B54="","",INDEX('Bảng 3'!C:C,MATCH($B54,'Bảng 3'!$A:$A,0)))</f>
        <v>Quản lý BIM</v>
      </c>
      <c r="D54" s="81" t="str">
        <f>IF($B54="","",INDEX('Bảng 3'!D:D,MATCH($B54,'Bảng 3'!$A:$A,0)))</f>
        <v>N.HCM.CGIO.KSMN</v>
      </c>
      <c r="E54" s="81" t="str">
        <f>IF($B54="","",INDEX('Bảng 3'!E:E,MATCH($B54,'Bảng 3'!$A:$A,0)))</f>
        <v>Lô A5.01.01, mẫu M1G, M7, M8G</v>
      </c>
      <c r="F54" s="81" t="str">
        <f>IF($B54="","",INDEX('Bảng 3'!F:F,MATCH($B54,'Bảng 3'!$A:$A,0)))</f>
        <v>KT</v>
      </c>
      <c r="G54" s="81" t="str">
        <f>IF($B54="","",INDEX('Bảng 3'!G:G,MATCH($B54,'Bảng 3'!$A:$A,0)))</f>
        <v>KSCL mô hình BIM</v>
      </c>
      <c r="H54" s="121"/>
      <c r="I54" s="135"/>
      <c r="J54" s="135">
        <f>J$3</f>
        <v>46174</v>
      </c>
      <c r="K54" s="148" t="s">
        <v>501</v>
      </c>
      <c r="L54" s="168" t="s">
        <v>501</v>
      </c>
      <c r="M54" s="135">
        <f>M$3</f>
        <v>46175</v>
      </c>
      <c r="N54" s="148" t="s">
        <v>501</v>
      </c>
      <c r="O54" s="137"/>
      <c r="P54" s="135">
        <f>P$3</f>
        <v>46176</v>
      </c>
      <c r="Q54" s="136" t="s">
        <v>501</v>
      </c>
      <c r="R54" s="137" t="s">
        <v>501</v>
      </c>
      <c r="S54" s="135">
        <f>S$3</f>
        <v>46177</v>
      </c>
      <c r="T54" s="136" t="s">
        <v>501</v>
      </c>
      <c r="U54" s="137" t="s">
        <v>501</v>
      </c>
      <c r="V54" s="135">
        <f>V$3</f>
        <v>46178</v>
      </c>
      <c r="W54" s="136" t="s">
        <v>501</v>
      </c>
      <c r="X54" s="137" t="s">
        <v>501</v>
      </c>
      <c r="Y54" s="135">
        <f>Y$3</f>
        <v>46179</v>
      </c>
      <c r="Z54" s="136" t="s">
        <v>501</v>
      </c>
      <c r="AA54" s="137" t="s">
        <v>501</v>
      </c>
      <c r="AB54" s="135"/>
      <c r="AC54" s="135">
        <f>AC$3</f>
        <v>46181</v>
      </c>
      <c r="AD54" s="136" t="s">
        <v>501</v>
      </c>
      <c r="AE54" s="137" t="s">
        <v>501</v>
      </c>
      <c r="AF54" s="135">
        <f>AF$3</f>
        <v>46182</v>
      </c>
      <c r="AG54" s="136" t="s">
        <v>501</v>
      </c>
      <c r="AH54" s="137" t="s">
        <v>501</v>
      </c>
      <c r="AI54" s="135">
        <f>AI$3</f>
        <v>46183</v>
      </c>
      <c r="AJ54" s="136" t="s">
        <v>501</v>
      </c>
      <c r="AK54" s="137" t="s">
        <v>501</v>
      </c>
      <c r="AL54" s="135">
        <f>AL$3</f>
        <v>46184</v>
      </c>
      <c r="AM54" s="136" t="s">
        <v>501</v>
      </c>
      <c r="AN54" s="137" t="s">
        <v>501</v>
      </c>
      <c r="AO54" s="135">
        <f>AO$3</f>
        <v>46185</v>
      </c>
      <c r="AP54" s="136" t="s">
        <v>501</v>
      </c>
      <c r="AQ54" s="137" t="s">
        <v>501</v>
      </c>
      <c r="AR54" s="135">
        <f>AR$3</f>
        <v>46186</v>
      </c>
      <c r="AS54" s="136" t="s">
        <v>501</v>
      </c>
      <c r="AT54" s="137" t="s">
        <v>501</v>
      </c>
      <c r="AU54" s="135"/>
      <c r="AV54" s="135">
        <f>AV$3</f>
        <v>46188</v>
      </c>
      <c r="AW54" s="148" t="s">
        <v>501</v>
      </c>
      <c r="AX54" s="137" t="s">
        <v>501</v>
      </c>
      <c r="AY54" s="135">
        <f>AY$3</f>
        <v>46189</v>
      </c>
      <c r="AZ54" s="136" t="s">
        <v>501</v>
      </c>
      <c r="BA54" s="137"/>
      <c r="BB54" s="135">
        <f>BB$3</f>
        <v>46190</v>
      </c>
      <c r="BC54" s="136" t="s">
        <v>501</v>
      </c>
      <c r="BD54" s="137" t="s">
        <v>501</v>
      </c>
      <c r="BE54" s="135">
        <f>BE$3</f>
        <v>46191</v>
      </c>
      <c r="BF54" s="136" t="s">
        <v>501</v>
      </c>
      <c r="BG54" s="137" t="s">
        <v>501</v>
      </c>
      <c r="BH54" s="135">
        <f>BH$3</f>
        <v>46192</v>
      </c>
      <c r="BI54" s="136" t="s">
        <v>501</v>
      </c>
      <c r="BJ54" s="137" t="s">
        <v>501</v>
      </c>
      <c r="BK54" s="135">
        <f>BK$3</f>
        <v>46193</v>
      </c>
      <c r="BL54" s="136" t="s">
        <v>501</v>
      </c>
      <c r="BM54" s="137" t="s">
        <v>501</v>
      </c>
      <c r="BN54" s="135"/>
      <c r="BO54" s="135">
        <f>BO$3</f>
        <v>46195</v>
      </c>
      <c r="BP54" s="136" t="s">
        <v>501</v>
      </c>
      <c r="BQ54" s="137" t="s">
        <v>501</v>
      </c>
      <c r="BR54" s="135">
        <f>BR$3</f>
        <v>46196</v>
      </c>
      <c r="BS54" s="136" t="s">
        <v>501</v>
      </c>
      <c r="BT54" s="137" t="s">
        <v>501</v>
      </c>
      <c r="BU54" s="135">
        <f>BU$3</f>
        <v>46197</v>
      </c>
      <c r="BV54" s="136" t="s">
        <v>501</v>
      </c>
      <c r="BW54" s="137" t="s">
        <v>501</v>
      </c>
      <c r="BX54" s="135">
        <f>BX$3</f>
        <v>46198</v>
      </c>
      <c r="BY54" s="136" t="s">
        <v>501</v>
      </c>
      <c r="BZ54" s="137" t="s">
        <v>501</v>
      </c>
      <c r="CA54" s="135">
        <f>CA$3</f>
        <v>46199</v>
      </c>
      <c r="CB54" s="136" t="s">
        <v>501</v>
      </c>
      <c r="CC54" s="137" t="s">
        <v>501</v>
      </c>
      <c r="CD54" s="135">
        <f>CD$3</f>
        <v>46200</v>
      </c>
      <c r="CE54" s="136" t="s">
        <v>501</v>
      </c>
      <c r="CF54" s="137" t="s">
        <v>501</v>
      </c>
      <c r="CG54" s="135"/>
      <c r="CH54" s="135">
        <f>CH$3</f>
        <v>46202</v>
      </c>
      <c r="CI54" s="148" t="s">
        <v>501</v>
      </c>
      <c r="CJ54" s="137" t="s">
        <v>501</v>
      </c>
      <c r="CK54" s="135">
        <f>CK$3</f>
        <v>46203</v>
      </c>
      <c r="CL54" s="136" t="s">
        <v>501</v>
      </c>
      <c r="CM54" s="137"/>
      <c r="CN54" s="135">
        <f>CN$3</f>
        <v>46204</v>
      </c>
      <c r="CO54" s="136" t="s">
        <v>501</v>
      </c>
      <c r="CP54" s="137" t="s">
        <v>501</v>
      </c>
      <c r="CQ54" s="135">
        <f>CQ$3</f>
        <v>46205</v>
      </c>
      <c r="CR54" s="136" t="s">
        <v>501</v>
      </c>
      <c r="CS54" s="137" t="s">
        <v>501</v>
      </c>
      <c r="CT54" s="135">
        <f>CT$3</f>
        <v>46206</v>
      </c>
      <c r="CU54" s="136" t="s">
        <v>501</v>
      </c>
      <c r="CV54" s="137" t="s">
        <v>501</v>
      </c>
      <c r="CW54" s="135">
        <f>CW$3</f>
        <v>46207</v>
      </c>
      <c r="CX54" s="136" t="s">
        <v>501</v>
      </c>
      <c r="CY54" s="137" t="s">
        <v>501</v>
      </c>
      <c r="CZ54" s="135"/>
      <c r="DA54" s="135">
        <f>DA$3</f>
        <v>46209</v>
      </c>
      <c r="DB54" s="136" t="s">
        <v>501</v>
      </c>
      <c r="DC54" s="137" t="s">
        <v>501</v>
      </c>
      <c r="DD54" s="135">
        <f>DD$3</f>
        <v>46210</v>
      </c>
      <c r="DE54" s="136" t="s">
        <v>501</v>
      </c>
      <c r="DF54" s="137" t="s">
        <v>501</v>
      </c>
      <c r="DG54" s="135">
        <f>DG$3</f>
        <v>46211</v>
      </c>
      <c r="DH54" s="136" t="s">
        <v>501</v>
      </c>
      <c r="DI54" s="137" t="s">
        <v>501</v>
      </c>
      <c r="DJ54" s="135">
        <f>DJ$3</f>
        <v>46212</v>
      </c>
      <c r="DK54" s="136" t="s">
        <v>501</v>
      </c>
      <c r="DL54" s="137" t="s">
        <v>501</v>
      </c>
      <c r="DM54" s="135">
        <f>DM$3</f>
        <v>46213</v>
      </c>
      <c r="DN54" s="136" t="s">
        <v>501</v>
      </c>
      <c r="DO54" s="137" t="s">
        <v>501</v>
      </c>
      <c r="DP54" s="135">
        <f>DP$3</f>
        <v>46214</v>
      </c>
      <c r="DQ54" s="136" t="s">
        <v>501</v>
      </c>
      <c r="DR54" s="137" t="s">
        <v>501</v>
      </c>
    </row>
    <row r="55" spans="1:122" outlineLevel="1">
      <c r="A55" s="122" t="str">
        <f>$A$42</f>
        <v>Đỗ Minh Ngọc</v>
      </c>
      <c r="B55" s="82" t="str">
        <f>'Bảng 3'!A268</f>
        <v>3.N.HCM.CGIO.KSMN.102</v>
      </c>
      <c r="C55" s="81" t="str">
        <f>IF($B55="","",INDEX('Bảng 3'!C:C,MATCH($B55,'Bảng 3'!$A:$A,0)))</f>
        <v>Quản lý BIM</v>
      </c>
      <c r="D55" s="81" t="str">
        <f>IF($B55="","",INDEX('Bảng 3'!D:D,MATCH($B55,'Bảng 3'!$A:$A,0)))</f>
        <v>N.HCM.CGIO.KSMN</v>
      </c>
      <c r="E55" s="81" t="str">
        <f>IF($B55="","",INDEX('Bảng 3'!E:E,MATCH($B55,'Bảng 3'!$A:$A,0)))</f>
        <v>Lô A5.01.01, mẫu M1G, M7, M8G</v>
      </c>
      <c r="F55" s="81" t="str">
        <f>IF($B55="","",INDEX('Bảng 3'!F:F,MATCH($B55,'Bảng 3'!$A:$A,0)))</f>
        <v>KT</v>
      </c>
      <c r="G55" s="81" t="str">
        <f>IF($B55="","",INDEX('Bảng 3'!G:G,MATCH($B55,'Bảng 3'!$A:$A,0)))</f>
        <v>Tạo lập mô hình BIM</v>
      </c>
      <c r="H55" s="121"/>
      <c r="I55" s="135"/>
      <c r="J55" s="135">
        <f>J$3</f>
        <v>46174</v>
      </c>
      <c r="K55" s="148" t="s">
        <v>501</v>
      </c>
      <c r="L55" s="168" t="s">
        <v>501</v>
      </c>
      <c r="M55" s="135">
        <f>M$3</f>
        <v>46175</v>
      </c>
      <c r="N55" s="148" t="s">
        <v>501</v>
      </c>
      <c r="O55" s="137"/>
      <c r="P55" s="135">
        <f>P$3</f>
        <v>46176</v>
      </c>
      <c r="Q55" s="136" t="s">
        <v>501</v>
      </c>
      <c r="R55" s="137" t="s">
        <v>501</v>
      </c>
      <c r="S55" s="135">
        <f>S$3</f>
        <v>46177</v>
      </c>
      <c r="T55" s="136" t="s">
        <v>501</v>
      </c>
      <c r="U55" s="137" t="s">
        <v>501</v>
      </c>
      <c r="V55" s="135">
        <f>V$3</f>
        <v>46178</v>
      </c>
      <c r="W55" s="136" t="s">
        <v>501</v>
      </c>
      <c r="X55" s="137" t="s">
        <v>501</v>
      </c>
      <c r="Y55" s="135">
        <f>Y$3</f>
        <v>46179</v>
      </c>
      <c r="Z55" s="136" t="s">
        <v>501</v>
      </c>
      <c r="AA55" s="137" t="s">
        <v>501</v>
      </c>
      <c r="AB55" s="135"/>
      <c r="AC55" s="135">
        <f>AC$3</f>
        <v>46181</v>
      </c>
      <c r="AD55" s="136" t="s">
        <v>501</v>
      </c>
      <c r="AE55" s="137" t="s">
        <v>501</v>
      </c>
      <c r="AF55" s="135">
        <f>AF$3</f>
        <v>46182</v>
      </c>
      <c r="AG55" s="136" t="s">
        <v>501</v>
      </c>
      <c r="AH55" s="137" t="s">
        <v>501</v>
      </c>
      <c r="AI55" s="135">
        <f>AI$3</f>
        <v>46183</v>
      </c>
      <c r="AJ55" s="136" t="s">
        <v>501</v>
      </c>
      <c r="AK55" s="137" t="s">
        <v>501</v>
      </c>
      <c r="AL55" s="135">
        <f>AL$3</f>
        <v>46184</v>
      </c>
      <c r="AM55" s="136" t="s">
        <v>501</v>
      </c>
      <c r="AN55" s="137" t="s">
        <v>501</v>
      </c>
      <c r="AO55" s="135">
        <f>AO$3</f>
        <v>46185</v>
      </c>
      <c r="AP55" s="136" t="s">
        <v>501</v>
      </c>
      <c r="AQ55" s="137" t="s">
        <v>501</v>
      </c>
      <c r="AR55" s="135">
        <f>AR$3</f>
        <v>46186</v>
      </c>
      <c r="AS55" s="136" t="s">
        <v>501</v>
      </c>
      <c r="AT55" s="137" t="s">
        <v>501</v>
      </c>
      <c r="AU55" s="135"/>
      <c r="AV55" s="135">
        <f>AV$3</f>
        <v>46188</v>
      </c>
      <c r="AW55" s="148" t="s">
        <v>501</v>
      </c>
      <c r="AX55" s="137" t="s">
        <v>501</v>
      </c>
      <c r="AY55" s="135">
        <f>AY$3</f>
        <v>46189</v>
      </c>
      <c r="AZ55" s="136" t="s">
        <v>501</v>
      </c>
      <c r="BA55" s="137"/>
      <c r="BB55" s="135">
        <f>BB$3</f>
        <v>46190</v>
      </c>
      <c r="BC55" s="136" t="s">
        <v>501</v>
      </c>
      <c r="BD55" s="137" t="s">
        <v>501</v>
      </c>
      <c r="BE55" s="135">
        <f>BE$3</f>
        <v>46191</v>
      </c>
      <c r="BF55" s="136" t="s">
        <v>501</v>
      </c>
      <c r="BG55" s="137" t="s">
        <v>501</v>
      </c>
      <c r="BH55" s="135">
        <f>BH$3</f>
        <v>46192</v>
      </c>
      <c r="BI55" s="136" t="s">
        <v>501</v>
      </c>
      <c r="BJ55" s="137" t="s">
        <v>501</v>
      </c>
      <c r="BK55" s="135">
        <f>BK$3</f>
        <v>46193</v>
      </c>
      <c r="BL55" s="136" t="s">
        <v>501</v>
      </c>
      <c r="BM55" s="137" t="s">
        <v>501</v>
      </c>
      <c r="BN55" s="135"/>
      <c r="BO55" s="135">
        <f>BO$3</f>
        <v>46195</v>
      </c>
      <c r="BP55" s="136" t="s">
        <v>501</v>
      </c>
      <c r="BQ55" s="137" t="s">
        <v>501</v>
      </c>
      <c r="BR55" s="135">
        <f>BR$3</f>
        <v>46196</v>
      </c>
      <c r="BS55" s="136" t="s">
        <v>501</v>
      </c>
      <c r="BT55" s="137" t="s">
        <v>501</v>
      </c>
      <c r="BU55" s="135">
        <f>BU$3</f>
        <v>46197</v>
      </c>
      <c r="BV55" s="136" t="s">
        <v>501</v>
      </c>
      <c r="BW55" s="137" t="s">
        <v>501</v>
      </c>
      <c r="BX55" s="135">
        <f>BX$3</f>
        <v>46198</v>
      </c>
      <c r="BY55" s="136" t="s">
        <v>501</v>
      </c>
      <c r="BZ55" s="137" t="s">
        <v>501</v>
      </c>
      <c r="CA55" s="135">
        <f>CA$3</f>
        <v>46199</v>
      </c>
      <c r="CB55" s="136" t="s">
        <v>501</v>
      </c>
      <c r="CC55" s="137" t="s">
        <v>501</v>
      </c>
      <c r="CD55" s="135">
        <f>CD$3</f>
        <v>46200</v>
      </c>
      <c r="CE55" s="136" t="s">
        <v>501</v>
      </c>
      <c r="CF55" s="137" t="s">
        <v>501</v>
      </c>
      <c r="CG55" s="135"/>
      <c r="CH55" s="135">
        <f>CH$3</f>
        <v>46202</v>
      </c>
      <c r="CI55" s="148" t="s">
        <v>501</v>
      </c>
      <c r="CJ55" s="137" t="s">
        <v>501</v>
      </c>
      <c r="CK55" s="135">
        <f>CK$3</f>
        <v>46203</v>
      </c>
      <c r="CL55" s="136" t="s">
        <v>501</v>
      </c>
      <c r="CM55" s="137"/>
      <c r="CN55" s="135">
        <f>CN$3</f>
        <v>46204</v>
      </c>
      <c r="CO55" s="136" t="s">
        <v>501</v>
      </c>
      <c r="CP55" s="137" t="s">
        <v>501</v>
      </c>
      <c r="CQ55" s="135">
        <f>CQ$3</f>
        <v>46205</v>
      </c>
      <c r="CR55" s="136" t="s">
        <v>501</v>
      </c>
      <c r="CS55" s="137" t="s">
        <v>501</v>
      </c>
      <c r="CT55" s="135">
        <f>CT$3</f>
        <v>46206</v>
      </c>
      <c r="CU55" s="136" t="s">
        <v>501</v>
      </c>
      <c r="CV55" s="137" t="s">
        <v>501</v>
      </c>
      <c r="CW55" s="135">
        <f>CW$3</f>
        <v>46207</v>
      </c>
      <c r="CX55" s="136" t="s">
        <v>501</v>
      </c>
      <c r="CY55" s="137" t="s">
        <v>501</v>
      </c>
      <c r="CZ55" s="135"/>
      <c r="DA55" s="135">
        <f>DA$3</f>
        <v>46209</v>
      </c>
      <c r="DB55" s="136" t="s">
        <v>501</v>
      </c>
      <c r="DC55" s="137" t="s">
        <v>501</v>
      </c>
      <c r="DD55" s="135">
        <f>DD$3</f>
        <v>46210</v>
      </c>
      <c r="DE55" s="136" t="s">
        <v>501</v>
      </c>
      <c r="DF55" s="137" t="s">
        <v>501</v>
      </c>
      <c r="DG55" s="135">
        <f>DG$3</f>
        <v>46211</v>
      </c>
      <c r="DH55" s="136" t="s">
        <v>501</v>
      </c>
      <c r="DI55" s="137" t="s">
        <v>501</v>
      </c>
      <c r="DJ55" s="135">
        <f>DJ$3</f>
        <v>46212</v>
      </c>
      <c r="DK55" s="136" t="s">
        <v>501</v>
      </c>
      <c r="DL55" s="137" t="s">
        <v>501</v>
      </c>
      <c r="DM55" s="135">
        <f>DM$3</f>
        <v>46213</v>
      </c>
      <c r="DN55" s="136" t="s">
        <v>501</v>
      </c>
      <c r="DO55" s="137" t="s">
        <v>501</v>
      </c>
      <c r="DP55" s="135">
        <f>DP$3</f>
        <v>46214</v>
      </c>
      <c r="DQ55" s="136" t="s">
        <v>501</v>
      </c>
      <c r="DR55" s="137" t="s">
        <v>501</v>
      </c>
    </row>
    <row r="56" spans="1:122" outlineLevel="1">
      <c r="A56" s="122" t="str">
        <f>$A$42</f>
        <v>Đỗ Minh Ngọc</v>
      </c>
      <c r="B56" s="82" t="str">
        <f>'Bảng 3'!A269</f>
        <v>3.N.HCM.CGIO.KSMN.201</v>
      </c>
      <c r="C56" s="81" t="str">
        <f>IF($B56="","",INDEX('Bảng 3'!C:C,MATCH($B56,'Bảng 3'!$A:$A,0)))</f>
        <v>Quản lý BIM</v>
      </c>
      <c r="D56" s="81" t="str">
        <f>IF($B56="","",INDEX('Bảng 3'!D:D,MATCH($B56,'Bảng 3'!$A:$A,0)))</f>
        <v>N.HCM.CGIO.KSMN</v>
      </c>
      <c r="E56" s="81" t="str">
        <f>IF($B56="","",INDEX('Bảng 3'!E:E,MATCH($B56,'Bảng 3'!$A:$A,0)))</f>
        <v>Lô A5.01.01, mẫu M1G, M7, M8G</v>
      </c>
      <c r="F56" s="81" t="str">
        <f>IF($B56="","",INDEX('Bảng 3'!F:F,MATCH($B56,'Bảng 3'!$A:$A,0)))</f>
        <v>KC</v>
      </c>
      <c r="G56" s="81" t="str">
        <f>IF($B56="","",INDEX('Bảng 3'!G:G,MATCH($B56,'Bảng 3'!$A:$A,0)))</f>
        <v>KSCL mô hình BIM</v>
      </c>
      <c r="H56" s="121"/>
      <c r="I56" s="135"/>
      <c r="J56" s="135">
        <f>J$3</f>
        <v>46174</v>
      </c>
      <c r="K56" s="148" t="s">
        <v>501</v>
      </c>
      <c r="L56" s="168" t="s">
        <v>501</v>
      </c>
      <c r="M56" s="135">
        <f>M$3</f>
        <v>46175</v>
      </c>
      <c r="N56" s="148" t="s">
        <v>501</v>
      </c>
      <c r="O56" s="137"/>
      <c r="P56" s="135">
        <f>P$3</f>
        <v>46176</v>
      </c>
      <c r="Q56" s="136" t="s">
        <v>501</v>
      </c>
      <c r="R56" s="137" t="s">
        <v>501</v>
      </c>
      <c r="S56" s="135">
        <f>S$3</f>
        <v>46177</v>
      </c>
      <c r="T56" s="136" t="s">
        <v>501</v>
      </c>
      <c r="U56" s="137" t="s">
        <v>501</v>
      </c>
      <c r="V56" s="135">
        <f>V$3</f>
        <v>46178</v>
      </c>
      <c r="W56" s="136" t="s">
        <v>501</v>
      </c>
      <c r="X56" s="137" t="s">
        <v>501</v>
      </c>
      <c r="Y56" s="135">
        <f>Y$3</f>
        <v>46179</v>
      </c>
      <c r="Z56" s="136" t="s">
        <v>501</v>
      </c>
      <c r="AA56" s="137" t="s">
        <v>501</v>
      </c>
      <c r="AB56" s="135"/>
      <c r="AC56" s="135">
        <f>AC$3</f>
        <v>46181</v>
      </c>
      <c r="AD56" s="136" t="s">
        <v>501</v>
      </c>
      <c r="AE56" s="137" t="s">
        <v>501</v>
      </c>
      <c r="AF56" s="135">
        <f>AF$3</f>
        <v>46182</v>
      </c>
      <c r="AG56" s="136" t="s">
        <v>501</v>
      </c>
      <c r="AH56" s="137" t="s">
        <v>501</v>
      </c>
      <c r="AI56" s="135">
        <f>AI$3</f>
        <v>46183</v>
      </c>
      <c r="AJ56" s="136" t="s">
        <v>501</v>
      </c>
      <c r="AK56" s="137" t="s">
        <v>501</v>
      </c>
      <c r="AL56" s="135">
        <f>AL$3</f>
        <v>46184</v>
      </c>
      <c r="AM56" s="136" t="s">
        <v>501</v>
      </c>
      <c r="AN56" s="137" t="s">
        <v>501</v>
      </c>
      <c r="AO56" s="135">
        <f>AO$3</f>
        <v>46185</v>
      </c>
      <c r="AP56" s="136" t="s">
        <v>501</v>
      </c>
      <c r="AQ56" s="137" t="s">
        <v>501</v>
      </c>
      <c r="AR56" s="135">
        <f>AR$3</f>
        <v>46186</v>
      </c>
      <c r="AS56" s="136" t="s">
        <v>501</v>
      </c>
      <c r="AT56" s="137" t="s">
        <v>501</v>
      </c>
      <c r="AU56" s="135"/>
      <c r="AV56" s="135">
        <f>AV$3</f>
        <v>46188</v>
      </c>
      <c r="AW56" s="148" t="s">
        <v>501</v>
      </c>
      <c r="AX56" s="137" t="s">
        <v>501</v>
      </c>
      <c r="AY56" s="135">
        <f>AY$3</f>
        <v>46189</v>
      </c>
      <c r="AZ56" s="136" t="s">
        <v>501</v>
      </c>
      <c r="BA56" s="137"/>
      <c r="BB56" s="135">
        <f>BB$3</f>
        <v>46190</v>
      </c>
      <c r="BC56" s="136" t="s">
        <v>501</v>
      </c>
      <c r="BD56" s="137" t="s">
        <v>501</v>
      </c>
      <c r="BE56" s="135">
        <f>BE$3</f>
        <v>46191</v>
      </c>
      <c r="BF56" s="136" t="s">
        <v>501</v>
      </c>
      <c r="BG56" s="137" t="s">
        <v>501</v>
      </c>
      <c r="BH56" s="135">
        <f>BH$3</f>
        <v>46192</v>
      </c>
      <c r="BI56" s="136" t="s">
        <v>501</v>
      </c>
      <c r="BJ56" s="137" t="s">
        <v>501</v>
      </c>
      <c r="BK56" s="135">
        <f>BK$3</f>
        <v>46193</v>
      </c>
      <c r="BL56" s="136" t="s">
        <v>501</v>
      </c>
      <c r="BM56" s="137" t="s">
        <v>501</v>
      </c>
      <c r="BN56" s="135"/>
      <c r="BO56" s="135">
        <f>BO$3</f>
        <v>46195</v>
      </c>
      <c r="BP56" s="136" t="s">
        <v>501</v>
      </c>
      <c r="BQ56" s="137" t="s">
        <v>501</v>
      </c>
      <c r="BR56" s="135">
        <f>BR$3</f>
        <v>46196</v>
      </c>
      <c r="BS56" s="136" t="s">
        <v>501</v>
      </c>
      <c r="BT56" s="137" t="s">
        <v>501</v>
      </c>
      <c r="BU56" s="135">
        <f>BU$3</f>
        <v>46197</v>
      </c>
      <c r="BV56" s="136" t="s">
        <v>501</v>
      </c>
      <c r="BW56" s="137" t="s">
        <v>501</v>
      </c>
      <c r="BX56" s="135">
        <f>BX$3</f>
        <v>46198</v>
      </c>
      <c r="BY56" s="136" t="s">
        <v>501</v>
      </c>
      <c r="BZ56" s="137" t="s">
        <v>501</v>
      </c>
      <c r="CA56" s="135">
        <f>CA$3</f>
        <v>46199</v>
      </c>
      <c r="CB56" s="136" t="s">
        <v>501</v>
      </c>
      <c r="CC56" s="137" t="s">
        <v>501</v>
      </c>
      <c r="CD56" s="135">
        <f>CD$3</f>
        <v>46200</v>
      </c>
      <c r="CE56" s="136" t="s">
        <v>501</v>
      </c>
      <c r="CF56" s="137" t="s">
        <v>501</v>
      </c>
      <c r="CG56" s="135"/>
      <c r="CH56" s="135">
        <f>CH$3</f>
        <v>46202</v>
      </c>
      <c r="CI56" s="148" t="s">
        <v>501</v>
      </c>
      <c r="CJ56" s="137" t="s">
        <v>501</v>
      </c>
      <c r="CK56" s="135">
        <f>CK$3</f>
        <v>46203</v>
      </c>
      <c r="CL56" s="136" t="s">
        <v>501</v>
      </c>
      <c r="CM56" s="137"/>
      <c r="CN56" s="135">
        <f>CN$3</f>
        <v>46204</v>
      </c>
      <c r="CO56" s="136" t="s">
        <v>501</v>
      </c>
      <c r="CP56" s="137" t="s">
        <v>501</v>
      </c>
      <c r="CQ56" s="135">
        <f>CQ$3</f>
        <v>46205</v>
      </c>
      <c r="CR56" s="136" t="s">
        <v>501</v>
      </c>
      <c r="CS56" s="137" t="s">
        <v>501</v>
      </c>
      <c r="CT56" s="135">
        <f>CT$3</f>
        <v>46206</v>
      </c>
      <c r="CU56" s="136" t="s">
        <v>501</v>
      </c>
      <c r="CV56" s="137" t="s">
        <v>501</v>
      </c>
      <c r="CW56" s="135">
        <f>CW$3</f>
        <v>46207</v>
      </c>
      <c r="CX56" s="136" t="s">
        <v>501</v>
      </c>
      <c r="CY56" s="137" t="s">
        <v>501</v>
      </c>
      <c r="CZ56" s="135"/>
      <c r="DA56" s="135">
        <f>DA$3</f>
        <v>46209</v>
      </c>
      <c r="DB56" s="136" t="s">
        <v>501</v>
      </c>
      <c r="DC56" s="137" t="s">
        <v>501</v>
      </c>
      <c r="DD56" s="135">
        <f>DD$3</f>
        <v>46210</v>
      </c>
      <c r="DE56" s="136" t="s">
        <v>501</v>
      </c>
      <c r="DF56" s="137" t="s">
        <v>501</v>
      </c>
      <c r="DG56" s="135">
        <f>DG$3</f>
        <v>46211</v>
      </c>
      <c r="DH56" s="136" t="s">
        <v>501</v>
      </c>
      <c r="DI56" s="137" t="s">
        <v>501</v>
      </c>
      <c r="DJ56" s="135">
        <f>DJ$3</f>
        <v>46212</v>
      </c>
      <c r="DK56" s="136" t="s">
        <v>501</v>
      </c>
      <c r="DL56" s="137" t="s">
        <v>501</v>
      </c>
      <c r="DM56" s="135">
        <f>DM$3</f>
        <v>46213</v>
      </c>
      <c r="DN56" s="136" t="s">
        <v>501</v>
      </c>
      <c r="DO56" s="137" t="s">
        <v>501</v>
      </c>
      <c r="DP56" s="135">
        <f>DP$3</f>
        <v>46214</v>
      </c>
      <c r="DQ56" s="136" t="s">
        <v>501</v>
      </c>
      <c r="DR56" s="137" t="s">
        <v>501</v>
      </c>
    </row>
    <row r="57" spans="1:122" outlineLevel="1">
      <c r="A57" s="122" t="str">
        <f>$A$42</f>
        <v>Đỗ Minh Ngọc</v>
      </c>
      <c r="B57" s="82" t="str">
        <f>'Bảng 3'!A283</f>
        <v>3.N.HCM.CGIO.KSMN.105</v>
      </c>
      <c r="C57" s="81" t="str">
        <f>IF($B57="","",INDEX('Bảng 3'!C:C,MATCH($B57,'Bảng 3'!$A:$A,0)))</f>
        <v>Quản lý BIM</v>
      </c>
      <c r="D57" s="81" t="str">
        <f>IF($B57="","",INDEX('Bảng 3'!D:D,MATCH($B57,'Bảng 3'!$A:$A,0)))</f>
        <v>N.HCM.CGIO.KSMN</v>
      </c>
      <c r="E57" s="81" t="str">
        <f>IF($B57="","",INDEX('Bảng 3'!E:E,MATCH($B57,'Bảng 3'!$A:$A,0)))</f>
        <v>Lô A5.01.04, mẫu M2, M2G, M5, M5G</v>
      </c>
      <c r="F57" s="81" t="str">
        <f>IF($B57="","",INDEX('Bảng 3'!F:F,MATCH($B57,'Bảng 3'!$A:$A,0)))</f>
        <v>KT</v>
      </c>
      <c r="G57" s="81" t="str">
        <f>IF($B57="","",INDEX('Bảng 3'!G:G,MATCH($B57,'Bảng 3'!$A:$A,0)))</f>
        <v>KSCL mô hình BIM</v>
      </c>
      <c r="H57" s="121"/>
      <c r="I57" s="135"/>
      <c r="J57" s="135">
        <f>J$3</f>
        <v>46174</v>
      </c>
      <c r="K57" s="148" t="s">
        <v>501</v>
      </c>
      <c r="L57" s="168" t="s">
        <v>501</v>
      </c>
      <c r="M57" s="135">
        <f>M$3</f>
        <v>46175</v>
      </c>
      <c r="N57" s="148" t="s">
        <v>501</v>
      </c>
      <c r="O57" s="137"/>
      <c r="P57" s="135">
        <f>P$3</f>
        <v>46176</v>
      </c>
      <c r="Q57" s="136" t="s">
        <v>501</v>
      </c>
      <c r="R57" s="137" t="s">
        <v>501</v>
      </c>
      <c r="S57" s="135">
        <f>S$3</f>
        <v>46177</v>
      </c>
      <c r="T57" s="136" t="s">
        <v>501</v>
      </c>
      <c r="U57" s="137" t="s">
        <v>501</v>
      </c>
      <c r="V57" s="135">
        <f>V$3</f>
        <v>46178</v>
      </c>
      <c r="W57" s="136" t="s">
        <v>501</v>
      </c>
      <c r="X57" s="137" t="s">
        <v>501</v>
      </c>
      <c r="Y57" s="135">
        <f>Y$3</f>
        <v>46179</v>
      </c>
      <c r="Z57" s="136" t="s">
        <v>501</v>
      </c>
      <c r="AA57" s="137" t="s">
        <v>501</v>
      </c>
      <c r="AB57" s="135"/>
      <c r="AC57" s="135">
        <f>AC$3</f>
        <v>46181</v>
      </c>
      <c r="AD57" s="136" t="s">
        <v>501</v>
      </c>
      <c r="AE57" s="137" t="s">
        <v>501</v>
      </c>
      <c r="AF57" s="135">
        <f>AF$3</f>
        <v>46182</v>
      </c>
      <c r="AG57" s="136" t="s">
        <v>501</v>
      </c>
      <c r="AH57" s="137" t="s">
        <v>501</v>
      </c>
      <c r="AI57" s="135">
        <f>AI$3</f>
        <v>46183</v>
      </c>
      <c r="AJ57" s="136" t="s">
        <v>501</v>
      </c>
      <c r="AK57" s="137" t="s">
        <v>501</v>
      </c>
      <c r="AL57" s="135">
        <f>AL$3</f>
        <v>46184</v>
      </c>
      <c r="AM57" s="136" t="s">
        <v>501</v>
      </c>
      <c r="AN57" s="137" t="s">
        <v>501</v>
      </c>
      <c r="AO57" s="135">
        <f>AO$3</f>
        <v>46185</v>
      </c>
      <c r="AP57" s="136" t="s">
        <v>501</v>
      </c>
      <c r="AQ57" s="137" t="s">
        <v>501</v>
      </c>
      <c r="AR57" s="135">
        <f>AR$3</f>
        <v>46186</v>
      </c>
      <c r="AS57" s="136" t="s">
        <v>501</v>
      </c>
      <c r="AT57" s="137" t="s">
        <v>501</v>
      </c>
      <c r="AU57" s="135"/>
      <c r="AV57" s="135">
        <f>AV$3</f>
        <v>46188</v>
      </c>
      <c r="AW57" s="148" t="s">
        <v>501</v>
      </c>
      <c r="AX57" s="137" t="s">
        <v>501</v>
      </c>
      <c r="AY57" s="135">
        <f>AY$3</f>
        <v>46189</v>
      </c>
      <c r="AZ57" s="136" t="s">
        <v>501</v>
      </c>
      <c r="BA57" s="137"/>
      <c r="BB57" s="135">
        <f>BB$3</f>
        <v>46190</v>
      </c>
      <c r="BC57" s="136" t="s">
        <v>501</v>
      </c>
      <c r="BD57" s="137" t="s">
        <v>501</v>
      </c>
      <c r="BE57" s="135">
        <f>BE$3</f>
        <v>46191</v>
      </c>
      <c r="BF57" s="136" t="s">
        <v>501</v>
      </c>
      <c r="BG57" s="137" t="s">
        <v>501</v>
      </c>
      <c r="BH57" s="135">
        <f>BH$3</f>
        <v>46192</v>
      </c>
      <c r="BI57" s="136" t="s">
        <v>501</v>
      </c>
      <c r="BJ57" s="137" t="s">
        <v>501</v>
      </c>
      <c r="BK57" s="135">
        <f>BK$3</f>
        <v>46193</v>
      </c>
      <c r="BL57" s="136" t="s">
        <v>501</v>
      </c>
      <c r="BM57" s="137" t="s">
        <v>501</v>
      </c>
      <c r="BN57" s="135"/>
      <c r="BO57" s="135">
        <f>BO$3</f>
        <v>46195</v>
      </c>
      <c r="BP57" s="136" t="s">
        <v>501</v>
      </c>
      <c r="BQ57" s="137" t="s">
        <v>501</v>
      </c>
      <c r="BR57" s="135">
        <f>BR$3</f>
        <v>46196</v>
      </c>
      <c r="BS57" s="136" t="s">
        <v>501</v>
      </c>
      <c r="BT57" s="137" t="s">
        <v>501</v>
      </c>
      <c r="BU57" s="135">
        <f>BU$3</f>
        <v>46197</v>
      </c>
      <c r="BV57" s="136" t="s">
        <v>501</v>
      </c>
      <c r="BW57" s="137" t="s">
        <v>501</v>
      </c>
      <c r="BX57" s="135">
        <f>BX$3</f>
        <v>46198</v>
      </c>
      <c r="BY57" s="136" t="s">
        <v>501</v>
      </c>
      <c r="BZ57" s="137" t="s">
        <v>501</v>
      </c>
      <c r="CA57" s="135">
        <f>CA$3</f>
        <v>46199</v>
      </c>
      <c r="CB57" s="136" t="s">
        <v>501</v>
      </c>
      <c r="CC57" s="137" t="s">
        <v>501</v>
      </c>
      <c r="CD57" s="135">
        <f>CD$3</f>
        <v>46200</v>
      </c>
      <c r="CE57" s="136" t="s">
        <v>501</v>
      </c>
      <c r="CF57" s="137" t="s">
        <v>501</v>
      </c>
      <c r="CG57" s="135"/>
      <c r="CH57" s="135">
        <f>CH$3</f>
        <v>46202</v>
      </c>
      <c r="CI57" s="148" t="s">
        <v>501</v>
      </c>
      <c r="CJ57" s="137" t="s">
        <v>501</v>
      </c>
      <c r="CK57" s="135">
        <f>CK$3</f>
        <v>46203</v>
      </c>
      <c r="CL57" s="136" t="s">
        <v>501</v>
      </c>
      <c r="CM57" s="137"/>
      <c r="CN57" s="135">
        <f>CN$3</f>
        <v>46204</v>
      </c>
      <c r="CO57" s="136" t="s">
        <v>501</v>
      </c>
      <c r="CP57" s="137" t="s">
        <v>501</v>
      </c>
      <c r="CQ57" s="135">
        <f>CQ$3</f>
        <v>46205</v>
      </c>
      <c r="CR57" s="136" t="s">
        <v>501</v>
      </c>
      <c r="CS57" s="137" t="s">
        <v>501</v>
      </c>
      <c r="CT57" s="135">
        <f>CT$3</f>
        <v>46206</v>
      </c>
      <c r="CU57" s="136" t="s">
        <v>501</v>
      </c>
      <c r="CV57" s="137" t="s">
        <v>501</v>
      </c>
      <c r="CW57" s="135">
        <f>CW$3</f>
        <v>46207</v>
      </c>
      <c r="CX57" s="136" t="s">
        <v>501</v>
      </c>
      <c r="CY57" s="137" t="s">
        <v>501</v>
      </c>
      <c r="CZ57" s="135"/>
      <c r="DA57" s="135">
        <f>DA$3</f>
        <v>46209</v>
      </c>
      <c r="DB57" s="136" t="s">
        <v>501</v>
      </c>
      <c r="DC57" s="137" t="s">
        <v>501</v>
      </c>
      <c r="DD57" s="135">
        <f>DD$3</f>
        <v>46210</v>
      </c>
      <c r="DE57" s="136" t="s">
        <v>501</v>
      </c>
      <c r="DF57" s="137" t="s">
        <v>501</v>
      </c>
      <c r="DG57" s="135">
        <f>DG$3</f>
        <v>46211</v>
      </c>
      <c r="DH57" s="136" t="s">
        <v>501</v>
      </c>
      <c r="DI57" s="137" t="s">
        <v>501</v>
      </c>
      <c r="DJ57" s="135">
        <f>DJ$3</f>
        <v>46212</v>
      </c>
      <c r="DK57" s="136" t="s">
        <v>501</v>
      </c>
      <c r="DL57" s="137" t="s">
        <v>501</v>
      </c>
      <c r="DM57" s="135">
        <f>DM$3</f>
        <v>46213</v>
      </c>
      <c r="DN57" s="136" t="s">
        <v>501</v>
      </c>
      <c r="DO57" s="137" t="s">
        <v>501</v>
      </c>
      <c r="DP57" s="135">
        <f>DP$3</f>
        <v>46214</v>
      </c>
      <c r="DQ57" s="136" t="s">
        <v>501</v>
      </c>
      <c r="DR57" s="137" t="s">
        <v>501</v>
      </c>
    </row>
    <row r="58" spans="1:122" outlineLevel="1">
      <c r="A58" s="122" t="str">
        <f>$A$42</f>
        <v>Đỗ Minh Ngọc</v>
      </c>
      <c r="B58" s="82" t="str">
        <f>'Bảng 3'!A284</f>
        <v>3.N.HCM.CGIO.KSMN.106</v>
      </c>
      <c r="C58" s="81" t="str">
        <f>IF($B58="","",INDEX('Bảng 3'!C:C,MATCH($B58,'Bảng 3'!$A:$A,0)))</f>
        <v>Quản lý BIM</v>
      </c>
      <c r="D58" s="81" t="str">
        <f>IF($B58="","",INDEX('Bảng 3'!D:D,MATCH($B58,'Bảng 3'!$A:$A,0)))</f>
        <v>N.HCM.CGIO.KSMN</v>
      </c>
      <c r="E58" s="81" t="str">
        <f>IF($B58="","",INDEX('Bảng 3'!E:E,MATCH($B58,'Bảng 3'!$A:$A,0)))</f>
        <v>Lô A5.01.04, mẫu M2, M2G, M5, M5G</v>
      </c>
      <c r="F58" s="81" t="str">
        <f>IF($B58="","",INDEX('Bảng 3'!F:F,MATCH($B58,'Bảng 3'!$A:$A,0)))</f>
        <v>KT</v>
      </c>
      <c r="G58" s="81" t="str">
        <f>IF($B58="","",INDEX('Bảng 3'!G:G,MATCH($B58,'Bảng 3'!$A:$A,0)))</f>
        <v>Tạo lập mô hình BIM</v>
      </c>
      <c r="H58" s="121"/>
      <c r="I58" s="135"/>
      <c r="J58" s="135">
        <f>J$3</f>
        <v>46174</v>
      </c>
      <c r="K58" s="148" t="s">
        <v>501</v>
      </c>
      <c r="L58" s="168" t="s">
        <v>501</v>
      </c>
      <c r="M58" s="135">
        <f>M$3</f>
        <v>46175</v>
      </c>
      <c r="N58" s="148" t="s">
        <v>501</v>
      </c>
      <c r="O58" s="137"/>
      <c r="P58" s="135">
        <f>P$3</f>
        <v>46176</v>
      </c>
      <c r="Q58" s="136" t="s">
        <v>501</v>
      </c>
      <c r="R58" s="137" t="s">
        <v>501</v>
      </c>
      <c r="S58" s="135">
        <f>S$3</f>
        <v>46177</v>
      </c>
      <c r="T58" s="136" t="s">
        <v>501</v>
      </c>
      <c r="U58" s="137" t="s">
        <v>501</v>
      </c>
      <c r="V58" s="135">
        <f>V$3</f>
        <v>46178</v>
      </c>
      <c r="W58" s="136" t="s">
        <v>501</v>
      </c>
      <c r="X58" s="137" t="s">
        <v>501</v>
      </c>
      <c r="Y58" s="135">
        <f>Y$3</f>
        <v>46179</v>
      </c>
      <c r="Z58" s="136" t="s">
        <v>501</v>
      </c>
      <c r="AA58" s="137" t="s">
        <v>501</v>
      </c>
      <c r="AB58" s="135"/>
      <c r="AC58" s="135">
        <f>AC$3</f>
        <v>46181</v>
      </c>
      <c r="AD58" s="136" t="s">
        <v>501</v>
      </c>
      <c r="AE58" s="137" t="s">
        <v>501</v>
      </c>
      <c r="AF58" s="135">
        <f>AF$3</f>
        <v>46182</v>
      </c>
      <c r="AG58" s="136" t="s">
        <v>501</v>
      </c>
      <c r="AH58" s="137" t="s">
        <v>501</v>
      </c>
      <c r="AI58" s="135">
        <f>AI$3</f>
        <v>46183</v>
      </c>
      <c r="AJ58" s="136" t="s">
        <v>501</v>
      </c>
      <c r="AK58" s="137" t="s">
        <v>501</v>
      </c>
      <c r="AL58" s="135">
        <f>AL$3</f>
        <v>46184</v>
      </c>
      <c r="AM58" s="136" t="s">
        <v>501</v>
      </c>
      <c r="AN58" s="137" t="s">
        <v>501</v>
      </c>
      <c r="AO58" s="135">
        <f>AO$3</f>
        <v>46185</v>
      </c>
      <c r="AP58" s="136" t="s">
        <v>501</v>
      </c>
      <c r="AQ58" s="137" t="s">
        <v>501</v>
      </c>
      <c r="AR58" s="135">
        <f>AR$3</f>
        <v>46186</v>
      </c>
      <c r="AS58" s="136" t="s">
        <v>501</v>
      </c>
      <c r="AT58" s="137" t="s">
        <v>501</v>
      </c>
      <c r="AU58" s="135"/>
      <c r="AV58" s="135">
        <f>AV$3</f>
        <v>46188</v>
      </c>
      <c r="AW58" s="148" t="s">
        <v>501</v>
      </c>
      <c r="AX58" s="137" t="s">
        <v>501</v>
      </c>
      <c r="AY58" s="135">
        <f>AY$3</f>
        <v>46189</v>
      </c>
      <c r="AZ58" s="136" t="s">
        <v>501</v>
      </c>
      <c r="BA58" s="137"/>
      <c r="BB58" s="135">
        <f>BB$3</f>
        <v>46190</v>
      </c>
      <c r="BC58" s="136" t="s">
        <v>501</v>
      </c>
      <c r="BD58" s="137" t="s">
        <v>501</v>
      </c>
      <c r="BE58" s="135">
        <f>BE$3</f>
        <v>46191</v>
      </c>
      <c r="BF58" s="136" t="s">
        <v>501</v>
      </c>
      <c r="BG58" s="137" t="s">
        <v>501</v>
      </c>
      <c r="BH58" s="135">
        <f>BH$3</f>
        <v>46192</v>
      </c>
      <c r="BI58" s="136" t="s">
        <v>501</v>
      </c>
      <c r="BJ58" s="137" t="s">
        <v>501</v>
      </c>
      <c r="BK58" s="135">
        <f>BK$3</f>
        <v>46193</v>
      </c>
      <c r="BL58" s="136" t="s">
        <v>501</v>
      </c>
      <c r="BM58" s="137" t="s">
        <v>501</v>
      </c>
      <c r="BN58" s="135"/>
      <c r="BO58" s="135">
        <f>BO$3</f>
        <v>46195</v>
      </c>
      <c r="BP58" s="136" t="s">
        <v>501</v>
      </c>
      <c r="BQ58" s="137" t="s">
        <v>501</v>
      </c>
      <c r="BR58" s="135">
        <f>BR$3</f>
        <v>46196</v>
      </c>
      <c r="BS58" s="136" t="s">
        <v>501</v>
      </c>
      <c r="BT58" s="137" t="s">
        <v>501</v>
      </c>
      <c r="BU58" s="135">
        <f>BU$3</f>
        <v>46197</v>
      </c>
      <c r="BV58" s="136" t="s">
        <v>501</v>
      </c>
      <c r="BW58" s="137" t="s">
        <v>501</v>
      </c>
      <c r="BX58" s="135">
        <f>BX$3</f>
        <v>46198</v>
      </c>
      <c r="BY58" s="136" t="s">
        <v>501</v>
      </c>
      <c r="BZ58" s="137" t="s">
        <v>501</v>
      </c>
      <c r="CA58" s="135">
        <f>CA$3</f>
        <v>46199</v>
      </c>
      <c r="CB58" s="136" t="s">
        <v>501</v>
      </c>
      <c r="CC58" s="137" t="s">
        <v>501</v>
      </c>
      <c r="CD58" s="135">
        <f>CD$3</f>
        <v>46200</v>
      </c>
      <c r="CE58" s="136" t="s">
        <v>501</v>
      </c>
      <c r="CF58" s="137" t="s">
        <v>501</v>
      </c>
      <c r="CG58" s="135"/>
      <c r="CH58" s="135">
        <f>CH$3</f>
        <v>46202</v>
      </c>
      <c r="CI58" s="148" t="s">
        <v>501</v>
      </c>
      <c r="CJ58" s="137" t="s">
        <v>501</v>
      </c>
      <c r="CK58" s="135">
        <f>CK$3</f>
        <v>46203</v>
      </c>
      <c r="CL58" s="136" t="s">
        <v>501</v>
      </c>
      <c r="CM58" s="137"/>
      <c r="CN58" s="135">
        <f>CN$3</f>
        <v>46204</v>
      </c>
      <c r="CO58" s="136" t="s">
        <v>501</v>
      </c>
      <c r="CP58" s="137" t="s">
        <v>501</v>
      </c>
      <c r="CQ58" s="135">
        <f>CQ$3</f>
        <v>46205</v>
      </c>
      <c r="CR58" s="136" t="s">
        <v>501</v>
      </c>
      <c r="CS58" s="137" t="s">
        <v>501</v>
      </c>
      <c r="CT58" s="135">
        <f>CT$3</f>
        <v>46206</v>
      </c>
      <c r="CU58" s="136" t="s">
        <v>501</v>
      </c>
      <c r="CV58" s="137" t="s">
        <v>501</v>
      </c>
      <c r="CW58" s="135">
        <f>CW$3</f>
        <v>46207</v>
      </c>
      <c r="CX58" s="136" t="s">
        <v>501</v>
      </c>
      <c r="CY58" s="137" t="s">
        <v>501</v>
      </c>
      <c r="CZ58" s="135"/>
      <c r="DA58" s="135">
        <f>DA$3</f>
        <v>46209</v>
      </c>
      <c r="DB58" s="136" t="s">
        <v>501</v>
      </c>
      <c r="DC58" s="137" t="s">
        <v>501</v>
      </c>
      <c r="DD58" s="135">
        <f>DD$3</f>
        <v>46210</v>
      </c>
      <c r="DE58" s="136" t="s">
        <v>501</v>
      </c>
      <c r="DF58" s="137" t="s">
        <v>501</v>
      </c>
      <c r="DG58" s="135">
        <f>DG$3</f>
        <v>46211</v>
      </c>
      <c r="DH58" s="136" t="s">
        <v>501</v>
      </c>
      <c r="DI58" s="137" t="s">
        <v>501</v>
      </c>
      <c r="DJ58" s="135">
        <f>DJ$3</f>
        <v>46212</v>
      </c>
      <c r="DK58" s="136" t="s">
        <v>501</v>
      </c>
      <c r="DL58" s="137" t="s">
        <v>501</v>
      </c>
      <c r="DM58" s="135">
        <f>DM$3</f>
        <v>46213</v>
      </c>
      <c r="DN58" s="136" t="s">
        <v>501</v>
      </c>
      <c r="DO58" s="137" t="s">
        <v>501</v>
      </c>
      <c r="DP58" s="135">
        <f>DP$3</f>
        <v>46214</v>
      </c>
      <c r="DQ58" s="136" t="s">
        <v>501</v>
      </c>
      <c r="DR58" s="137" t="s">
        <v>501</v>
      </c>
    </row>
    <row r="59" spans="1:122" outlineLevel="1">
      <c r="A59" s="122" t="str">
        <f>$A$42</f>
        <v>Đỗ Minh Ngọc</v>
      </c>
      <c r="B59" s="82" t="str">
        <f>'Bảng 3'!A285</f>
        <v>3.N.HCM.CGIO.KSMN.203</v>
      </c>
      <c r="C59" s="81" t="str">
        <f>IF($B59="","",INDEX('Bảng 3'!C:C,MATCH($B59,'Bảng 3'!$A:$A,0)))</f>
        <v>Quản lý BIM</v>
      </c>
      <c r="D59" s="81" t="str">
        <f>IF($B59="","",INDEX('Bảng 3'!D:D,MATCH($B59,'Bảng 3'!$A:$A,0)))</f>
        <v>N.HCM.CGIO.KSMN</v>
      </c>
      <c r="E59" s="81" t="str">
        <f>IF($B59="","",INDEX('Bảng 3'!E:E,MATCH($B59,'Bảng 3'!$A:$A,0)))</f>
        <v>Lô A5.01.04, mẫu M2, M2G, M5, M5G</v>
      </c>
      <c r="F59" s="81" t="str">
        <f>IF($B59="","",INDEX('Bảng 3'!F:F,MATCH($B59,'Bảng 3'!$A:$A,0)))</f>
        <v>KC</v>
      </c>
      <c r="G59" s="81" t="str">
        <f>IF($B59="","",INDEX('Bảng 3'!G:G,MATCH($B59,'Bảng 3'!$A:$A,0)))</f>
        <v>KSCL mô hình BIM</v>
      </c>
      <c r="H59" s="121"/>
      <c r="I59" s="135"/>
      <c r="J59" s="135">
        <f>J$3</f>
        <v>46174</v>
      </c>
      <c r="K59" s="148" t="s">
        <v>501</v>
      </c>
      <c r="L59" s="168" t="s">
        <v>501</v>
      </c>
      <c r="M59" s="135">
        <f>M$3</f>
        <v>46175</v>
      </c>
      <c r="N59" s="148" t="s">
        <v>501</v>
      </c>
      <c r="O59" s="137"/>
      <c r="P59" s="135">
        <f>P$3</f>
        <v>46176</v>
      </c>
      <c r="Q59" s="136" t="s">
        <v>501</v>
      </c>
      <c r="R59" s="137" t="s">
        <v>501</v>
      </c>
      <c r="S59" s="135">
        <f>S$3</f>
        <v>46177</v>
      </c>
      <c r="T59" s="136" t="s">
        <v>501</v>
      </c>
      <c r="U59" s="137" t="s">
        <v>501</v>
      </c>
      <c r="V59" s="135">
        <f>V$3</f>
        <v>46178</v>
      </c>
      <c r="W59" s="136" t="s">
        <v>501</v>
      </c>
      <c r="X59" s="137" t="s">
        <v>501</v>
      </c>
      <c r="Y59" s="135">
        <f>Y$3</f>
        <v>46179</v>
      </c>
      <c r="Z59" s="136" t="s">
        <v>501</v>
      </c>
      <c r="AA59" s="137" t="s">
        <v>501</v>
      </c>
      <c r="AB59" s="135"/>
      <c r="AC59" s="135">
        <f>AC$3</f>
        <v>46181</v>
      </c>
      <c r="AD59" s="136" t="s">
        <v>501</v>
      </c>
      <c r="AE59" s="137" t="s">
        <v>501</v>
      </c>
      <c r="AF59" s="135">
        <f>AF$3</f>
        <v>46182</v>
      </c>
      <c r="AG59" s="136" t="s">
        <v>501</v>
      </c>
      <c r="AH59" s="137" t="s">
        <v>501</v>
      </c>
      <c r="AI59" s="135">
        <f>AI$3</f>
        <v>46183</v>
      </c>
      <c r="AJ59" s="136" t="s">
        <v>501</v>
      </c>
      <c r="AK59" s="137" t="s">
        <v>501</v>
      </c>
      <c r="AL59" s="135">
        <f>AL$3</f>
        <v>46184</v>
      </c>
      <c r="AM59" s="136" t="s">
        <v>501</v>
      </c>
      <c r="AN59" s="137" t="s">
        <v>501</v>
      </c>
      <c r="AO59" s="135">
        <f>AO$3</f>
        <v>46185</v>
      </c>
      <c r="AP59" s="136" t="s">
        <v>501</v>
      </c>
      <c r="AQ59" s="137" t="s">
        <v>501</v>
      </c>
      <c r="AR59" s="135">
        <f>AR$3</f>
        <v>46186</v>
      </c>
      <c r="AS59" s="136" t="s">
        <v>501</v>
      </c>
      <c r="AT59" s="137" t="s">
        <v>501</v>
      </c>
      <c r="AU59" s="135"/>
      <c r="AV59" s="135">
        <f>AV$3</f>
        <v>46188</v>
      </c>
      <c r="AW59" s="148" t="s">
        <v>501</v>
      </c>
      <c r="AX59" s="137" t="s">
        <v>501</v>
      </c>
      <c r="AY59" s="135">
        <f>AY$3</f>
        <v>46189</v>
      </c>
      <c r="AZ59" s="136" t="s">
        <v>501</v>
      </c>
      <c r="BA59" s="137"/>
      <c r="BB59" s="135">
        <f>BB$3</f>
        <v>46190</v>
      </c>
      <c r="BC59" s="136" t="s">
        <v>501</v>
      </c>
      <c r="BD59" s="137" t="s">
        <v>501</v>
      </c>
      <c r="BE59" s="135">
        <f>BE$3</f>
        <v>46191</v>
      </c>
      <c r="BF59" s="136" t="s">
        <v>501</v>
      </c>
      <c r="BG59" s="137" t="s">
        <v>501</v>
      </c>
      <c r="BH59" s="135">
        <f>BH$3</f>
        <v>46192</v>
      </c>
      <c r="BI59" s="136" t="s">
        <v>501</v>
      </c>
      <c r="BJ59" s="137" t="s">
        <v>501</v>
      </c>
      <c r="BK59" s="135">
        <f>BK$3</f>
        <v>46193</v>
      </c>
      <c r="BL59" s="136" t="s">
        <v>501</v>
      </c>
      <c r="BM59" s="137" t="s">
        <v>501</v>
      </c>
      <c r="BN59" s="135"/>
      <c r="BO59" s="135">
        <f>BO$3</f>
        <v>46195</v>
      </c>
      <c r="BP59" s="136" t="s">
        <v>501</v>
      </c>
      <c r="BQ59" s="137" t="s">
        <v>501</v>
      </c>
      <c r="BR59" s="135">
        <f>BR$3</f>
        <v>46196</v>
      </c>
      <c r="BS59" s="136" t="s">
        <v>501</v>
      </c>
      <c r="BT59" s="137" t="s">
        <v>501</v>
      </c>
      <c r="BU59" s="135">
        <f>BU$3</f>
        <v>46197</v>
      </c>
      <c r="BV59" s="136" t="s">
        <v>501</v>
      </c>
      <c r="BW59" s="137" t="s">
        <v>501</v>
      </c>
      <c r="BX59" s="135">
        <f>BX$3</f>
        <v>46198</v>
      </c>
      <c r="BY59" s="136" t="s">
        <v>501</v>
      </c>
      <c r="BZ59" s="137" t="s">
        <v>501</v>
      </c>
      <c r="CA59" s="135">
        <f>CA$3</f>
        <v>46199</v>
      </c>
      <c r="CB59" s="136" t="s">
        <v>501</v>
      </c>
      <c r="CC59" s="137" t="s">
        <v>501</v>
      </c>
      <c r="CD59" s="135">
        <f>CD$3</f>
        <v>46200</v>
      </c>
      <c r="CE59" s="136" t="s">
        <v>501</v>
      </c>
      <c r="CF59" s="137" t="s">
        <v>501</v>
      </c>
      <c r="CG59" s="135"/>
      <c r="CH59" s="135">
        <f>CH$3</f>
        <v>46202</v>
      </c>
      <c r="CI59" s="148" t="s">
        <v>501</v>
      </c>
      <c r="CJ59" s="137" t="s">
        <v>501</v>
      </c>
      <c r="CK59" s="135">
        <f>CK$3</f>
        <v>46203</v>
      </c>
      <c r="CL59" s="136" t="s">
        <v>501</v>
      </c>
      <c r="CM59" s="137"/>
      <c r="CN59" s="135">
        <f>CN$3</f>
        <v>46204</v>
      </c>
      <c r="CO59" s="136" t="s">
        <v>501</v>
      </c>
      <c r="CP59" s="137" t="s">
        <v>501</v>
      </c>
      <c r="CQ59" s="135">
        <f>CQ$3</f>
        <v>46205</v>
      </c>
      <c r="CR59" s="136" t="s">
        <v>501</v>
      </c>
      <c r="CS59" s="137" t="s">
        <v>501</v>
      </c>
      <c r="CT59" s="135">
        <f>CT$3</f>
        <v>46206</v>
      </c>
      <c r="CU59" s="136" t="s">
        <v>501</v>
      </c>
      <c r="CV59" s="137" t="s">
        <v>501</v>
      </c>
      <c r="CW59" s="135">
        <f>CW$3</f>
        <v>46207</v>
      </c>
      <c r="CX59" s="136" t="s">
        <v>501</v>
      </c>
      <c r="CY59" s="137" t="s">
        <v>501</v>
      </c>
      <c r="CZ59" s="135"/>
      <c r="DA59" s="135">
        <f>DA$3</f>
        <v>46209</v>
      </c>
      <c r="DB59" s="136" t="s">
        <v>501</v>
      </c>
      <c r="DC59" s="137" t="s">
        <v>501</v>
      </c>
      <c r="DD59" s="135">
        <f>DD$3</f>
        <v>46210</v>
      </c>
      <c r="DE59" s="136" t="s">
        <v>501</v>
      </c>
      <c r="DF59" s="137" t="s">
        <v>501</v>
      </c>
      <c r="DG59" s="135">
        <f>DG$3</f>
        <v>46211</v>
      </c>
      <c r="DH59" s="136" t="s">
        <v>501</v>
      </c>
      <c r="DI59" s="137" t="s">
        <v>501</v>
      </c>
      <c r="DJ59" s="135">
        <f>DJ$3</f>
        <v>46212</v>
      </c>
      <c r="DK59" s="136" t="s">
        <v>501</v>
      </c>
      <c r="DL59" s="137" t="s">
        <v>501</v>
      </c>
      <c r="DM59" s="135">
        <f>DM$3</f>
        <v>46213</v>
      </c>
      <c r="DN59" s="136" t="s">
        <v>501</v>
      </c>
      <c r="DO59" s="137" t="s">
        <v>501</v>
      </c>
      <c r="DP59" s="135">
        <f>DP$3</f>
        <v>46214</v>
      </c>
      <c r="DQ59" s="136" t="s">
        <v>501</v>
      </c>
      <c r="DR59" s="137" t="s">
        <v>501</v>
      </c>
    </row>
    <row r="60" spans="1:122" ht="76.5" outlineLevel="1">
      <c r="A60" s="122" t="str">
        <f>$A$42</f>
        <v>Đỗ Minh Ngọc</v>
      </c>
      <c r="B60" s="82" t="str">
        <f>'Bảng 3'!A291</f>
        <v>3.N.HCM.CGIO.NTD.101</v>
      </c>
      <c r="C60" s="81" t="str">
        <f>IF($B60="","",INDEX('Bảng 3'!C:C,MATCH($B60,'Bảng 3'!$A:$A,0)))</f>
        <v>Quản lý BIM</v>
      </c>
      <c r="D60" s="81" t="str">
        <f>IF($B60="","",INDEX('Bảng 3'!D:D,MATCH($B60,'Bảng 3'!$A:$A,0)))</f>
        <v>N.HCM.CGIO.NTD</v>
      </c>
      <c r="E60" s="81" t="str">
        <f>IF($B60="","",INDEX('Bảng 3'!E:E,MATCH($B60,'Bảng 3'!$A:$A,0)))</f>
        <v>Nhà thi đấu lô B5.03.2</v>
      </c>
      <c r="F60" s="81" t="str">
        <f>IF($B60="","",INDEX('Bảng 3'!F:F,MATCH($B60,'Bảng 3'!$A:$A,0)))</f>
        <v>KT</v>
      </c>
      <c r="G60" s="81" t="str">
        <f>IF($B60="","",INDEX('Bảng 3'!G:G,MATCH($B60,'Bảng 3'!$A:$A,0)))</f>
        <v>KSCL mô hình BIM</v>
      </c>
      <c r="H60" s="121"/>
      <c r="I60" s="135"/>
      <c r="J60" s="135">
        <f>J$3</f>
        <v>46174</v>
      </c>
      <c r="K60" s="148" t="s">
        <v>642</v>
      </c>
      <c r="L60" s="168">
        <v>3</v>
      </c>
      <c r="M60" s="135">
        <f>M$3</f>
        <v>46175</v>
      </c>
      <c r="N60" s="148" t="s">
        <v>643</v>
      </c>
      <c r="O60" s="137">
        <v>2</v>
      </c>
      <c r="P60" s="135">
        <f>P$3</f>
        <v>46176</v>
      </c>
      <c r="Q60" s="136" t="s">
        <v>501</v>
      </c>
      <c r="R60" s="137" t="s">
        <v>501</v>
      </c>
      <c r="S60" s="135">
        <f>S$3</f>
        <v>46177</v>
      </c>
      <c r="T60" s="136" t="s">
        <v>501</v>
      </c>
      <c r="U60" s="137" t="s">
        <v>501</v>
      </c>
      <c r="V60" s="135">
        <f>V$3</f>
        <v>46178</v>
      </c>
      <c r="W60" s="136" t="s">
        <v>501</v>
      </c>
      <c r="X60" s="137" t="s">
        <v>501</v>
      </c>
      <c r="Y60" s="135">
        <f>Y$3</f>
        <v>46179</v>
      </c>
      <c r="Z60" s="136" t="s">
        <v>501</v>
      </c>
      <c r="AA60" s="137" t="s">
        <v>501</v>
      </c>
      <c r="AB60" s="135"/>
      <c r="AC60" s="135">
        <f>AC$3</f>
        <v>46181</v>
      </c>
      <c r="AD60" s="136" t="s">
        <v>501</v>
      </c>
      <c r="AE60" s="137" t="s">
        <v>501</v>
      </c>
      <c r="AF60" s="135">
        <f>AF$3</f>
        <v>46182</v>
      </c>
      <c r="AG60" s="136" t="s">
        <v>501</v>
      </c>
      <c r="AH60" s="137" t="s">
        <v>501</v>
      </c>
      <c r="AI60" s="135">
        <f>AI$3</f>
        <v>46183</v>
      </c>
      <c r="AJ60" s="136" t="s">
        <v>501</v>
      </c>
      <c r="AK60" s="137" t="s">
        <v>501</v>
      </c>
      <c r="AL60" s="135">
        <f>AL$3</f>
        <v>46184</v>
      </c>
      <c r="AM60" s="136" t="s">
        <v>501</v>
      </c>
      <c r="AN60" s="137" t="s">
        <v>501</v>
      </c>
      <c r="AO60" s="135">
        <f>AO$3</f>
        <v>46185</v>
      </c>
      <c r="AP60" s="136" t="s">
        <v>501</v>
      </c>
      <c r="AQ60" s="137" t="s">
        <v>501</v>
      </c>
      <c r="AR60" s="135">
        <f>AR$3</f>
        <v>46186</v>
      </c>
      <c r="AS60" s="136" t="s">
        <v>501</v>
      </c>
      <c r="AT60" s="137" t="s">
        <v>501</v>
      </c>
      <c r="AU60" s="135"/>
      <c r="AV60" s="135">
        <f>AV$3</f>
        <v>46188</v>
      </c>
      <c r="AW60" s="148" t="s">
        <v>501</v>
      </c>
      <c r="AX60" s="137" t="s">
        <v>501</v>
      </c>
      <c r="AY60" s="135">
        <f>AY$3</f>
        <v>46189</v>
      </c>
      <c r="AZ60" s="136" t="s">
        <v>501</v>
      </c>
      <c r="BA60" s="137"/>
      <c r="BB60" s="135">
        <f>BB$3</f>
        <v>46190</v>
      </c>
      <c r="BC60" s="136" t="s">
        <v>501</v>
      </c>
      <c r="BD60" s="137" t="s">
        <v>501</v>
      </c>
      <c r="BE60" s="135">
        <f>BE$3</f>
        <v>46191</v>
      </c>
      <c r="BF60" s="136" t="s">
        <v>501</v>
      </c>
      <c r="BG60" s="137" t="s">
        <v>501</v>
      </c>
      <c r="BH60" s="135">
        <f>BH$3</f>
        <v>46192</v>
      </c>
      <c r="BI60" s="136" t="s">
        <v>501</v>
      </c>
      <c r="BJ60" s="137" t="s">
        <v>501</v>
      </c>
      <c r="BK60" s="135">
        <f>BK$3</f>
        <v>46193</v>
      </c>
      <c r="BL60" s="136" t="s">
        <v>501</v>
      </c>
      <c r="BM60" s="137" t="s">
        <v>501</v>
      </c>
      <c r="BN60" s="135"/>
      <c r="BO60" s="135">
        <f>BO$3</f>
        <v>46195</v>
      </c>
      <c r="BP60" s="136" t="s">
        <v>501</v>
      </c>
      <c r="BQ60" s="137" t="s">
        <v>501</v>
      </c>
      <c r="BR60" s="135">
        <f>BR$3</f>
        <v>46196</v>
      </c>
      <c r="BS60" s="136" t="s">
        <v>501</v>
      </c>
      <c r="BT60" s="137" t="s">
        <v>501</v>
      </c>
      <c r="BU60" s="135">
        <f>BU$3</f>
        <v>46197</v>
      </c>
      <c r="BV60" s="136" t="s">
        <v>501</v>
      </c>
      <c r="BW60" s="137" t="s">
        <v>501</v>
      </c>
      <c r="BX60" s="135">
        <f>BX$3</f>
        <v>46198</v>
      </c>
      <c r="BY60" s="136" t="s">
        <v>501</v>
      </c>
      <c r="BZ60" s="137" t="s">
        <v>501</v>
      </c>
      <c r="CA60" s="135">
        <f>CA$3</f>
        <v>46199</v>
      </c>
      <c r="CB60" s="136" t="s">
        <v>501</v>
      </c>
      <c r="CC60" s="137" t="s">
        <v>501</v>
      </c>
      <c r="CD60" s="135">
        <f>CD$3</f>
        <v>46200</v>
      </c>
      <c r="CE60" s="136" t="s">
        <v>501</v>
      </c>
      <c r="CF60" s="137" t="s">
        <v>501</v>
      </c>
      <c r="CG60" s="135"/>
      <c r="CH60" s="135">
        <f>CH$3</f>
        <v>46202</v>
      </c>
      <c r="CI60" s="148" t="s">
        <v>501</v>
      </c>
      <c r="CJ60" s="137" t="s">
        <v>501</v>
      </c>
      <c r="CK60" s="135">
        <f>CK$3</f>
        <v>46203</v>
      </c>
      <c r="CL60" s="136" t="s">
        <v>501</v>
      </c>
      <c r="CM60" s="137"/>
      <c r="CN60" s="135">
        <f>CN$3</f>
        <v>46204</v>
      </c>
      <c r="CO60" s="136" t="s">
        <v>501</v>
      </c>
      <c r="CP60" s="137" t="s">
        <v>501</v>
      </c>
      <c r="CQ60" s="135">
        <f>CQ$3</f>
        <v>46205</v>
      </c>
      <c r="CR60" s="136" t="s">
        <v>501</v>
      </c>
      <c r="CS60" s="137" t="s">
        <v>501</v>
      </c>
      <c r="CT60" s="135">
        <f>CT$3</f>
        <v>46206</v>
      </c>
      <c r="CU60" s="136" t="s">
        <v>501</v>
      </c>
      <c r="CV60" s="137" t="s">
        <v>501</v>
      </c>
      <c r="CW60" s="135">
        <f>CW$3</f>
        <v>46207</v>
      </c>
      <c r="CX60" s="136" t="s">
        <v>501</v>
      </c>
      <c r="CY60" s="137" t="s">
        <v>501</v>
      </c>
      <c r="CZ60" s="135"/>
      <c r="DA60" s="135">
        <f>DA$3</f>
        <v>46209</v>
      </c>
      <c r="DB60" s="136" t="s">
        <v>501</v>
      </c>
      <c r="DC60" s="137" t="s">
        <v>501</v>
      </c>
      <c r="DD60" s="135">
        <f>DD$3</f>
        <v>46210</v>
      </c>
      <c r="DE60" s="136" t="s">
        <v>501</v>
      </c>
      <c r="DF60" s="137" t="s">
        <v>501</v>
      </c>
      <c r="DG60" s="135">
        <f>DG$3</f>
        <v>46211</v>
      </c>
      <c r="DH60" s="136" t="s">
        <v>501</v>
      </c>
      <c r="DI60" s="137" t="s">
        <v>501</v>
      </c>
      <c r="DJ60" s="135">
        <f>DJ$3</f>
        <v>46212</v>
      </c>
      <c r="DK60" s="136" t="s">
        <v>501</v>
      </c>
      <c r="DL60" s="137" t="s">
        <v>501</v>
      </c>
      <c r="DM60" s="135">
        <f>DM$3</f>
        <v>46213</v>
      </c>
      <c r="DN60" s="136" t="s">
        <v>501</v>
      </c>
      <c r="DO60" s="137" t="s">
        <v>501</v>
      </c>
      <c r="DP60" s="135">
        <f>DP$3</f>
        <v>46214</v>
      </c>
      <c r="DQ60" s="136" t="s">
        <v>501</v>
      </c>
      <c r="DR60" s="137" t="s">
        <v>501</v>
      </c>
    </row>
    <row r="61" spans="1:122" outlineLevel="1">
      <c r="A61" s="122" t="str">
        <f>$A$42</f>
        <v>Đỗ Minh Ngọc</v>
      </c>
      <c r="B61" s="82" t="str">
        <f>'Bảng 3'!A293</f>
        <v>3.N.HCM.CGIO.NTD.201</v>
      </c>
      <c r="C61" s="81" t="str">
        <f>IF($B61="","",INDEX('Bảng 3'!C:C,MATCH($B61,'Bảng 3'!$A:$A,0)))</f>
        <v>Quản lý BIM</v>
      </c>
      <c r="D61" s="81" t="str">
        <f>IF($B61="","",INDEX('Bảng 3'!D:D,MATCH($B61,'Bảng 3'!$A:$A,0)))</f>
        <v>N.HCM.CGIO.NTD</v>
      </c>
      <c r="E61" s="81" t="str">
        <f>IF($B61="","",INDEX('Bảng 3'!E:E,MATCH($B61,'Bảng 3'!$A:$A,0)))</f>
        <v>Nhà thi đấu lô B5.03.2</v>
      </c>
      <c r="F61" s="81" t="str">
        <f>IF($B61="","",INDEX('Bảng 3'!F:F,MATCH($B61,'Bảng 3'!$A:$A,0)))</f>
        <v>KC</v>
      </c>
      <c r="G61" s="81" t="str">
        <f>IF($B61="","",INDEX('Bảng 3'!G:G,MATCH($B61,'Bảng 3'!$A:$A,0)))</f>
        <v>KSCL mô hình BIM</v>
      </c>
      <c r="H61" s="121"/>
      <c r="I61" s="135"/>
      <c r="J61" s="135">
        <f>J$3</f>
        <v>46174</v>
      </c>
      <c r="K61" s="148" t="s">
        <v>644</v>
      </c>
      <c r="L61" s="168">
        <v>4</v>
      </c>
      <c r="M61" s="135">
        <f>M$3</f>
        <v>46175</v>
      </c>
      <c r="N61" s="148" t="s">
        <v>501</v>
      </c>
      <c r="O61" s="137"/>
      <c r="P61" s="135">
        <f>P$3</f>
        <v>46176</v>
      </c>
      <c r="Q61" s="136" t="s">
        <v>501</v>
      </c>
      <c r="R61" s="137" t="s">
        <v>501</v>
      </c>
      <c r="S61" s="135">
        <f>S$3</f>
        <v>46177</v>
      </c>
      <c r="T61" s="136" t="s">
        <v>501</v>
      </c>
      <c r="U61" s="137" t="s">
        <v>501</v>
      </c>
      <c r="V61" s="135">
        <f>V$3</f>
        <v>46178</v>
      </c>
      <c r="W61" s="136" t="s">
        <v>501</v>
      </c>
      <c r="X61" s="137" t="s">
        <v>501</v>
      </c>
      <c r="Y61" s="135">
        <f>Y$3</f>
        <v>46179</v>
      </c>
      <c r="Z61" s="136" t="s">
        <v>501</v>
      </c>
      <c r="AA61" s="137" t="s">
        <v>501</v>
      </c>
      <c r="AB61" s="135"/>
      <c r="AC61" s="135">
        <f>AC$3</f>
        <v>46181</v>
      </c>
      <c r="AD61" s="136" t="s">
        <v>501</v>
      </c>
      <c r="AE61" s="137" t="s">
        <v>501</v>
      </c>
      <c r="AF61" s="135">
        <f>AF$3</f>
        <v>46182</v>
      </c>
      <c r="AG61" s="136" t="s">
        <v>501</v>
      </c>
      <c r="AH61" s="137" t="s">
        <v>501</v>
      </c>
      <c r="AI61" s="135">
        <f>AI$3</f>
        <v>46183</v>
      </c>
      <c r="AJ61" s="136" t="s">
        <v>501</v>
      </c>
      <c r="AK61" s="137" t="s">
        <v>501</v>
      </c>
      <c r="AL61" s="135">
        <f>AL$3</f>
        <v>46184</v>
      </c>
      <c r="AM61" s="136" t="s">
        <v>501</v>
      </c>
      <c r="AN61" s="137" t="s">
        <v>501</v>
      </c>
      <c r="AO61" s="135">
        <f>AO$3</f>
        <v>46185</v>
      </c>
      <c r="AP61" s="136" t="s">
        <v>501</v>
      </c>
      <c r="AQ61" s="137" t="s">
        <v>501</v>
      </c>
      <c r="AR61" s="135">
        <f>AR$3</f>
        <v>46186</v>
      </c>
      <c r="AS61" s="136" t="s">
        <v>501</v>
      </c>
      <c r="AT61" s="137" t="s">
        <v>501</v>
      </c>
      <c r="AU61" s="135"/>
      <c r="AV61" s="135">
        <f>AV$3</f>
        <v>46188</v>
      </c>
      <c r="AW61" s="148" t="s">
        <v>501</v>
      </c>
      <c r="AX61" s="137" t="s">
        <v>501</v>
      </c>
      <c r="AY61" s="135">
        <f>AY$3</f>
        <v>46189</v>
      </c>
      <c r="AZ61" s="136" t="s">
        <v>501</v>
      </c>
      <c r="BA61" s="137"/>
      <c r="BB61" s="135">
        <f>BB$3</f>
        <v>46190</v>
      </c>
      <c r="BC61" s="136" t="s">
        <v>501</v>
      </c>
      <c r="BD61" s="137" t="s">
        <v>501</v>
      </c>
      <c r="BE61" s="135">
        <f>BE$3</f>
        <v>46191</v>
      </c>
      <c r="BF61" s="136" t="s">
        <v>501</v>
      </c>
      <c r="BG61" s="137" t="s">
        <v>501</v>
      </c>
      <c r="BH61" s="135">
        <f>BH$3</f>
        <v>46192</v>
      </c>
      <c r="BI61" s="136" t="s">
        <v>501</v>
      </c>
      <c r="BJ61" s="137" t="s">
        <v>501</v>
      </c>
      <c r="BK61" s="135">
        <f>BK$3</f>
        <v>46193</v>
      </c>
      <c r="BL61" s="136" t="s">
        <v>501</v>
      </c>
      <c r="BM61" s="137" t="s">
        <v>501</v>
      </c>
      <c r="BN61" s="135"/>
      <c r="BO61" s="135">
        <f>BO$3</f>
        <v>46195</v>
      </c>
      <c r="BP61" s="136" t="s">
        <v>501</v>
      </c>
      <c r="BQ61" s="137" t="s">
        <v>501</v>
      </c>
      <c r="BR61" s="135">
        <f>BR$3</f>
        <v>46196</v>
      </c>
      <c r="BS61" s="136" t="s">
        <v>501</v>
      </c>
      <c r="BT61" s="137" t="s">
        <v>501</v>
      </c>
      <c r="BU61" s="135">
        <f>BU$3</f>
        <v>46197</v>
      </c>
      <c r="BV61" s="136" t="s">
        <v>501</v>
      </c>
      <c r="BW61" s="137" t="s">
        <v>501</v>
      </c>
      <c r="BX61" s="135">
        <f>BX$3</f>
        <v>46198</v>
      </c>
      <c r="BY61" s="136" t="s">
        <v>501</v>
      </c>
      <c r="BZ61" s="137" t="s">
        <v>501</v>
      </c>
      <c r="CA61" s="135">
        <f>CA$3</f>
        <v>46199</v>
      </c>
      <c r="CB61" s="136" t="s">
        <v>501</v>
      </c>
      <c r="CC61" s="137" t="s">
        <v>501</v>
      </c>
      <c r="CD61" s="135">
        <f>CD$3</f>
        <v>46200</v>
      </c>
      <c r="CE61" s="136" t="s">
        <v>501</v>
      </c>
      <c r="CF61" s="137" t="s">
        <v>501</v>
      </c>
      <c r="CG61" s="135"/>
      <c r="CH61" s="135">
        <f>CH$3</f>
        <v>46202</v>
      </c>
      <c r="CI61" s="148" t="s">
        <v>501</v>
      </c>
      <c r="CJ61" s="137" t="s">
        <v>501</v>
      </c>
      <c r="CK61" s="135">
        <f>CK$3</f>
        <v>46203</v>
      </c>
      <c r="CL61" s="136" t="s">
        <v>501</v>
      </c>
      <c r="CM61" s="137"/>
      <c r="CN61" s="135">
        <f>CN$3</f>
        <v>46204</v>
      </c>
      <c r="CO61" s="136" t="s">
        <v>501</v>
      </c>
      <c r="CP61" s="137" t="s">
        <v>501</v>
      </c>
      <c r="CQ61" s="135">
        <f>CQ$3</f>
        <v>46205</v>
      </c>
      <c r="CR61" s="136" t="s">
        <v>501</v>
      </c>
      <c r="CS61" s="137" t="s">
        <v>501</v>
      </c>
      <c r="CT61" s="135">
        <f>CT$3</f>
        <v>46206</v>
      </c>
      <c r="CU61" s="136" t="s">
        <v>501</v>
      </c>
      <c r="CV61" s="137" t="s">
        <v>501</v>
      </c>
      <c r="CW61" s="135">
        <f>CW$3</f>
        <v>46207</v>
      </c>
      <c r="CX61" s="136" t="s">
        <v>501</v>
      </c>
      <c r="CY61" s="137" t="s">
        <v>501</v>
      </c>
      <c r="CZ61" s="135"/>
      <c r="DA61" s="135">
        <f>DA$3</f>
        <v>46209</v>
      </c>
      <c r="DB61" s="136" t="s">
        <v>501</v>
      </c>
      <c r="DC61" s="137" t="s">
        <v>501</v>
      </c>
      <c r="DD61" s="135">
        <f>DD$3</f>
        <v>46210</v>
      </c>
      <c r="DE61" s="136" t="s">
        <v>501</v>
      </c>
      <c r="DF61" s="137" t="s">
        <v>501</v>
      </c>
      <c r="DG61" s="135">
        <f>DG$3</f>
        <v>46211</v>
      </c>
      <c r="DH61" s="136" t="s">
        <v>501</v>
      </c>
      <c r="DI61" s="137" t="s">
        <v>501</v>
      </c>
      <c r="DJ61" s="135">
        <f>DJ$3</f>
        <v>46212</v>
      </c>
      <c r="DK61" s="136" t="s">
        <v>501</v>
      </c>
      <c r="DL61" s="137" t="s">
        <v>501</v>
      </c>
      <c r="DM61" s="135">
        <f>DM$3</f>
        <v>46213</v>
      </c>
      <c r="DN61" s="136" t="s">
        <v>501</v>
      </c>
      <c r="DO61" s="137" t="s">
        <v>501</v>
      </c>
      <c r="DP61" s="135">
        <f>DP$3</f>
        <v>46214</v>
      </c>
      <c r="DQ61" s="136" t="s">
        <v>501</v>
      </c>
      <c r="DR61" s="137" t="s">
        <v>501</v>
      </c>
    </row>
    <row r="62" spans="1:122" outlineLevel="1">
      <c r="A62" s="122" t="str">
        <f>$A$42</f>
        <v>Đỗ Minh Ngọc</v>
      </c>
      <c r="B62" s="82" t="str">
        <f>'Bảng 3'!A365</f>
        <v>3.T.KHO.VPNT.KSMN.101</v>
      </c>
      <c r="C62" s="81" t="str">
        <f>IF($B62="","",INDEX('Bảng 3'!C:C,MATCH($B62,'Bảng 3'!$A:$A,0)))</f>
        <v>Quản lý BIM</v>
      </c>
      <c r="D62" s="81" t="str">
        <f>IF($B62="","",INDEX('Bảng 3'!D:D,MATCH($B62,'Bảng 3'!$A:$A,0)))</f>
        <v>T.KHO.VPNT.KSMN</v>
      </c>
      <c r="E62" s="81" t="str">
        <f>IF($B62="","",INDEX('Bảng 3'!E:E,MATCH($B62,'Bảng 3'!$A:$A,0)))</f>
        <v>Mẫu M1</v>
      </c>
      <c r="F62" s="81" t="str">
        <f>IF($B62="","",INDEX('Bảng 3'!F:F,MATCH($B62,'Bảng 3'!$A:$A,0)))</f>
        <v>KT</v>
      </c>
      <c r="G62" s="81" t="str">
        <f>IF($B62="","",INDEX('Bảng 3'!G:G,MATCH($B62,'Bảng 3'!$A:$A,0)))</f>
        <v>KSCL mô hình BIM</v>
      </c>
      <c r="H62" s="121"/>
      <c r="I62" s="135"/>
      <c r="J62" s="135">
        <f>J$3</f>
        <v>46174</v>
      </c>
      <c r="K62" s="148" t="s">
        <v>501</v>
      </c>
      <c r="L62" s="168" t="s">
        <v>501</v>
      </c>
      <c r="M62" s="135">
        <f>M$3</f>
        <v>46175</v>
      </c>
      <c r="N62" s="148" t="s">
        <v>501</v>
      </c>
      <c r="O62" s="137"/>
      <c r="P62" s="135">
        <f>P$3</f>
        <v>46176</v>
      </c>
      <c r="Q62" s="136" t="s">
        <v>501</v>
      </c>
      <c r="R62" s="137" t="s">
        <v>501</v>
      </c>
      <c r="S62" s="135">
        <f>S$3</f>
        <v>46177</v>
      </c>
      <c r="T62" s="136" t="s">
        <v>501</v>
      </c>
      <c r="U62" s="137" t="s">
        <v>501</v>
      </c>
      <c r="V62" s="135">
        <f>V$3</f>
        <v>46178</v>
      </c>
      <c r="W62" s="136" t="s">
        <v>501</v>
      </c>
      <c r="X62" s="137" t="s">
        <v>501</v>
      </c>
      <c r="Y62" s="135">
        <f>Y$3</f>
        <v>46179</v>
      </c>
      <c r="Z62" s="136" t="s">
        <v>501</v>
      </c>
      <c r="AA62" s="137" t="s">
        <v>501</v>
      </c>
      <c r="AB62" s="135"/>
      <c r="AC62" s="135">
        <f>AC$3</f>
        <v>46181</v>
      </c>
      <c r="AD62" s="136" t="s">
        <v>501</v>
      </c>
      <c r="AE62" s="137" t="s">
        <v>501</v>
      </c>
      <c r="AF62" s="135">
        <f>AF$3</f>
        <v>46182</v>
      </c>
      <c r="AG62" s="136" t="s">
        <v>501</v>
      </c>
      <c r="AH62" s="137" t="s">
        <v>501</v>
      </c>
      <c r="AI62" s="135">
        <f>AI$3</f>
        <v>46183</v>
      </c>
      <c r="AJ62" s="136" t="s">
        <v>501</v>
      </c>
      <c r="AK62" s="137" t="s">
        <v>501</v>
      </c>
      <c r="AL62" s="135">
        <f>AL$3</f>
        <v>46184</v>
      </c>
      <c r="AM62" s="136" t="s">
        <v>501</v>
      </c>
      <c r="AN62" s="137" t="s">
        <v>501</v>
      </c>
      <c r="AO62" s="135">
        <f>AO$3</f>
        <v>46185</v>
      </c>
      <c r="AP62" s="136" t="s">
        <v>501</v>
      </c>
      <c r="AQ62" s="137" t="s">
        <v>501</v>
      </c>
      <c r="AR62" s="135">
        <f>AR$3</f>
        <v>46186</v>
      </c>
      <c r="AS62" s="136" t="s">
        <v>501</v>
      </c>
      <c r="AT62" s="137" t="s">
        <v>501</v>
      </c>
      <c r="AU62" s="135"/>
      <c r="AV62" s="135">
        <f>AV$3</f>
        <v>46188</v>
      </c>
      <c r="AW62" s="148" t="s">
        <v>501</v>
      </c>
      <c r="AX62" s="137" t="s">
        <v>501</v>
      </c>
      <c r="AY62" s="135">
        <f>AY$3</f>
        <v>46189</v>
      </c>
      <c r="AZ62" s="136" t="s">
        <v>501</v>
      </c>
      <c r="BA62" s="137"/>
      <c r="BB62" s="135">
        <f>BB$3</f>
        <v>46190</v>
      </c>
      <c r="BC62" s="136" t="s">
        <v>501</v>
      </c>
      <c r="BD62" s="137" t="s">
        <v>501</v>
      </c>
      <c r="BE62" s="135">
        <f>BE$3</f>
        <v>46191</v>
      </c>
      <c r="BF62" s="136" t="s">
        <v>501</v>
      </c>
      <c r="BG62" s="137" t="s">
        <v>501</v>
      </c>
      <c r="BH62" s="135">
        <f>BH$3</f>
        <v>46192</v>
      </c>
      <c r="BI62" s="136" t="s">
        <v>501</v>
      </c>
      <c r="BJ62" s="137" t="s">
        <v>501</v>
      </c>
      <c r="BK62" s="135">
        <f>BK$3</f>
        <v>46193</v>
      </c>
      <c r="BL62" s="136" t="s">
        <v>501</v>
      </c>
      <c r="BM62" s="137" t="s">
        <v>501</v>
      </c>
      <c r="BN62" s="135"/>
      <c r="BO62" s="135">
        <f>BO$3</f>
        <v>46195</v>
      </c>
      <c r="BP62" s="136" t="s">
        <v>501</v>
      </c>
      <c r="BQ62" s="137" t="s">
        <v>501</v>
      </c>
      <c r="BR62" s="135">
        <f>BR$3</f>
        <v>46196</v>
      </c>
      <c r="BS62" s="136" t="s">
        <v>501</v>
      </c>
      <c r="BT62" s="137" t="s">
        <v>501</v>
      </c>
      <c r="BU62" s="135">
        <f>BU$3</f>
        <v>46197</v>
      </c>
      <c r="BV62" s="136" t="s">
        <v>501</v>
      </c>
      <c r="BW62" s="137" t="s">
        <v>501</v>
      </c>
      <c r="BX62" s="135">
        <f>BX$3</f>
        <v>46198</v>
      </c>
      <c r="BY62" s="136" t="s">
        <v>501</v>
      </c>
      <c r="BZ62" s="137" t="s">
        <v>501</v>
      </c>
      <c r="CA62" s="135">
        <f>CA$3</f>
        <v>46199</v>
      </c>
      <c r="CB62" s="136" t="s">
        <v>501</v>
      </c>
      <c r="CC62" s="137" t="s">
        <v>501</v>
      </c>
      <c r="CD62" s="135">
        <f>CD$3</f>
        <v>46200</v>
      </c>
      <c r="CE62" s="136" t="s">
        <v>501</v>
      </c>
      <c r="CF62" s="137" t="s">
        <v>501</v>
      </c>
      <c r="CG62" s="135"/>
      <c r="CH62" s="135">
        <f>CH$3</f>
        <v>46202</v>
      </c>
      <c r="CI62" s="148" t="s">
        <v>501</v>
      </c>
      <c r="CJ62" s="137" t="s">
        <v>501</v>
      </c>
      <c r="CK62" s="135">
        <f>CK$3</f>
        <v>46203</v>
      </c>
      <c r="CL62" s="136" t="s">
        <v>501</v>
      </c>
      <c r="CM62" s="137"/>
      <c r="CN62" s="135">
        <f>CN$3</f>
        <v>46204</v>
      </c>
      <c r="CO62" s="136" t="s">
        <v>501</v>
      </c>
      <c r="CP62" s="137" t="s">
        <v>501</v>
      </c>
      <c r="CQ62" s="135">
        <f>CQ$3</f>
        <v>46205</v>
      </c>
      <c r="CR62" s="136" t="s">
        <v>501</v>
      </c>
      <c r="CS62" s="137" t="s">
        <v>501</v>
      </c>
      <c r="CT62" s="135">
        <f>CT$3</f>
        <v>46206</v>
      </c>
      <c r="CU62" s="136" t="s">
        <v>501</v>
      </c>
      <c r="CV62" s="137" t="s">
        <v>501</v>
      </c>
      <c r="CW62" s="135">
        <f>CW$3</f>
        <v>46207</v>
      </c>
      <c r="CX62" s="136" t="s">
        <v>501</v>
      </c>
      <c r="CY62" s="137" t="s">
        <v>501</v>
      </c>
      <c r="CZ62" s="135"/>
      <c r="DA62" s="135">
        <f>DA$3</f>
        <v>46209</v>
      </c>
      <c r="DB62" s="136" t="s">
        <v>501</v>
      </c>
      <c r="DC62" s="137" t="s">
        <v>501</v>
      </c>
      <c r="DD62" s="135">
        <f>DD$3</f>
        <v>46210</v>
      </c>
      <c r="DE62" s="136" t="s">
        <v>501</v>
      </c>
      <c r="DF62" s="137" t="s">
        <v>501</v>
      </c>
      <c r="DG62" s="135">
        <f>DG$3</f>
        <v>46211</v>
      </c>
      <c r="DH62" s="136" t="s">
        <v>501</v>
      </c>
      <c r="DI62" s="137" t="s">
        <v>501</v>
      </c>
      <c r="DJ62" s="135">
        <f>DJ$3</f>
        <v>46212</v>
      </c>
      <c r="DK62" s="136" t="s">
        <v>501</v>
      </c>
      <c r="DL62" s="137" t="s">
        <v>501</v>
      </c>
      <c r="DM62" s="135">
        <f>DM$3</f>
        <v>46213</v>
      </c>
      <c r="DN62" s="136" t="s">
        <v>501</v>
      </c>
      <c r="DO62" s="137" t="s">
        <v>501</v>
      </c>
      <c r="DP62" s="135">
        <f>DP$3</f>
        <v>46214</v>
      </c>
      <c r="DQ62" s="136" t="s">
        <v>501</v>
      </c>
      <c r="DR62" s="137" t="s">
        <v>501</v>
      </c>
    </row>
    <row r="63" spans="1:122" outlineLevel="1">
      <c r="A63" s="122" t="str">
        <f>$A$42</f>
        <v>Đỗ Minh Ngọc</v>
      </c>
      <c r="B63" s="82" t="str">
        <f>'Bảng 3'!A366</f>
        <v>3.T.KHO.VPNT.KSMN.102</v>
      </c>
      <c r="C63" s="81" t="str">
        <f>IF($B63="","",INDEX('Bảng 3'!C:C,MATCH($B63,'Bảng 3'!$A:$A,0)))</f>
        <v>Quản lý BIM</v>
      </c>
      <c r="D63" s="81" t="str">
        <f>IF($B63="","",INDEX('Bảng 3'!D:D,MATCH($B63,'Bảng 3'!$A:$A,0)))</f>
        <v>T.KHO.VPNT.KSMN</v>
      </c>
      <c r="E63" s="81" t="str">
        <f>IF($B63="","",INDEX('Bảng 3'!E:E,MATCH($B63,'Bảng 3'!$A:$A,0)))</f>
        <v>Mẫu M1</v>
      </c>
      <c r="F63" s="81" t="str">
        <f>IF($B63="","",INDEX('Bảng 3'!F:F,MATCH($B63,'Bảng 3'!$A:$A,0)))</f>
        <v>KT</v>
      </c>
      <c r="G63" s="81" t="str">
        <f>IF($B63="","",INDEX('Bảng 3'!G:G,MATCH($B63,'Bảng 3'!$A:$A,0)))</f>
        <v>Tạo lập mô hình BIM</v>
      </c>
      <c r="H63" s="121"/>
      <c r="I63" s="135"/>
      <c r="J63" s="135">
        <f>J$3</f>
        <v>46174</v>
      </c>
      <c r="K63" s="148" t="s">
        <v>501</v>
      </c>
      <c r="L63" s="168" t="s">
        <v>501</v>
      </c>
      <c r="M63" s="135">
        <f>M$3</f>
        <v>46175</v>
      </c>
      <c r="N63" s="148" t="s">
        <v>501</v>
      </c>
      <c r="O63" s="137"/>
      <c r="P63" s="135">
        <f>P$3</f>
        <v>46176</v>
      </c>
      <c r="Q63" s="136" t="s">
        <v>501</v>
      </c>
      <c r="R63" s="137" t="s">
        <v>501</v>
      </c>
      <c r="S63" s="135">
        <f>S$3</f>
        <v>46177</v>
      </c>
      <c r="T63" s="136" t="s">
        <v>501</v>
      </c>
      <c r="U63" s="137" t="s">
        <v>501</v>
      </c>
      <c r="V63" s="135">
        <f>V$3</f>
        <v>46178</v>
      </c>
      <c r="W63" s="136" t="s">
        <v>501</v>
      </c>
      <c r="X63" s="137" t="s">
        <v>501</v>
      </c>
      <c r="Y63" s="135">
        <f>Y$3</f>
        <v>46179</v>
      </c>
      <c r="Z63" s="136" t="s">
        <v>501</v>
      </c>
      <c r="AA63" s="137" t="s">
        <v>501</v>
      </c>
      <c r="AB63" s="135"/>
      <c r="AC63" s="135">
        <f>AC$3</f>
        <v>46181</v>
      </c>
      <c r="AD63" s="136" t="s">
        <v>501</v>
      </c>
      <c r="AE63" s="137" t="s">
        <v>501</v>
      </c>
      <c r="AF63" s="135">
        <f>AF$3</f>
        <v>46182</v>
      </c>
      <c r="AG63" s="136" t="s">
        <v>501</v>
      </c>
      <c r="AH63" s="137" t="s">
        <v>501</v>
      </c>
      <c r="AI63" s="135">
        <f>AI$3</f>
        <v>46183</v>
      </c>
      <c r="AJ63" s="136" t="s">
        <v>501</v>
      </c>
      <c r="AK63" s="137" t="s">
        <v>501</v>
      </c>
      <c r="AL63" s="135">
        <f>AL$3</f>
        <v>46184</v>
      </c>
      <c r="AM63" s="136" t="s">
        <v>501</v>
      </c>
      <c r="AN63" s="137" t="s">
        <v>501</v>
      </c>
      <c r="AO63" s="135">
        <f>AO$3</f>
        <v>46185</v>
      </c>
      <c r="AP63" s="136" t="s">
        <v>501</v>
      </c>
      <c r="AQ63" s="137" t="s">
        <v>501</v>
      </c>
      <c r="AR63" s="135">
        <f>AR$3</f>
        <v>46186</v>
      </c>
      <c r="AS63" s="136" t="s">
        <v>501</v>
      </c>
      <c r="AT63" s="137" t="s">
        <v>501</v>
      </c>
      <c r="AU63" s="135"/>
      <c r="AV63" s="135">
        <f>AV$3</f>
        <v>46188</v>
      </c>
      <c r="AW63" s="148" t="s">
        <v>501</v>
      </c>
      <c r="AX63" s="137" t="s">
        <v>501</v>
      </c>
      <c r="AY63" s="135">
        <f>AY$3</f>
        <v>46189</v>
      </c>
      <c r="AZ63" s="136" t="s">
        <v>501</v>
      </c>
      <c r="BA63" s="137"/>
      <c r="BB63" s="135">
        <f>BB$3</f>
        <v>46190</v>
      </c>
      <c r="BC63" s="136" t="s">
        <v>501</v>
      </c>
      <c r="BD63" s="137" t="s">
        <v>501</v>
      </c>
      <c r="BE63" s="135">
        <f>BE$3</f>
        <v>46191</v>
      </c>
      <c r="BF63" s="136" t="s">
        <v>501</v>
      </c>
      <c r="BG63" s="137" t="s">
        <v>501</v>
      </c>
      <c r="BH63" s="135">
        <f>BH$3</f>
        <v>46192</v>
      </c>
      <c r="BI63" s="136" t="s">
        <v>501</v>
      </c>
      <c r="BJ63" s="137" t="s">
        <v>501</v>
      </c>
      <c r="BK63" s="135">
        <f>BK$3</f>
        <v>46193</v>
      </c>
      <c r="BL63" s="136" t="s">
        <v>501</v>
      </c>
      <c r="BM63" s="137" t="s">
        <v>501</v>
      </c>
      <c r="BN63" s="135"/>
      <c r="BO63" s="135">
        <f>BO$3</f>
        <v>46195</v>
      </c>
      <c r="BP63" s="136" t="s">
        <v>501</v>
      </c>
      <c r="BQ63" s="137" t="s">
        <v>501</v>
      </c>
      <c r="BR63" s="135">
        <f>BR$3</f>
        <v>46196</v>
      </c>
      <c r="BS63" s="136" t="s">
        <v>501</v>
      </c>
      <c r="BT63" s="137" t="s">
        <v>501</v>
      </c>
      <c r="BU63" s="135">
        <f>BU$3</f>
        <v>46197</v>
      </c>
      <c r="BV63" s="136" t="s">
        <v>501</v>
      </c>
      <c r="BW63" s="137" t="s">
        <v>501</v>
      </c>
      <c r="BX63" s="135">
        <f>BX$3</f>
        <v>46198</v>
      </c>
      <c r="BY63" s="136" t="s">
        <v>501</v>
      </c>
      <c r="BZ63" s="137" t="s">
        <v>501</v>
      </c>
      <c r="CA63" s="135">
        <f>CA$3</f>
        <v>46199</v>
      </c>
      <c r="CB63" s="136" t="s">
        <v>501</v>
      </c>
      <c r="CC63" s="137" t="s">
        <v>501</v>
      </c>
      <c r="CD63" s="135">
        <f>CD$3</f>
        <v>46200</v>
      </c>
      <c r="CE63" s="136" t="s">
        <v>501</v>
      </c>
      <c r="CF63" s="137" t="s">
        <v>501</v>
      </c>
      <c r="CG63" s="135"/>
      <c r="CH63" s="135">
        <f>CH$3</f>
        <v>46202</v>
      </c>
      <c r="CI63" s="148" t="s">
        <v>501</v>
      </c>
      <c r="CJ63" s="137" t="s">
        <v>501</v>
      </c>
      <c r="CK63" s="135">
        <f>CK$3</f>
        <v>46203</v>
      </c>
      <c r="CL63" s="136" t="s">
        <v>501</v>
      </c>
      <c r="CM63" s="137"/>
      <c r="CN63" s="135">
        <f>CN$3</f>
        <v>46204</v>
      </c>
      <c r="CO63" s="136" t="s">
        <v>501</v>
      </c>
      <c r="CP63" s="137" t="s">
        <v>501</v>
      </c>
      <c r="CQ63" s="135">
        <f>CQ$3</f>
        <v>46205</v>
      </c>
      <c r="CR63" s="136" t="s">
        <v>501</v>
      </c>
      <c r="CS63" s="137" t="s">
        <v>501</v>
      </c>
      <c r="CT63" s="135">
        <f>CT$3</f>
        <v>46206</v>
      </c>
      <c r="CU63" s="136" t="s">
        <v>501</v>
      </c>
      <c r="CV63" s="137" t="s">
        <v>501</v>
      </c>
      <c r="CW63" s="135">
        <f>CW$3</f>
        <v>46207</v>
      </c>
      <c r="CX63" s="136" t="s">
        <v>501</v>
      </c>
      <c r="CY63" s="137" t="s">
        <v>501</v>
      </c>
      <c r="CZ63" s="135"/>
      <c r="DA63" s="135">
        <f>DA$3</f>
        <v>46209</v>
      </c>
      <c r="DB63" s="136" t="s">
        <v>501</v>
      </c>
      <c r="DC63" s="137" t="s">
        <v>501</v>
      </c>
      <c r="DD63" s="135">
        <f>DD$3</f>
        <v>46210</v>
      </c>
      <c r="DE63" s="136" t="s">
        <v>501</v>
      </c>
      <c r="DF63" s="137" t="s">
        <v>501</v>
      </c>
      <c r="DG63" s="135">
        <f>DG$3</f>
        <v>46211</v>
      </c>
      <c r="DH63" s="136" t="s">
        <v>501</v>
      </c>
      <c r="DI63" s="137" t="s">
        <v>501</v>
      </c>
      <c r="DJ63" s="135">
        <f>DJ$3</f>
        <v>46212</v>
      </c>
      <c r="DK63" s="136" t="s">
        <v>501</v>
      </c>
      <c r="DL63" s="137" t="s">
        <v>501</v>
      </c>
      <c r="DM63" s="135">
        <f>DM$3</f>
        <v>46213</v>
      </c>
      <c r="DN63" s="136" t="s">
        <v>501</v>
      </c>
      <c r="DO63" s="137" t="s">
        <v>501</v>
      </c>
      <c r="DP63" s="135">
        <f>DP$3</f>
        <v>46214</v>
      </c>
      <c r="DQ63" s="136" t="s">
        <v>501</v>
      </c>
      <c r="DR63" s="137" t="s">
        <v>501</v>
      </c>
    </row>
    <row r="64" spans="1:122" outlineLevel="1">
      <c r="A64" s="122" t="str">
        <f>$A$42</f>
        <v>Đỗ Minh Ngọc</v>
      </c>
      <c r="B64" s="82" t="str">
        <f>'Bảng 3'!A367</f>
        <v>3.T.KHO.VPNT.KSMN.201</v>
      </c>
      <c r="C64" s="81" t="str">
        <f>IF($B64="","",INDEX('Bảng 3'!C:C,MATCH($B64,'Bảng 3'!$A:$A,0)))</f>
        <v>Quản lý BIM</v>
      </c>
      <c r="D64" s="81" t="str">
        <f>IF($B64="","",INDEX('Bảng 3'!D:D,MATCH($B64,'Bảng 3'!$A:$A,0)))</f>
        <v>T.KHO.VPNT.KSMN</v>
      </c>
      <c r="E64" s="81" t="str">
        <f>IF($B64="","",INDEX('Bảng 3'!E:E,MATCH($B64,'Bảng 3'!$A:$A,0)))</f>
        <v>Mẫu M1</v>
      </c>
      <c r="F64" s="81" t="str">
        <f>IF($B64="","",INDEX('Bảng 3'!F:F,MATCH($B64,'Bảng 3'!$A:$A,0)))</f>
        <v>KC</v>
      </c>
      <c r="G64" s="81" t="str">
        <f>IF($B64="","",INDEX('Bảng 3'!G:G,MATCH($B64,'Bảng 3'!$A:$A,0)))</f>
        <v>KSCL mô hình BIM</v>
      </c>
      <c r="H64" s="121"/>
      <c r="I64" s="135"/>
      <c r="J64" s="135">
        <f>J$3</f>
        <v>46174</v>
      </c>
      <c r="K64" s="148" t="s">
        <v>501</v>
      </c>
      <c r="L64" s="168" t="s">
        <v>501</v>
      </c>
      <c r="M64" s="135">
        <f>M$3</f>
        <v>46175</v>
      </c>
      <c r="N64" s="148" t="s">
        <v>501</v>
      </c>
      <c r="O64" s="137"/>
      <c r="P64" s="135">
        <f>P$3</f>
        <v>46176</v>
      </c>
      <c r="Q64" s="136" t="s">
        <v>501</v>
      </c>
      <c r="R64" s="137" t="s">
        <v>501</v>
      </c>
      <c r="S64" s="135">
        <f>S$3</f>
        <v>46177</v>
      </c>
      <c r="T64" s="136" t="s">
        <v>501</v>
      </c>
      <c r="U64" s="137" t="s">
        <v>501</v>
      </c>
      <c r="V64" s="135">
        <f>V$3</f>
        <v>46178</v>
      </c>
      <c r="W64" s="136" t="s">
        <v>501</v>
      </c>
      <c r="X64" s="137" t="s">
        <v>501</v>
      </c>
      <c r="Y64" s="135">
        <f>Y$3</f>
        <v>46179</v>
      </c>
      <c r="Z64" s="136" t="s">
        <v>501</v>
      </c>
      <c r="AA64" s="137" t="s">
        <v>501</v>
      </c>
      <c r="AB64" s="135"/>
      <c r="AC64" s="135">
        <f>AC$3</f>
        <v>46181</v>
      </c>
      <c r="AD64" s="136" t="s">
        <v>501</v>
      </c>
      <c r="AE64" s="137" t="s">
        <v>501</v>
      </c>
      <c r="AF64" s="135">
        <f>AF$3</f>
        <v>46182</v>
      </c>
      <c r="AG64" s="136" t="s">
        <v>501</v>
      </c>
      <c r="AH64" s="137" t="s">
        <v>501</v>
      </c>
      <c r="AI64" s="135">
        <f>AI$3</f>
        <v>46183</v>
      </c>
      <c r="AJ64" s="136" t="s">
        <v>501</v>
      </c>
      <c r="AK64" s="137" t="s">
        <v>501</v>
      </c>
      <c r="AL64" s="135">
        <f>AL$3</f>
        <v>46184</v>
      </c>
      <c r="AM64" s="136" t="s">
        <v>501</v>
      </c>
      <c r="AN64" s="137" t="s">
        <v>501</v>
      </c>
      <c r="AO64" s="135">
        <f>AO$3</f>
        <v>46185</v>
      </c>
      <c r="AP64" s="136" t="s">
        <v>501</v>
      </c>
      <c r="AQ64" s="137" t="s">
        <v>501</v>
      </c>
      <c r="AR64" s="135">
        <f>AR$3</f>
        <v>46186</v>
      </c>
      <c r="AS64" s="136" t="s">
        <v>501</v>
      </c>
      <c r="AT64" s="137" t="s">
        <v>501</v>
      </c>
      <c r="AU64" s="135"/>
      <c r="AV64" s="135">
        <f>AV$3</f>
        <v>46188</v>
      </c>
      <c r="AW64" s="148" t="s">
        <v>501</v>
      </c>
      <c r="AX64" s="137" t="s">
        <v>501</v>
      </c>
      <c r="AY64" s="135">
        <f>AY$3</f>
        <v>46189</v>
      </c>
      <c r="AZ64" s="136" t="s">
        <v>501</v>
      </c>
      <c r="BA64" s="137"/>
      <c r="BB64" s="135">
        <f>BB$3</f>
        <v>46190</v>
      </c>
      <c r="BC64" s="136" t="s">
        <v>501</v>
      </c>
      <c r="BD64" s="137" t="s">
        <v>501</v>
      </c>
      <c r="BE64" s="135">
        <f>BE$3</f>
        <v>46191</v>
      </c>
      <c r="BF64" s="136" t="s">
        <v>501</v>
      </c>
      <c r="BG64" s="137" t="s">
        <v>501</v>
      </c>
      <c r="BH64" s="135">
        <f>BH$3</f>
        <v>46192</v>
      </c>
      <c r="BI64" s="136" t="s">
        <v>501</v>
      </c>
      <c r="BJ64" s="137" t="s">
        <v>501</v>
      </c>
      <c r="BK64" s="135">
        <f>BK$3</f>
        <v>46193</v>
      </c>
      <c r="BL64" s="136" t="s">
        <v>501</v>
      </c>
      <c r="BM64" s="137" t="s">
        <v>501</v>
      </c>
      <c r="BN64" s="135"/>
      <c r="BO64" s="135">
        <f>BO$3</f>
        <v>46195</v>
      </c>
      <c r="BP64" s="136" t="s">
        <v>501</v>
      </c>
      <c r="BQ64" s="137" t="s">
        <v>501</v>
      </c>
      <c r="BR64" s="135">
        <f>BR$3</f>
        <v>46196</v>
      </c>
      <c r="BS64" s="136" t="s">
        <v>501</v>
      </c>
      <c r="BT64" s="137" t="s">
        <v>501</v>
      </c>
      <c r="BU64" s="135">
        <f>BU$3</f>
        <v>46197</v>
      </c>
      <c r="BV64" s="136" t="s">
        <v>501</v>
      </c>
      <c r="BW64" s="137" t="s">
        <v>501</v>
      </c>
      <c r="BX64" s="135">
        <f>BX$3</f>
        <v>46198</v>
      </c>
      <c r="BY64" s="136" t="s">
        <v>501</v>
      </c>
      <c r="BZ64" s="137" t="s">
        <v>501</v>
      </c>
      <c r="CA64" s="135">
        <f>CA$3</f>
        <v>46199</v>
      </c>
      <c r="CB64" s="136" t="s">
        <v>501</v>
      </c>
      <c r="CC64" s="137" t="s">
        <v>501</v>
      </c>
      <c r="CD64" s="135">
        <f>CD$3</f>
        <v>46200</v>
      </c>
      <c r="CE64" s="136" t="s">
        <v>501</v>
      </c>
      <c r="CF64" s="137" t="s">
        <v>501</v>
      </c>
      <c r="CG64" s="135"/>
      <c r="CH64" s="135">
        <f>CH$3</f>
        <v>46202</v>
      </c>
      <c r="CI64" s="148" t="s">
        <v>501</v>
      </c>
      <c r="CJ64" s="137" t="s">
        <v>501</v>
      </c>
      <c r="CK64" s="135">
        <f>CK$3</f>
        <v>46203</v>
      </c>
      <c r="CL64" s="136" t="s">
        <v>501</v>
      </c>
      <c r="CM64" s="137"/>
      <c r="CN64" s="135">
        <f>CN$3</f>
        <v>46204</v>
      </c>
      <c r="CO64" s="136" t="s">
        <v>501</v>
      </c>
      <c r="CP64" s="137" t="s">
        <v>501</v>
      </c>
      <c r="CQ64" s="135">
        <f>CQ$3</f>
        <v>46205</v>
      </c>
      <c r="CR64" s="136" t="s">
        <v>501</v>
      </c>
      <c r="CS64" s="137" t="s">
        <v>501</v>
      </c>
      <c r="CT64" s="135">
        <f>CT$3</f>
        <v>46206</v>
      </c>
      <c r="CU64" s="136" t="s">
        <v>501</v>
      </c>
      <c r="CV64" s="137" t="s">
        <v>501</v>
      </c>
      <c r="CW64" s="135">
        <f>CW$3</f>
        <v>46207</v>
      </c>
      <c r="CX64" s="136" t="s">
        <v>501</v>
      </c>
      <c r="CY64" s="137" t="s">
        <v>501</v>
      </c>
      <c r="CZ64" s="135"/>
      <c r="DA64" s="135">
        <f>DA$3</f>
        <v>46209</v>
      </c>
      <c r="DB64" s="136" t="s">
        <v>501</v>
      </c>
      <c r="DC64" s="137" t="s">
        <v>501</v>
      </c>
      <c r="DD64" s="135">
        <f>DD$3</f>
        <v>46210</v>
      </c>
      <c r="DE64" s="136" t="s">
        <v>501</v>
      </c>
      <c r="DF64" s="137" t="s">
        <v>501</v>
      </c>
      <c r="DG64" s="135">
        <f>DG$3</f>
        <v>46211</v>
      </c>
      <c r="DH64" s="136" t="s">
        <v>501</v>
      </c>
      <c r="DI64" s="137" t="s">
        <v>501</v>
      </c>
      <c r="DJ64" s="135">
        <f>DJ$3</f>
        <v>46212</v>
      </c>
      <c r="DK64" s="136" t="s">
        <v>501</v>
      </c>
      <c r="DL64" s="137" t="s">
        <v>501</v>
      </c>
      <c r="DM64" s="135">
        <f>DM$3</f>
        <v>46213</v>
      </c>
      <c r="DN64" s="136" t="s">
        <v>501</v>
      </c>
      <c r="DO64" s="137" t="s">
        <v>501</v>
      </c>
      <c r="DP64" s="135">
        <f>DP$3</f>
        <v>46214</v>
      </c>
      <c r="DQ64" s="136" t="s">
        <v>501</v>
      </c>
      <c r="DR64" s="137" t="s">
        <v>501</v>
      </c>
    </row>
    <row r="65" spans="1:122" outlineLevel="1">
      <c r="A65" s="122" t="str">
        <f>$A$42</f>
        <v>Đỗ Minh Ngọc</v>
      </c>
      <c r="B65" s="82" t="str">
        <f>'Bảng 3'!A43</f>
        <v>3.B.DSHNQN.STA.105</v>
      </c>
      <c r="C65" s="81" t="str">
        <f>IF($B65="","",INDEX('Bảng 3'!C:C,MATCH($B65,'Bảng 3'!$A:$A,0)))</f>
        <v>Quản lý BIM</v>
      </c>
      <c r="D65" s="81" t="str">
        <f>IF($B65="","",INDEX('Bảng 3'!D:D,MATCH($B65,'Bảng 3'!$A:$A,0)))</f>
        <v>B.DSHNQN.STA</v>
      </c>
      <c r="E65" s="81" t="str">
        <f>IF($B65="","",INDEX('Bảng 3'!E:E,MATCH($B65,'Bảng 3'!$A:$A,0)))</f>
        <v>Nhà ga Yên Tử</v>
      </c>
      <c r="F65" s="81" t="str">
        <f>IF($B65="","",INDEX('Bảng 3'!F:F,MATCH($B65,'Bảng 3'!$A:$A,0)))</f>
        <v>KT</v>
      </c>
      <c r="G65" s="81" t="str">
        <f>IF($B65="","",INDEX('Bảng 3'!G:G,MATCH($B65,'Bảng 3'!$A:$A,0)))</f>
        <v>Tạo lập mô hình BIM</v>
      </c>
      <c r="H65" s="121"/>
      <c r="I65" s="135"/>
      <c r="J65" s="135">
        <f>J$3</f>
        <v>46174</v>
      </c>
      <c r="K65" s="148" t="s">
        <v>501</v>
      </c>
      <c r="L65" s="168" t="s">
        <v>501</v>
      </c>
      <c r="M65" s="135">
        <f>M$3</f>
        <v>46175</v>
      </c>
      <c r="N65" s="148" t="s">
        <v>501</v>
      </c>
      <c r="O65" s="137"/>
      <c r="P65" s="135">
        <f>P$3</f>
        <v>46176</v>
      </c>
      <c r="Q65" s="136" t="s">
        <v>501</v>
      </c>
      <c r="R65" s="137" t="s">
        <v>501</v>
      </c>
      <c r="S65" s="135">
        <f>S$3</f>
        <v>46177</v>
      </c>
      <c r="T65" s="136" t="s">
        <v>501</v>
      </c>
      <c r="U65" s="137" t="s">
        <v>501</v>
      </c>
      <c r="V65" s="135">
        <f>V$3</f>
        <v>46178</v>
      </c>
      <c r="W65" s="136" t="s">
        <v>501</v>
      </c>
      <c r="X65" s="137" t="s">
        <v>501</v>
      </c>
      <c r="Y65" s="135">
        <f>Y$3</f>
        <v>46179</v>
      </c>
      <c r="Z65" s="136" t="s">
        <v>501</v>
      </c>
      <c r="AA65" s="137" t="s">
        <v>501</v>
      </c>
      <c r="AB65" s="135"/>
      <c r="AC65" s="135">
        <f>AC$3</f>
        <v>46181</v>
      </c>
      <c r="AD65" s="136" t="s">
        <v>501</v>
      </c>
      <c r="AE65" s="137" t="s">
        <v>501</v>
      </c>
      <c r="AF65" s="135">
        <f>AF$3</f>
        <v>46182</v>
      </c>
      <c r="AG65" s="136" t="s">
        <v>501</v>
      </c>
      <c r="AH65" s="137" t="s">
        <v>501</v>
      </c>
      <c r="AI65" s="135">
        <f>AI$3</f>
        <v>46183</v>
      </c>
      <c r="AJ65" s="136" t="s">
        <v>501</v>
      </c>
      <c r="AK65" s="137" t="s">
        <v>501</v>
      </c>
      <c r="AL65" s="135">
        <f>AL$3</f>
        <v>46184</v>
      </c>
      <c r="AM65" s="136" t="s">
        <v>501</v>
      </c>
      <c r="AN65" s="137" t="s">
        <v>501</v>
      </c>
      <c r="AO65" s="135">
        <f>AO$3</f>
        <v>46185</v>
      </c>
      <c r="AP65" s="136" t="s">
        <v>501</v>
      </c>
      <c r="AQ65" s="137" t="s">
        <v>501</v>
      </c>
      <c r="AR65" s="135">
        <f>AR$3</f>
        <v>46186</v>
      </c>
      <c r="AS65" s="136" t="s">
        <v>501</v>
      </c>
      <c r="AT65" s="137" t="s">
        <v>501</v>
      </c>
      <c r="AU65" s="135"/>
      <c r="AV65" s="135">
        <f>AV$3</f>
        <v>46188</v>
      </c>
      <c r="AW65" s="148" t="s">
        <v>501</v>
      </c>
      <c r="AX65" s="137" t="s">
        <v>501</v>
      </c>
      <c r="AY65" s="135">
        <f>AY$3</f>
        <v>46189</v>
      </c>
      <c r="AZ65" s="136" t="s">
        <v>501</v>
      </c>
      <c r="BA65" s="137"/>
      <c r="BB65" s="135">
        <f>BB$3</f>
        <v>46190</v>
      </c>
      <c r="BC65" s="136" t="s">
        <v>501</v>
      </c>
      <c r="BD65" s="137" t="s">
        <v>501</v>
      </c>
      <c r="BE65" s="135">
        <f>BE$3</f>
        <v>46191</v>
      </c>
      <c r="BF65" s="136" t="s">
        <v>501</v>
      </c>
      <c r="BG65" s="137" t="s">
        <v>501</v>
      </c>
      <c r="BH65" s="135">
        <f>BH$3</f>
        <v>46192</v>
      </c>
      <c r="BI65" s="136" t="s">
        <v>501</v>
      </c>
      <c r="BJ65" s="137" t="s">
        <v>501</v>
      </c>
      <c r="BK65" s="135">
        <f>BK$3</f>
        <v>46193</v>
      </c>
      <c r="BL65" s="136" t="s">
        <v>501</v>
      </c>
      <c r="BM65" s="137" t="s">
        <v>501</v>
      </c>
      <c r="BN65" s="135"/>
      <c r="BO65" s="135">
        <f>BO$3</f>
        <v>46195</v>
      </c>
      <c r="BP65" s="136" t="s">
        <v>501</v>
      </c>
      <c r="BQ65" s="137" t="s">
        <v>501</v>
      </c>
      <c r="BR65" s="135">
        <f>BR$3</f>
        <v>46196</v>
      </c>
      <c r="BS65" s="136" t="s">
        <v>501</v>
      </c>
      <c r="BT65" s="137" t="s">
        <v>501</v>
      </c>
      <c r="BU65" s="135">
        <f>BU$3</f>
        <v>46197</v>
      </c>
      <c r="BV65" s="136" t="s">
        <v>501</v>
      </c>
      <c r="BW65" s="137" t="s">
        <v>501</v>
      </c>
      <c r="BX65" s="135">
        <f>BX$3</f>
        <v>46198</v>
      </c>
      <c r="BY65" s="136" t="s">
        <v>501</v>
      </c>
      <c r="BZ65" s="137" t="s">
        <v>501</v>
      </c>
      <c r="CA65" s="135">
        <f>CA$3</f>
        <v>46199</v>
      </c>
      <c r="CB65" s="136" t="s">
        <v>501</v>
      </c>
      <c r="CC65" s="137" t="s">
        <v>501</v>
      </c>
      <c r="CD65" s="135">
        <f>CD$3</f>
        <v>46200</v>
      </c>
      <c r="CE65" s="136" t="s">
        <v>501</v>
      </c>
      <c r="CF65" s="137" t="s">
        <v>501</v>
      </c>
      <c r="CG65" s="135"/>
      <c r="CH65" s="135">
        <f>CH$3</f>
        <v>46202</v>
      </c>
      <c r="CI65" s="148" t="s">
        <v>501</v>
      </c>
      <c r="CJ65" s="137" t="s">
        <v>501</v>
      </c>
      <c r="CK65" s="135">
        <f>CK$3</f>
        <v>46203</v>
      </c>
      <c r="CL65" s="136" t="s">
        <v>501</v>
      </c>
      <c r="CM65" s="137"/>
      <c r="CN65" s="135">
        <f>CN$3</f>
        <v>46204</v>
      </c>
      <c r="CO65" s="136" t="s">
        <v>501</v>
      </c>
      <c r="CP65" s="137" t="s">
        <v>501</v>
      </c>
      <c r="CQ65" s="135">
        <f>CQ$3</f>
        <v>46205</v>
      </c>
      <c r="CR65" s="136" t="s">
        <v>501</v>
      </c>
      <c r="CS65" s="137" t="s">
        <v>501</v>
      </c>
      <c r="CT65" s="135">
        <f>CT$3</f>
        <v>46206</v>
      </c>
      <c r="CU65" s="136" t="s">
        <v>501</v>
      </c>
      <c r="CV65" s="137" t="s">
        <v>501</v>
      </c>
      <c r="CW65" s="135">
        <f>CW$3</f>
        <v>46207</v>
      </c>
      <c r="CX65" s="136" t="s">
        <v>501</v>
      </c>
      <c r="CY65" s="137" t="s">
        <v>501</v>
      </c>
      <c r="CZ65" s="135"/>
      <c r="DA65" s="135">
        <f>DA$3</f>
        <v>46209</v>
      </c>
      <c r="DB65" s="136" t="s">
        <v>501</v>
      </c>
      <c r="DC65" s="137" t="s">
        <v>501</v>
      </c>
      <c r="DD65" s="135">
        <f>DD$3</f>
        <v>46210</v>
      </c>
      <c r="DE65" s="136" t="s">
        <v>501</v>
      </c>
      <c r="DF65" s="137" t="s">
        <v>501</v>
      </c>
      <c r="DG65" s="135">
        <f>DG$3</f>
        <v>46211</v>
      </c>
      <c r="DH65" s="136" t="s">
        <v>501</v>
      </c>
      <c r="DI65" s="137" t="s">
        <v>501</v>
      </c>
      <c r="DJ65" s="135">
        <f>DJ$3</f>
        <v>46212</v>
      </c>
      <c r="DK65" s="136" t="s">
        <v>501</v>
      </c>
      <c r="DL65" s="137" t="s">
        <v>501</v>
      </c>
      <c r="DM65" s="135">
        <f>DM$3</f>
        <v>46213</v>
      </c>
      <c r="DN65" s="136" t="s">
        <v>501</v>
      </c>
      <c r="DO65" s="137" t="s">
        <v>501</v>
      </c>
      <c r="DP65" s="135">
        <f>DP$3</f>
        <v>46214</v>
      </c>
      <c r="DQ65" s="136" t="s">
        <v>501</v>
      </c>
      <c r="DR65" s="137" t="s">
        <v>501</v>
      </c>
    </row>
    <row r="66" spans="1:122" outlineLevel="1">
      <c r="A66" s="122" t="str">
        <f>$A$42</f>
        <v>Đỗ Minh Ngọc</v>
      </c>
      <c r="B66" s="82" t="str">
        <f>'Bảng 3'!A44</f>
        <v>3.B.DSHNQN.STA.203</v>
      </c>
      <c r="C66" s="81" t="str">
        <f>IF($B66="","",INDEX('Bảng 3'!C:C,MATCH($B66,'Bảng 3'!$A:$A,0)))</f>
        <v>Quản lý BIM</v>
      </c>
      <c r="D66" s="81" t="str">
        <f>IF($B66="","",INDEX('Bảng 3'!D:D,MATCH($B66,'Bảng 3'!$A:$A,0)))</f>
        <v>B.DSHNQN.STA</v>
      </c>
      <c r="E66" s="81" t="str">
        <f>IF($B66="","",INDEX('Bảng 3'!E:E,MATCH($B66,'Bảng 3'!$A:$A,0)))</f>
        <v>Nhà ga Yên Tử</v>
      </c>
      <c r="F66" s="81" t="str">
        <f>IF($B66="","",INDEX('Bảng 3'!F:F,MATCH($B66,'Bảng 3'!$A:$A,0)))</f>
        <v>KC</v>
      </c>
      <c r="G66" s="81" t="str">
        <f>IF($B66="","",INDEX('Bảng 3'!G:G,MATCH($B66,'Bảng 3'!$A:$A,0)))</f>
        <v>KSCL mô hình BIM</v>
      </c>
      <c r="H66" s="121"/>
      <c r="I66" s="135"/>
      <c r="J66" s="135">
        <f>J$3</f>
        <v>46174</v>
      </c>
      <c r="K66" s="148" t="s">
        <v>501</v>
      </c>
      <c r="L66" s="168" t="s">
        <v>501</v>
      </c>
      <c r="M66" s="135">
        <f>M$3</f>
        <v>46175</v>
      </c>
      <c r="N66" s="148" t="s">
        <v>501</v>
      </c>
      <c r="O66" s="137"/>
      <c r="P66" s="135">
        <f>P$3</f>
        <v>46176</v>
      </c>
      <c r="Q66" s="136" t="s">
        <v>501</v>
      </c>
      <c r="R66" s="137" t="s">
        <v>501</v>
      </c>
      <c r="S66" s="135">
        <f>S$3</f>
        <v>46177</v>
      </c>
      <c r="T66" s="136" t="s">
        <v>501</v>
      </c>
      <c r="U66" s="137" t="s">
        <v>501</v>
      </c>
      <c r="V66" s="135">
        <f>V$3</f>
        <v>46178</v>
      </c>
      <c r="W66" s="136" t="s">
        <v>501</v>
      </c>
      <c r="X66" s="137" t="s">
        <v>501</v>
      </c>
      <c r="Y66" s="135">
        <f>Y$3</f>
        <v>46179</v>
      </c>
      <c r="Z66" s="136" t="s">
        <v>501</v>
      </c>
      <c r="AA66" s="137" t="s">
        <v>501</v>
      </c>
      <c r="AB66" s="135"/>
      <c r="AC66" s="135">
        <f>AC$3</f>
        <v>46181</v>
      </c>
      <c r="AD66" s="136" t="s">
        <v>501</v>
      </c>
      <c r="AE66" s="137" t="s">
        <v>501</v>
      </c>
      <c r="AF66" s="135">
        <f>AF$3</f>
        <v>46182</v>
      </c>
      <c r="AG66" s="136" t="s">
        <v>501</v>
      </c>
      <c r="AH66" s="137" t="s">
        <v>501</v>
      </c>
      <c r="AI66" s="135">
        <f>AI$3</f>
        <v>46183</v>
      </c>
      <c r="AJ66" s="136" t="s">
        <v>501</v>
      </c>
      <c r="AK66" s="137" t="s">
        <v>501</v>
      </c>
      <c r="AL66" s="135">
        <f>AL$3</f>
        <v>46184</v>
      </c>
      <c r="AM66" s="136" t="s">
        <v>501</v>
      </c>
      <c r="AN66" s="137" t="s">
        <v>501</v>
      </c>
      <c r="AO66" s="135">
        <f>AO$3</f>
        <v>46185</v>
      </c>
      <c r="AP66" s="136" t="s">
        <v>501</v>
      </c>
      <c r="AQ66" s="137" t="s">
        <v>501</v>
      </c>
      <c r="AR66" s="135">
        <f>AR$3</f>
        <v>46186</v>
      </c>
      <c r="AS66" s="136" t="s">
        <v>501</v>
      </c>
      <c r="AT66" s="137" t="s">
        <v>501</v>
      </c>
      <c r="AU66" s="135"/>
      <c r="AV66" s="135">
        <f>AV$3</f>
        <v>46188</v>
      </c>
      <c r="AW66" s="148" t="s">
        <v>501</v>
      </c>
      <c r="AX66" s="137" t="s">
        <v>501</v>
      </c>
      <c r="AY66" s="135">
        <f>AY$3</f>
        <v>46189</v>
      </c>
      <c r="AZ66" s="136" t="s">
        <v>501</v>
      </c>
      <c r="BA66" s="137"/>
      <c r="BB66" s="135">
        <f>BB$3</f>
        <v>46190</v>
      </c>
      <c r="BC66" s="136" t="s">
        <v>501</v>
      </c>
      <c r="BD66" s="137" t="s">
        <v>501</v>
      </c>
      <c r="BE66" s="135">
        <f>BE$3</f>
        <v>46191</v>
      </c>
      <c r="BF66" s="136" t="s">
        <v>501</v>
      </c>
      <c r="BG66" s="137" t="s">
        <v>501</v>
      </c>
      <c r="BH66" s="135">
        <f>BH$3</f>
        <v>46192</v>
      </c>
      <c r="BI66" s="136" t="s">
        <v>501</v>
      </c>
      <c r="BJ66" s="137" t="s">
        <v>501</v>
      </c>
      <c r="BK66" s="135">
        <f>BK$3</f>
        <v>46193</v>
      </c>
      <c r="BL66" s="136" t="s">
        <v>501</v>
      </c>
      <c r="BM66" s="137" t="s">
        <v>501</v>
      </c>
      <c r="BN66" s="135"/>
      <c r="BO66" s="135">
        <f>BO$3</f>
        <v>46195</v>
      </c>
      <c r="BP66" s="136" t="s">
        <v>501</v>
      </c>
      <c r="BQ66" s="137" t="s">
        <v>501</v>
      </c>
      <c r="BR66" s="135">
        <f>BR$3</f>
        <v>46196</v>
      </c>
      <c r="BS66" s="136" t="s">
        <v>501</v>
      </c>
      <c r="BT66" s="137" t="s">
        <v>501</v>
      </c>
      <c r="BU66" s="135">
        <f>BU$3</f>
        <v>46197</v>
      </c>
      <c r="BV66" s="136" t="s">
        <v>501</v>
      </c>
      <c r="BW66" s="137" t="s">
        <v>501</v>
      </c>
      <c r="BX66" s="135">
        <f>BX$3</f>
        <v>46198</v>
      </c>
      <c r="BY66" s="136" t="s">
        <v>501</v>
      </c>
      <c r="BZ66" s="137" t="s">
        <v>501</v>
      </c>
      <c r="CA66" s="135">
        <f>CA$3</f>
        <v>46199</v>
      </c>
      <c r="CB66" s="136" t="s">
        <v>501</v>
      </c>
      <c r="CC66" s="137" t="s">
        <v>501</v>
      </c>
      <c r="CD66" s="135">
        <f>CD$3</f>
        <v>46200</v>
      </c>
      <c r="CE66" s="136" t="s">
        <v>501</v>
      </c>
      <c r="CF66" s="137" t="s">
        <v>501</v>
      </c>
      <c r="CG66" s="135"/>
      <c r="CH66" s="135">
        <f>CH$3</f>
        <v>46202</v>
      </c>
      <c r="CI66" s="148" t="s">
        <v>501</v>
      </c>
      <c r="CJ66" s="137" t="s">
        <v>501</v>
      </c>
      <c r="CK66" s="135">
        <f>CK$3</f>
        <v>46203</v>
      </c>
      <c r="CL66" s="136" t="s">
        <v>501</v>
      </c>
      <c r="CM66" s="137"/>
      <c r="CN66" s="135">
        <f>CN$3</f>
        <v>46204</v>
      </c>
      <c r="CO66" s="136" t="s">
        <v>501</v>
      </c>
      <c r="CP66" s="137" t="s">
        <v>501</v>
      </c>
      <c r="CQ66" s="135">
        <f>CQ$3</f>
        <v>46205</v>
      </c>
      <c r="CR66" s="136" t="s">
        <v>501</v>
      </c>
      <c r="CS66" s="137" t="s">
        <v>501</v>
      </c>
      <c r="CT66" s="135">
        <f>CT$3</f>
        <v>46206</v>
      </c>
      <c r="CU66" s="136" t="s">
        <v>501</v>
      </c>
      <c r="CV66" s="137" t="s">
        <v>501</v>
      </c>
      <c r="CW66" s="135">
        <f>CW$3</f>
        <v>46207</v>
      </c>
      <c r="CX66" s="136" t="s">
        <v>501</v>
      </c>
      <c r="CY66" s="137" t="s">
        <v>501</v>
      </c>
      <c r="CZ66" s="135"/>
      <c r="DA66" s="135">
        <f>DA$3</f>
        <v>46209</v>
      </c>
      <c r="DB66" s="136" t="s">
        <v>501</v>
      </c>
      <c r="DC66" s="137" t="s">
        <v>501</v>
      </c>
      <c r="DD66" s="135">
        <f>DD$3</f>
        <v>46210</v>
      </c>
      <c r="DE66" s="136" t="s">
        <v>501</v>
      </c>
      <c r="DF66" s="137" t="s">
        <v>501</v>
      </c>
      <c r="DG66" s="135">
        <f>DG$3</f>
        <v>46211</v>
      </c>
      <c r="DH66" s="136" t="s">
        <v>501</v>
      </c>
      <c r="DI66" s="137" t="s">
        <v>501</v>
      </c>
      <c r="DJ66" s="135">
        <f>DJ$3</f>
        <v>46212</v>
      </c>
      <c r="DK66" s="136" t="s">
        <v>501</v>
      </c>
      <c r="DL66" s="137" t="s">
        <v>501</v>
      </c>
      <c r="DM66" s="135">
        <f>DM$3</f>
        <v>46213</v>
      </c>
      <c r="DN66" s="136" t="s">
        <v>501</v>
      </c>
      <c r="DO66" s="137" t="s">
        <v>501</v>
      </c>
      <c r="DP66" s="135">
        <f>DP$3</f>
        <v>46214</v>
      </c>
      <c r="DQ66" s="136" t="s">
        <v>501</v>
      </c>
      <c r="DR66" s="137" t="s">
        <v>501</v>
      </c>
    </row>
    <row r="67" spans="1:122" outlineLevel="1">
      <c r="A67" s="122" t="str">
        <f>$A$42</f>
        <v>Đỗ Minh Ngọc</v>
      </c>
      <c r="B67" s="82" t="str">
        <f>'Bảng 3'!A223</f>
        <v>3.N.DSHCMCG.STA.101</v>
      </c>
      <c r="C67" s="81" t="str">
        <f>IF($B67="","",INDEX('Bảng 3'!C:C,MATCH($B67,'Bảng 3'!$A:$A,0)))</f>
        <v>Quản lý BIM</v>
      </c>
      <c r="D67" s="81" t="str">
        <f>IF($B67="","",INDEX('Bảng 3'!D:D,MATCH($B67,'Bảng 3'!$A:$A,0)))</f>
        <v>N.DSHCMCG.STA</v>
      </c>
      <c r="E67" s="81" t="str">
        <f>IF($B67="","",INDEX('Bảng 3'!E:E,MATCH($B67,'Bảng 3'!$A:$A,0)))</f>
        <v>Nhà Ga Bến Thành</v>
      </c>
      <c r="F67" s="81" t="str">
        <f>IF($B67="","",INDEX('Bảng 3'!F:F,MATCH($B67,'Bảng 3'!$A:$A,0)))</f>
        <v>KT</v>
      </c>
      <c r="G67" s="81" t="str">
        <f>IF($B67="","",INDEX('Bảng 3'!G:G,MATCH($B67,'Bảng 3'!$A:$A,0)))</f>
        <v>Tạo lập mô hình BIM</v>
      </c>
      <c r="H67" s="121"/>
      <c r="I67" s="135"/>
      <c r="J67" s="135">
        <f>J$3</f>
        <v>46174</v>
      </c>
      <c r="K67" s="148" t="s">
        <v>501</v>
      </c>
      <c r="L67" s="168" t="s">
        <v>501</v>
      </c>
      <c r="M67" s="135">
        <f>M$3</f>
        <v>46175</v>
      </c>
      <c r="N67" s="148" t="s">
        <v>501</v>
      </c>
      <c r="O67" s="137"/>
      <c r="P67" s="135">
        <f>P$3</f>
        <v>46176</v>
      </c>
      <c r="Q67" s="136" t="s">
        <v>501</v>
      </c>
      <c r="R67" s="137" t="s">
        <v>501</v>
      </c>
      <c r="S67" s="135">
        <f>S$3</f>
        <v>46177</v>
      </c>
      <c r="T67" s="136" t="s">
        <v>501</v>
      </c>
      <c r="U67" s="137" t="s">
        <v>501</v>
      </c>
      <c r="V67" s="135">
        <f>V$3</f>
        <v>46178</v>
      </c>
      <c r="W67" s="136" t="s">
        <v>501</v>
      </c>
      <c r="X67" s="137" t="s">
        <v>501</v>
      </c>
      <c r="Y67" s="135">
        <f>Y$3</f>
        <v>46179</v>
      </c>
      <c r="Z67" s="136" t="s">
        <v>501</v>
      </c>
      <c r="AA67" s="137" t="s">
        <v>501</v>
      </c>
      <c r="AB67" s="135"/>
      <c r="AC67" s="135">
        <f>AC$3</f>
        <v>46181</v>
      </c>
      <c r="AD67" s="136" t="s">
        <v>501</v>
      </c>
      <c r="AE67" s="137" t="s">
        <v>501</v>
      </c>
      <c r="AF67" s="135">
        <f>AF$3</f>
        <v>46182</v>
      </c>
      <c r="AG67" s="136" t="s">
        <v>501</v>
      </c>
      <c r="AH67" s="137" t="s">
        <v>501</v>
      </c>
      <c r="AI67" s="135">
        <f>AI$3</f>
        <v>46183</v>
      </c>
      <c r="AJ67" s="136" t="s">
        <v>501</v>
      </c>
      <c r="AK67" s="137" t="s">
        <v>501</v>
      </c>
      <c r="AL67" s="135">
        <f>AL$3</f>
        <v>46184</v>
      </c>
      <c r="AM67" s="136" t="s">
        <v>501</v>
      </c>
      <c r="AN67" s="137" t="s">
        <v>501</v>
      </c>
      <c r="AO67" s="135">
        <f>AO$3</f>
        <v>46185</v>
      </c>
      <c r="AP67" s="136" t="s">
        <v>501</v>
      </c>
      <c r="AQ67" s="137" t="s">
        <v>501</v>
      </c>
      <c r="AR67" s="135">
        <f>AR$3</f>
        <v>46186</v>
      </c>
      <c r="AS67" s="136" t="s">
        <v>501</v>
      </c>
      <c r="AT67" s="137" t="s">
        <v>501</v>
      </c>
      <c r="AU67" s="135"/>
      <c r="AV67" s="135">
        <f>AV$3</f>
        <v>46188</v>
      </c>
      <c r="AW67" s="148" t="s">
        <v>501</v>
      </c>
      <c r="AX67" s="137" t="s">
        <v>501</v>
      </c>
      <c r="AY67" s="135">
        <f>AY$3</f>
        <v>46189</v>
      </c>
      <c r="AZ67" s="136" t="s">
        <v>501</v>
      </c>
      <c r="BA67" s="137"/>
      <c r="BB67" s="135">
        <f>BB$3</f>
        <v>46190</v>
      </c>
      <c r="BC67" s="136" t="s">
        <v>501</v>
      </c>
      <c r="BD67" s="137" t="s">
        <v>501</v>
      </c>
      <c r="BE67" s="135">
        <f>BE$3</f>
        <v>46191</v>
      </c>
      <c r="BF67" s="136" t="s">
        <v>501</v>
      </c>
      <c r="BG67" s="137" t="s">
        <v>501</v>
      </c>
      <c r="BH67" s="135">
        <f>BH$3</f>
        <v>46192</v>
      </c>
      <c r="BI67" s="136" t="s">
        <v>501</v>
      </c>
      <c r="BJ67" s="137" t="s">
        <v>501</v>
      </c>
      <c r="BK67" s="135">
        <f>BK$3</f>
        <v>46193</v>
      </c>
      <c r="BL67" s="136" t="s">
        <v>501</v>
      </c>
      <c r="BM67" s="137" t="s">
        <v>501</v>
      </c>
      <c r="BN67" s="135"/>
      <c r="BO67" s="135">
        <f>BO$3</f>
        <v>46195</v>
      </c>
      <c r="BP67" s="136" t="s">
        <v>501</v>
      </c>
      <c r="BQ67" s="137" t="s">
        <v>501</v>
      </c>
      <c r="BR67" s="135">
        <f>BR$3</f>
        <v>46196</v>
      </c>
      <c r="BS67" s="136" t="s">
        <v>501</v>
      </c>
      <c r="BT67" s="137" t="s">
        <v>501</v>
      </c>
      <c r="BU67" s="135">
        <f>BU$3</f>
        <v>46197</v>
      </c>
      <c r="BV67" s="136" t="s">
        <v>501</v>
      </c>
      <c r="BW67" s="137" t="s">
        <v>501</v>
      </c>
      <c r="BX67" s="135">
        <f>BX$3</f>
        <v>46198</v>
      </c>
      <c r="BY67" s="136" t="s">
        <v>501</v>
      </c>
      <c r="BZ67" s="137" t="s">
        <v>501</v>
      </c>
      <c r="CA67" s="135">
        <f>CA$3</f>
        <v>46199</v>
      </c>
      <c r="CB67" s="136" t="s">
        <v>501</v>
      </c>
      <c r="CC67" s="137" t="s">
        <v>501</v>
      </c>
      <c r="CD67" s="135">
        <f>CD$3</f>
        <v>46200</v>
      </c>
      <c r="CE67" s="136" t="s">
        <v>501</v>
      </c>
      <c r="CF67" s="137" t="s">
        <v>501</v>
      </c>
      <c r="CG67" s="135"/>
      <c r="CH67" s="135">
        <f>CH$3</f>
        <v>46202</v>
      </c>
      <c r="CI67" s="148" t="s">
        <v>501</v>
      </c>
      <c r="CJ67" s="137" t="s">
        <v>501</v>
      </c>
      <c r="CK67" s="135">
        <f>CK$3</f>
        <v>46203</v>
      </c>
      <c r="CL67" s="136" t="s">
        <v>501</v>
      </c>
      <c r="CM67" s="137"/>
      <c r="CN67" s="135">
        <f>CN$3</f>
        <v>46204</v>
      </c>
      <c r="CO67" s="136" t="s">
        <v>501</v>
      </c>
      <c r="CP67" s="137" t="s">
        <v>501</v>
      </c>
      <c r="CQ67" s="135">
        <f>CQ$3</f>
        <v>46205</v>
      </c>
      <c r="CR67" s="136" t="s">
        <v>501</v>
      </c>
      <c r="CS67" s="137" t="s">
        <v>501</v>
      </c>
      <c r="CT67" s="135">
        <f>CT$3</f>
        <v>46206</v>
      </c>
      <c r="CU67" s="136" t="s">
        <v>501</v>
      </c>
      <c r="CV67" s="137" t="s">
        <v>501</v>
      </c>
      <c r="CW67" s="135">
        <f>CW$3</f>
        <v>46207</v>
      </c>
      <c r="CX67" s="136" t="s">
        <v>501</v>
      </c>
      <c r="CY67" s="137" t="s">
        <v>501</v>
      </c>
      <c r="CZ67" s="135"/>
      <c r="DA67" s="135">
        <f>DA$3</f>
        <v>46209</v>
      </c>
      <c r="DB67" s="136" t="s">
        <v>501</v>
      </c>
      <c r="DC67" s="137" t="s">
        <v>501</v>
      </c>
      <c r="DD67" s="135">
        <f>DD$3</f>
        <v>46210</v>
      </c>
      <c r="DE67" s="136" t="s">
        <v>501</v>
      </c>
      <c r="DF67" s="137" t="s">
        <v>501</v>
      </c>
      <c r="DG67" s="135">
        <f>DG$3</f>
        <v>46211</v>
      </c>
      <c r="DH67" s="136" t="s">
        <v>501</v>
      </c>
      <c r="DI67" s="137" t="s">
        <v>501</v>
      </c>
      <c r="DJ67" s="135">
        <f>DJ$3</f>
        <v>46212</v>
      </c>
      <c r="DK67" s="136" t="s">
        <v>501</v>
      </c>
      <c r="DL67" s="137" t="s">
        <v>501</v>
      </c>
      <c r="DM67" s="135">
        <f>DM$3</f>
        <v>46213</v>
      </c>
      <c r="DN67" s="136" t="s">
        <v>501</v>
      </c>
      <c r="DO67" s="137" t="s">
        <v>501</v>
      </c>
      <c r="DP67" s="135">
        <f>DP$3</f>
        <v>46214</v>
      </c>
      <c r="DQ67" s="136" t="s">
        <v>501</v>
      </c>
      <c r="DR67" s="137" t="s">
        <v>501</v>
      </c>
    </row>
    <row r="68" spans="1:122" outlineLevel="1">
      <c r="A68" s="122" t="str">
        <f>$A$42</f>
        <v>Đỗ Minh Ngọc</v>
      </c>
      <c r="B68" s="82" t="str">
        <f>'Bảng 3'!A224</f>
        <v>3.N.DSHCMCG.STA.201</v>
      </c>
      <c r="C68" s="81" t="str">
        <f>IF($B68="","",INDEX('Bảng 3'!C:C,MATCH($B68,'Bảng 3'!$A:$A,0)))</f>
        <v>Quản lý BIM</v>
      </c>
      <c r="D68" s="81" t="str">
        <f>IF($B68="","",INDEX('Bảng 3'!D:D,MATCH($B68,'Bảng 3'!$A:$A,0)))</f>
        <v>N.DSHCMCG.STA</v>
      </c>
      <c r="E68" s="81" t="str">
        <f>IF($B68="","",INDEX('Bảng 3'!E:E,MATCH($B68,'Bảng 3'!$A:$A,0)))</f>
        <v>Nhà Ga Bến Thành</v>
      </c>
      <c r="F68" s="81" t="str">
        <f>IF($B68="","",INDEX('Bảng 3'!F:F,MATCH($B68,'Bảng 3'!$A:$A,0)))</f>
        <v>KC</v>
      </c>
      <c r="G68" s="81" t="str">
        <f>IF($B68="","",INDEX('Bảng 3'!G:G,MATCH($B68,'Bảng 3'!$A:$A,0)))</f>
        <v>KSCL mô hình BIM</v>
      </c>
      <c r="H68" s="121"/>
      <c r="I68" s="135"/>
      <c r="J68" s="135">
        <f>J$3</f>
        <v>46174</v>
      </c>
      <c r="K68" s="148" t="s">
        <v>501</v>
      </c>
      <c r="L68" s="168" t="s">
        <v>501</v>
      </c>
      <c r="M68" s="135">
        <f>M$3</f>
        <v>46175</v>
      </c>
      <c r="N68" s="148" t="s">
        <v>501</v>
      </c>
      <c r="O68" s="137"/>
      <c r="P68" s="135">
        <f>P$3</f>
        <v>46176</v>
      </c>
      <c r="Q68" s="136" t="s">
        <v>501</v>
      </c>
      <c r="R68" s="137" t="s">
        <v>501</v>
      </c>
      <c r="S68" s="135">
        <f>S$3</f>
        <v>46177</v>
      </c>
      <c r="T68" s="136" t="s">
        <v>501</v>
      </c>
      <c r="U68" s="137" t="s">
        <v>501</v>
      </c>
      <c r="V68" s="135">
        <f>V$3</f>
        <v>46178</v>
      </c>
      <c r="W68" s="136" t="s">
        <v>501</v>
      </c>
      <c r="X68" s="137" t="s">
        <v>501</v>
      </c>
      <c r="Y68" s="135">
        <f>Y$3</f>
        <v>46179</v>
      </c>
      <c r="Z68" s="136" t="s">
        <v>501</v>
      </c>
      <c r="AA68" s="137" t="s">
        <v>501</v>
      </c>
      <c r="AB68" s="135"/>
      <c r="AC68" s="135">
        <f>AC$3</f>
        <v>46181</v>
      </c>
      <c r="AD68" s="136" t="s">
        <v>501</v>
      </c>
      <c r="AE68" s="137" t="s">
        <v>501</v>
      </c>
      <c r="AF68" s="135">
        <f>AF$3</f>
        <v>46182</v>
      </c>
      <c r="AG68" s="136" t="s">
        <v>501</v>
      </c>
      <c r="AH68" s="137" t="s">
        <v>501</v>
      </c>
      <c r="AI68" s="135">
        <f>AI$3</f>
        <v>46183</v>
      </c>
      <c r="AJ68" s="136" t="s">
        <v>501</v>
      </c>
      <c r="AK68" s="137" t="s">
        <v>501</v>
      </c>
      <c r="AL68" s="135">
        <f>AL$3</f>
        <v>46184</v>
      </c>
      <c r="AM68" s="136" t="s">
        <v>501</v>
      </c>
      <c r="AN68" s="137" t="s">
        <v>501</v>
      </c>
      <c r="AO68" s="135">
        <f>AO$3</f>
        <v>46185</v>
      </c>
      <c r="AP68" s="136" t="s">
        <v>501</v>
      </c>
      <c r="AQ68" s="137" t="s">
        <v>501</v>
      </c>
      <c r="AR68" s="135">
        <f>AR$3</f>
        <v>46186</v>
      </c>
      <c r="AS68" s="136" t="s">
        <v>501</v>
      </c>
      <c r="AT68" s="137" t="s">
        <v>501</v>
      </c>
      <c r="AU68" s="135"/>
      <c r="AV68" s="135">
        <f>AV$3</f>
        <v>46188</v>
      </c>
      <c r="AW68" s="148" t="s">
        <v>501</v>
      </c>
      <c r="AX68" s="137" t="s">
        <v>501</v>
      </c>
      <c r="AY68" s="135">
        <f>AY$3</f>
        <v>46189</v>
      </c>
      <c r="AZ68" s="136" t="s">
        <v>501</v>
      </c>
      <c r="BA68" s="137"/>
      <c r="BB68" s="135">
        <f>BB$3</f>
        <v>46190</v>
      </c>
      <c r="BC68" s="136" t="s">
        <v>501</v>
      </c>
      <c r="BD68" s="137" t="s">
        <v>501</v>
      </c>
      <c r="BE68" s="135">
        <f>BE$3</f>
        <v>46191</v>
      </c>
      <c r="BF68" s="136" t="s">
        <v>501</v>
      </c>
      <c r="BG68" s="137" t="s">
        <v>501</v>
      </c>
      <c r="BH68" s="135">
        <f>BH$3</f>
        <v>46192</v>
      </c>
      <c r="BI68" s="136" t="s">
        <v>501</v>
      </c>
      <c r="BJ68" s="137" t="s">
        <v>501</v>
      </c>
      <c r="BK68" s="135">
        <f>BK$3</f>
        <v>46193</v>
      </c>
      <c r="BL68" s="136" t="s">
        <v>501</v>
      </c>
      <c r="BM68" s="137" t="s">
        <v>501</v>
      </c>
      <c r="BN68" s="135"/>
      <c r="BO68" s="135">
        <f>BO$3</f>
        <v>46195</v>
      </c>
      <c r="BP68" s="136" t="s">
        <v>501</v>
      </c>
      <c r="BQ68" s="137" t="s">
        <v>501</v>
      </c>
      <c r="BR68" s="135">
        <f>BR$3</f>
        <v>46196</v>
      </c>
      <c r="BS68" s="136" t="s">
        <v>501</v>
      </c>
      <c r="BT68" s="137" t="s">
        <v>501</v>
      </c>
      <c r="BU68" s="135">
        <f>BU$3</f>
        <v>46197</v>
      </c>
      <c r="BV68" s="136" t="s">
        <v>501</v>
      </c>
      <c r="BW68" s="137" t="s">
        <v>501</v>
      </c>
      <c r="BX68" s="135">
        <f>BX$3</f>
        <v>46198</v>
      </c>
      <c r="BY68" s="136" t="s">
        <v>501</v>
      </c>
      <c r="BZ68" s="137" t="s">
        <v>501</v>
      </c>
      <c r="CA68" s="135">
        <f>CA$3</f>
        <v>46199</v>
      </c>
      <c r="CB68" s="136" t="s">
        <v>501</v>
      </c>
      <c r="CC68" s="137" t="s">
        <v>501</v>
      </c>
      <c r="CD68" s="135">
        <f>CD$3</f>
        <v>46200</v>
      </c>
      <c r="CE68" s="136" t="s">
        <v>501</v>
      </c>
      <c r="CF68" s="137" t="s">
        <v>501</v>
      </c>
      <c r="CG68" s="135"/>
      <c r="CH68" s="135">
        <f>CH$3</f>
        <v>46202</v>
      </c>
      <c r="CI68" s="148" t="s">
        <v>501</v>
      </c>
      <c r="CJ68" s="137" t="s">
        <v>501</v>
      </c>
      <c r="CK68" s="135">
        <f>CK$3</f>
        <v>46203</v>
      </c>
      <c r="CL68" s="136" t="s">
        <v>501</v>
      </c>
      <c r="CM68" s="137"/>
      <c r="CN68" s="135">
        <f>CN$3</f>
        <v>46204</v>
      </c>
      <c r="CO68" s="136" t="s">
        <v>501</v>
      </c>
      <c r="CP68" s="137" t="s">
        <v>501</v>
      </c>
      <c r="CQ68" s="135">
        <f>CQ$3</f>
        <v>46205</v>
      </c>
      <c r="CR68" s="136" t="s">
        <v>501</v>
      </c>
      <c r="CS68" s="137" t="s">
        <v>501</v>
      </c>
      <c r="CT68" s="135">
        <f>CT$3</f>
        <v>46206</v>
      </c>
      <c r="CU68" s="136" t="s">
        <v>501</v>
      </c>
      <c r="CV68" s="137" t="s">
        <v>501</v>
      </c>
      <c r="CW68" s="135">
        <f>CW$3</f>
        <v>46207</v>
      </c>
      <c r="CX68" s="136" t="s">
        <v>501</v>
      </c>
      <c r="CY68" s="137" t="s">
        <v>501</v>
      </c>
      <c r="CZ68" s="135"/>
      <c r="DA68" s="135">
        <f>DA$3</f>
        <v>46209</v>
      </c>
      <c r="DB68" s="136" t="s">
        <v>501</v>
      </c>
      <c r="DC68" s="137" t="s">
        <v>501</v>
      </c>
      <c r="DD68" s="135">
        <f>DD$3</f>
        <v>46210</v>
      </c>
      <c r="DE68" s="136" t="s">
        <v>501</v>
      </c>
      <c r="DF68" s="137" t="s">
        <v>501</v>
      </c>
      <c r="DG68" s="135">
        <f>DG$3</f>
        <v>46211</v>
      </c>
      <c r="DH68" s="136" t="s">
        <v>501</v>
      </c>
      <c r="DI68" s="137" t="s">
        <v>501</v>
      </c>
      <c r="DJ68" s="135">
        <f>DJ$3</f>
        <v>46212</v>
      </c>
      <c r="DK68" s="136" t="s">
        <v>501</v>
      </c>
      <c r="DL68" s="137" t="s">
        <v>501</v>
      </c>
      <c r="DM68" s="135">
        <f>DM$3</f>
        <v>46213</v>
      </c>
      <c r="DN68" s="136" t="s">
        <v>501</v>
      </c>
      <c r="DO68" s="137" t="s">
        <v>501</v>
      </c>
      <c r="DP68" s="135">
        <f>DP$3</f>
        <v>46214</v>
      </c>
      <c r="DQ68" s="136" t="s">
        <v>501</v>
      </c>
      <c r="DR68" s="137" t="s">
        <v>501</v>
      </c>
    </row>
    <row r="69" spans="1:122" outlineLevel="1">
      <c r="A69" s="122" t="str">
        <f>$A$42</f>
        <v>Đỗ Minh Ngọc</v>
      </c>
      <c r="B69" s="82" t="str">
        <f>'Bảng 3'!A237</f>
        <v>3.N.HCM.CGIO.KS.101</v>
      </c>
      <c r="C69" s="81" t="str">
        <f>IF($B69="","",INDEX('Bảng 3'!C:C,MATCH($B69,'Bảng 3'!$A:$A,0)))</f>
        <v>Quản lý BIM</v>
      </c>
      <c r="D69" s="81" t="str">
        <f>IF($B69="","",INDEX('Bảng 3'!D:D,MATCH($B69,'Bảng 3'!$A:$A,0)))</f>
        <v>N.HCM.CGIO.KS</v>
      </c>
      <c r="E69" s="81" t="str">
        <f>IF($B69="","",INDEX('Bảng 3'!E:E,MATCH($B69,'Bảng 3'!$A:$A,0)))</f>
        <v>Khách sạn Grand Hyatt - A3.24.04</v>
      </c>
      <c r="F69" s="81" t="str">
        <f>IF($B69="","",INDEX('Bảng 3'!F:F,MATCH($B69,'Bảng 3'!$A:$A,0)))</f>
        <v>KT</v>
      </c>
      <c r="G69" s="81" t="str">
        <f>IF($B69="","",INDEX('Bảng 3'!G:G,MATCH($B69,'Bảng 3'!$A:$A,0)))</f>
        <v>Tạo lập mô hình BIM</v>
      </c>
      <c r="H69" s="121"/>
      <c r="I69" s="135"/>
      <c r="J69" s="135">
        <f>J$3</f>
        <v>46174</v>
      </c>
      <c r="K69" s="148" t="s">
        <v>501</v>
      </c>
      <c r="L69" s="168" t="s">
        <v>501</v>
      </c>
      <c r="M69" s="135">
        <f>M$3</f>
        <v>46175</v>
      </c>
      <c r="N69" s="148" t="s">
        <v>501</v>
      </c>
      <c r="O69" s="137"/>
      <c r="P69" s="135">
        <f>P$3</f>
        <v>46176</v>
      </c>
      <c r="Q69" s="136" t="s">
        <v>501</v>
      </c>
      <c r="R69" s="137" t="s">
        <v>501</v>
      </c>
      <c r="S69" s="135">
        <f>S$3</f>
        <v>46177</v>
      </c>
      <c r="T69" s="136" t="s">
        <v>501</v>
      </c>
      <c r="U69" s="137" t="s">
        <v>501</v>
      </c>
      <c r="V69" s="135">
        <f>V$3</f>
        <v>46178</v>
      </c>
      <c r="W69" s="136" t="s">
        <v>501</v>
      </c>
      <c r="X69" s="137" t="s">
        <v>501</v>
      </c>
      <c r="Y69" s="135">
        <f>Y$3</f>
        <v>46179</v>
      </c>
      <c r="Z69" s="136" t="s">
        <v>501</v>
      </c>
      <c r="AA69" s="137" t="s">
        <v>501</v>
      </c>
      <c r="AB69" s="135"/>
      <c r="AC69" s="135">
        <f>AC$3</f>
        <v>46181</v>
      </c>
      <c r="AD69" s="136" t="s">
        <v>501</v>
      </c>
      <c r="AE69" s="137" t="s">
        <v>501</v>
      </c>
      <c r="AF69" s="135">
        <f>AF$3</f>
        <v>46182</v>
      </c>
      <c r="AG69" s="136" t="s">
        <v>501</v>
      </c>
      <c r="AH69" s="137" t="s">
        <v>501</v>
      </c>
      <c r="AI69" s="135">
        <f>AI$3</f>
        <v>46183</v>
      </c>
      <c r="AJ69" s="136" t="s">
        <v>501</v>
      </c>
      <c r="AK69" s="137" t="s">
        <v>501</v>
      </c>
      <c r="AL69" s="135">
        <f>AL$3</f>
        <v>46184</v>
      </c>
      <c r="AM69" s="136" t="s">
        <v>501</v>
      </c>
      <c r="AN69" s="137" t="s">
        <v>501</v>
      </c>
      <c r="AO69" s="135">
        <f>AO$3</f>
        <v>46185</v>
      </c>
      <c r="AP69" s="136" t="s">
        <v>501</v>
      </c>
      <c r="AQ69" s="137" t="s">
        <v>501</v>
      </c>
      <c r="AR69" s="135">
        <f>AR$3</f>
        <v>46186</v>
      </c>
      <c r="AS69" s="136" t="s">
        <v>501</v>
      </c>
      <c r="AT69" s="137" t="s">
        <v>501</v>
      </c>
      <c r="AU69" s="135"/>
      <c r="AV69" s="135">
        <f>AV$3</f>
        <v>46188</v>
      </c>
      <c r="AW69" s="148" t="s">
        <v>501</v>
      </c>
      <c r="AX69" s="137" t="s">
        <v>501</v>
      </c>
      <c r="AY69" s="135">
        <f>AY$3</f>
        <v>46189</v>
      </c>
      <c r="AZ69" s="136" t="s">
        <v>501</v>
      </c>
      <c r="BA69" s="137"/>
      <c r="BB69" s="135">
        <f>BB$3</f>
        <v>46190</v>
      </c>
      <c r="BC69" s="136" t="s">
        <v>501</v>
      </c>
      <c r="BD69" s="137" t="s">
        <v>501</v>
      </c>
      <c r="BE69" s="135">
        <f>BE$3</f>
        <v>46191</v>
      </c>
      <c r="BF69" s="136" t="s">
        <v>501</v>
      </c>
      <c r="BG69" s="137" t="s">
        <v>501</v>
      </c>
      <c r="BH69" s="135">
        <f>BH$3</f>
        <v>46192</v>
      </c>
      <c r="BI69" s="136" t="s">
        <v>501</v>
      </c>
      <c r="BJ69" s="137" t="s">
        <v>501</v>
      </c>
      <c r="BK69" s="135">
        <f>BK$3</f>
        <v>46193</v>
      </c>
      <c r="BL69" s="136" t="s">
        <v>501</v>
      </c>
      <c r="BM69" s="137" t="s">
        <v>501</v>
      </c>
      <c r="BN69" s="135"/>
      <c r="BO69" s="135">
        <f>BO$3</f>
        <v>46195</v>
      </c>
      <c r="BP69" s="136" t="s">
        <v>501</v>
      </c>
      <c r="BQ69" s="137" t="s">
        <v>501</v>
      </c>
      <c r="BR69" s="135">
        <f>BR$3</f>
        <v>46196</v>
      </c>
      <c r="BS69" s="136" t="s">
        <v>501</v>
      </c>
      <c r="BT69" s="137" t="s">
        <v>501</v>
      </c>
      <c r="BU69" s="135">
        <f>BU$3</f>
        <v>46197</v>
      </c>
      <c r="BV69" s="136" t="s">
        <v>501</v>
      </c>
      <c r="BW69" s="137" t="s">
        <v>501</v>
      </c>
      <c r="BX69" s="135">
        <f>BX$3</f>
        <v>46198</v>
      </c>
      <c r="BY69" s="136" t="s">
        <v>501</v>
      </c>
      <c r="BZ69" s="137" t="s">
        <v>501</v>
      </c>
      <c r="CA69" s="135">
        <f>CA$3</f>
        <v>46199</v>
      </c>
      <c r="CB69" s="136" t="s">
        <v>501</v>
      </c>
      <c r="CC69" s="137" t="s">
        <v>501</v>
      </c>
      <c r="CD69" s="135">
        <f>CD$3</f>
        <v>46200</v>
      </c>
      <c r="CE69" s="136" t="s">
        <v>501</v>
      </c>
      <c r="CF69" s="137" t="s">
        <v>501</v>
      </c>
      <c r="CG69" s="135"/>
      <c r="CH69" s="135">
        <f>CH$3</f>
        <v>46202</v>
      </c>
      <c r="CI69" s="148" t="s">
        <v>501</v>
      </c>
      <c r="CJ69" s="137" t="s">
        <v>501</v>
      </c>
      <c r="CK69" s="135">
        <f>CK$3</f>
        <v>46203</v>
      </c>
      <c r="CL69" s="136" t="s">
        <v>501</v>
      </c>
      <c r="CM69" s="137"/>
      <c r="CN69" s="135">
        <f>CN$3</f>
        <v>46204</v>
      </c>
      <c r="CO69" s="136" t="s">
        <v>501</v>
      </c>
      <c r="CP69" s="137" t="s">
        <v>501</v>
      </c>
      <c r="CQ69" s="135">
        <f>CQ$3</f>
        <v>46205</v>
      </c>
      <c r="CR69" s="136" t="s">
        <v>501</v>
      </c>
      <c r="CS69" s="137" t="s">
        <v>501</v>
      </c>
      <c r="CT69" s="135">
        <f>CT$3</f>
        <v>46206</v>
      </c>
      <c r="CU69" s="136" t="s">
        <v>501</v>
      </c>
      <c r="CV69" s="137" t="s">
        <v>501</v>
      </c>
      <c r="CW69" s="135">
        <f>CW$3</f>
        <v>46207</v>
      </c>
      <c r="CX69" s="136" t="s">
        <v>501</v>
      </c>
      <c r="CY69" s="137" t="s">
        <v>501</v>
      </c>
      <c r="CZ69" s="135"/>
      <c r="DA69" s="135">
        <f>DA$3</f>
        <v>46209</v>
      </c>
      <c r="DB69" s="136" t="s">
        <v>501</v>
      </c>
      <c r="DC69" s="137" t="s">
        <v>501</v>
      </c>
      <c r="DD69" s="135">
        <f>DD$3</f>
        <v>46210</v>
      </c>
      <c r="DE69" s="136" t="s">
        <v>501</v>
      </c>
      <c r="DF69" s="137" t="s">
        <v>501</v>
      </c>
      <c r="DG69" s="135">
        <f>DG$3</f>
        <v>46211</v>
      </c>
      <c r="DH69" s="136" t="s">
        <v>501</v>
      </c>
      <c r="DI69" s="137" t="s">
        <v>501</v>
      </c>
      <c r="DJ69" s="135">
        <f>DJ$3</f>
        <v>46212</v>
      </c>
      <c r="DK69" s="136" t="s">
        <v>501</v>
      </c>
      <c r="DL69" s="137" t="s">
        <v>501</v>
      </c>
      <c r="DM69" s="135">
        <f>DM$3</f>
        <v>46213</v>
      </c>
      <c r="DN69" s="136" t="s">
        <v>501</v>
      </c>
      <c r="DO69" s="137" t="s">
        <v>501</v>
      </c>
      <c r="DP69" s="135">
        <f>DP$3</f>
        <v>46214</v>
      </c>
      <c r="DQ69" s="136" t="s">
        <v>501</v>
      </c>
      <c r="DR69" s="137" t="s">
        <v>501</v>
      </c>
    </row>
    <row r="70" spans="1:122" outlineLevel="1">
      <c r="A70" s="122" t="str">
        <f>$A$42</f>
        <v>Đỗ Minh Ngọc</v>
      </c>
      <c r="B70" s="82" t="str">
        <f>'Bảng 3'!A238</f>
        <v>3.N.HCM.CGIO.KS.201</v>
      </c>
      <c r="C70" s="81" t="str">
        <f>IF($B70="","",INDEX('Bảng 3'!C:C,MATCH($B70,'Bảng 3'!$A:$A,0)))</f>
        <v>Quản lý BIM</v>
      </c>
      <c r="D70" s="81" t="str">
        <f>IF($B70="","",INDEX('Bảng 3'!D:D,MATCH($B70,'Bảng 3'!$A:$A,0)))</f>
        <v>N.HCM.CGIO.KS</v>
      </c>
      <c r="E70" s="81" t="str">
        <f>IF($B70="","",INDEX('Bảng 3'!E:E,MATCH($B70,'Bảng 3'!$A:$A,0)))</f>
        <v>Khách sạn Grand Hyatt - A3.24.04</v>
      </c>
      <c r="F70" s="81" t="str">
        <f>IF($B70="","",INDEX('Bảng 3'!F:F,MATCH($B70,'Bảng 3'!$A:$A,0)))</f>
        <v>KC</v>
      </c>
      <c r="G70" s="81" t="str">
        <f>IF($B70="","",INDEX('Bảng 3'!G:G,MATCH($B70,'Bảng 3'!$A:$A,0)))</f>
        <v>Tạo lập mô hình BIM</v>
      </c>
      <c r="H70" s="121"/>
      <c r="I70" s="135"/>
      <c r="J70" s="135">
        <f>J$3</f>
        <v>46174</v>
      </c>
      <c r="K70" s="148" t="s">
        <v>501</v>
      </c>
      <c r="L70" s="168" t="s">
        <v>501</v>
      </c>
      <c r="M70" s="135">
        <f>M$3</f>
        <v>46175</v>
      </c>
      <c r="N70" s="148" t="s">
        <v>501</v>
      </c>
      <c r="O70" s="137"/>
      <c r="P70" s="135">
        <f>P$3</f>
        <v>46176</v>
      </c>
      <c r="Q70" s="136" t="s">
        <v>501</v>
      </c>
      <c r="R70" s="137" t="s">
        <v>501</v>
      </c>
      <c r="S70" s="135">
        <f>S$3</f>
        <v>46177</v>
      </c>
      <c r="T70" s="136" t="s">
        <v>501</v>
      </c>
      <c r="U70" s="137" t="s">
        <v>501</v>
      </c>
      <c r="V70" s="135">
        <f>V$3</f>
        <v>46178</v>
      </c>
      <c r="W70" s="136" t="s">
        <v>501</v>
      </c>
      <c r="X70" s="137" t="s">
        <v>501</v>
      </c>
      <c r="Y70" s="135">
        <f>Y$3</f>
        <v>46179</v>
      </c>
      <c r="Z70" s="136" t="s">
        <v>501</v>
      </c>
      <c r="AA70" s="137" t="s">
        <v>501</v>
      </c>
      <c r="AB70" s="135"/>
      <c r="AC70" s="135">
        <f>AC$3</f>
        <v>46181</v>
      </c>
      <c r="AD70" s="136" t="s">
        <v>501</v>
      </c>
      <c r="AE70" s="137" t="s">
        <v>501</v>
      </c>
      <c r="AF70" s="135">
        <f>AF$3</f>
        <v>46182</v>
      </c>
      <c r="AG70" s="136" t="s">
        <v>501</v>
      </c>
      <c r="AH70" s="137" t="s">
        <v>501</v>
      </c>
      <c r="AI70" s="135">
        <f>AI$3</f>
        <v>46183</v>
      </c>
      <c r="AJ70" s="136" t="s">
        <v>501</v>
      </c>
      <c r="AK70" s="137" t="s">
        <v>501</v>
      </c>
      <c r="AL70" s="135">
        <f>AL$3</f>
        <v>46184</v>
      </c>
      <c r="AM70" s="136" t="s">
        <v>501</v>
      </c>
      <c r="AN70" s="137" t="s">
        <v>501</v>
      </c>
      <c r="AO70" s="135">
        <f>AO$3</f>
        <v>46185</v>
      </c>
      <c r="AP70" s="136" t="s">
        <v>501</v>
      </c>
      <c r="AQ70" s="137" t="s">
        <v>501</v>
      </c>
      <c r="AR70" s="135">
        <f>AR$3</f>
        <v>46186</v>
      </c>
      <c r="AS70" s="136" t="s">
        <v>501</v>
      </c>
      <c r="AT70" s="137" t="s">
        <v>501</v>
      </c>
      <c r="AU70" s="135"/>
      <c r="AV70" s="135">
        <f>AV$3</f>
        <v>46188</v>
      </c>
      <c r="AW70" s="148" t="s">
        <v>501</v>
      </c>
      <c r="AX70" s="137" t="s">
        <v>501</v>
      </c>
      <c r="AY70" s="135">
        <f>AY$3</f>
        <v>46189</v>
      </c>
      <c r="AZ70" s="136" t="s">
        <v>501</v>
      </c>
      <c r="BA70" s="137"/>
      <c r="BB70" s="135">
        <f>BB$3</f>
        <v>46190</v>
      </c>
      <c r="BC70" s="136" t="s">
        <v>501</v>
      </c>
      <c r="BD70" s="137" t="s">
        <v>501</v>
      </c>
      <c r="BE70" s="135">
        <f>BE$3</f>
        <v>46191</v>
      </c>
      <c r="BF70" s="136" t="s">
        <v>501</v>
      </c>
      <c r="BG70" s="137" t="s">
        <v>501</v>
      </c>
      <c r="BH70" s="135">
        <f>BH$3</f>
        <v>46192</v>
      </c>
      <c r="BI70" s="136" t="s">
        <v>501</v>
      </c>
      <c r="BJ70" s="137" t="s">
        <v>501</v>
      </c>
      <c r="BK70" s="135">
        <f>BK$3</f>
        <v>46193</v>
      </c>
      <c r="BL70" s="136" t="s">
        <v>501</v>
      </c>
      <c r="BM70" s="137" t="s">
        <v>501</v>
      </c>
      <c r="BN70" s="135"/>
      <c r="BO70" s="135">
        <f>BO$3</f>
        <v>46195</v>
      </c>
      <c r="BP70" s="136" t="s">
        <v>501</v>
      </c>
      <c r="BQ70" s="137" t="s">
        <v>501</v>
      </c>
      <c r="BR70" s="135">
        <f>BR$3</f>
        <v>46196</v>
      </c>
      <c r="BS70" s="136" t="s">
        <v>501</v>
      </c>
      <c r="BT70" s="137" t="s">
        <v>501</v>
      </c>
      <c r="BU70" s="135">
        <f>BU$3</f>
        <v>46197</v>
      </c>
      <c r="BV70" s="136" t="s">
        <v>501</v>
      </c>
      <c r="BW70" s="137" t="s">
        <v>501</v>
      </c>
      <c r="BX70" s="135">
        <f>BX$3</f>
        <v>46198</v>
      </c>
      <c r="BY70" s="136" t="s">
        <v>501</v>
      </c>
      <c r="BZ70" s="137" t="s">
        <v>501</v>
      </c>
      <c r="CA70" s="135">
        <f>CA$3</f>
        <v>46199</v>
      </c>
      <c r="CB70" s="136" t="s">
        <v>501</v>
      </c>
      <c r="CC70" s="137" t="s">
        <v>501</v>
      </c>
      <c r="CD70" s="135">
        <f>CD$3</f>
        <v>46200</v>
      </c>
      <c r="CE70" s="136" t="s">
        <v>501</v>
      </c>
      <c r="CF70" s="137" t="s">
        <v>501</v>
      </c>
      <c r="CG70" s="135"/>
      <c r="CH70" s="135">
        <f>CH$3</f>
        <v>46202</v>
      </c>
      <c r="CI70" s="148" t="s">
        <v>501</v>
      </c>
      <c r="CJ70" s="137" t="s">
        <v>501</v>
      </c>
      <c r="CK70" s="135">
        <f>CK$3</f>
        <v>46203</v>
      </c>
      <c r="CL70" s="136" t="s">
        <v>501</v>
      </c>
      <c r="CM70" s="137"/>
      <c r="CN70" s="135">
        <f>CN$3</f>
        <v>46204</v>
      </c>
      <c r="CO70" s="136" t="s">
        <v>501</v>
      </c>
      <c r="CP70" s="137" t="s">
        <v>501</v>
      </c>
      <c r="CQ70" s="135">
        <f>CQ$3</f>
        <v>46205</v>
      </c>
      <c r="CR70" s="136" t="s">
        <v>501</v>
      </c>
      <c r="CS70" s="137" t="s">
        <v>501</v>
      </c>
      <c r="CT70" s="135">
        <f>CT$3</f>
        <v>46206</v>
      </c>
      <c r="CU70" s="136" t="s">
        <v>501</v>
      </c>
      <c r="CV70" s="137" t="s">
        <v>501</v>
      </c>
      <c r="CW70" s="135">
        <f>CW$3</f>
        <v>46207</v>
      </c>
      <c r="CX70" s="136" t="s">
        <v>501</v>
      </c>
      <c r="CY70" s="137" t="s">
        <v>501</v>
      </c>
      <c r="CZ70" s="135"/>
      <c r="DA70" s="135">
        <f>DA$3</f>
        <v>46209</v>
      </c>
      <c r="DB70" s="136" t="s">
        <v>501</v>
      </c>
      <c r="DC70" s="137" t="s">
        <v>501</v>
      </c>
      <c r="DD70" s="135">
        <f>DD$3</f>
        <v>46210</v>
      </c>
      <c r="DE70" s="136" t="s">
        <v>501</v>
      </c>
      <c r="DF70" s="137" t="s">
        <v>501</v>
      </c>
      <c r="DG70" s="135">
        <f>DG$3</f>
        <v>46211</v>
      </c>
      <c r="DH70" s="136" t="s">
        <v>501</v>
      </c>
      <c r="DI70" s="137" t="s">
        <v>501</v>
      </c>
      <c r="DJ70" s="135">
        <f>DJ$3</f>
        <v>46212</v>
      </c>
      <c r="DK70" s="136" t="s">
        <v>501</v>
      </c>
      <c r="DL70" s="137" t="s">
        <v>501</v>
      </c>
      <c r="DM70" s="135">
        <f>DM$3</f>
        <v>46213</v>
      </c>
      <c r="DN70" s="136" t="s">
        <v>501</v>
      </c>
      <c r="DO70" s="137" t="s">
        <v>501</v>
      </c>
      <c r="DP70" s="135">
        <f>DP$3</f>
        <v>46214</v>
      </c>
      <c r="DQ70" s="136" t="s">
        <v>501</v>
      </c>
      <c r="DR70" s="137" t="s">
        <v>501</v>
      </c>
    </row>
    <row r="71" spans="1:122" outlineLevel="1">
      <c r="A71" s="122" t="str">
        <f>$A$42</f>
        <v>Đỗ Minh Ngọc</v>
      </c>
      <c r="B71" s="82" t="str">
        <f>'Bảng 3'!A251</f>
        <v>3.N.HCM.CGIO.KS.103</v>
      </c>
      <c r="C71" s="81" t="str">
        <f>IF($B71="","",INDEX('Bảng 3'!C:C,MATCH($B71,'Bảng 3'!$A:$A,0)))</f>
        <v>Quản lý BIM</v>
      </c>
      <c r="D71" s="81" t="str">
        <f>IF($B71="","",INDEX('Bảng 3'!D:D,MATCH($B71,'Bảng 3'!$A:$A,0)))</f>
        <v>N.HCM.CGIO.KS</v>
      </c>
      <c r="E71" s="81" t="str">
        <f>IF($B71="","",INDEX('Bảng 3'!E:E,MATCH($B71,'Bảng 3'!$A:$A,0)))</f>
        <v xml:space="preserve">Khách sạn Ritz Carlton - B5-06-10,11 </v>
      </c>
      <c r="F71" s="81" t="str">
        <f>IF($B71="","",INDEX('Bảng 3'!F:F,MATCH($B71,'Bảng 3'!$A:$A,0)))</f>
        <v>KT</v>
      </c>
      <c r="G71" s="81" t="str">
        <f>IF($B71="","",INDEX('Bảng 3'!G:G,MATCH($B71,'Bảng 3'!$A:$A,0)))</f>
        <v>Tạo lập mô hình BIM</v>
      </c>
      <c r="H71" s="121"/>
      <c r="I71" s="135"/>
      <c r="J71" s="135">
        <f>J$3</f>
        <v>46174</v>
      </c>
      <c r="K71" s="148" t="s">
        <v>501</v>
      </c>
      <c r="L71" s="168" t="s">
        <v>501</v>
      </c>
      <c r="M71" s="135">
        <f>M$3</f>
        <v>46175</v>
      </c>
      <c r="N71" s="148" t="s">
        <v>501</v>
      </c>
      <c r="O71" s="137"/>
      <c r="P71" s="135">
        <f>P$3</f>
        <v>46176</v>
      </c>
      <c r="Q71" s="136" t="s">
        <v>501</v>
      </c>
      <c r="R71" s="137" t="s">
        <v>501</v>
      </c>
      <c r="S71" s="135">
        <f>S$3</f>
        <v>46177</v>
      </c>
      <c r="T71" s="136" t="s">
        <v>501</v>
      </c>
      <c r="U71" s="137" t="s">
        <v>501</v>
      </c>
      <c r="V71" s="135">
        <f>V$3</f>
        <v>46178</v>
      </c>
      <c r="W71" s="136" t="s">
        <v>501</v>
      </c>
      <c r="X71" s="137" t="s">
        <v>501</v>
      </c>
      <c r="Y71" s="135">
        <f>Y$3</f>
        <v>46179</v>
      </c>
      <c r="Z71" s="136" t="s">
        <v>501</v>
      </c>
      <c r="AA71" s="137" t="s">
        <v>501</v>
      </c>
      <c r="AB71" s="135"/>
      <c r="AC71" s="135">
        <f>AC$3</f>
        <v>46181</v>
      </c>
      <c r="AD71" s="136" t="s">
        <v>501</v>
      </c>
      <c r="AE71" s="137" t="s">
        <v>501</v>
      </c>
      <c r="AF71" s="135">
        <f>AF$3</f>
        <v>46182</v>
      </c>
      <c r="AG71" s="136" t="s">
        <v>501</v>
      </c>
      <c r="AH71" s="137" t="s">
        <v>501</v>
      </c>
      <c r="AI71" s="135">
        <f>AI$3</f>
        <v>46183</v>
      </c>
      <c r="AJ71" s="136" t="s">
        <v>501</v>
      </c>
      <c r="AK71" s="137" t="s">
        <v>501</v>
      </c>
      <c r="AL71" s="135">
        <f>AL$3</f>
        <v>46184</v>
      </c>
      <c r="AM71" s="136" t="s">
        <v>501</v>
      </c>
      <c r="AN71" s="137" t="s">
        <v>501</v>
      </c>
      <c r="AO71" s="135">
        <f>AO$3</f>
        <v>46185</v>
      </c>
      <c r="AP71" s="136" t="s">
        <v>501</v>
      </c>
      <c r="AQ71" s="137" t="s">
        <v>501</v>
      </c>
      <c r="AR71" s="135">
        <f>AR$3</f>
        <v>46186</v>
      </c>
      <c r="AS71" s="136" t="s">
        <v>501</v>
      </c>
      <c r="AT71" s="137" t="s">
        <v>501</v>
      </c>
      <c r="AU71" s="135"/>
      <c r="AV71" s="135">
        <f>AV$3</f>
        <v>46188</v>
      </c>
      <c r="AW71" s="148" t="s">
        <v>501</v>
      </c>
      <c r="AX71" s="137" t="s">
        <v>501</v>
      </c>
      <c r="AY71" s="135">
        <f>AY$3</f>
        <v>46189</v>
      </c>
      <c r="AZ71" s="136" t="s">
        <v>501</v>
      </c>
      <c r="BA71" s="137"/>
      <c r="BB71" s="135">
        <f>BB$3</f>
        <v>46190</v>
      </c>
      <c r="BC71" s="136" t="s">
        <v>501</v>
      </c>
      <c r="BD71" s="137" t="s">
        <v>501</v>
      </c>
      <c r="BE71" s="135">
        <f>BE$3</f>
        <v>46191</v>
      </c>
      <c r="BF71" s="136" t="s">
        <v>501</v>
      </c>
      <c r="BG71" s="137" t="s">
        <v>501</v>
      </c>
      <c r="BH71" s="135">
        <f>BH$3</f>
        <v>46192</v>
      </c>
      <c r="BI71" s="136" t="s">
        <v>501</v>
      </c>
      <c r="BJ71" s="137" t="s">
        <v>501</v>
      </c>
      <c r="BK71" s="135">
        <f>BK$3</f>
        <v>46193</v>
      </c>
      <c r="BL71" s="136" t="s">
        <v>501</v>
      </c>
      <c r="BM71" s="137" t="s">
        <v>501</v>
      </c>
      <c r="BN71" s="135"/>
      <c r="BO71" s="135">
        <f>BO$3</f>
        <v>46195</v>
      </c>
      <c r="BP71" s="136" t="s">
        <v>501</v>
      </c>
      <c r="BQ71" s="137" t="s">
        <v>501</v>
      </c>
      <c r="BR71" s="135">
        <f>BR$3</f>
        <v>46196</v>
      </c>
      <c r="BS71" s="136" t="s">
        <v>501</v>
      </c>
      <c r="BT71" s="137" t="s">
        <v>501</v>
      </c>
      <c r="BU71" s="135">
        <f>BU$3</f>
        <v>46197</v>
      </c>
      <c r="BV71" s="136" t="s">
        <v>501</v>
      </c>
      <c r="BW71" s="137" t="s">
        <v>501</v>
      </c>
      <c r="BX71" s="135">
        <f>BX$3</f>
        <v>46198</v>
      </c>
      <c r="BY71" s="136" t="s">
        <v>501</v>
      </c>
      <c r="BZ71" s="137" t="s">
        <v>501</v>
      </c>
      <c r="CA71" s="135">
        <f>CA$3</f>
        <v>46199</v>
      </c>
      <c r="CB71" s="136" t="s">
        <v>501</v>
      </c>
      <c r="CC71" s="137" t="s">
        <v>501</v>
      </c>
      <c r="CD71" s="135">
        <f>CD$3</f>
        <v>46200</v>
      </c>
      <c r="CE71" s="136" t="s">
        <v>501</v>
      </c>
      <c r="CF71" s="137" t="s">
        <v>501</v>
      </c>
      <c r="CG71" s="135"/>
      <c r="CH71" s="135">
        <f>CH$3</f>
        <v>46202</v>
      </c>
      <c r="CI71" s="148" t="s">
        <v>501</v>
      </c>
      <c r="CJ71" s="137" t="s">
        <v>501</v>
      </c>
      <c r="CK71" s="135">
        <f>CK$3</f>
        <v>46203</v>
      </c>
      <c r="CL71" s="136" t="s">
        <v>501</v>
      </c>
      <c r="CM71" s="137"/>
      <c r="CN71" s="135">
        <f>CN$3</f>
        <v>46204</v>
      </c>
      <c r="CO71" s="136" t="s">
        <v>501</v>
      </c>
      <c r="CP71" s="137" t="s">
        <v>501</v>
      </c>
      <c r="CQ71" s="135">
        <f>CQ$3</f>
        <v>46205</v>
      </c>
      <c r="CR71" s="136" t="s">
        <v>501</v>
      </c>
      <c r="CS71" s="137" t="s">
        <v>501</v>
      </c>
      <c r="CT71" s="135">
        <f>CT$3</f>
        <v>46206</v>
      </c>
      <c r="CU71" s="136" t="s">
        <v>501</v>
      </c>
      <c r="CV71" s="137" t="s">
        <v>501</v>
      </c>
      <c r="CW71" s="135">
        <f>CW$3</f>
        <v>46207</v>
      </c>
      <c r="CX71" s="136" t="s">
        <v>501</v>
      </c>
      <c r="CY71" s="137" t="s">
        <v>501</v>
      </c>
      <c r="CZ71" s="135"/>
      <c r="DA71" s="135">
        <f>DA$3</f>
        <v>46209</v>
      </c>
      <c r="DB71" s="136" t="s">
        <v>501</v>
      </c>
      <c r="DC71" s="137" t="s">
        <v>501</v>
      </c>
      <c r="DD71" s="135">
        <f>DD$3</f>
        <v>46210</v>
      </c>
      <c r="DE71" s="136" t="s">
        <v>501</v>
      </c>
      <c r="DF71" s="137" t="s">
        <v>501</v>
      </c>
      <c r="DG71" s="135">
        <f>DG$3</f>
        <v>46211</v>
      </c>
      <c r="DH71" s="136" t="s">
        <v>501</v>
      </c>
      <c r="DI71" s="137" t="s">
        <v>501</v>
      </c>
      <c r="DJ71" s="135">
        <f>DJ$3</f>
        <v>46212</v>
      </c>
      <c r="DK71" s="136" t="s">
        <v>501</v>
      </c>
      <c r="DL71" s="137" t="s">
        <v>501</v>
      </c>
      <c r="DM71" s="135">
        <f>DM$3</f>
        <v>46213</v>
      </c>
      <c r="DN71" s="136" t="s">
        <v>501</v>
      </c>
      <c r="DO71" s="137" t="s">
        <v>501</v>
      </c>
      <c r="DP71" s="135">
        <f>DP$3</f>
        <v>46214</v>
      </c>
      <c r="DQ71" s="136" t="s">
        <v>501</v>
      </c>
      <c r="DR71" s="137" t="s">
        <v>501</v>
      </c>
    </row>
    <row r="72" spans="1:122" outlineLevel="1">
      <c r="A72" s="122" t="str">
        <f>$A$42</f>
        <v>Đỗ Minh Ngọc</v>
      </c>
      <c r="B72" s="82" t="str">
        <f>'Bảng 3'!A252</f>
        <v>3.N.HCM.CGIO.KS.203</v>
      </c>
      <c r="C72" s="81" t="str">
        <f>IF($B72="","",INDEX('Bảng 3'!C:C,MATCH($B72,'Bảng 3'!$A:$A,0)))</f>
        <v>Quản lý BIM</v>
      </c>
      <c r="D72" s="81" t="str">
        <f>IF($B72="","",INDEX('Bảng 3'!D:D,MATCH($B72,'Bảng 3'!$A:$A,0)))</f>
        <v>N.HCM.CGIO.KS</v>
      </c>
      <c r="E72" s="81" t="str">
        <f>IF($B72="","",INDEX('Bảng 3'!E:E,MATCH($B72,'Bảng 3'!$A:$A,0)))</f>
        <v xml:space="preserve">Khách sạn Ritz Carlton - B5-06-10,11 </v>
      </c>
      <c r="F72" s="81" t="str">
        <f>IF($B72="","",INDEX('Bảng 3'!F:F,MATCH($B72,'Bảng 3'!$A:$A,0)))</f>
        <v>KC</v>
      </c>
      <c r="G72" s="81" t="str">
        <f>IF($B72="","",INDEX('Bảng 3'!G:G,MATCH($B72,'Bảng 3'!$A:$A,0)))</f>
        <v>Tạo lập mô hình BIM</v>
      </c>
      <c r="H72" s="121"/>
      <c r="I72" s="135"/>
      <c r="J72" s="135">
        <f>J$3</f>
        <v>46174</v>
      </c>
      <c r="K72" s="148" t="s">
        <v>501</v>
      </c>
      <c r="L72" s="168" t="s">
        <v>501</v>
      </c>
      <c r="M72" s="135">
        <f>M$3</f>
        <v>46175</v>
      </c>
      <c r="N72" s="148" t="s">
        <v>501</v>
      </c>
      <c r="O72" s="137"/>
      <c r="P72" s="135">
        <f>P$3</f>
        <v>46176</v>
      </c>
      <c r="Q72" s="136" t="s">
        <v>501</v>
      </c>
      <c r="R72" s="137" t="s">
        <v>501</v>
      </c>
      <c r="S72" s="135">
        <f>S$3</f>
        <v>46177</v>
      </c>
      <c r="T72" s="136" t="s">
        <v>501</v>
      </c>
      <c r="U72" s="137" t="s">
        <v>501</v>
      </c>
      <c r="V72" s="135">
        <f>V$3</f>
        <v>46178</v>
      </c>
      <c r="W72" s="136" t="s">
        <v>501</v>
      </c>
      <c r="X72" s="137" t="s">
        <v>501</v>
      </c>
      <c r="Y72" s="135">
        <f>Y$3</f>
        <v>46179</v>
      </c>
      <c r="Z72" s="136" t="s">
        <v>501</v>
      </c>
      <c r="AA72" s="137" t="s">
        <v>501</v>
      </c>
      <c r="AB72" s="135"/>
      <c r="AC72" s="135">
        <f>AC$3</f>
        <v>46181</v>
      </c>
      <c r="AD72" s="136" t="s">
        <v>501</v>
      </c>
      <c r="AE72" s="137" t="s">
        <v>501</v>
      </c>
      <c r="AF72" s="135">
        <f>AF$3</f>
        <v>46182</v>
      </c>
      <c r="AG72" s="136" t="s">
        <v>501</v>
      </c>
      <c r="AH72" s="137" t="s">
        <v>501</v>
      </c>
      <c r="AI72" s="135">
        <f>AI$3</f>
        <v>46183</v>
      </c>
      <c r="AJ72" s="136" t="s">
        <v>501</v>
      </c>
      <c r="AK72" s="137" t="s">
        <v>501</v>
      </c>
      <c r="AL72" s="135">
        <f>AL$3</f>
        <v>46184</v>
      </c>
      <c r="AM72" s="136" t="s">
        <v>501</v>
      </c>
      <c r="AN72" s="137" t="s">
        <v>501</v>
      </c>
      <c r="AO72" s="135">
        <f>AO$3</f>
        <v>46185</v>
      </c>
      <c r="AP72" s="136" t="s">
        <v>501</v>
      </c>
      <c r="AQ72" s="137" t="s">
        <v>501</v>
      </c>
      <c r="AR72" s="135">
        <f>AR$3</f>
        <v>46186</v>
      </c>
      <c r="AS72" s="136" t="s">
        <v>501</v>
      </c>
      <c r="AT72" s="137" t="s">
        <v>501</v>
      </c>
      <c r="AU72" s="135"/>
      <c r="AV72" s="135">
        <f>AV$3</f>
        <v>46188</v>
      </c>
      <c r="AW72" s="148" t="s">
        <v>501</v>
      </c>
      <c r="AX72" s="137" t="s">
        <v>501</v>
      </c>
      <c r="AY72" s="135">
        <f>AY$3</f>
        <v>46189</v>
      </c>
      <c r="AZ72" s="136" t="s">
        <v>501</v>
      </c>
      <c r="BA72" s="137"/>
      <c r="BB72" s="135">
        <f>BB$3</f>
        <v>46190</v>
      </c>
      <c r="BC72" s="136" t="s">
        <v>501</v>
      </c>
      <c r="BD72" s="137" t="s">
        <v>501</v>
      </c>
      <c r="BE72" s="135">
        <f>BE$3</f>
        <v>46191</v>
      </c>
      <c r="BF72" s="136" t="s">
        <v>501</v>
      </c>
      <c r="BG72" s="137" t="s">
        <v>501</v>
      </c>
      <c r="BH72" s="135">
        <f>BH$3</f>
        <v>46192</v>
      </c>
      <c r="BI72" s="136" t="s">
        <v>501</v>
      </c>
      <c r="BJ72" s="137" t="s">
        <v>501</v>
      </c>
      <c r="BK72" s="135">
        <f>BK$3</f>
        <v>46193</v>
      </c>
      <c r="BL72" s="136" t="s">
        <v>501</v>
      </c>
      <c r="BM72" s="137" t="s">
        <v>501</v>
      </c>
      <c r="BN72" s="135"/>
      <c r="BO72" s="135">
        <f>BO$3</f>
        <v>46195</v>
      </c>
      <c r="BP72" s="136" t="s">
        <v>501</v>
      </c>
      <c r="BQ72" s="137" t="s">
        <v>501</v>
      </c>
      <c r="BR72" s="135">
        <f>BR$3</f>
        <v>46196</v>
      </c>
      <c r="BS72" s="136" t="s">
        <v>501</v>
      </c>
      <c r="BT72" s="137" t="s">
        <v>501</v>
      </c>
      <c r="BU72" s="135">
        <f>BU$3</f>
        <v>46197</v>
      </c>
      <c r="BV72" s="136" t="s">
        <v>501</v>
      </c>
      <c r="BW72" s="137" t="s">
        <v>501</v>
      </c>
      <c r="BX72" s="135">
        <f>BX$3</f>
        <v>46198</v>
      </c>
      <c r="BY72" s="136" t="s">
        <v>501</v>
      </c>
      <c r="BZ72" s="137" t="s">
        <v>501</v>
      </c>
      <c r="CA72" s="135">
        <f>CA$3</f>
        <v>46199</v>
      </c>
      <c r="CB72" s="136" t="s">
        <v>501</v>
      </c>
      <c r="CC72" s="137" t="s">
        <v>501</v>
      </c>
      <c r="CD72" s="135">
        <f>CD$3</f>
        <v>46200</v>
      </c>
      <c r="CE72" s="136" t="s">
        <v>501</v>
      </c>
      <c r="CF72" s="137" t="s">
        <v>501</v>
      </c>
      <c r="CG72" s="135"/>
      <c r="CH72" s="135">
        <f>CH$3</f>
        <v>46202</v>
      </c>
      <c r="CI72" s="148" t="s">
        <v>501</v>
      </c>
      <c r="CJ72" s="137" t="s">
        <v>501</v>
      </c>
      <c r="CK72" s="135">
        <f>CK$3</f>
        <v>46203</v>
      </c>
      <c r="CL72" s="136" t="s">
        <v>501</v>
      </c>
      <c r="CM72" s="137"/>
      <c r="CN72" s="135">
        <f>CN$3</f>
        <v>46204</v>
      </c>
      <c r="CO72" s="136" t="s">
        <v>501</v>
      </c>
      <c r="CP72" s="137" t="s">
        <v>501</v>
      </c>
      <c r="CQ72" s="135">
        <f>CQ$3</f>
        <v>46205</v>
      </c>
      <c r="CR72" s="136" t="s">
        <v>501</v>
      </c>
      <c r="CS72" s="137" t="s">
        <v>501</v>
      </c>
      <c r="CT72" s="135">
        <f>CT$3</f>
        <v>46206</v>
      </c>
      <c r="CU72" s="136" t="s">
        <v>501</v>
      </c>
      <c r="CV72" s="137" t="s">
        <v>501</v>
      </c>
      <c r="CW72" s="135">
        <f>CW$3</f>
        <v>46207</v>
      </c>
      <c r="CX72" s="136" t="s">
        <v>501</v>
      </c>
      <c r="CY72" s="137" t="s">
        <v>501</v>
      </c>
      <c r="CZ72" s="135"/>
      <c r="DA72" s="135">
        <f>DA$3</f>
        <v>46209</v>
      </c>
      <c r="DB72" s="136" t="s">
        <v>501</v>
      </c>
      <c r="DC72" s="137" t="s">
        <v>501</v>
      </c>
      <c r="DD72" s="135">
        <f>DD$3</f>
        <v>46210</v>
      </c>
      <c r="DE72" s="136" t="s">
        <v>501</v>
      </c>
      <c r="DF72" s="137" t="s">
        <v>501</v>
      </c>
      <c r="DG72" s="135">
        <f>DG$3</f>
        <v>46211</v>
      </c>
      <c r="DH72" s="136" t="s">
        <v>501</v>
      </c>
      <c r="DI72" s="137" t="s">
        <v>501</v>
      </c>
      <c r="DJ72" s="135">
        <f>DJ$3</f>
        <v>46212</v>
      </c>
      <c r="DK72" s="136" t="s">
        <v>501</v>
      </c>
      <c r="DL72" s="137" t="s">
        <v>501</v>
      </c>
      <c r="DM72" s="135">
        <f>DM$3</f>
        <v>46213</v>
      </c>
      <c r="DN72" s="136" t="s">
        <v>501</v>
      </c>
      <c r="DO72" s="137" t="s">
        <v>501</v>
      </c>
      <c r="DP72" s="135">
        <f>DP$3</f>
        <v>46214</v>
      </c>
      <c r="DQ72" s="136" t="s">
        <v>501</v>
      </c>
      <c r="DR72" s="137" t="s">
        <v>501</v>
      </c>
    </row>
    <row r="73" spans="1:122" outlineLevel="1">
      <c r="A73" s="122" t="str">
        <f>$A$42</f>
        <v>Đỗ Minh Ngọc</v>
      </c>
      <c r="B73" s="82" t="str">
        <f>'Bảng 3'!A355</f>
        <v>3.T.DAN.LVDN.KS.101</v>
      </c>
      <c r="C73" s="81" t="str">
        <f>IF($B73="","",INDEX('Bảng 3'!C:C,MATCH($B73,'Bảng 3'!$A:$A,0)))</f>
        <v>Quản lý BIM</v>
      </c>
      <c r="D73" s="81" t="str">
        <f>IF($B73="","",INDEX('Bảng 3'!D:D,MATCH($B73,'Bảng 3'!$A:$A,0)))</f>
        <v>T.DAN.LVDN.KS</v>
      </c>
      <c r="E73" s="81" t="str">
        <f>IF($B73="","",INDEX('Bảng 3'!E:E,MATCH($B73,'Bảng 3'!$A:$A,0)))</f>
        <v>KS JW Marriott- Làng Vân (Cao 9 tầng)</v>
      </c>
      <c r="F73" s="81" t="str">
        <f>IF($B73="","",INDEX('Bảng 3'!F:F,MATCH($B73,'Bảng 3'!$A:$A,0)))</f>
        <v>KT</v>
      </c>
      <c r="G73" s="81" t="str">
        <f>IF($B73="","",INDEX('Bảng 3'!G:G,MATCH($B73,'Bảng 3'!$A:$A,0)))</f>
        <v>Tạo lập mô hình BIM</v>
      </c>
      <c r="H73" s="121"/>
      <c r="I73" s="135"/>
      <c r="J73" s="135">
        <f>J$3</f>
        <v>46174</v>
      </c>
      <c r="K73" s="148" t="s">
        <v>501</v>
      </c>
      <c r="L73" s="168" t="s">
        <v>501</v>
      </c>
      <c r="M73" s="135">
        <f>M$3</f>
        <v>46175</v>
      </c>
      <c r="N73" s="148" t="s">
        <v>501</v>
      </c>
      <c r="O73" s="137"/>
      <c r="P73" s="135">
        <f>P$3</f>
        <v>46176</v>
      </c>
      <c r="Q73" s="136" t="s">
        <v>501</v>
      </c>
      <c r="R73" s="137" t="s">
        <v>501</v>
      </c>
      <c r="S73" s="135">
        <f>S$3</f>
        <v>46177</v>
      </c>
      <c r="T73" s="136" t="s">
        <v>501</v>
      </c>
      <c r="U73" s="137" t="s">
        <v>501</v>
      </c>
      <c r="V73" s="135">
        <f>V$3</f>
        <v>46178</v>
      </c>
      <c r="W73" s="136" t="s">
        <v>501</v>
      </c>
      <c r="X73" s="137" t="s">
        <v>501</v>
      </c>
      <c r="Y73" s="135">
        <f>Y$3</f>
        <v>46179</v>
      </c>
      <c r="Z73" s="136" t="s">
        <v>501</v>
      </c>
      <c r="AA73" s="137" t="s">
        <v>501</v>
      </c>
      <c r="AB73" s="135"/>
      <c r="AC73" s="135">
        <f>AC$3</f>
        <v>46181</v>
      </c>
      <c r="AD73" s="136" t="s">
        <v>501</v>
      </c>
      <c r="AE73" s="137" t="s">
        <v>501</v>
      </c>
      <c r="AF73" s="135">
        <f>AF$3</f>
        <v>46182</v>
      </c>
      <c r="AG73" s="136" t="s">
        <v>501</v>
      </c>
      <c r="AH73" s="137" t="s">
        <v>501</v>
      </c>
      <c r="AI73" s="135">
        <f>AI$3</f>
        <v>46183</v>
      </c>
      <c r="AJ73" s="136" t="s">
        <v>501</v>
      </c>
      <c r="AK73" s="137" t="s">
        <v>501</v>
      </c>
      <c r="AL73" s="135">
        <f>AL$3</f>
        <v>46184</v>
      </c>
      <c r="AM73" s="136" t="s">
        <v>501</v>
      </c>
      <c r="AN73" s="137" t="s">
        <v>501</v>
      </c>
      <c r="AO73" s="135">
        <f>AO$3</f>
        <v>46185</v>
      </c>
      <c r="AP73" s="136" t="s">
        <v>501</v>
      </c>
      <c r="AQ73" s="137" t="s">
        <v>501</v>
      </c>
      <c r="AR73" s="135">
        <f>AR$3</f>
        <v>46186</v>
      </c>
      <c r="AS73" s="136" t="s">
        <v>501</v>
      </c>
      <c r="AT73" s="137" t="s">
        <v>501</v>
      </c>
      <c r="AU73" s="135"/>
      <c r="AV73" s="135">
        <f>AV$3</f>
        <v>46188</v>
      </c>
      <c r="AW73" s="148" t="s">
        <v>501</v>
      </c>
      <c r="AX73" s="137" t="s">
        <v>501</v>
      </c>
      <c r="AY73" s="135">
        <f>AY$3</f>
        <v>46189</v>
      </c>
      <c r="AZ73" s="136" t="s">
        <v>501</v>
      </c>
      <c r="BA73" s="137"/>
      <c r="BB73" s="135">
        <f>BB$3</f>
        <v>46190</v>
      </c>
      <c r="BC73" s="136" t="s">
        <v>501</v>
      </c>
      <c r="BD73" s="137" t="s">
        <v>501</v>
      </c>
      <c r="BE73" s="135">
        <f>BE$3</f>
        <v>46191</v>
      </c>
      <c r="BF73" s="136" t="s">
        <v>501</v>
      </c>
      <c r="BG73" s="137" t="s">
        <v>501</v>
      </c>
      <c r="BH73" s="135">
        <f>BH$3</f>
        <v>46192</v>
      </c>
      <c r="BI73" s="136" t="s">
        <v>501</v>
      </c>
      <c r="BJ73" s="137" t="s">
        <v>501</v>
      </c>
      <c r="BK73" s="135">
        <f>BK$3</f>
        <v>46193</v>
      </c>
      <c r="BL73" s="136" t="s">
        <v>501</v>
      </c>
      <c r="BM73" s="137" t="s">
        <v>501</v>
      </c>
      <c r="BN73" s="135"/>
      <c r="BO73" s="135">
        <f>BO$3</f>
        <v>46195</v>
      </c>
      <c r="BP73" s="136" t="s">
        <v>501</v>
      </c>
      <c r="BQ73" s="137" t="s">
        <v>501</v>
      </c>
      <c r="BR73" s="135">
        <f>BR$3</f>
        <v>46196</v>
      </c>
      <c r="BS73" s="136" t="s">
        <v>501</v>
      </c>
      <c r="BT73" s="137" t="s">
        <v>501</v>
      </c>
      <c r="BU73" s="135">
        <f>BU$3</f>
        <v>46197</v>
      </c>
      <c r="BV73" s="136" t="s">
        <v>501</v>
      </c>
      <c r="BW73" s="137" t="s">
        <v>501</v>
      </c>
      <c r="BX73" s="135">
        <f>BX$3</f>
        <v>46198</v>
      </c>
      <c r="BY73" s="136" t="s">
        <v>501</v>
      </c>
      <c r="BZ73" s="137" t="s">
        <v>501</v>
      </c>
      <c r="CA73" s="135">
        <f>CA$3</f>
        <v>46199</v>
      </c>
      <c r="CB73" s="136" t="s">
        <v>501</v>
      </c>
      <c r="CC73" s="137" t="s">
        <v>501</v>
      </c>
      <c r="CD73" s="135">
        <f>CD$3</f>
        <v>46200</v>
      </c>
      <c r="CE73" s="136" t="s">
        <v>501</v>
      </c>
      <c r="CF73" s="137" t="s">
        <v>501</v>
      </c>
      <c r="CG73" s="135"/>
      <c r="CH73" s="135">
        <f>CH$3</f>
        <v>46202</v>
      </c>
      <c r="CI73" s="148" t="s">
        <v>501</v>
      </c>
      <c r="CJ73" s="137" t="s">
        <v>501</v>
      </c>
      <c r="CK73" s="135">
        <f>CK$3</f>
        <v>46203</v>
      </c>
      <c r="CL73" s="136" t="s">
        <v>501</v>
      </c>
      <c r="CM73" s="137"/>
      <c r="CN73" s="135">
        <f>CN$3</f>
        <v>46204</v>
      </c>
      <c r="CO73" s="136" t="s">
        <v>501</v>
      </c>
      <c r="CP73" s="137" t="s">
        <v>501</v>
      </c>
      <c r="CQ73" s="135">
        <f>CQ$3</f>
        <v>46205</v>
      </c>
      <c r="CR73" s="136" t="s">
        <v>501</v>
      </c>
      <c r="CS73" s="137" t="s">
        <v>501</v>
      </c>
      <c r="CT73" s="135">
        <f>CT$3</f>
        <v>46206</v>
      </c>
      <c r="CU73" s="136" t="s">
        <v>501</v>
      </c>
      <c r="CV73" s="137" t="s">
        <v>501</v>
      </c>
      <c r="CW73" s="135">
        <f>CW$3</f>
        <v>46207</v>
      </c>
      <c r="CX73" s="136" t="s">
        <v>501</v>
      </c>
      <c r="CY73" s="137" t="s">
        <v>501</v>
      </c>
      <c r="CZ73" s="135"/>
      <c r="DA73" s="135">
        <f>DA$3</f>
        <v>46209</v>
      </c>
      <c r="DB73" s="136" t="s">
        <v>501</v>
      </c>
      <c r="DC73" s="137" t="s">
        <v>501</v>
      </c>
      <c r="DD73" s="135">
        <f>DD$3</f>
        <v>46210</v>
      </c>
      <c r="DE73" s="136" t="s">
        <v>501</v>
      </c>
      <c r="DF73" s="137" t="s">
        <v>501</v>
      </c>
      <c r="DG73" s="135">
        <f>DG$3</f>
        <v>46211</v>
      </c>
      <c r="DH73" s="136" t="s">
        <v>501</v>
      </c>
      <c r="DI73" s="137" t="s">
        <v>501</v>
      </c>
      <c r="DJ73" s="135">
        <f>DJ$3</f>
        <v>46212</v>
      </c>
      <c r="DK73" s="136" t="s">
        <v>501</v>
      </c>
      <c r="DL73" s="137" t="s">
        <v>501</v>
      </c>
      <c r="DM73" s="135">
        <f>DM$3</f>
        <v>46213</v>
      </c>
      <c r="DN73" s="136" t="s">
        <v>501</v>
      </c>
      <c r="DO73" s="137" t="s">
        <v>501</v>
      </c>
      <c r="DP73" s="135">
        <f>DP$3</f>
        <v>46214</v>
      </c>
      <c r="DQ73" s="136" t="s">
        <v>501</v>
      </c>
      <c r="DR73" s="137" t="s">
        <v>501</v>
      </c>
    </row>
    <row r="74" spans="1:122" outlineLevel="1">
      <c r="A74" s="122" t="str">
        <f>$A$42</f>
        <v>Đỗ Minh Ngọc</v>
      </c>
      <c r="B74" s="82" t="str">
        <f>'Bảng 3'!A356</f>
        <v>3.T.DAN.LVDN.KS.201</v>
      </c>
      <c r="C74" s="81" t="str">
        <f>IF($B74="","",INDEX('Bảng 3'!C:C,MATCH($B74,'Bảng 3'!$A:$A,0)))</f>
        <v>Quản lý BIM</v>
      </c>
      <c r="D74" s="81" t="str">
        <f>IF($B74="","",INDEX('Bảng 3'!D:D,MATCH($B74,'Bảng 3'!$A:$A,0)))</f>
        <v>T.DAN.LVDN.KS</v>
      </c>
      <c r="E74" s="81" t="str">
        <f>IF($B74="","",INDEX('Bảng 3'!E:E,MATCH($B74,'Bảng 3'!$A:$A,0)))</f>
        <v>KS JW Marriott- Làng Vân (Cao 9 tầng)</v>
      </c>
      <c r="F74" s="81" t="str">
        <f>IF($B74="","",INDEX('Bảng 3'!F:F,MATCH($B74,'Bảng 3'!$A:$A,0)))</f>
        <v>KC</v>
      </c>
      <c r="G74" s="81" t="str">
        <f>IF($B74="","",INDEX('Bảng 3'!G:G,MATCH($B74,'Bảng 3'!$A:$A,0)))</f>
        <v>Tạo lập mô hình BIM</v>
      </c>
      <c r="H74" s="121"/>
      <c r="I74" s="135"/>
      <c r="J74" s="135">
        <f>J$3</f>
        <v>46174</v>
      </c>
      <c r="K74" s="148" t="s">
        <v>501</v>
      </c>
      <c r="L74" s="168" t="s">
        <v>501</v>
      </c>
      <c r="M74" s="135">
        <f>M$3</f>
        <v>46175</v>
      </c>
      <c r="N74" s="148" t="s">
        <v>501</v>
      </c>
      <c r="O74" s="137"/>
      <c r="P74" s="135">
        <f>P$3</f>
        <v>46176</v>
      </c>
      <c r="Q74" s="136" t="s">
        <v>501</v>
      </c>
      <c r="R74" s="137" t="s">
        <v>501</v>
      </c>
      <c r="S74" s="135">
        <f>S$3</f>
        <v>46177</v>
      </c>
      <c r="T74" s="136" t="s">
        <v>501</v>
      </c>
      <c r="U74" s="137" t="s">
        <v>501</v>
      </c>
      <c r="V74" s="135">
        <f>V$3</f>
        <v>46178</v>
      </c>
      <c r="W74" s="136" t="s">
        <v>501</v>
      </c>
      <c r="X74" s="137" t="s">
        <v>501</v>
      </c>
      <c r="Y74" s="135">
        <f>Y$3</f>
        <v>46179</v>
      </c>
      <c r="Z74" s="136" t="s">
        <v>501</v>
      </c>
      <c r="AA74" s="137" t="s">
        <v>501</v>
      </c>
      <c r="AB74" s="135"/>
      <c r="AC74" s="135">
        <f>AC$3</f>
        <v>46181</v>
      </c>
      <c r="AD74" s="136" t="s">
        <v>501</v>
      </c>
      <c r="AE74" s="137" t="s">
        <v>501</v>
      </c>
      <c r="AF74" s="135">
        <f>AF$3</f>
        <v>46182</v>
      </c>
      <c r="AG74" s="136" t="s">
        <v>501</v>
      </c>
      <c r="AH74" s="137" t="s">
        <v>501</v>
      </c>
      <c r="AI74" s="135">
        <f>AI$3</f>
        <v>46183</v>
      </c>
      <c r="AJ74" s="136" t="s">
        <v>501</v>
      </c>
      <c r="AK74" s="137" t="s">
        <v>501</v>
      </c>
      <c r="AL74" s="135">
        <f>AL$3</f>
        <v>46184</v>
      </c>
      <c r="AM74" s="136" t="s">
        <v>501</v>
      </c>
      <c r="AN74" s="137" t="s">
        <v>501</v>
      </c>
      <c r="AO74" s="135">
        <f>AO$3</f>
        <v>46185</v>
      </c>
      <c r="AP74" s="136" t="s">
        <v>501</v>
      </c>
      <c r="AQ74" s="137" t="s">
        <v>501</v>
      </c>
      <c r="AR74" s="135">
        <f>AR$3</f>
        <v>46186</v>
      </c>
      <c r="AS74" s="136" t="s">
        <v>501</v>
      </c>
      <c r="AT74" s="137" t="s">
        <v>501</v>
      </c>
      <c r="AU74" s="135"/>
      <c r="AV74" s="135">
        <f>AV$3</f>
        <v>46188</v>
      </c>
      <c r="AW74" s="148" t="s">
        <v>501</v>
      </c>
      <c r="AX74" s="137" t="s">
        <v>501</v>
      </c>
      <c r="AY74" s="135">
        <f>AY$3</f>
        <v>46189</v>
      </c>
      <c r="AZ74" s="136" t="s">
        <v>501</v>
      </c>
      <c r="BA74" s="137"/>
      <c r="BB74" s="135">
        <f>BB$3</f>
        <v>46190</v>
      </c>
      <c r="BC74" s="136" t="s">
        <v>501</v>
      </c>
      <c r="BD74" s="137" t="s">
        <v>501</v>
      </c>
      <c r="BE74" s="135">
        <f>BE$3</f>
        <v>46191</v>
      </c>
      <c r="BF74" s="136" t="s">
        <v>501</v>
      </c>
      <c r="BG74" s="137" t="s">
        <v>501</v>
      </c>
      <c r="BH74" s="135">
        <f>BH$3</f>
        <v>46192</v>
      </c>
      <c r="BI74" s="136" t="s">
        <v>501</v>
      </c>
      <c r="BJ74" s="137" t="s">
        <v>501</v>
      </c>
      <c r="BK74" s="135">
        <f>BK$3</f>
        <v>46193</v>
      </c>
      <c r="BL74" s="136" t="s">
        <v>501</v>
      </c>
      <c r="BM74" s="137" t="s">
        <v>501</v>
      </c>
      <c r="BN74" s="135"/>
      <c r="BO74" s="135">
        <f>BO$3</f>
        <v>46195</v>
      </c>
      <c r="BP74" s="136" t="s">
        <v>501</v>
      </c>
      <c r="BQ74" s="137" t="s">
        <v>501</v>
      </c>
      <c r="BR74" s="135">
        <f>BR$3</f>
        <v>46196</v>
      </c>
      <c r="BS74" s="136" t="s">
        <v>501</v>
      </c>
      <c r="BT74" s="137" t="s">
        <v>501</v>
      </c>
      <c r="BU74" s="135">
        <f>BU$3</f>
        <v>46197</v>
      </c>
      <c r="BV74" s="136" t="s">
        <v>501</v>
      </c>
      <c r="BW74" s="137" t="s">
        <v>501</v>
      </c>
      <c r="BX74" s="135">
        <f>BX$3</f>
        <v>46198</v>
      </c>
      <c r="BY74" s="136" t="s">
        <v>501</v>
      </c>
      <c r="BZ74" s="137" t="s">
        <v>501</v>
      </c>
      <c r="CA74" s="135">
        <f>CA$3</f>
        <v>46199</v>
      </c>
      <c r="CB74" s="136" t="s">
        <v>501</v>
      </c>
      <c r="CC74" s="137" t="s">
        <v>501</v>
      </c>
      <c r="CD74" s="135">
        <f>CD$3</f>
        <v>46200</v>
      </c>
      <c r="CE74" s="136" t="s">
        <v>501</v>
      </c>
      <c r="CF74" s="137" t="s">
        <v>501</v>
      </c>
      <c r="CG74" s="135"/>
      <c r="CH74" s="135">
        <f>CH$3</f>
        <v>46202</v>
      </c>
      <c r="CI74" s="148" t="s">
        <v>501</v>
      </c>
      <c r="CJ74" s="137" t="s">
        <v>501</v>
      </c>
      <c r="CK74" s="135">
        <f>CK$3</f>
        <v>46203</v>
      </c>
      <c r="CL74" s="136" t="s">
        <v>501</v>
      </c>
      <c r="CM74" s="137"/>
      <c r="CN74" s="135">
        <f>CN$3</f>
        <v>46204</v>
      </c>
      <c r="CO74" s="136" t="s">
        <v>501</v>
      </c>
      <c r="CP74" s="137" t="s">
        <v>501</v>
      </c>
      <c r="CQ74" s="135">
        <f>CQ$3</f>
        <v>46205</v>
      </c>
      <c r="CR74" s="136" t="s">
        <v>501</v>
      </c>
      <c r="CS74" s="137" t="s">
        <v>501</v>
      </c>
      <c r="CT74" s="135">
        <f>CT$3</f>
        <v>46206</v>
      </c>
      <c r="CU74" s="136" t="s">
        <v>501</v>
      </c>
      <c r="CV74" s="137" t="s">
        <v>501</v>
      </c>
      <c r="CW74" s="135">
        <f>CW$3</f>
        <v>46207</v>
      </c>
      <c r="CX74" s="136" t="s">
        <v>501</v>
      </c>
      <c r="CY74" s="137" t="s">
        <v>501</v>
      </c>
      <c r="CZ74" s="135"/>
      <c r="DA74" s="135">
        <f>DA$3</f>
        <v>46209</v>
      </c>
      <c r="DB74" s="136" t="s">
        <v>501</v>
      </c>
      <c r="DC74" s="137" t="s">
        <v>501</v>
      </c>
      <c r="DD74" s="135">
        <f>DD$3</f>
        <v>46210</v>
      </c>
      <c r="DE74" s="136" t="s">
        <v>501</v>
      </c>
      <c r="DF74" s="137" t="s">
        <v>501</v>
      </c>
      <c r="DG74" s="135">
        <f>DG$3</f>
        <v>46211</v>
      </c>
      <c r="DH74" s="136" t="s">
        <v>501</v>
      </c>
      <c r="DI74" s="137" t="s">
        <v>501</v>
      </c>
      <c r="DJ74" s="135">
        <f>DJ$3</f>
        <v>46212</v>
      </c>
      <c r="DK74" s="136" t="s">
        <v>501</v>
      </c>
      <c r="DL74" s="137" t="s">
        <v>501</v>
      </c>
      <c r="DM74" s="135">
        <f>DM$3</f>
        <v>46213</v>
      </c>
      <c r="DN74" s="136" t="s">
        <v>501</v>
      </c>
      <c r="DO74" s="137" t="s">
        <v>501</v>
      </c>
      <c r="DP74" s="135">
        <f>DP$3</f>
        <v>46214</v>
      </c>
      <c r="DQ74" s="136" t="s">
        <v>501</v>
      </c>
      <c r="DR74" s="137" t="s">
        <v>501</v>
      </c>
    </row>
    <row r="75" spans="1:122" outlineLevel="1">
      <c r="A75" s="122" t="str">
        <f>$A$42</f>
        <v>Đỗ Minh Ngọc</v>
      </c>
      <c r="B75" s="82"/>
      <c r="C75" s="81" t="str">
        <f>IF($B75="","",INDEX('Bảng 3'!C:C,MATCH($B75,'Bảng 3'!$A:$A,0)))</f>
        <v/>
      </c>
      <c r="D75" s="81" t="str">
        <f>IF($B75="","",INDEX('Bảng 3'!D:D,MATCH($B75,'Bảng 3'!$A:$A,0)))</f>
        <v/>
      </c>
      <c r="E75" s="81" t="str">
        <f>IF($B75="","",INDEX('Bảng 3'!E:E,MATCH($B75,'Bảng 3'!$A:$A,0)))</f>
        <v/>
      </c>
      <c r="F75" s="81" t="str">
        <f>IF($B75="","",INDEX('Bảng 3'!F:F,MATCH($B75,'Bảng 3'!$A:$A,0)))</f>
        <v/>
      </c>
      <c r="G75" s="81" t="str">
        <f>IF($B75="","",INDEX('Bảng 3'!G:G,MATCH($B75,'Bảng 3'!$A:$A,0)))</f>
        <v/>
      </c>
      <c r="H75" s="121"/>
      <c r="I75" s="135"/>
      <c r="J75" s="135">
        <f>J$3</f>
        <v>46174</v>
      </c>
      <c r="K75" s="148"/>
      <c r="L75" s="168"/>
      <c r="M75" s="135">
        <f>M$3</f>
        <v>46175</v>
      </c>
      <c r="N75" s="148" t="s">
        <v>501</v>
      </c>
      <c r="O75" s="137"/>
      <c r="P75" s="135">
        <f>P$3</f>
        <v>46176</v>
      </c>
      <c r="Q75" s="136" t="s">
        <v>501</v>
      </c>
      <c r="R75" s="137" t="s">
        <v>501</v>
      </c>
      <c r="S75" s="135">
        <f>S$3</f>
        <v>46177</v>
      </c>
      <c r="T75" s="136" t="s">
        <v>501</v>
      </c>
      <c r="U75" s="137" t="s">
        <v>501</v>
      </c>
      <c r="V75" s="135">
        <f>V$3</f>
        <v>46178</v>
      </c>
      <c r="W75" s="136" t="s">
        <v>501</v>
      </c>
      <c r="X75" s="137" t="s">
        <v>501</v>
      </c>
      <c r="Y75" s="135">
        <f>Y$3</f>
        <v>46179</v>
      </c>
      <c r="Z75" s="136" t="s">
        <v>501</v>
      </c>
      <c r="AA75" s="137" t="s">
        <v>501</v>
      </c>
      <c r="AB75" s="135"/>
      <c r="AC75" s="135">
        <f>AC$3</f>
        <v>46181</v>
      </c>
      <c r="AD75" s="136" t="s">
        <v>501</v>
      </c>
      <c r="AE75" s="137" t="s">
        <v>501</v>
      </c>
      <c r="AF75" s="135">
        <f>AF$3</f>
        <v>46182</v>
      </c>
      <c r="AG75" s="136" t="s">
        <v>501</v>
      </c>
      <c r="AH75" s="137" t="s">
        <v>501</v>
      </c>
      <c r="AI75" s="135">
        <f>AI$3</f>
        <v>46183</v>
      </c>
      <c r="AJ75" s="136" t="s">
        <v>501</v>
      </c>
      <c r="AK75" s="137" t="s">
        <v>501</v>
      </c>
      <c r="AL75" s="135">
        <f>AL$3</f>
        <v>46184</v>
      </c>
      <c r="AM75" s="136" t="s">
        <v>501</v>
      </c>
      <c r="AN75" s="137" t="s">
        <v>501</v>
      </c>
      <c r="AO75" s="135">
        <f>AO$3</f>
        <v>46185</v>
      </c>
      <c r="AP75" s="136" t="s">
        <v>501</v>
      </c>
      <c r="AQ75" s="137" t="s">
        <v>501</v>
      </c>
      <c r="AR75" s="135">
        <f>AR$3</f>
        <v>46186</v>
      </c>
      <c r="AS75" s="136" t="s">
        <v>501</v>
      </c>
      <c r="AT75" s="137" t="s">
        <v>501</v>
      </c>
      <c r="AU75" s="135"/>
      <c r="AV75" s="135">
        <f>AV$3</f>
        <v>46188</v>
      </c>
      <c r="AW75" s="148" t="s">
        <v>501</v>
      </c>
      <c r="AX75" s="137" t="s">
        <v>501</v>
      </c>
      <c r="AY75" s="135">
        <f>AY$3</f>
        <v>46189</v>
      </c>
      <c r="AZ75" s="136" t="s">
        <v>501</v>
      </c>
      <c r="BA75" s="137"/>
      <c r="BB75" s="135">
        <f>BB$3</f>
        <v>46190</v>
      </c>
      <c r="BC75" s="136" t="s">
        <v>501</v>
      </c>
      <c r="BD75" s="137" t="s">
        <v>501</v>
      </c>
      <c r="BE75" s="135">
        <f>BE$3</f>
        <v>46191</v>
      </c>
      <c r="BF75" s="136" t="s">
        <v>501</v>
      </c>
      <c r="BG75" s="137" t="s">
        <v>501</v>
      </c>
      <c r="BH75" s="135">
        <f>BH$3</f>
        <v>46192</v>
      </c>
      <c r="BI75" s="136" t="s">
        <v>501</v>
      </c>
      <c r="BJ75" s="137" t="s">
        <v>501</v>
      </c>
      <c r="BK75" s="135">
        <f>BK$3</f>
        <v>46193</v>
      </c>
      <c r="BL75" s="136" t="s">
        <v>501</v>
      </c>
      <c r="BM75" s="137" t="s">
        <v>501</v>
      </c>
      <c r="BN75" s="135"/>
      <c r="BO75" s="135">
        <f>BO$3</f>
        <v>46195</v>
      </c>
      <c r="BP75" s="136" t="s">
        <v>501</v>
      </c>
      <c r="BQ75" s="137" t="s">
        <v>501</v>
      </c>
      <c r="BR75" s="135">
        <f>BR$3</f>
        <v>46196</v>
      </c>
      <c r="BS75" s="136" t="s">
        <v>501</v>
      </c>
      <c r="BT75" s="137" t="s">
        <v>501</v>
      </c>
      <c r="BU75" s="135">
        <f>BU$3</f>
        <v>46197</v>
      </c>
      <c r="BV75" s="136" t="s">
        <v>501</v>
      </c>
      <c r="BW75" s="137" t="s">
        <v>501</v>
      </c>
      <c r="BX75" s="135">
        <f>BX$3</f>
        <v>46198</v>
      </c>
      <c r="BY75" s="136" t="s">
        <v>501</v>
      </c>
      <c r="BZ75" s="137" t="s">
        <v>501</v>
      </c>
      <c r="CA75" s="135">
        <f>CA$3</f>
        <v>46199</v>
      </c>
      <c r="CB75" s="136" t="s">
        <v>501</v>
      </c>
      <c r="CC75" s="137" t="s">
        <v>501</v>
      </c>
      <c r="CD75" s="135">
        <f>CD$3</f>
        <v>46200</v>
      </c>
      <c r="CE75" s="136" t="s">
        <v>501</v>
      </c>
      <c r="CF75" s="137" t="s">
        <v>501</v>
      </c>
      <c r="CG75" s="135"/>
      <c r="CH75" s="135">
        <f>CH$3</f>
        <v>46202</v>
      </c>
      <c r="CI75" s="148" t="s">
        <v>501</v>
      </c>
      <c r="CJ75" s="137" t="s">
        <v>501</v>
      </c>
      <c r="CK75" s="135">
        <f>CK$3</f>
        <v>46203</v>
      </c>
      <c r="CL75" s="136" t="s">
        <v>501</v>
      </c>
      <c r="CM75" s="137"/>
      <c r="CN75" s="135">
        <f>CN$3</f>
        <v>46204</v>
      </c>
      <c r="CO75" s="136" t="s">
        <v>501</v>
      </c>
      <c r="CP75" s="137" t="s">
        <v>501</v>
      </c>
      <c r="CQ75" s="135">
        <f>CQ$3</f>
        <v>46205</v>
      </c>
      <c r="CR75" s="136" t="s">
        <v>501</v>
      </c>
      <c r="CS75" s="137" t="s">
        <v>501</v>
      </c>
      <c r="CT75" s="135">
        <f>CT$3</f>
        <v>46206</v>
      </c>
      <c r="CU75" s="136" t="s">
        <v>501</v>
      </c>
      <c r="CV75" s="137" t="s">
        <v>501</v>
      </c>
      <c r="CW75" s="135">
        <f>CW$3</f>
        <v>46207</v>
      </c>
      <c r="CX75" s="136" t="s">
        <v>501</v>
      </c>
      <c r="CY75" s="137" t="s">
        <v>501</v>
      </c>
      <c r="CZ75" s="135"/>
      <c r="DA75" s="135">
        <f>DA$3</f>
        <v>46209</v>
      </c>
      <c r="DB75" s="136" t="s">
        <v>501</v>
      </c>
      <c r="DC75" s="137" t="s">
        <v>501</v>
      </c>
      <c r="DD75" s="135">
        <f>DD$3</f>
        <v>46210</v>
      </c>
      <c r="DE75" s="136" t="s">
        <v>501</v>
      </c>
      <c r="DF75" s="137" t="s">
        <v>501</v>
      </c>
      <c r="DG75" s="135">
        <f>DG$3</f>
        <v>46211</v>
      </c>
      <c r="DH75" s="136" t="s">
        <v>501</v>
      </c>
      <c r="DI75" s="137" t="s">
        <v>501</v>
      </c>
      <c r="DJ75" s="135">
        <f>DJ$3</f>
        <v>46212</v>
      </c>
      <c r="DK75" s="136" t="s">
        <v>501</v>
      </c>
      <c r="DL75" s="137" t="s">
        <v>501</v>
      </c>
      <c r="DM75" s="135">
        <f>DM$3</f>
        <v>46213</v>
      </c>
      <c r="DN75" s="136" t="s">
        <v>501</v>
      </c>
      <c r="DO75" s="137" t="s">
        <v>501</v>
      </c>
      <c r="DP75" s="135">
        <f>DP$3</f>
        <v>46214</v>
      </c>
      <c r="DQ75" s="136" t="s">
        <v>501</v>
      </c>
      <c r="DR75" s="137" t="s">
        <v>501</v>
      </c>
    </row>
    <row r="76" spans="1:122" outlineLevel="1">
      <c r="A76" s="122" t="str">
        <f>$A$42</f>
        <v>Đỗ Minh Ngọc</v>
      </c>
      <c r="B76" s="82"/>
      <c r="C76" s="81" t="str">
        <f>IF($B76="","",INDEX('Bảng 3'!C:C,MATCH($B76,'Bảng 3'!$A:$A,0)))</f>
        <v/>
      </c>
      <c r="D76" s="81" t="str">
        <f>IF($B76="","",INDEX('Bảng 3'!D:D,MATCH($B76,'Bảng 3'!$A:$A,0)))</f>
        <v/>
      </c>
      <c r="E76" s="81" t="str">
        <f>IF($B76="","",INDEX('Bảng 3'!E:E,MATCH($B76,'Bảng 3'!$A:$A,0)))</f>
        <v/>
      </c>
      <c r="F76" s="81" t="str">
        <f>IF($B76="","",INDEX('Bảng 3'!F:F,MATCH($B76,'Bảng 3'!$A:$A,0)))</f>
        <v/>
      </c>
      <c r="G76" s="81" t="str">
        <f>IF($B76="","",INDEX('Bảng 3'!G:G,MATCH($B76,'Bảng 3'!$A:$A,0)))</f>
        <v/>
      </c>
      <c r="H76" s="121"/>
      <c r="I76" s="135"/>
      <c r="J76" s="135">
        <f>J$3</f>
        <v>46174</v>
      </c>
      <c r="K76" s="148"/>
      <c r="L76" s="168"/>
      <c r="M76" s="135">
        <f>M$3</f>
        <v>46175</v>
      </c>
      <c r="N76" s="148" t="s">
        <v>501</v>
      </c>
      <c r="O76" s="137"/>
      <c r="P76" s="135">
        <f>P$3</f>
        <v>46176</v>
      </c>
      <c r="Q76" s="136" t="s">
        <v>501</v>
      </c>
      <c r="R76" s="137" t="s">
        <v>501</v>
      </c>
      <c r="S76" s="135">
        <f>S$3</f>
        <v>46177</v>
      </c>
      <c r="T76" s="136" t="s">
        <v>501</v>
      </c>
      <c r="U76" s="137" t="s">
        <v>501</v>
      </c>
      <c r="V76" s="135">
        <f>V$3</f>
        <v>46178</v>
      </c>
      <c r="W76" s="136" t="s">
        <v>501</v>
      </c>
      <c r="X76" s="137" t="s">
        <v>501</v>
      </c>
      <c r="Y76" s="135">
        <f>Y$3</f>
        <v>46179</v>
      </c>
      <c r="Z76" s="136" t="s">
        <v>501</v>
      </c>
      <c r="AA76" s="137" t="s">
        <v>501</v>
      </c>
      <c r="AB76" s="135"/>
      <c r="AC76" s="135">
        <f>AC$3</f>
        <v>46181</v>
      </c>
      <c r="AD76" s="136" t="s">
        <v>501</v>
      </c>
      <c r="AE76" s="137" t="s">
        <v>501</v>
      </c>
      <c r="AF76" s="135">
        <f>AF$3</f>
        <v>46182</v>
      </c>
      <c r="AG76" s="136" t="s">
        <v>501</v>
      </c>
      <c r="AH76" s="137" t="s">
        <v>501</v>
      </c>
      <c r="AI76" s="135">
        <f>AI$3</f>
        <v>46183</v>
      </c>
      <c r="AJ76" s="136" t="s">
        <v>501</v>
      </c>
      <c r="AK76" s="137" t="s">
        <v>501</v>
      </c>
      <c r="AL76" s="135">
        <f>AL$3</f>
        <v>46184</v>
      </c>
      <c r="AM76" s="136" t="s">
        <v>501</v>
      </c>
      <c r="AN76" s="137" t="s">
        <v>501</v>
      </c>
      <c r="AO76" s="135">
        <f>AO$3</f>
        <v>46185</v>
      </c>
      <c r="AP76" s="136" t="s">
        <v>501</v>
      </c>
      <c r="AQ76" s="137" t="s">
        <v>501</v>
      </c>
      <c r="AR76" s="135">
        <f>AR$3</f>
        <v>46186</v>
      </c>
      <c r="AS76" s="136" t="s">
        <v>501</v>
      </c>
      <c r="AT76" s="137" t="s">
        <v>501</v>
      </c>
      <c r="AU76" s="135"/>
      <c r="AV76" s="135">
        <f>AV$3</f>
        <v>46188</v>
      </c>
      <c r="AW76" s="148" t="s">
        <v>501</v>
      </c>
      <c r="AX76" s="137" t="s">
        <v>501</v>
      </c>
      <c r="AY76" s="135">
        <f>AY$3</f>
        <v>46189</v>
      </c>
      <c r="AZ76" s="136" t="s">
        <v>501</v>
      </c>
      <c r="BA76" s="137"/>
      <c r="BB76" s="135">
        <f>BB$3</f>
        <v>46190</v>
      </c>
      <c r="BC76" s="136" t="s">
        <v>501</v>
      </c>
      <c r="BD76" s="137" t="s">
        <v>501</v>
      </c>
      <c r="BE76" s="135">
        <f>BE$3</f>
        <v>46191</v>
      </c>
      <c r="BF76" s="136" t="s">
        <v>501</v>
      </c>
      <c r="BG76" s="137" t="s">
        <v>501</v>
      </c>
      <c r="BH76" s="135">
        <f>BH$3</f>
        <v>46192</v>
      </c>
      <c r="BI76" s="136" t="s">
        <v>501</v>
      </c>
      <c r="BJ76" s="137" t="s">
        <v>501</v>
      </c>
      <c r="BK76" s="135">
        <f>BK$3</f>
        <v>46193</v>
      </c>
      <c r="BL76" s="136" t="s">
        <v>501</v>
      </c>
      <c r="BM76" s="137" t="s">
        <v>501</v>
      </c>
      <c r="BN76" s="135"/>
      <c r="BO76" s="135">
        <f>BO$3</f>
        <v>46195</v>
      </c>
      <c r="BP76" s="136" t="s">
        <v>501</v>
      </c>
      <c r="BQ76" s="137" t="s">
        <v>501</v>
      </c>
      <c r="BR76" s="135">
        <f>BR$3</f>
        <v>46196</v>
      </c>
      <c r="BS76" s="136" t="s">
        <v>501</v>
      </c>
      <c r="BT76" s="137" t="s">
        <v>501</v>
      </c>
      <c r="BU76" s="135">
        <f>BU$3</f>
        <v>46197</v>
      </c>
      <c r="BV76" s="136" t="s">
        <v>501</v>
      </c>
      <c r="BW76" s="137" t="s">
        <v>501</v>
      </c>
      <c r="BX76" s="135">
        <f>BX$3</f>
        <v>46198</v>
      </c>
      <c r="BY76" s="136" t="s">
        <v>501</v>
      </c>
      <c r="BZ76" s="137" t="s">
        <v>501</v>
      </c>
      <c r="CA76" s="135">
        <f>CA$3</f>
        <v>46199</v>
      </c>
      <c r="CB76" s="136" t="s">
        <v>501</v>
      </c>
      <c r="CC76" s="137" t="s">
        <v>501</v>
      </c>
      <c r="CD76" s="135">
        <f>CD$3</f>
        <v>46200</v>
      </c>
      <c r="CE76" s="136" t="s">
        <v>501</v>
      </c>
      <c r="CF76" s="137" t="s">
        <v>501</v>
      </c>
      <c r="CG76" s="135"/>
      <c r="CH76" s="135">
        <f>CH$3</f>
        <v>46202</v>
      </c>
      <c r="CI76" s="148" t="s">
        <v>501</v>
      </c>
      <c r="CJ76" s="137" t="s">
        <v>501</v>
      </c>
      <c r="CK76" s="135">
        <f>CK$3</f>
        <v>46203</v>
      </c>
      <c r="CL76" s="136" t="s">
        <v>501</v>
      </c>
      <c r="CM76" s="137"/>
      <c r="CN76" s="135">
        <f>CN$3</f>
        <v>46204</v>
      </c>
      <c r="CO76" s="136" t="s">
        <v>501</v>
      </c>
      <c r="CP76" s="137" t="s">
        <v>501</v>
      </c>
      <c r="CQ76" s="135">
        <f>CQ$3</f>
        <v>46205</v>
      </c>
      <c r="CR76" s="136" t="s">
        <v>501</v>
      </c>
      <c r="CS76" s="137" t="s">
        <v>501</v>
      </c>
      <c r="CT76" s="135">
        <f>CT$3</f>
        <v>46206</v>
      </c>
      <c r="CU76" s="136" t="s">
        <v>501</v>
      </c>
      <c r="CV76" s="137" t="s">
        <v>501</v>
      </c>
      <c r="CW76" s="135">
        <f>CW$3</f>
        <v>46207</v>
      </c>
      <c r="CX76" s="136" t="s">
        <v>501</v>
      </c>
      <c r="CY76" s="137" t="s">
        <v>501</v>
      </c>
      <c r="CZ76" s="135"/>
      <c r="DA76" s="135">
        <f>DA$3</f>
        <v>46209</v>
      </c>
      <c r="DB76" s="136" t="s">
        <v>501</v>
      </c>
      <c r="DC76" s="137" t="s">
        <v>501</v>
      </c>
      <c r="DD76" s="135">
        <f>DD$3</f>
        <v>46210</v>
      </c>
      <c r="DE76" s="136" t="s">
        <v>501</v>
      </c>
      <c r="DF76" s="137" t="s">
        <v>501</v>
      </c>
      <c r="DG76" s="135">
        <f>DG$3</f>
        <v>46211</v>
      </c>
      <c r="DH76" s="136" t="s">
        <v>501</v>
      </c>
      <c r="DI76" s="137" t="s">
        <v>501</v>
      </c>
      <c r="DJ76" s="135">
        <f>DJ$3</f>
        <v>46212</v>
      </c>
      <c r="DK76" s="136" t="s">
        <v>501</v>
      </c>
      <c r="DL76" s="137" t="s">
        <v>501</v>
      </c>
      <c r="DM76" s="135">
        <f>DM$3</f>
        <v>46213</v>
      </c>
      <c r="DN76" s="136" t="s">
        <v>501</v>
      </c>
      <c r="DO76" s="137" t="s">
        <v>501</v>
      </c>
      <c r="DP76" s="135">
        <f>DP$3</f>
        <v>46214</v>
      </c>
      <c r="DQ76" s="136" t="s">
        <v>501</v>
      </c>
      <c r="DR76" s="137" t="s">
        <v>501</v>
      </c>
    </row>
    <row r="77" spans="1:122" outlineLevel="1">
      <c r="A77" s="122" t="str">
        <f>$A$42</f>
        <v>Đỗ Minh Ngọc</v>
      </c>
      <c r="B77" s="82"/>
      <c r="C77" s="81" t="str">
        <f>IF($B77="","",INDEX('Bảng 3'!C:C,MATCH($B77,'Bảng 3'!$A:$A,0)))</f>
        <v/>
      </c>
      <c r="D77" s="81" t="str">
        <f>IF($B77="","",INDEX('Bảng 3'!D:D,MATCH($B77,'Bảng 3'!$A:$A,0)))</f>
        <v/>
      </c>
      <c r="E77" s="81" t="str">
        <f>IF($B77="","",INDEX('Bảng 3'!E:E,MATCH($B77,'Bảng 3'!$A:$A,0)))</f>
        <v/>
      </c>
      <c r="F77" s="81" t="str">
        <f>IF($B77="","",INDEX('Bảng 3'!F:F,MATCH($B77,'Bảng 3'!$A:$A,0)))</f>
        <v/>
      </c>
      <c r="G77" s="81" t="str">
        <f>IF($B77="","",INDEX('Bảng 3'!G:G,MATCH($B77,'Bảng 3'!$A:$A,0)))</f>
        <v/>
      </c>
      <c r="H77" s="121"/>
      <c r="I77" s="135"/>
      <c r="J77" s="135">
        <f>J$3</f>
        <v>46174</v>
      </c>
      <c r="K77" s="148"/>
      <c r="L77" s="168"/>
      <c r="M77" s="135">
        <f>M$3</f>
        <v>46175</v>
      </c>
      <c r="N77" s="148" t="s">
        <v>501</v>
      </c>
      <c r="O77" s="137"/>
      <c r="P77" s="135">
        <f>P$3</f>
        <v>46176</v>
      </c>
      <c r="Q77" s="136" t="s">
        <v>501</v>
      </c>
      <c r="R77" s="137" t="s">
        <v>501</v>
      </c>
      <c r="S77" s="135">
        <f>S$3</f>
        <v>46177</v>
      </c>
      <c r="T77" s="136" t="s">
        <v>501</v>
      </c>
      <c r="U77" s="137" t="s">
        <v>501</v>
      </c>
      <c r="V77" s="135">
        <f>V$3</f>
        <v>46178</v>
      </c>
      <c r="W77" s="136" t="s">
        <v>501</v>
      </c>
      <c r="X77" s="137" t="s">
        <v>501</v>
      </c>
      <c r="Y77" s="135">
        <f>Y$3</f>
        <v>46179</v>
      </c>
      <c r="Z77" s="136" t="s">
        <v>501</v>
      </c>
      <c r="AA77" s="137" t="s">
        <v>501</v>
      </c>
      <c r="AB77" s="135"/>
      <c r="AC77" s="135">
        <f>AC$3</f>
        <v>46181</v>
      </c>
      <c r="AD77" s="136" t="s">
        <v>501</v>
      </c>
      <c r="AE77" s="137" t="s">
        <v>501</v>
      </c>
      <c r="AF77" s="135">
        <f>AF$3</f>
        <v>46182</v>
      </c>
      <c r="AG77" s="136" t="s">
        <v>501</v>
      </c>
      <c r="AH77" s="137" t="s">
        <v>501</v>
      </c>
      <c r="AI77" s="135">
        <f>AI$3</f>
        <v>46183</v>
      </c>
      <c r="AJ77" s="136" t="s">
        <v>501</v>
      </c>
      <c r="AK77" s="137" t="s">
        <v>501</v>
      </c>
      <c r="AL77" s="135">
        <f>AL$3</f>
        <v>46184</v>
      </c>
      <c r="AM77" s="136" t="s">
        <v>501</v>
      </c>
      <c r="AN77" s="137" t="s">
        <v>501</v>
      </c>
      <c r="AO77" s="135">
        <f>AO$3</f>
        <v>46185</v>
      </c>
      <c r="AP77" s="136" t="s">
        <v>501</v>
      </c>
      <c r="AQ77" s="137" t="s">
        <v>501</v>
      </c>
      <c r="AR77" s="135">
        <f>AR$3</f>
        <v>46186</v>
      </c>
      <c r="AS77" s="136" t="s">
        <v>501</v>
      </c>
      <c r="AT77" s="137" t="s">
        <v>501</v>
      </c>
      <c r="AU77" s="135"/>
      <c r="AV77" s="135">
        <f>AV$3</f>
        <v>46188</v>
      </c>
      <c r="AW77" s="148" t="s">
        <v>501</v>
      </c>
      <c r="AX77" s="137" t="s">
        <v>501</v>
      </c>
      <c r="AY77" s="135">
        <f>AY$3</f>
        <v>46189</v>
      </c>
      <c r="AZ77" s="136" t="s">
        <v>501</v>
      </c>
      <c r="BA77" s="137"/>
      <c r="BB77" s="135">
        <f>BB$3</f>
        <v>46190</v>
      </c>
      <c r="BC77" s="136" t="s">
        <v>501</v>
      </c>
      <c r="BD77" s="137" t="s">
        <v>501</v>
      </c>
      <c r="BE77" s="135">
        <f>BE$3</f>
        <v>46191</v>
      </c>
      <c r="BF77" s="136" t="s">
        <v>501</v>
      </c>
      <c r="BG77" s="137" t="s">
        <v>501</v>
      </c>
      <c r="BH77" s="135">
        <f>BH$3</f>
        <v>46192</v>
      </c>
      <c r="BI77" s="136" t="s">
        <v>501</v>
      </c>
      <c r="BJ77" s="137" t="s">
        <v>501</v>
      </c>
      <c r="BK77" s="135">
        <f>BK$3</f>
        <v>46193</v>
      </c>
      <c r="BL77" s="136" t="s">
        <v>501</v>
      </c>
      <c r="BM77" s="137" t="s">
        <v>501</v>
      </c>
      <c r="BN77" s="135"/>
      <c r="BO77" s="135">
        <f>BO$3</f>
        <v>46195</v>
      </c>
      <c r="BP77" s="136" t="s">
        <v>501</v>
      </c>
      <c r="BQ77" s="137" t="s">
        <v>501</v>
      </c>
      <c r="BR77" s="135">
        <f>BR$3</f>
        <v>46196</v>
      </c>
      <c r="BS77" s="136" t="s">
        <v>501</v>
      </c>
      <c r="BT77" s="137" t="s">
        <v>501</v>
      </c>
      <c r="BU77" s="135">
        <f>BU$3</f>
        <v>46197</v>
      </c>
      <c r="BV77" s="136" t="s">
        <v>501</v>
      </c>
      <c r="BW77" s="137" t="s">
        <v>501</v>
      </c>
      <c r="BX77" s="135">
        <f>BX$3</f>
        <v>46198</v>
      </c>
      <c r="BY77" s="136" t="s">
        <v>501</v>
      </c>
      <c r="BZ77" s="137" t="s">
        <v>501</v>
      </c>
      <c r="CA77" s="135">
        <f>CA$3</f>
        <v>46199</v>
      </c>
      <c r="CB77" s="136" t="s">
        <v>501</v>
      </c>
      <c r="CC77" s="137" t="s">
        <v>501</v>
      </c>
      <c r="CD77" s="135">
        <f>CD$3</f>
        <v>46200</v>
      </c>
      <c r="CE77" s="136" t="s">
        <v>501</v>
      </c>
      <c r="CF77" s="137" t="s">
        <v>501</v>
      </c>
      <c r="CG77" s="135"/>
      <c r="CH77" s="135">
        <f>CH$3</f>
        <v>46202</v>
      </c>
      <c r="CI77" s="148" t="s">
        <v>501</v>
      </c>
      <c r="CJ77" s="137" t="s">
        <v>501</v>
      </c>
      <c r="CK77" s="135">
        <f>CK$3</f>
        <v>46203</v>
      </c>
      <c r="CL77" s="136" t="s">
        <v>501</v>
      </c>
      <c r="CM77" s="137"/>
      <c r="CN77" s="135">
        <f>CN$3</f>
        <v>46204</v>
      </c>
      <c r="CO77" s="136" t="s">
        <v>501</v>
      </c>
      <c r="CP77" s="137" t="s">
        <v>501</v>
      </c>
      <c r="CQ77" s="135">
        <f>CQ$3</f>
        <v>46205</v>
      </c>
      <c r="CR77" s="136" t="s">
        <v>501</v>
      </c>
      <c r="CS77" s="137" t="s">
        <v>501</v>
      </c>
      <c r="CT77" s="135">
        <f>CT$3</f>
        <v>46206</v>
      </c>
      <c r="CU77" s="136" t="s">
        <v>501</v>
      </c>
      <c r="CV77" s="137" t="s">
        <v>501</v>
      </c>
      <c r="CW77" s="135">
        <f>CW$3</f>
        <v>46207</v>
      </c>
      <c r="CX77" s="136" t="s">
        <v>501</v>
      </c>
      <c r="CY77" s="137" t="s">
        <v>501</v>
      </c>
      <c r="CZ77" s="135"/>
      <c r="DA77" s="135">
        <f>DA$3</f>
        <v>46209</v>
      </c>
      <c r="DB77" s="136" t="s">
        <v>501</v>
      </c>
      <c r="DC77" s="137" t="s">
        <v>501</v>
      </c>
      <c r="DD77" s="135">
        <f>DD$3</f>
        <v>46210</v>
      </c>
      <c r="DE77" s="136" t="s">
        <v>501</v>
      </c>
      <c r="DF77" s="137" t="s">
        <v>501</v>
      </c>
      <c r="DG77" s="135">
        <f>DG$3</f>
        <v>46211</v>
      </c>
      <c r="DH77" s="136" t="s">
        <v>501</v>
      </c>
      <c r="DI77" s="137" t="s">
        <v>501</v>
      </c>
      <c r="DJ77" s="135">
        <f>DJ$3</f>
        <v>46212</v>
      </c>
      <c r="DK77" s="136" t="s">
        <v>501</v>
      </c>
      <c r="DL77" s="137" t="s">
        <v>501</v>
      </c>
      <c r="DM77" s="135">
        <f>DM$3</f>
        <v>46213</v>
      </c>
      <c r="DN77" s="136" t="s">
        <v>501</v>
      </c>
      <c r="DO77" s="137" t="s">
        <v>501</v>
      </c>
      <c r="DP77" s="135">
        <f>DP$3</f>
        <v>46214</v>
      </c>
      <c r="DQ77" s="136" t="s">
        <v>501</v>
      </c>
      <c r="DR77" s="137" t="s">
        <v>501</v>
      </c>
    </row>
    <row r="78" spans="1:122" outlineLevel="1">
      <c r="A78" s="122" t="str">
        <f>$A$42</f>
        <v>Đỗ Minh Ngọc</v>
      </c>
      <c r="B78" s="82"/>
      <c r="C78" s="81" t="str">
        <f>IF($B78="","",INDEX('Bảng 3'!C:C,MATCH($B78,'Bảng 3'!$A:$A,0)))</f>
        <v/>
      </c>
      <c r="D78" s="81" t="str">
        <f>IF($B78="","",INDEX('Bảng 3'!D:D,MATCH($B78,'Bảng 3'!$A:$A,0)))</f>
        <v/>
      </c>
      <c r="E78" s="81" t="str">
        <f>IF($B78="","",INDEX('Bảng 3'!E:E,MATCH($B78,'Bảng 3'!$A:$A,0)))</f>
        <v/>
      </c>
      <c r="F78" s="81" t="str">
        <f>IF($B78="","",INDEX('Bảng 3'!F:F,MATCH($B78,'Bảng 3'!$A:$A,0)))</f>
        <v/>
      </c>
      <c r="G78" s="81" t="str">
        <f>IF($B78="","",INDEX('Bảng 3'!G:G,MATCH($B78,'Bảng 3'!$A:$A,0)))</f>
        <v/>
      </c>
      <c r="H78" s="121"/>
      <c r="I78" s="135"/>
      <c r="J78" s="135">
        <f>J$3</f>
        <v>46174</v>
      </c>
      <c r="K78" s="148"/>
      <c r="L78" s="168"/>
      <c r="M78" s="135">
        <f>M$3</f>
        <v>46175</v>
      </c>
      <c r="N78" s="148" t="s">
        <v>501</v>
      </c>
      <c r="O78" s="137"/>
      <c r="P78" s="135">
        <f>P$3</f>
        <v>46176</v>
      </c>
      <c r="Q78" s="136" t="s">
        <v>501</v>
      </c>
      <c r="R78" s="137" t="s">
        <v>501</v>
      </c>
      <c r="S78" s="135">
        <f>S$3</f>
        <v>46177</v>
      </c>
      <c r="T78" s="136" t="s">
        <v>501</v>
      </c>
      <c r="U78" s="137" t="s">
        <v>501</v>
      </c>
      <c r="V78" s="135">
        <f>V$3</f>
        <v>46178</v>
      </c>
      <c r="W78" s="136" t="s">
        <v>501</v>
      </c>
      <c r="X78" s="137" t="s">
        <v>501</v>
      </c>
      <c r="Y78" s="135">
        <f>Y$3</f>
        <v>46179</v>
      </c>
      <c r="Z78" s="136" t="s">
        <v>501</v>
      </c>
      <c r="AA78" s="137" t="s">
        <v>501</v>
      </c>
      <c r="AB78" s="135"/>
      <c r="AC78" s="135">
        <f>AC$3</f>
        <v>46181</v>
      </c>
      <c r="AD78" s="136" t="s">
        <v>501</v>
      </c>
      <c r="AE78" s="137" t="s">
        <v>501</v>
      </c>
      <c r="AF78" s="135">
        <f>AF$3</f>
        <v>46182</v>
      </c>
      <c r="AG78" s="136" t="s">
        <v>501</v>
      </c>
      <c r="AH78" s="137" t="s">
        <v>501</v>
      </c>
      <c r="AI78" s="135">
        <f>AI$3</f>
        <v>46183</v>
      </c>
      <c r="AJ78" s="136" t="s">
        <v>501</v>
      </c>
      <c r="AK78" s="137" t="s">
        <v>501</v>
      </c>
      <c r="AL78" s="135">
        <f>AL$3</f>
        <v>46184</v>
      </c>
      <c r="AM78" s="136" t="s">
        <v>501</v>
      </c>
      <c r="AN78" s="137" t="s">
        <v>501</v>
      </c>
      <c r="AO78" s="135">
        <f>AO$3</f>
        <v>46185</v>
      </c>
      <c r="AP78" s="136" t="s">
        <v>501</v>
      </c>
      <c r="AQ78" s="137" t="s">
        <v>501</v>
      </c>
      <c r="AR78" s="135">
        <f>AR$3</f>
        <v>46186</v>
      </c>
      <c r="AS78" s="136" t="s">
        <v>501</v>
      </c>
      <c r="AT78" s="137" t="s">
        <v>501</v>
      </c>
      <c r="AU78" s="135"/>
      <c r="AV78" s="135">
        <f>AV$3</f>
        <v>46188</v>
      </c>
      <c r="AW78" s="148" t="s">
        <v>501</v>
      </c>
      <c r="AX78" s="137" t="s">
        <v>501</v>
      </c>
      <c r="AY78" s="135">
        <f>AY$3</f>
        <v>46189</v>
      </c>
      <c r="AZ78" s="136" t="s">
        <v>501</v>
      </c>
      <c r="BA78" s="137"/>
      <c r="BB78" s="135">
        <f>BB$3</f>
        <v>46190</v>
      </c>
      <c r="BC78" s="136" t="s">
        <v>501</v>
      </c>
      <c r="BD78" s="137" t="s">
        <v>501</v>
      </c>
      <c r="BE78" s="135">
        <f>BE$3</f>
        <v>46191</v>
      </c>
      <c r="BF78" s="136" t="s">
        <v>501</v>
      </c>
      <c r="BG78" s="137" t="s">
        <v>501</v>
      </c>
      <c r="BH78" s="135">
        <f>BH$3</f>
        <v>46192</v>
      </c>
      <c r="BI78" s="136" t="s">
        <v>501</v>
      </c>
      <c r="BJ78" s="137" t="s">
        <v>501</v>
      </c>
      <c r="BK78" s="135">
        <f>BK$3</f>
        <v>46193</v>
      </c>
      <c r="BL78" s="136" t="s">
        <v>501</v>
      </c>
      <c r="BM78" s="137" t="s">
        <v>501</v>
      </c>
      <c r="BN78" s="135"/>
      <c r="BO78" s="135">
        <f>BO$3</f>
        <v>46195</v>
      </c>
      <c r="BP78" s="136" t="s">
        <v>501</v>
      </c>
      <c r="BQ78" s="137" t="s">
        <v>501</v>
      </c>
      <c r="BR78" s="135">
        <f>BR$3</f>
        <v>46196</v>
      </c>
      <c r="BS78" s="136" t="s">
        <v>501</v>
      </c>
      <c r="BT78" s="137" t="s">
        <v>501</v>
      </c>
      <c r="BU78" s="135">
        <f>BU$3</f>
        <v>46197</v>
      </c>
      <c r="BV78" s="136" t="s">
        <v>501</v>
      </c>
      <c r="BW78" s="137" t="s">
        <v>501</v>
      </c>
      <c r="BX78" s="135">
        <f>BX$3</f>
        <v>46198</v>
      </c>
      <c r="BY78" s="136" t="s">
        <v>501</v>
      </c>
      <c r="BZ78" s="137" t="s">
        <v>501</v>
      </c>
      <c r="CA78" s="135">
        <f>CA$3</f>
        <v>46199</v>
      </c>
      <c r="CB78" s="136" t="s">
        <v>501</v>
      </c>
      <c r="CC78" s="137" t="s">
        <v>501</v>
      </c>
      <c r="CD78" s="135">
        <f>CD$3</f>
        <v>46200</v>
      </c>
      <c r="CE78" s="136" t="s">
        <v>501</v>
      </c>
      <c r="CF78" s="137" t="s">
        <v>501</v>
      </c>
      <c r="CG78" s="135"/>
      <c r="CH78" s="135">
        <f>CH$3</f>
        <v>46202</v>
      </c>
      <c r="CI78" s="148" t="s">
        <v>501</v>
      </c>
      <c r="CJ78" s="137" t="s">
        <v>501</v>
      </c>
      <c r="CK78" s="135">
        <f>CK$3</f>
        <v>46203</v>
      </c>
      <c r="CL78" s="136" t="s">
        <v>501</v>
      </c>
      <c r="CM78" s="137"/>
      <c r="CN78" s="135">
        <f>CN$3</f>
        <v>46204</v>
      </c>
      <c r="CO78" s="136" t="s">
        <v>501</v>
      </c>
      <c r="CP78" s="137" t="s">
        <v>501</v>
      </c>
      <c r="CQ78" s="135">
        <f>CQ$3</f>
        <v>46205</v>
      </c>
      <c r="CR78" s="136" t="s">
        <v>501</v>
      </c>
      <c r="CS78" s="137" t="s">
        <v>501</v>
      </c>
      <c r="CT78" s="135">
        <f>CT$3</f>
        <v>46206</v>
      </c>
      <c r="CU78" s="136" t="s">
        <v>501</v>
      </c>
      <c r="CV78" s="137" t="s">
        <v>501</v>
      </c>
      <c r="CW78" s="135">
        <f>CW$3</f>
        <v>46207</v>
      </c>
      <c r="CX78" s="136" t="s">
        <v>501</v>
      </c>
      <c r="CY78" s="137" t="s">
        <v>501</v>
      </c>
      <c r="CZ78" s="135"/>
      <c r="DA78" s="135">
        <f>DA$3</f>
        <v>46209</v>
      </c>
      <c r="DB78" s="136" t="s">
        <v>501</v>
      </c>
      <c r="DC78" s="137" t="s">
        <v>501</v>
      </c>
      <c r="DD78" s="135">
        <f>DD$3</f>
        <v>46210</v>
      </c>
      <c r="DE78" s="136" t="s">
        <v>501</v>
      </c>
      <c r="DF78" s="137" t="s">
        <v>501</v>
      </c>
      <c r="DG78" s="135">
        <f>DG$3</f>
        <v>46211</v>
      </c>
      <c r="DH78" s="136" t="s">
        <v>501</v>
      </c>
      <c r="DI78" s="137" t="s">
        <v>501</v>
      </c>
      <c r="DJ78" s="135">
        <f>DJ$3</f>
        <v>46212</v>
      </c>
      <c r="DK78" s="136" t="s">
        <v>501</v>
      </c>
      <c r="DL78" s="137" t="s">
        <v>501</v>
      </c>
      <c r="DM78" s="135">
        <f>DM$3</f>
        <v>46213</v>
      </c>
      <c r="DN78" s="136" t="s">
        <v>501</v>
      </c>
      <c r="DO78" s="137" t="s">
        <v>501</v>
      </c>
      <c r="DP78" s="135">
        <f>DP$3</f>
        <v>46214</v>
      </c>
      <c r="DQ78" s="136" t="s">
        <v>501</v>
      </c>
      <c r="DR78" s="137" t="s">
        <v>501</v>
      </c>
    </row>
    <row r="79" spans="1:122" ht="30.75" outlineLevel="1">
      <c r="A79" s="122" t="str">
        <f>$A$42</f>
        <v>Đỗ Minh Ngọc</v>
      </c>
      <c r="B79" s="82"/>
      <c r="C79" s="81" t="s">
        <v>38</v>
      </c>
      <c r="D79" s="81" t="s">
        <v>53</v>
      </c>
      <c r="E79" s="81" t="s">
        <v>53</v>
      </c>
      <c r="F79" s="81" t="s">
        <v>53</v>
      </c>
      <c r="G79" s="81" t="s">
        <v>53</v>
      </c>
      <c r="H79" s="121"/>
      <c r="I79" s="135"/>
      <c r="J79" s="135">
        <f>J$3</f>
        <v>46174</v>
      </c>
      <c r="K79" s="148" t="s">
        <v>645</v>
      </c>
      <c r="L79" s="168">
        <v>0.5</v>
      </c>
      <c r="M79" s="135">
        <f>M$3</f>
        <v>46175</v>
      </c>
      <c r="N79" s="148" t="s">
        <v>646</v>
      </c>
      <c r="O79" s="137">
        <v>0.25</v>
      </c>
      <c r="P79" s="135">
        <f>P$3</f>
        <v>46176</v>
      </c>
      <c r="Q79" s="136" t="s">
        <v>501</v>
      </c>
      <c r="R79" s="137" t="s">
        <v>501</v>
      </c>
      <c r="S79" s="135">
        <f>S$3</f>
        <v>46177</v>
      </c>
      <c r="T79" s="136" t="s">
        <v>501</v>
      </c>
      <c r="U79" s="137" t="s">
        <v>501</v>
      </c>
      <c r="V79" s="135">
        <f>V$3</f>
        <v>46178</v>
      </c>
      <c r="W79" s="136" t="s">
        <v>501</v>
      </c>
      <c r="X79" s="137" t="s">
        <v>501</v>
      </c>
      <c r="Y79" s="135">
        <f>Y$3</f>
        <v>46179</v>
      </c>
      <c r="Z79" s="136" t="s">
        <v>501</v>
      </c>
      <c r="AA79" s="137" t="s">
        <v>501</v>
      </c>
      <c r="AB79" s="135"/>
      <c r="AC79" s="135">
        <f>AC$3</f>
        <v>46181</v>
      </c>
      <c r="AD79" s="136" t="s">
        <v>501</v>
      </c>
      <c r="AE79" s="137" t="s">
        <v>501</v>
      </c>
      <c r="AF79" s="135">
        <f>AF$3</f>
        <v>46182</v>
      </c>
      <c r="AG79" s="136" t="s">
        <v>501</v>
      </c>
      <c r="AH79" s="137" t="s">
        <v>501</v>
      </c>
      <c r="AI79" s="135">
        <f>AI$3</f>
        <v>46183</v>
      </c>
      <c r="AJ79" s="136" t="s">
        <v>501</v>
      </c>
      <c r="AK79" s="137" t="s">
        <v>501</v>
      </c>
      <c r="AL79" s="135">
        <f>AL$3</f>
        <v>46184</v>
      </c>
      <c r="AM79" s="136" t="s">
        <v>501</v>
      </c>
      <c r="AN79" s="137" t="s">
        <v>501</v>
      </c>
      <c r="AO79" s="135">
        <f>AO$3</f>
        <v>46185</v>
      </c>
      <c r="AP79" s="136" t="s">
        <v>501</v>
      </c>
      <c r="AQ79" s="137" t="s">
        <v>501</v>
      </c>
      <c r="AR79" s="135">
        <f>AR$3</f>
        <v>46186</v>
      </c>
      <c r="AS79" s="136" t="s">
        <v>501</v>
      </c>
      <c r="AT79" s="137" t="s">
        <v>501</v>
      </c>
      <c r="AU79" s="135"/>
      <c r="AV79" s="135">
        <f>AV$3</f>
        <v>46188</v>
      </c>
      <c r="AW79" s="148" t="s">
        <v>501</v>
      </c>
      <c r="AX79" s="137" t="s">
        <v>501</v>
      </c>
      <c r="AY79" s="135">
        <f>AY$3</f>
        <v>46189</v>
      </c>
      <c r="AZ79" s="136" t="s">
        <v>501</v>
      </c>
      <c r="BA79" s="137"/>
      <c r="BB79" s="135">
        <f>BB$3</f>
        <v>46190</v>
      </c>
      <c r="BC79" s="136" t="s">
        <v>501</v>
      </c>
      <c r="BD79" s="137" t="s">
        <v>501</v>
      </c>
      <c r="BE79" s="135">
        <f>BE$3</f>
        <v>46191</v>
      </c>
      <c r="BF79" s="136" t="s">
        <v>501</v>
      </c>
      <c r="BG79" s="137" t="s">
        <v>501</v>
      </c>
      <c r="BH79" s="135">
        <f>BH$3</f>
        <v>46192</v>
      </c>
      <c r="BI79" s="136" t="s">
        <v>501</v>
      </c>
      <c r="BJ79" s="137" t="s">
        <v>501</v>
      </c>
      <c r="BK79" s="135">
        <f>BK$3</f>
        <v>46193</v>
      </c>
      <c r="BL79" s="136" t="s">
        <v>501</v>
      </c>
      <c r="BM79" s="137" t="s">
        <v>501</v>
      </c>
      <c r="BN79" s="135"/>
      <c r="BO79" s="135">
        <f>BO$3</f>
        <v>46195</v>
      </c>
      <c r="BP79" s="136" t="s">
        <v>501</v>
      </c>
      <c r="BQ79" s="137" t="s">
        <v>501</v>
      </c>
      <c r="BR79" s="135">
        <f>BR$3</f>
        <v>46196</v>
      </c>
      <c r="BS79" s="136" t="s">
        <v>501</v>
      </c>
      <c r="BT79" s="137" t="s">
        <v>501</v>
      </c>
      <c r="BU79" s="135">
        <f>BU$3</f>
        <v>46197</v>
      </c>
      <c r="BV79" s="136" t="s">
        <v>501</v>
      </c>
      <c r="BW79" s="137" t="s">
        <v>501</v>
      </c>
      <c r="BX79" s="135">
        <f>BX$3</f>
        <v>46198</v>
      </c>
      <c r="BY79" s="136" t="s">
        <v>501</v>
      </c>
      <c r="BZ79" s="137" t="s">
        <v>501</v>
      </c>
      <c r="CA79" s="135">
        <f>CA$3</f>
        <v>46199</v>
      </c>
      <c r="CB79" s="136" t="s">
        <v>501</v>
      </c>
      <c r="CC79" s="137" t="s">
        <v>501</v>
      </c>
      <c r="CD79" s="135">
        <f>CD$3</f>
        <v>46200</v>
      </c>
      <c r="CE79" s="136" t="s">
        <v>501</v>
      </c>
      <c r="CF79" s="137" t="s">
        <v>501</v>
      </c>
      <c r="CG79" s="135"/>
      <c r="CH79" s="135">
        <f>CH$3</f>
        <v>46202</v>
      </c>
      <c r="CI79" s="148" t="s">
        <v>501</v>
      </c>
      <c r="CJ79" s="137" t="s">
        <v>501</v>
      </c>
      <c r="CK79" s="135">
        <f>CK$3</f>
        <v>46203</v>
      </c>
      <c r="CL79" s="136" t="s">
        <v>501</v>
      </c>
      <c r="CM79" s="137"/>
      <c r="CN79" s="135">
        <f>CN$3</f>
        <v>46204</v>
      </c>
      <c r="CO79" s="136" t="s">
        <v>501</v>
      </c>
      <c r="CP79" s="137" t="s">
        <v>501</v>
      </c>
      <c r="CQ79" s="135">
        <f>CQ$3</f>
        <v>46205</v>
      </c>
      <c r="CR79" s="136" t="s">
        <v>501</v>
      </c>
      <c r="CS79" s="137" t="s">
        <v>501</v>
      </c>
      <c r="CT79" s="135">
        <f>CT$3</f>
        <v>46206</v>
      </c>
      <c r="CU79" s="136" t="s">
        <v>501</v>
      </c>
      <c r="CV79" s="137" t="s">
        <v>501</v>
      </c>
      <c r="CW79" s="135">
        <f>CW$3</f>
        <v>46207</v>
      </c>
      <c r="CX79" s="136" t="s">
        <v>501</v>
      </c>
      <c r="CY79" s="137" t="s">
        <v>501</v>
      </c>
      <c r="CZ79" s="135"/>
      <c r="DA79" s="135">
        <f>DA$3</f>
        <v>46209</v>
      </c>
      <c r="DB79" s="136" t="s">
        <v>501</v>
      </c>
      <c r="DC79" s="137" t="s">
        <v>501</v>
      </c>
      <c r="DD79" s="135">
        <f>DD$3</f>
        <v>46210</v>
      </c>
      <c r="DE79" s="136" t="s">
        <v>501</v>
      </c>
      <c r="DF79" s="137" t="s">
        <v>501</v>
      </c>
      <c r="DG79" s="135">
        <f>DG$3</f>
        <v>46211</v>
      </c>
      <c r="DH79" s="136" t="s">
        <v>501</v>
      </c>
      <c r="DI79" s="137" t="s">
        <v>501</v>
      </c>
      <c r="DJ79" s="135">
        <f>DJ$3</f>
        <v>46212</v>
      </c>
      <c r="DK79" s="136" t="s">
        <v>501</v>
      </c>
      <c r="DL79" s="137" t="s">
        <v>501</v>
      </c>
      <c r="DM79" s="135">
        <f>DM$3</f>
        <v>46213</v>
      </c>
      <c r="DN79" s="136" t="s">
        <v>501</v>
      </c>
      <c r="DO79" s="137" t="s">
        <v>501</v>
      </c>
      <c r="DP79" s="135">
        <f>DP$3</f>
        <v>46214</v>
      </c>
      <c r="DQ79" s="136" t="s">
        <v>501</v>
      </c>
      <c r="DR79" s="137" t="s">
        <v>501</v>
      </c>
    </row>
    <row r="80" spans="1:122">
      <c r="A80" s="36" t="s">
        <v>32</v>
      </c>
      <c r="B80" s="28"/>
      <c r="C80" s="81" t="str">
        <f>IF($B80="","",INDEX('Bảng 3'!C:C,MATCH($B80,'Bảng 3'!$A:$A,0)))</f>
        <v/>
      </c>
      <c r="D80" s="81" t="str">
        <f>IF($B80="","",INDEX('Bảng 3'!D:D,MATCH($B80,'Bảng 3'!$A:$A,0)))</f>
        <v/>
      </c>
      <c r="E80" s="81" t="str">
        <f>IF($B80="","",INDEX('Bảng 3'!E:E,MATCH($B80,'Bảng 3'!$A:$A,0)))</f>
        <v/>
      </c>
      <c r="F80" s="81" t="str">
        <f>IF($B80="","",INDEX('Bảng 3'!F:F,MATCH($B80,'Bảng 3'!$A:$A,0)))</f>
        <v/>
      </c>
      <c r="G80" s="81" t="str">
        <f>IF($B80="","",INDEX('Bảng 3'!G:G,MATCH($B80,'Bảng 3'!$A:$A,0)))</f>
        <v/>
      </c>
      <c r="H80" s="121"/>
      <c r="I80" s="138"/>
      <c r="J80" s="138">
        <f>J$3</f>
        <v>46174</v>
      </c>
      <c r="K80" s="158" t="s">
        <v>501</v>
      </c>
      <c r="L80" s="167">
        <f>SUM(L81:L112)</f>
        <v>8</v>
      </c>
      <c r="M80" s="138">
        <f>M$3</f>
        <v>46175</v>
      </c>
      <c r="N80" s="147" t="s">
        <v>501</v>
      </c>
      <c r="O80" s="133">
        <f>SUM(O81:O112)</f>
        <v>9</v>
      </c>
      <c r="P80" s="138">
        <f>P$3</f>
        <v>46176</v>
      </c>
      <c r="Q80" s="132" t="s">
        <v>501</v>
      </c>
      <c r="R80" s="133">
        <f>SUM(R81:R112)</f>
        <v>0</v>
      </c>
      <c r="S80" s="138">
        <f>S$3</f>
        <v>46177</v>
      </c>
      <c r="T80" s="132" t="s">
        <v>501</v>
      </c>
      <c r="U80" s="133">
        <f>SUM(U81:U112)</f>
        <v>0</v>
      </c>
      <c r="V80" s="138">
        <f>V$3</f>
        <v>46178</v>
      </c>
      <c r="W80" s="132" t="s">
        <v>501</v>
      </c>
      <c r="X80" s="133">
        <f>SUM(X81:X112)</f>
        <v>0</v>
      </c>
      <c r="Y80" s="138">
        <f>Y$3</f>
        <v>46179</v>
      </c>
      <c r="Z80" s="132" t="s">
        <v>501</v>
      </c>
      <c r="AA80" s="133">
        <f>SUM(AA81:AA112)</f>
        <v>0</v>
      </c>
      <c r="AB80" s="138"/>
      <c r="AC80" s="138">
        <f>AC$3</f>
        <v>46181</v>
      </c>
      <c r="AD80" s="132" t="s">
        <v>501</v>
      </c>
      <c r="AE80" s="133">
        <f>SUM(AE81:AE112)</f>
        <v>0</v>
      </c>
      <c r="AF80" s="138">
        <f>AF$3</f>
        <v>46182</v>
      </c>
      <c r="AG80" s="132" t="s">
        <v>501</v>
      </c>
      <c r="AH80" s="133">
        <f>SUM(AH81:AH112)</f>
        <v>0</v>
      </c>
      <c r="AI80" s="138">
        <f>AI$3</f>
        <v>46183</v>
      </c>
      <c r="AJ80" s="132" t="s">
        <v>501</v>
      </c>
      <c r="AK80" s="133">
        <f>SUM(AK81:AK112)</f>
        <v>0</v>
      </c>
      <c r="AL80" s="138">
        <f>AL$3</f>
        <v>46184</v>
      </c>
      <c r="AM80" s="132" t="s">
        <v>501</v>
      </c>
      <c r="AN80" s="133">
        <f>SUM(AN81:AN112)</f>
        <v>0</v>
      </c>
      <c r="AO80" s="138">
        <f>AO$3</f>
        <v>46185</v>
      </c>
      <c r="AP80" s="132" t="s">
        <v>501</v>
      </c>
      <c r="AQ80" s="133">
        <f>SUM(AQ81:AQ112)</f>
        <v>0</v>
      </c>
      <c r="AR80" s="138">
        <f>AR$3</f>
        <v>46186</v>
      </c>
      <c r="AS80" s="132" t="s">
        <v>501</v>
      </c>
      <c r="AT80" s="133">
        <f>SUM(AT81:AT112)</f>
        <v>0</v>
      </c>
      <c r="AU80" s="138"/>
      <c r="AV80" s="138">
        <f>AV$3</f>
        <v>46188</v>
      </c>
      <c r="AW80" s="147" t="s">
        <v>501</v>
      </c>
      <c r="AX80" s="133">
        <f>SUM(AX81:AX112)</f>
        <v>0</v>
      </c>
      <c r="AY80" s="138">
        <f>AY$3</f>
        <v>46189</v>
      </c>
      <c r="AZ80" s="132" t="s">
        <v>501</v>
      </c>
      <c r="BA80" s="133">
        <f>SUM(BA81:BA112)</f>
        <v>0</v>
      </c>
      <c r="BB80" s="138">
        <f>BB$3</f>
        <v>46190</v>
      </c>
      <c r="BC80" s="132" t="s">
        <v>501</v>
      </c>
      <c r="BD80" s="133">
        <f>SUM(BD81:BD112)</f>
        <v>0</v>
      </c>
      <c r="BE80" s="138">
        <f>BE$3</f>
        <v>46191</v>
      </c>
      <c r="BF80" s="132" t="s">
        <v>501</v>
      </c>
      <c r="BG80" s="133">
        <f>SUM(BG81:BG112)</f>
        <v>0</v>
      </c>
      <c r="BH80" s="138">
        <f>BH$3</f>
        <v>46192</v>
      </c>
      <c r="BI80" s="132" t="s">
        <v>501</v>
      </c>
      <c r="BJ80" s="133">
        <f>SUM(BJ81:BJ112)</f>
        <v>0</v>
      </c>
      <c r="BK80" s="138">
        <f>BK$3</f>
        <v>46193</v>
      </c>
      <c r="BL80" s="132" t="s">
        <v>501</v>
      </c>
      <c r="BM80" s="133">
        <f>SUM(BM81:BM112)</f>
        <v>0</v>
      </c>
      <c r="BN80" s="138"/>
      <c r="BO80" s="138">
        <f>BO$3</f>
        <v>46195</v>
      </c>
      <c r="BP80" s="132" t="s">
        <v>501</v>
      </c>
      <c r="BQ80" s="133">
        <f>SUM(BQ81:BQ112)</f>
        <v>0</v>
      </c>
      <c r="BR80" s="138">
        <f>BR$3</f>
        <v>46196</v>
      </c>
      <c r="BS80" s="132" t="s">
        <v>501</v>
      </c>
      <c r="BT80" s="133">
        <f>SUM(BT81:BT112)</f>
        <v>0</v>
      </c>
      <c r="BU80" s="138">
        <f>BU$3</f>
        <v>46197</v>
      </c>
      <c r="BV80" s="132" t="s">
        <v>501</v>
      </c>
      <c r="BW80" s="133">
        <f>SUM(BW81:BW112)</f>
        <v>0</v>
      </c>
      <c r="BX80" s="138">
        <f>BX$3</f>
        <v>46198</v>
      </c>
      <c r="BY80" s="132" t="s">
        <v>501</v>
      </c>
      <c r="BZ80" s="133">
        <f>SUM(BZ81:BZ112)</f>
        <v>0</v>
      </c>
      <c r="CA80" s="138">
        <f>CA$3</f>
        <v>46199</v>
      </c>
      <c r="CB80" s="132" t="s">
        <v>501</v>
      </c>
      <c r="CC80" s="133">
        <f>SUM(CC81:CC112)</f>
        <v>0</v>
      </c>
      <c r="CD80" s="138">
        <f>CD$3</f>
        <v>46200</v>
      </c>
      <c r="CE80" s="132" t="s">
        <v>501</v>
      </c>
      <c r="CF80" s="133">
        <f>SUM(CF81:CF112)</f>
        <v>0</v>
      </c>
      <c r="CG80" s="138"/>
      <c r="CH80" s="138">
        <f>CH$3</f>
        <v>46202</v>
      </c>
      <c r="CI80" s="147" t="s">
        <v>501</v>
      </c>
      <c r="CJ80" s="133">
        <f>SUM(CJ81:CJ112)</f>
        <v>0</v>
      </c>
      <c r="CK80" s="138">
        <f>CK$3</f>
        <v>46203</v>
      </c>
      <c r="CL80" s="132" t="s">
        <v>501</v>
      </c>
      <c r="CM80" s="133">
        <f>SUM(CM81:CM112)</f>
        <v>0</v>
      </c>
      <c r="CN80" s="138">
        <f>CN$3</f>
        <v>46204</v>
      </c>
      <c r="CO80" s="132" t="s">
        <v>501</v>
      </c>
      <c r="CP80" s="133">
        <f>SUM(CP81:CP112)</f>
        <v>0</v>
      </c>
      <c r="CQ80" s="138">
        <f>CQ$3</f>
        <v>46205</v>
      </c>
      <c r="CR80" s="132" t="s">
        <v>501</v>
      </c>
      <c r="CS80" s="133">
        <f>SUM(CS81:CS112)</f>
        <v>0</v>
      </c>
      <c r="CT80" s="138">
        <f>CT$3</f>
        <v>46206</v>
      </c>
      <c r="CU80" s="132" t="s">
        <v>501</v>
      </c>
      <c r="CV80" s="133">
        <f>SUM(CV81:CV112)</f>
        <v>0</v>
      </c>
      <c r="CW80" s="138">
        <f>CW$3</f>
        <v>46207</v>
      </c>
      <c r="CX80" s="132" t="s">
        <v>501</v>
      </c>
      <c r="CY80" s="133">
        <f>SUM(CY81:CY112)</f>
        <v>0</v>
      </c>
      <c r="CZ80" s="138"/>
      <c r="DA80" s="138">
        <f>DA$3</f>
        <v>46209</v>
      </c>
      <c r="DB80" s="132" t="s">
        <v>501</v>
      </c>
      <c r="DC80" s="133">
        <f>SUM(DC81:DC112)</f>
        <v>0</v>
      </c>
      <c r="DD80" s="138">
        <f>DD$3</f>
        <v>46210</v>
      </c>
      <c r="DE80" s="132" t="s">
        <v>501</v>
      </c>
      <c r="DF80" s="133">
        <f>SUM(DF81:DF112)</f>
        <v>0</v>
      </c>
      <c r="DG80" s="138">
        <f>DG$3</f>
        <v>46211</v>
      </c>
      <c r="DH80" s="132" t="s">
        <v>501</v>
      </c>
      <c r="DI80" s="133">
        <f>SUM(DI81:DI112)</f>
        <v>0</v>
      </c>
      <c r="DJ80" s="138">
        <f>DJ$3</f>
        <v>46212</v>
      </c>
      <c r="DK80" s="132" t="s">
        <v>501</v>
      </c>
      <c r="DL80" s="133">
        <f>SUM(DL81:DL112)</f>
        <v>0</v>
      </c>
      <c r="DM80" s="138">
        <f>DM$3</f>
        <v>46213</v>
      </c>
      <c r="DN80" s="132" t="s">
        <v>501</v>
      </c>
      <c r="DO80" s="133">
        <f>SUM(DO81:DO112)</f>
        <v>0</v>
      </c>
      <c r="DP80" s="138">
        <f>DP$3</f>
        <v>46214</v>
      </c>
      <c r="DQ80" s="132" t="s">
        <v>501</v>
      </c>
      <c r="DR80" s="133">
        <f>SUM(DR81:DR112)</f>
        <v>0</v>
      </c>
    </row>
    <row r="81" spans="1:122" outlineLevel="1">
      <c r="A81" s="122" t="str">
        <f>$A$80</f>
        <v>Nguyễn Hải Nam</v>
      </c>
      <c r="B81" s="172" t="str">
        <f>'Bảng 3'!A337</f>
        <v>3.N.HCM.Q9.VP.201</v>
      </c>
      <c r="C81" s="81" t="str">
        <f>IF($B81="","",INDEX('Bảng 3'!C:C,MATCH($B81,'Bảng 3'!$A:$A,0)))</f>
        <v>Quản lý BIM</v>
      </c>
      <c r="D81" s="81" t="str">
        <f>IF($B81="","",INDEX('Bảng 3'!D:D,MATCH($B81,'Bảng 3'!$A:$A,0)))</f>
        <v>N.HCM.Q9.VP</v>
      </c>
      <c r="E81" s="81" t="str">
        <f>IF($B81="","",INDEX('Bảng 3'!E:E,MATCH($B81,'Bảng 3'!$A:$A,0)))</f>
        <v>Toà văn phòng 43 tầng</v>
      </c>
      <c r="F81" s="81" t="str">
        <f>IF($B81="","",INDEX('Bảng 3'!F:F,MATCH($B81,'Bảng 3'!$A:$A,0)))</f>
        <v>KC</v>
      </c>
      <c r="G81" s="81" t="str">
        <f>IF($B81="","",INDEX('Bảng 3'!G:G,MATCH($B81,'Bảng 3'!$A:$A,0)))</f>
        <v>Xuất khối lượng từ mô hình BIM</v>
      </c>
      <c r="H81" s="121"/>
      <c r="I81" s="135"/>
      <c r="J81" s="135">
        <f>J$3</f>
        <v>46174</v>
      </c>
      <c r="K81" s="148" t="s">
        <v>647</v>
      </c>
      <c r="L81" s="168">
        <v>1</v>
      </c>
      <c r="M81" s="135">
        <f>M$3</f>
        <v>46175</v>
      </c>
      <c r="N81" s="148" t="s">
        <v>501</v>
      </c>
      <c r="O81" s="137" t="s">
        <v>501</v>
      </c>
      <c r="P81" s="135">
        <f>P$3</f>
        <v>46176</v>
      </c>
      <c r="Q81" s="136" t="s">
        <v>501</v>
      </c>
      <c r="R81" s="137" t="s">
        <v>501</v>
      </c>
      <c r="S81" s="135">
        <f>S$3</f>
        <v>46177</v>
      </c>
      <c r="T81" s="136" t="s">
        <v>501</v>
      </c>
      <c r="U81" s="137" t="s">
        <v>501</v>
      </c>
      <c r="V81" s="135">
        <f>V$3</f>
        <v>46178</v>
      </c>
      <c r="W81" s="136" t="s">
        <v>501</v>
      </c>
      <c r="X81" s="137" t="s">
        <v>501</v>
      </c>
      <c r="Y81" s="135">
        <f>Y$3</f>
        <v>46179</v>
      </c>
      <c r="Z81" s="136" t="s">
        <v>501</v>
      </c>
      <c r="AA81" s="137" t="s">
        <v>501</v>
      </c>
      <c r="AB81" s="135"/>
      <c r="AC81" s="135">
        <f>AC$3</f>
        <v>46181</v>
      </c>
      <c r="AD81" s="136" t="s">
        <v>501</v>
      </c>
      <c r="AE81" s="137" t="s">
        <v>501</v>
      </c>
      <c r="AF81" s="135">
        <f>AF$3</f>
        <v>46182</v>
      </c>
      <c r="AG81" s="136" t="s">
        <v>501</v>
      </c>
      <c r="AH81" s="137" t="s">
        <v>501</v>
      </c>
      <c r="AI81" s="135">
        <f>AI$3</f>
        <v>46183</v>
      </c>
      <c r="AJ81" s="136" t="s">
        <v>501</v>
      </c>
      <c r="AK81" s="137" t="s">
        <v>501</v>
      </c>
      <c r="AL81" s="135">
        <f>AL$3</f>
        <v>46184</v>
      </c>
      <c r="AM81" s="136" t="s">
        <v>501</v>
      </c>
      <c r="AN81" s="137" t="s">
        <v>501</v>
      </c>
      <c r="AO81" s="135">
        <f>AO$3</f>
        <v>46185</v>
      </c>
      <c r="AP81" s="136" t="s">
        <v>501</v>
      </c>
      <c r="AQ81" s="137" t="s">
        <v>501</v>
      </c>
      <c r="AR81" s="135">
        <f>AR$3</f>
        <v>46186</v>
      </c>
      <c r="AS81" s="136" t="s">
        <v>501</v>
      </c>
      <c r="AT81" s="137" t="s">
        <v>501</v>
      </c>
      <c r="AU81" s="135"/>
      <c r="AV81" s="135">
        <f>AV$3</f>
        <v>46188</v>
      </c>
      <c r="AW81" s="148" t="s">
        <v>501</v>
      </c>
      <c r="AX81" s="137" t="s">
        <v>501</v>
      </c>
      <c r="AY81" s="135">
        <f>AY$3</f>
        <v>46189</v>
      </c>
      <c r="AZ81" s="136" t="s">
        <v>501</v>
      </c>
      <c r="BA81" s="137" t="s">
        <v>501</v>
      </c>
      <c r="BB81" s="135">
        <f>BB$3</f>
        <v>46190</v>
      </c>
      <c r="BC81" s="136" t="s">
        <v>501</v>
      </c>
      <c r="BD81" s="137" t="s">
        <v>501</v>
      </c>
      <c r="BE81" s="135">
        <f>BE$3</f>
        <v>46191</v>
      </c>
      <c r="BF81" s="136" t="s">
        <v>501</v>
      </c>
      <c r="BG81" s="137" t="s">
        <v>501</v>
      </c>
      <c r="BH81" s="135">
        <f>BH$3</f>
        <v>46192</v>
      </c>
      <c r="BI81" s="136" t="s">
        <v>501</v>
      </c>
      <c r="BJ81" s="137" t="s">
        <v>501</v>
      </c>
      <c r="BK81" s="135">
        <f>BK$3</f>
        <v>46193</v>
      </c>
      <c r="BL81" s="136" t="s">
        <v>501</v>
      </c>
      <c r="BM81" s="137" t="s">
        <v>501</v>
      </c>
      <c r="BN81" s="135"/>
      <c r="BO81" s="135">
        <f>BO$3</f>
        <v>46195</v>
      </c>
      <c r="BP81" s="136" t="s">
        <v>501</v>
      </c>
      <c r="BQ81" s="137" t="s">
        <v>501</v>
      </c>
      <c r="BR81" s="135">
        <f>BR$3</f>
        <v>46196</v>
      </c>
      <c r="BS81" s="136" t="s">
        <v>501</v>
      </c>
      <c r="BT81" s="137" t="s">
        <v>501</v>
      </c>
      <c r="BU81" s="135">
        <f>BU$3</f>
        <v>46197</v>
      </c>
      <c r="BV81" s="136" t="s">
        <v>501</v>
      </c>
      <c r="BW81" s="137" t="s">
        <v>501</v>
      </c>
      <c r="BX81" s="135">
        <f>BX$3</f>
        <v>46198</v>
      </c>
      <c r="BY81" s="136" t="s">
        <v>501</v>
      </c>
      <c r="BZ81" s="137" t="s">
        <v>501</v>
      </c>
      <c r="CA81" s="135">
        <f>CA$3</f>
        <v>46199</v>
      </c>
      <c r="CB81" s="136" t="s">
        <v>501</v>
      </c>
      <c r="CC81" s="137" t="s">
        <v>501</v>
      </c>
      <c r="CD81" s="135">
        <f>CD$3</f>
        <v>46200</v>
      </c>
      <c r="CE81" s="136" t="s">
        <v>501</v>
      </c>
      <c r="CF81" s="137" t="s">
        <v>501</v>
      </c>
      <c r="CG81" s="135"/>
      <c r="CH81" s="135">
        <f>CH$3</f>
        <v>46202</v>
      </c>
      <c r="CI81" s="148" t="s">
        <v>501</v>
      </c>
      <c r="CJ81" s="137" t="s">
        <v>501</v>
      </c>
      <c r="CK81" s="135">
        <f>CK$3</f>
        <v>46203</v>
      </c>
      <c r="CL81" s="136" t="s">
        <v>501</v>
      </c>
      <c r="CM81" s="137" t="s">
        <v>501</v>
      </c>
      <c r="CN81" s="135">
        <f>CN$3</f>
        <v>46204</v>
      </c>
      <c r="CO81" s="136" t="s">
        <v>501</v>
      </c>
      <c r="CP81" s="137" t="s">
        <v>501</v>
      </c>
      <c r="CQ81" s="135">
        <f>CQ$3</f>
        <v>46205</v>
      </c>
      <c r="CR81" s="136" t="s">
        <v>501</v>
      </c>
      <c r="CS81" s="137" t="s">
        <v>501</v>
      </c>
      <c r="CT81" s="135">
        <f>CT$3</f>
        <v>46206</v>
      </c>
      <c r="CU81" s="136" t="s">
        <v>501</v>
      </c>
      <c r="CV81" s="137" t="s">
        <v>501</v>
      </c>
      <c r="CW81" s="135">
        <f>CW$3</f>
        <v>46207</v>
      </c>
      <c r="CX81" s="136" t="s">
        <v>501</v>
      </c>
      <c r="CY81" s="137" t="s">
        <v>501</v>
      </c>
      <c r="CZ81" s="135"/>
      <c r="DA81" s="135">
        <f>DA$3</f>
        <v>46209</v>
      </c>
      <c r="DB81" s="136" t="s">
        <v>501</v>
      </c>
      <c r="DC81" s="137" t="s">
        <v>501</v>
      </c>
      <c r="DD81" s="135">
        <f>DD$3</f>
        <v>46210</v>
      </c>
      <c r="DE81" s="136" t="s">
        <v>501</v>
      </c>
      <c r="DF81" s="137" t="s">
        <v>501</v>
      </c>
      <c r="DG81" s="135">
        <f>DG$3</f>
        <v>46211</v>
      </c>
      <c r="DH81" s="136" t="s">
        <v>501</v>
      </c>
      <c r="DI81" s="137" t="s">
        <v>501</v>
      </c>
      <c r="DJ81" s="135">
        <f>DJ$3</f>
        <v>46212</v>
      </c>
      <c r="DK81" s="136" t="s">
        <v>501</v>
      </c>
      <c r="DL81" s="137" t="s">
        <v>501</v>
      </c>
      <c r="DM81" s="135">
        <f>DM$3</f>
        <v>46213</v>
      </c>
      <c r="DN81" s="136" t="s">
        <v>501</v>
      </c>
      <c r="DO81" s="137" t="s">
        <v>501</v>
      </c>
      <c r="DP81" s="135">
        <f>DP$3</f>
        <v>46214</v>
      </c>
      <c r="DQ81" s="136" t="s">
        <v>501</v>
      </c>
      <c r="DR81" s="137" t="s">
        <v>501</v>
      </c>
    </row>
    <row r="82" spans="1:122" outlineLevel="1">
      <c r="A82" s="122" t="str">
        <f>$A$80</f>
        <v>Nguyễn Hải Nam</v>
      </c>
      <c r="B82" s="172" t="str">
        <f>'Bảng 3'!A338</f>
        <v>3.N.HCM.Q9.VP.202</v>
      </c>
      <c r="C82" s="81" t="str">
        <f>IF($B82="","",INDEX('Bảng 3'!C:C,MATCH($B82,'Bảng 3'!$A:$A,0)))</f>
        <v>Quản lý BIM</v>
      </c>
      <c r="D82" s="81" t="str">
        <f>IF($B82="","",INDEX('Bảng 3'!D:D,MATCH($B82,'Bảng 3'!$A:$A,0)))</f>
        <v>N.HCM.Q9.VP</v>
      </c>
      <c r="E82" s="81" t="str">
        <f>IF($B82="","",INDEX('Bảng 3'!E:E,MATCH($B82,'Bảng 3'!$A:$A,0)))</f>
        <v>Toà văn phòng 43 tầng</v>
      </c>
      <c r="F82" s="81" t="str">
        <f>IF($B82="","",INDEX('Bảng 3'!F:F,MATCH($B82,'Bảng 3'!$A:$A,0)))</f>
        <v>KC</v>
      </c>
      <c r="G82" s="81" t="str">
        <f>IF($B82="","",INDEX('Bảng 3'!G:G,MATCH($B82,'Bảng 3'!$A:$A,0)))</f>
        <v>Cập nhật thông tin mô hình BIM</v>
      </c>
      <c r="H82" s="121"/>
      <c r="I82" s="135"/>
      <c r="J82" s="135">
        <f>J$3</f>
        <v>46174</v>
      </c>
      <c r="K82" s="148" t="s">
        <v>648</v>
      </c>
      <c r="L82" s="168">
        <v>7</v>
      </c>
      <c r="M82" s="135">
        <f>M$3</f>
        <v>46175</v>
      </c>
      <c r="N82" s="148" t="s">
        <v>501</v>
      </c>
      <c r="O82" s="137" t="s">
        <v>501</v>
      </c>
      <c r="P82" s="135">
        <f>P$3</f>
        <v>46176</v>
      </c>
      <c r="Q82" s="136" t="s">
        <v>501</v>
      </c>
      <c r="R82" s="137" t="s">
        <v>501</v>
      </c>
      <c r="S82" s="135">
        <f>S$3</f>
        <v>46177</v>
      </c>
      <c r="T82" s="136" t="s">
        <v>501</v>
      </c>
      <c r="U82" s="137" t="s">
        <v>501</v>
      </c>
      <c r="V82" s="135">
        <f>V$3</f>
        <v>46178</v>
      </c>
      <c r="W82" s="136" t="s">
        <v>501</v>
      </c>
      <c r="X82" s="137" t="s">
        <v>501</v>
      </c>
      <c r="Y82" s="135">
        <f>Y$3</f>
        <v>46179</v>
      </c>
      <c r="Z82" s="136" t="s">
        <v>501</v>
      </c>
      <c r="AA82" s="137" t="s">
        <v>501</v>
      </c>
      <c r="AB82" s="135"/>
      <c r="AC82" s="135">
        <f>AC$3</f>
        <v>46181</v>
      </c>
      <c r="AD82" s="136" t="s">
        <v>501</v>
      </c>
      <c r="AE82" s="137" t="s">
        <v>501</v>
      </c>
      <c r="AF82" s="135">
        <f>AF$3</f>
        <v>46182</v>
      </c>
      <c r="AG82" s="136" t="s">
        <v>501</v>
      </c>
      <c r="AH82" s="137" t="s">
        <v>501</v>
      </c>
      <c r="AI82" s="135">
        <f>AI$3</f>
        <v>46183</v>
      </c>
      <c r="AJ82" s="136" t="s">
        <v>501</v>
      </c>
      <c r="AK82" s="137" t="s">
        <v>501</v>
      </c>
      <c r="AL82" s="135">
        <f>AL$3</f>
        <v>46184</v>
      </c>
      <c r="AM82" s="136" t="s">
        <v>501</v>
      </c>
      <c r="AN82" s="137" t="s">
        <v>501</v>
      </c>
      <c r="AO82" s="135">
        <f>AO$3</f>
        <v>46185</v>
      </c>
      <c r="AP82" s="136" t="s">
        <v>501</v>
      </c>
      <c r="AQ82" s="137" t="s">
        <v>501</v>
      </c>
      <c r="AR82" s="135">
        <f>AR$3</f>
        <v>46186</v>
      </c>
      <c r="AS82" s="136" t="s">
        <v>501</v>
      </c>
      <c r="AT82" s="137" t="s">
        <v>501</v>
      </c>
      <c r="AU82" s="135"/>
      <c r="AV82" s="135">
        <f>AV$3</f>
        <v>46188</v>
      </c>
      <c r="AW82" s="148" t="s">
        <v>501</v>
      </c>
      <c r="AX82" s="137" t="s">
        <v>501</v>
      </c>
      <c r="AY82" s="135">
        <f>AY$3</f>
        <v>46189</v>
      </c>
      <c r="AZ82" s="136" t="s">
        <v>501</v>
      </c>
      <c r="BA82" s="137" t="s">
        <v>501</v>
      </c>
      <c r="BB82" s="135">
        <f>BB$3</f>
        <v>46190</v>
      </c>
      <c r="BC82" s="136" t="s">
        <v>501</v>
      </c>
      <c r="BD82" s="137" t="s">
        <v>501</v>
      </c>
      <c r="BE82" s="135">
        <f>BE$3</f>
        <v>46191</v>
      </c>
      <c r="BF82" s="136" t="s">
        <v>501</v>
      </c>
      <c r="BG82" s="137" t="s">
        <v>501</v>
      </c>
      <c r="BH82" s="135">
        <f>BH$3</f>
        <v>46192</v>
      </c>
      <c r="BI82" s="136" t="s">
        <v>501</v>
      </c>
      <c r="BJ82" s="137" t="s">
        <v>501</v>
      </c>
      <c r="BK82" s="135">
        <f>BK$3</f>
        <v>46193</v>
      </c>
      <c r="BL82" s="136" t="s">
        <v>501</v>
      </c>
      <c r="BM82" s="137" t="s">
        <v>501</v>
      </c>
      <c r="BN82" s="135"/>
      <c r="BO82" s="135">
        <f>BO$3</f>
        <v>46195</v>
      </c>
      <c r="BP82" s="136" t="s">
        <v>501</v>
      </c>
      <c r="BQ82" s="137" t="s">
        <v>501</v>
      </c>
      <c r="BR82" s="135">
        <f>BR$3</f>
        <v>46196</v>
      </c>
      <c r="BS82" s="136" t="s">
        <v>501</v>
      </c>
      <c r="BT82" s="137" t="s">
        <v>501</v>
      </c>
      <c r="BU82" s="135">
        <f>BU$3</f>
        <v>46197</v>
      </c>
      <c r="BV82" s="136" t="s">
        <v>501</v>
      </c>
      <c r="BW82" s="137" t="s">
        <v>501</v>
      </c>
      <c r="BX82" s="135">
        <f>BX$3</f>
        <v>46198</v>
      </c>
      <c r="BY82" s="136" t="s">
        <v>501</v>
      </c>
      <c r="BZ82" s="137" t="s">
        <v>501</v>
      </c>
      <c r="CA82" s="135">
        <f>CA$3</f>
        <v>46199</v>
      </c>
      <c r="CB82" s="136" t="s">
        <v>501</v>
      </c>
      <c r="CC82" s="137" t="s">
        <v>501</v>
      </c>
      <c r="CD82" s="135">
        <f>CD$3</f>
        <v>46200</v>
      </c>
      <c r="CE82" s="136" t="s">
        <v>501</v>
      </c>
      <c r="CF82" s="137" t="s">
        <v>501</v>
      </c>
      <c r="CG82" s="135"/>
      <c r="CH82" s="135">
        <f>CH$3</f>
        <v>46202</v>
      </c>
      <c r="CI82" s="148" t="s">
        <v>501</v>
      </c>
      <c r="CJ82" s="137" t="s">
        <v>501</v>
      </c>
      <c r="CK82" s="135">
        <f>CK$3</f>
        <v>46203</v>
      </c>
      <c r="CL82" s="136" t="s">
        <v>501</v>
      </c>
      <c r="CM82" s="137" t="s">
        <v>501</v>
      </c>
      <c r="CN82" s="135">
        <f>CN$3</f>
        <v>46204</v>
      </c>
      <c r="CO82" s="136" t="s">
        <v>501</v>
      </c>
      <c r="CP82" s="137" t="s">
        <v>501</v>
      </c>
      <c r="CQ82" s="135">
        <f>CQ$3</f>
        <v>46205</v>
      </c>
      <c r="CR82" s="136" t="s">
        <v>501</v>
      </c>
      <c r="CS82" s="137" t="s">
        <v>501</v>
      </c>
      <c r="CT82" s="135">
        <f>CT$3</f>
        <v>46206</v>
      </c>
      <c r="CU82" s="136" t="s">
        <v>501</v>
      </c>
      <c r="CV82" s="137" t="s">
        <v>501</v>
      </c>
      <c r="CW82" s="135">
        <f>CW$3</f>
        <v>46207</v>
      </c>
      <c r="CX82" s="136" t="s">
        <v>501</v>
      </c>
      <c r="CY82" s="137" t="s">
        <v>501</v>
      </c>
      <c r="CZ82" s="135"/>
      <c r="DA82" s="135">
        <f>DA$3</f>
        <v>46209</v>
      </c>
      <c r="DB82" s="136" t="s">
        <v>501</v>
      </c>
      <c r="DC82" s="137" t="s">
        <v>501</v>
      </c>
      <c r="DD82" s="135">
        <f>DD$3</f>
        <v>46210</v>
      </c>
      <c r="DE82" s="136" t="s">
        <v>501</v>
      </c>
      <c r="DF82" s="137" t="s">
        <v>501</v>
      </c>
      <c r="DG82" s="135">
        <f>DG$3</f>
        <v>46211</v>
      </c>
      <c r="DH82" s="136" t="s">
        <v>501</v>
      </c>
      <c r="DI82" s="137" t="s">
        <v>501</v>
      </c>
      <c r="DJ82" s="135">
        <f>DJ$3</f>
        <v>46212</v>
      </c>
      <c r="DK82" s="136" t="s">
        <v>501</v>
      </c>
      <c r="DL82" s="137" t="s">
        <v>501</v>
      </c>
      <c r="DM82" s="135">
        <f>DM$3</f>
        <v>46213</v>
      </c>
      <c r="DN82" s="136" t="s">
        <v>501</v>
      </c>
      <c r="DO82" s="137" t="s">
        <v>501</v>
      </c>
      <c r="DP82" s="135">
        <f>DP$3</f>
        <v>46214</v>
      </c>
      <c r="DQ82" s="136" t="s">
        <v>501</v>
      </c>
      <c r="DR82" s="137" t="s">
        <v>501</v>
      </c>
    </row>
    <row r="83" spans="1:122" outlineLevel="1">
      <c r="A83" s="122" t="str">
        <f>$A$80</f>
        <v>Nguyễn Hải Nam</v>
      </c>
      <c r="B83" s="172" t="str">
        <f>'Bảng 3'!A212</f>
        <v>3.B.TQU.VPTQ.VP.201</v>
      </c>
      <c r="C83" s="173" t="str">
        <f>IF($B83="","",INDEX('Bảng 3'!C:C,MATCH($B83,'Bảng 3'!$A:$A,0)))</f>
        <v>Quản lý BIM</v>
      </c>
      <c r="D83" s="173" t="str">
        <f>IF($B83="","",INDEX('Bảng 3'!D:D,MATCH($B83,'Bảng 3'!$A:$A,0)))</f>
        <v>B.TQU.VPTQ.VP</v>
      </c>
      <c r="E83" s="81" t="str">
        <f>IF($B83="","",INDEX('Bảng 3'!E:E,MATCH($B83,'Bảng 3'!$A:$A,0)))</f>
        <v>Lô C.TM11</v>
      </c>
      <c r="F83" s="81" t="str">
        <f>IF($B83="","",INDEX('Bảng 3'!F:F,MATCH($B83,'Bảng 3'!$A:$A,0)))</f>
        <v>KC</v>
      </c>
      <c r="G83" s="81" t="str">
        <f>IF($B83="","",INDEX('Bảng 3'!G:G,MATCH($B83,'Bảng 3'!$A:$A,0)))</f>
        <v>Xuất khối lượng từ mô hình BIM</v>
      </c>
      <c r="H83" s="121"/>
      <c r="I83" s="135"/>
      <c r="J83" s="135">
        <f>J$3</f>
        <v>46174</v>
      </c>
      <c r="K83" s="148" t="s">
        <v>501</v>
      </c>
      <c r="L83" s="168" t="s">
        <v>501</v>
      </c>
      <c r="M83" s="135">
        <f>M$3</f>
        <v>46175</v>
      </c>
      <c r="N83" s="148" t="s">
        <v>647</v>
      </c>
      <c r="O83" s="137">
        <v>1</v>
      </c>
      <c r="P83" s="135">
        <f>P$3</f>
        <v>46176</v>
      </c>
      <c r="Q83" s="136" t="s">
        <v>501</v>
      </c>
      <c r="R83" s="137" t="s">
        <v>501</v>
      </c>
      <c r="S83" s="135">
        <f>S$3</f>
        <v>46177</v>
      </c>
      <c r="T83" s="136" t="s">
        <v>501</v>
      </c>
      <c r="U83" s="137" t="s">
        <v>501</v>
      </c>
      <c r="V83" s="135">
        <f>V$3</f>
        <v>46178</v>
      </c>
      <c r="W83" s="136" t="s">
        <v>501</v>
      </c>
      <c r="X83" s="137" t="s">
        <v>501</v>
      </c>
      <c r="Y83" s="135">
        <f>Y$3</f>
        <v>46179</v>
      </c>
      <c r="Z83" s="136" t="s">
        <v>501</v>
      </c>
      <c r="AA83" s="137" t="s">
        <v>501</v>
      </c>
      <c r="AB83" s="135"/>
      <c r="AC83" s="135">
        <f>AC$3</f>
        <v>46181</v>
      </c>
      <c r="AD83" s="136" t="s">
        <v>501</v>
      </c>
      <c r="AE83" s="137" t="s">
        <v>501</v>
      </c>
      <c r="AF83" s="135">
        <f>AF$3</f>
        <v>46182</v>
      </c>
      <c r="AG83" s="136" t="s">
        <v>501</v>
      </c>
      <c r="AH83" s="137" t="s">
        <v>501</v>
      </c>
      <c r="AI83" s="135">
        <f>AI$3</f>
        <v>46183</v>
      </c>
      <c r="AJ83" s="136" t="s">
        <v>501</v>
      </c>
      <c r="AK83" s="137" t="s">
        <v>501</v>
      </c>
      <c r="AL83" s="135">
        <f>AL$3</f>
        <v>46184</v>
      </c>
      <c r="AM83" s="136" t="s">
        <v>501</v>
      </c>
      <c r="AN83" s="137" t="s">
        <v>501</v>
      </c>
      <c r="AO83" s="135">
        <f>AO$3</f>
        <v>46185</v>
      </c>
      <c r="AP83" s="136" t="s">
        <v>501</v>
      </c>
      <c r="AQ83" s="137" t="s">
        <v>501</v>
      </c>
      <c r="AR83" s="135">
        <f>AR$3</f>
        <v>46186</v>
      </c>
      <c r="AS83" s="136" t="s">
        <v>501</v>
      </c>
      <c r="AT83" s="137" t="s">
        <v>501</v>
      </c>
      <c r="AU83" s="135"/>
      <c r="AV83" s="135">
        <f>AV$3</f>
        <v>46188</v>
      </c>
      <c r="AW83" s="148" t="s">
        <v>501</v>
      </c>
      <c r="AX83" s="137" t="s">
        <v>501</v>
      </c>
      <c r="AY83" s="135">
        <f>AY$3</f>
        <v>46189</v>
      </c>
      <c r="AZ83" s="136" t="s">
        <v>501</v>
      </c>
      <c r="BA83" s="137" t="s">
        <v>501</v>
      </c>
      <c r="BB83" s="135">
        <f>BB$3</f>
        <v>46190</v>
      </c>
      <c r="BC83" s="136" t="s">
        <v>501</v>
      </c>
      <c r="BD83" s="137" t="s">
        <v>501</v>
      </c>
      <c r="BE83" s="135">
        <f>BE$3</f>
        <v>46191</v>
      </c>
      <c r="BF83" s="136" t="s">
        <v>501</v>
      </c>
      <c r="BG83" s="137" t="s">
        <v>501</v>
      </c>
      <c r="BH83" s="135">
        <f>BH$3</f>
        <v>46192</v>
      </c>
      <c r="BI83" s="136" t="s">
        <v>501</v>
      </c>
      <c r="BJ83" s="137" t="s">
        <v>501</v>
      </c>
      <c r="BK83" s="135">
        <f>BK$3</f>
        <v>46193</v>
      </c>
      <c r="BL83" s="136" t="s">
        <v>501</v>
      </c>
      <c r="BM83" s="137" t="s">
        <v>501</v>
      </c>
      <c r="BN83" s="135"/>
      <c r="BO83" s="135">
        <f>BO$3</f>
        <v>46195</v>
      </c>
      <c r="BP83" s="136" t="s">
        <v>501</v>
      </c>
      <c r="BQ83" s="137" t="s">
        <v>501</v>
      </c>
      <c r="BR83" s="135">
        <f>BR$3</f>
        <v>46196</v>
      </c>
      <c r="BS83" s="136" t="s">
        <v>501</v>
      </c>
      <c r="BT83" s="137" t="s">
        <v>501</v>
      </c>
      <c r="BU83" s="135">
        <f>BU$3</f>
        <v>46197</v>
      </c>
      <c r="BV83" s="136" t="s">
        <v>501</v>
      </c>
      <c r="BW83" s="137" t="s">
        <v>501</v>
      </c>
      <c r="BX83" s="135">
        <f>BX$3</f>
        <v>46198</v>
      </c>
      <c r="BY83" s="136" t="s">
        <v>501</v>
      </c>
      <c r="BZ83" s="137" t="s">
        <v>501</v>
      </c>
      <c r="CA83" s="135">
        <f>CA$3</f>
        <v>46199</v>
      </c>
      <c r="CB83" s="136" t="s">
        <v>501</v>
      </c>
      <c r="CC83" s="137" t="s">
        <v>501</v>
      </c>
      <c r="CD83" s="135">
        <f>CD$3</f>
        <v>46200</v>
      </c>
      <c r="CE83" s="136" t="s">
        <v>501</v>
      </c>
      <c r="CF83" s="137" t="s">
        <v>501</v>
      </c>
      <c r="CG83" s="135"/>
      <c r="CH83" s="135">
        <f>CH$3</f>
        <v>46202</v>
      </c>
      <c r="CI83" s="148" t="s">
        <v>501</v>
      </c>
      <c r="CJ83" s="137" t="s">
        <v>501</v>
      </c>
      <c r="CK83" s="135">
        <f>CK$3</f>
        <v>46203</v>
      </c>
      <c r="CL83" s="136" t="s">
        <v>501</v>
      </c>
      <c r="CM83" s="137" t="s">
        <v>501</v>
      </c>
      <c r="CN83" s="135">
        <f>CN$3</f>
        <v>46204</v>
      </c>
      <c r="CO83" s="136" t="s">
        <v>501</v>
      </c>
      <c r="CP83" s="137" t="s">
        <v>501</v>
      </c>
      <c r="CQ83" s="135">
        <f>CQ$3</f>
        <v>46205</v>
      </c>
      <c r="CR83" s="136" t="s">
        <v>501</v>
      </c>
      <c r="CS83" s="137" t="s">
        <v>501</v>
      </c>
      <c r="CT83" s="135">
        <f>CT$3</f>
        <v>46206</v>
      </c>
      <c r="CU83" s="136" t="s">
        <v>501</v>
      </c>
      <c r="CV83" s="137" t="s">
        <v>501</v>
      </c>
      <c r="CW83" s="135">
        <f>CW$3</f>
        <v>46207</v>
      </c>
      <c r="CX83" s="136" t="s">
        <v>501</v>
      </c>
      <c r="CY83" s="137" t="s">
        <v>501</v>
      </c>
      <c r="CZ83" s="135"/>
      <c r="DA83" s="135">
        <f>DA$3</f>
        <v>46209</v>
      </c>
      <c r="DB83" s="136" t="s">
        <v>501</v>
      </c>
      <c r="DC83" s="137" t="s">
        <v>501</v>
      </c>
      <c r="DD83" s="135">
        <f>DD$3</f>
        <v>46210</v>
      </c>
      <c r="DE83" s="136" t="s">
        <v>501</v>
      </c>
      <c r="DF83" s="137" t="s">
        <v>501</v>
      </c>
      <c r="DG83" s="135">
        <f>DG$3</f>
        <v>46211</v>
      </c>
      <c r="DH83" s="136" t="s">
        <v>501</v>
      </c>
      <c r="DI83" s="137" t="s">
        <v>501</v>
      </c>
      <c r="DJ83" s="135">
        <f>DJ$3</f>
        <v>46212</v>
      </c>
      <c r="DK83" s="136" t="s">
        <v>501</v>
      </c>
      <c r="DL83" s="137" t="s">
        <v>501</v>
      </c>
      <c r="DM83" s="135">
        <f>DM$3</f>
        <v>46213</v>
      </c>
      <c r="DN83" s="136" t="s">
        <v>501</v>
      </c>
      <c r="DO83" s="137" t="s">
        <v>501</v>
      </c>
      <c r="DP83" s="135">
        <f>DP$3</f>
        <v>46214</v>
      </c>
      <c r="DQ83" s="136" t="s">
        <v>501</v>
      </c>
      <c r="DR83" s="137" t="s">
        <v>501</v>
      </c>
    </row>
    <row r="84" spans="1:122" outlineLevel="1">
      <c r="A84" s="122" t="str">
        <f>$A$80</f>
        <v>Nguyễn Hải Nam</v>
      </c>
      <c r="B84" s="82" t="str">
        <f>'Bảng 3'!A213</f>
        <v>3.B.TQU.VPTQ.VP.202</v>
      </c>
      <c r="C84" s="81" t="str">
        <f>IF($B84="","",INDEX('Bảng 3'!C:C,MATCH($B84,'Bảng 3'!$A:$A,0)))</f>
        <v>Quản lý BIM</v>
      </c>
      <c r="D84" s="81" t="str">
        <f>IF($B84="","",INDEX('Bảng 3'!D:D,MATCH($B84,'Bảng 3'!$A:$A,0)))</f>
        <v>B.TQU.VPTQ.VP</v>
      </c>
      <c r="E84" s="81" t="str">
        <f>IF($B84="","",INDEX('Bảng 3'!E:E,MATCH($B84,'Bảng 3'!$A:$A,0)))</f>
        <v>Lô C.TM11</v>
      </c>
      <c r="F84" s="81" t="str">
        <f>IF($B84="","",INDEX('Bảng 3'!F:F,MATCH($B84,'Bảng 3'!$A:$A,0)))</f>
        <v>KC</v>
      </c>
      <c r="G84" s="81" t="str">
        <f>IF($B84="","",INDEX('Bảng 3'!G:G,MATCH($B84,'Bảng 3'!$A:$A,0)))</f>
        <v>Cập nhật thông tin mô hình BIM</v>
      </c>
      <c r="H84" s="121"/>
      <c r="I84" s="135"/>
      <c r="J84" s="135">
        <f>J$3</f>
        <v>46174</v>
      </c>
      <c r="K84" s="148" t="s">
        <v>501</v>
      </c>
      <c r="L84" s="168" t="s">
        <v>501</v>
      </c>
      <c r="M84" s="135">
        <f>M$3</f>
        <v>46175</v>
      </c>
      <c r="N84" s="148" t="s">
        <v>649</v>
      </c>
      <c r="O84" s="137">
        <v>6</v>
      </c>
      <c r="P84" s="135">
        <f>P$3</f>
        <v>46176</v>
      </c>
      <c r="Q84" s="136" t="s">
        <v>501</v>
      </c>
      <c r="R84" s="137" t="s">
        <v>501</v>
      </c>
      <c r="S84" s="135">
        <f>S$3</f>
        <v>46177</v>
      </c>
      <c r="T84" s="136" t="s">
        <v>501</v>
      </c>
      <c r="U84" s="137" t="s">
        <v>501</v>
      </c>
      <c r="V84" s="135">
        <f>V$3</f>
        <v>46178</v>
      </c>
      <c r="W84" s="136" t="s">
        <v>501</v>
      </c>
      <c r="X84" s="137" t="s">
        <v>501</v>
      </c>
      <c r="Y84" s="135">
        <f>Y$3</f>
        <v>46179</v>
      </c>
      <c r="Z84" s="136" t="s">
        <v>501</v>
      </c>
      <c r="AA84" s="137" t="s">
        <v>501</v>
      </c>
      <c r="AB84" s="135"/>
      <c r="AC84" s="135">
        <f>AC$3</f>
        <v>46181</v>
      </c>
      <c r="AD84" s="136" t="s">
        <v>501</v>
      </c>
      <c r="AE84" s="137" t="s">
        <v>501</v>
      </c>
      <c r="AF84" s="135">
        <f>AF$3</f>
        <v>46182</v>
      </c>
      <c r="AG84" s="136" t="s">
        <v>501</v>
      </c>
      <c r="AH84" s="137" t="s">
        <v>501</v>
      </c>
      <c r="AI84" s="135">
        <f>AI$3</f>
        <v>46183</v>
      </c>
      <c r="AJ84" s="136" t="s">
        <v>501</v>
      </c>
      <c r="AK84" s="137" t="s">
        <v>501</v>
      </c>
      <c r="AL84" s="135">
        <f>AL$3</f>
        <v>46184</v>
      </c>
      <c r="AM84" s="136" t="s">
        <v>501</v>
      </c>
      <c r="AN84" s="137" t="s">
        <v>501</v>
      </c>
      <c r="AO84" s="135">
        <f>AO$3</f>
        <v>46185</v>
      </c>
      <c r="AP84" s="136" t="s">
        <v>501</v>
      </c>
      <c r="AQ84" s="137" t="s">
        <v>501</v>
      </c>
      <c r="AR84" s="135">
        <f>AR$3</f>
        <v>46186</v>
      </c>
      <c r="AS84" s="136" t="s">
        <v>501</v>
      </c>
      <c r="AT84" s="137" t="s">
        <v>501</v>
      </c>
      <c r="AU84" s="135"/>
      <c r="AV84" s="135">
        <f>AV$3</f>
        <v>46188</v>
      </c>
      <c r="AW84" s="148" t="s">
        <v>501</v>
      </c>
      <c r="AX84" s="137" t="s">
        <v>501</v>
      </c>
      <c r="AY84" s="135">
        <f>AY$3</f>
        <v>46189</v>
      </c>
      <c r="AZ84" s="136" t="s">
        <v>501</v>
      </c>
      <c r="BA84" s="137" t="s">
        <v>501</v>
      </c>
      <c r="BB84" s="135">
        <f>BB$3</f>
        <v>46190</v>
      </c>
      <c r="BC84" s="136" t="s">
        <v>501</v>
      </c>
      <c r="BD84" s="137" t="s">
        <v>501</v>
      </c>
      <c r="BE84" s="135">
        <f>BE$3</f>
        <v>46191</v>
      </c>
      <c r="BF84" s="136" t="s">
        <v>501</v>
      </c>
      <c r="BG84" s="137" t="s">
        <v>501</v>
      </c>
      <c r="BH84" s="135">
        <f>BH$3</f>
        <v>46192</v>
      </c>
      <c r="BI84" s="136" t="s">
        <v>501</v>
      </c>
      <c r="BJ84" s="137" t="s">
        <v>501</v>
      </c>
      <c r="BK84" s="135">
        <f>BK$3</f>
        <v>46193</v>
      </c>
      <c r="BL84" s="136" t="s">
        <v>501</v>
      </c>
      <c r="BM84" s="137" t="s">
        <v>501</v>
      </c>
      <c r="BN84" s="135"/>
      <c r="BO84" s="135">
        <f>BO$3</f>
        <v>46195</v>
      </c>
      <c r="BP84" s="136" t="s">
        <v>501</v>
      </c>
      <c r="BQ84" s="137" t="s">
        <v>501</v>
      </c>
      <c r="BR84" s="135">
        <f>BR$3</f>
        <v>46196</v>
      </c>
      <c r="BS84" s="136" t="s">
        <v>501</v>
      </c>
      <c r="BT84" s="137" t="s">
        <v>501</v>
      </c>
      <c r="BU84" s="135">
        <f>BU$3</f>
        <v>46197</v>
      </c>
      <c r="BV84" s="136" t="s">
        <v>501</v>
      </c>
      <c r="BW84" s="137" t="s">
        <v>501</v>
      </c>
      <c r="BX84" s="135">
        <f>BX$3</f>
        <v>46198</v>
      </c>
      <c r="BY84" s="136" t="s">
        <v>501</v>
      </c>
      <c r="BZ84" s="137" t="s">
        <v>501</v>
      </c>
      <c r="CA84" s="135">
        <f>CA$3</f>
        <v>46199</v>
      </c>
      <c r="CB84" s="136" t="s">
        <v>501</v>
      </c>
      <c r="CC84" s="137" t="s">
        <v>501</v>
      </c>
      <c r="CD84" s="135">
        <f>CD$3</f>
        <v>46200</v>
      </c>
      <c r="CE84" s="136" t="s">
        <v>501</v>
      </c>
      <c r="CF84" s="137" t="s">
        <v>501</v>
      </c>
      <c r="CG84" s="135"/>
      <c r="CH84" s="135">
        <f>CH$3</f>
        <v>46202</v>
      </c>
      <c r="CI84" s="148" t="s">
        <v>501</v>
      </c>
      <c r="CJ84" s="137" t="s">
        <v>501</v>
      </c>
      <c r="CK84" s="135">
        <f>CK$3</f>
        <v>46203</v>
      </c>
      <c r="CL84" s="136" t="s">
        <v>501</v>
      </c>
      <c r="CM84" s="137" t="s">
        <v>501</v>
      </c>
      <c r="CN84" s="135">
        <f>CN$3</f>
        <v>46204</v>
      </c>
      <c r="CO84" s="136" t="s">
        <v>501</v>
      </c>
      <c r="CP84" s="137" t="s">
        <v>501</v>
      </c>
      <c r="CQ84" s="135">
        <f>CQ$3</f>
        <v>46205</v>
      </c>
      <c r="CR84" s="136" t="s">
        <v>501</v>
      </c>
      <c r="CS84" s="137" t="s">
        <v>501</v>
      </c>
      <c r="CT84" s="135">
        <f>CT$3</f>
        <v>46206</v>
      </c>
      <c r="CU84" s="136" t="s">
        <v>501</v>
      </c>
      <c r="CV84" s="137" t="s">
        <v>501</v>
      </c>
      <c r="CW84" s="135">
        <f>CW$3</f>
        <v>46207</v>
      </c>
      <c r="CX84" s="136" t="s">
        <v>501</v>
      </c>
      <c r="CY84" s="137" t="s">
        <v>501</v>
      </c>
      <c r="CZ84" s="135"/>
      <c r="DA84" s="135">
        <f>DA$3</f>
        <v>46209</v>
      </c>
      <c r="DB84" s="136" t="s">
        <v>501</v>
      </c>
      <c r="DC84" s="137" t="s">
        <v>501</v>
      </c>
      <c r="DD84" s="135">
        <f>DD$3</f>
        <v>46210</v>
      </c>
      <c r="DE84" s="136" t="s">
        <v>501</v>
      </c>
      <c r="DF84" s="137" t="s">
        <v>501</v>
      </c>
      <c r="DG84" s="135">
        <f>DG$3</f>
        <v>46211</v>
      </c>
      <c r="DH84" s="136" t="s">
        <v>501</v>
      </c>
      <c r="DI84" s="137" t="s">
        <v>501</v>
      </c>
      <c r="DJ84" s="135">
        <f>DJ$3</f>
        <v>46212</v>
      </c>
      <c r="DK84" s="136" t="s">
        <v>501</v>
      </c>
      <c r="DL84" s="137" t="s">
        <v>501</v>
      </c>
      <c r="DM84" s="135">
        <f>DM$3</f>
        <v>46213</v>
      </c>
      <c r="DN84" s="136" t="s">
        <v>501</v>
      </c>
      <c r="DO84" s="137" t="s">
        <v>501</v>
      </c>
      <c r="DP84" s="135">
        <f>DP$3</f>
        <v>46214</v>
      </c>
      <c r="DQ84" s="136" t="s">
        <v>501</v>
      </c>
      <c r="DR84" s="137" t="s">
        <v>501</v>
      </c>
    </row>
    <row r="85" spans="1:122" outlineLevel="1">
      <c r="A85" s="122" t="str">
        <f>$A$80</f>
        <v>Nguyễn Hải Nam</v>
      </c>
      <c r="B85" s="172" t="str">
        <f>'Bảng 3'!A43</f>
        <v>3.B.DSHNQN.STA.105</v>
      </c>
      <c r="C85" s="173" t="str">
        <f>IF($B85="","",INDEX('Bảng 3'!C:C,MATCH($B85,'Bảng 3'!$A:$A,0)))</f>
        <v>Quản lý BIM</v>
      </c>
      <c r="D85" s="173" t="str">
        <f>IF($B85="","",INDEX('Bảng 3'!D:D,MATCH($B85,'Bảng 3'!$A:$A,0)))</f>
        <v>B.DSHNQN.STA</v>
      </c>
      <c r="E85" s="81" t="str">
        <f>IF($B85="","",INDEX('Bảng 3'!E:E,MATCH($B85,'Bảng 3'!$A:$A,0)))</f>
        <v>Nhà ga Yên Tử</v>
      </c>
      <c r="F85" s="81" t="str">
        <f>IF($B85="","",INDEX('Bảng 3'!F:F,MATCH($B85,'Bảng 3'!$A:$A,0)))</f>
        <v>KT</v>
      </c>
      <c r="G85" s="81" t="str">
        <f>IF($B85="","",INDEX('Bảng 3'!G:G,MATCH($B85,'Bảng 3'!$A:$A,0)))</f>
        <v>Tạo lập mô hình BIM</v>
      </c>
      <c r="H85" s="121"/>
      <c r="I85" s="135"/>
      <c r="J85" s="135">
        <f>J$3</f>
        <v>46174</v>
      </c>
      <c r="K85" s="148" t="s">
        <v>501</v>
      </c>
      <c r="L85" s="168" t="s">
        <v>501</v>
      </c>
      <c r="M85" s="135">
        <f>M$3</f>
        <v>46175</v>
      </c>
      <c r="N85" s="148" t="s">
        <v>501</v>
      </c>
      <c r="O85" s="137" t="s">
        <v>501</v>
      </c>
      <c r="P85" s="135">
        <f>P$3</f>
        <v>46176</v>
      </c>
      <c r="Q85" s="136" t="s">
        <v>501</v>
      </c>
      <c r="R85" s="137" t="s">
        <v>501</v>
      </c>
      <c r="S85" s="135">
        <f>S$3</f>
        <v>46177</v>
      </c>
      <c r="T85" s="136" t="s">
        <v>501</v>
      </c>
      <c r="U85" s="137" t="s">
        <v>501</v>
      </c>
      <c r="V85" s="135">
        <f>V$3</f>
        <v>46178</v>
      </c>
      <c r="W85" s="136" t="s">
        <v>501</v>
      </c>
      <c r="X85" s="137" t="s">
        <v>501</v>
      </c>
      <c r="Y85" s="135">
        <f>Y$3</f>
        <v>46179</v>
      </c>
      <c r="Z85" s="136" t="s">
        <v>501</v>
      </c>
      <c r="AA85" s="137" t="s">
        <v>501</v>
      </c>
      <c r="AB85" s="135"/>
      <c r="AC85" s="135">
        <f>AC$3</f>
        <v>46181</v>
      </c>
      <c r="AD85" s="136" t="s">
        <v>501</v>
      </c>
      <c r="AE85" s="137" t="s">
        <v>501</v>
      </c>
      <c r="AF85" s="135">
        <f>AF$3</f>
        <v>46182</v>
      </c>
      <c r="AG85" s="136" t="s">
        <v>501</v>
      </c>
      <c r="AH85" s="137" t="s">
        <v>501</v>
      </c>
      <c r="AI85" s="135">
        <f>AI$3</f>
        <v>46183</v>
      </c>
      <c r="AJ85" s="136" t="s">
        <v>501</v>
      </c>
      <c r="AK85" s="137" t="s">
        <v>501</v>
      </c>
      <c r="AL85" s="135">
        <f>AL$3</f>
        <v>46184</v>
      </c>
      <c r="AM85" s="136" t="s">
        <v>501</v>
      </c>
      <c r="AN85" s="137" t="s">
        <v>501</v>
      </c>
      <c r="AO85" s="135">
        <f>AO$3</f>
        <v>46185</v>
      </c>
      <c r="AP85" s="136" t="s">
        <v>501</v>
      </c>
      <c r="AQ85" s="137" t="s">
        <v>501</v>
      </c>
      <c r="AR85" s="135">
        <f>AR$3</f>
        <v>46186</v>
      </c>
      <c r="AS85" s="136" t="s">
        <v>501</v>
      </c>
      <c r="AT85" s="137" t="s">
        <v>501</v>
      </c>
      <c r="AU85" s="135"/>
      <c r="AV85" s="135">
        <f>AV$3</f>
        <v>46188</v>
      </c>
      <c r="AW85" s="148" t="s">
        <v>501</v>
      </c>
      <c r="AX85" s="137" t="s">
        <v>501</v>
      </c>
      <c r="AY85" s="135">
        <f>AY$3</f>
        <v>46189</v>
      </c>
      <c r="AZ85" s="136" t="s">
        <v>501</v>
      </c>
      <c r="BA85" s="137" t="s">
        <v>501</v>
      </c>
      <c r="BB85" s="135">
        <f>BB$3</f>
        <v>46190</v>
      </c>
      <c r="BC85" s="136" t="s">
        <v>501</v>
      </c>
      <c r="BD85" s="137" t="s">
        <v>501</v>
      </c>
      <c r="BE85" s="135">
        <f>BE$3</f>
        <v>46191</v>
      </c>
      <c r="BF85" s="136" t="s">
        <v>501</v>
      </c>
      <c r="BG85" s="137" t="s">
        <v>501</v>
      </c>
      <c r="BH85" s="135">
        <f>BH$3</f>
        <v>46192</v>
      </c>
      <c r="BI85" s="136" t="s">
        <v>501</v>
      </c>
      <c r="BJ85" s="137" t="s">
        <v>501</v>
      </c>
      <c r="BK85" s="135">
        <f>BK$3</f>
        <v>46193</v>
      </c>
      <c r="BL85" s="136" t="s">
        <v>501</v>
      </c>
      <c r="BM85" s="137" t="s">
        <v>501</v>
      </c>
      <c r="BN85" s="135"/>
      <c r="BO85" s="135">
        <f>BO$3</f>
        <v>46195</v>
      </c>
      <c r="BP85" s="136" t="s">
        <v>501</v>
      </c>
      <c r="BQ85" s="137" t="s">
        <v>501</v>
      </c>
      <c r="BR85" s="135">
        <f>BR$3</f>
        <v>46196</v>
      </c>
      <c r="BS85" s="136" t="s">
        <v>501</v>
      </c>
      <c r="BT85" s="137" t="s">
        <v>501</v>
      </c>
      <c r="BU85" s="135">
        <f>BU$3</f>
        <v>46197</v>
      </c>
      <c r="BV85" s="136" t="s">
        <v>501</v>
      </c>
      <c r="BW85" s="137" t="s">
        <v>501</v>
      </c>
      <c r="BX85" s="135">
        <f>BX$3</f>
        <v>46198</v>
      </c>
      <c r="BY85" s="136" t="s">
        <v>501</v>
      </c>
      <c r="BZ85" s="137" t="s">
        <v>501</v>
      </c>
      <c r="CA85" s="135">
        <f>CA$3</f>
        <v>46199</v>
      </c>
      <c r="CB85" s="136" t="s">
        <v>501</v>
      </c>
      <c r="CC85" s="137" t="s">
        <v>501</v>
      </c>
      <c r="CD85" s="135">
        <f>CD$3</f>
        <v>46200</v>
      </c>
      <c r="CE85" s="136" t="s">
        <v>501</v>
      </c>
      <c r="CF85" s="137" t="s">
        <v>501</v>
      </c>
      <c r="CG85" s="135"/>
      <c r="CH85" s="135">
        <f>CH$3</f>
        <v>46202</v>
      </c>
      <c r="CI85" s="148" t="s">
        <v>501</v>
      </c>
      <c r="CJ85" s="137" t="s">
        <v>501</v>
      </c>
      <c r="CK85" s="135">
        <f>CK$3</f>
        <v>46203</v>
      </c>
      <c r="CL85" s="136" t="s">
        <v>501</v>
      </c>
      <c r="CM85" s="137" t="s">
        <v>501</v>
      </c>
      <c r="CN85" s="135">
        <f>CN$3</f>
        <v>46204</v>
      </c>
      <c r="CO85" s="136" t="s">
        <v>501</v>
      </c>
      <c r="CP85" s="137" t="s">
        <v>501</v>
      </c>
      <c r="CQ85" s="135">
        <f>CQ$3</f>
        <v>46205</v>
      </c>
      <c r="CR85" s="136" t="s">
        <v>501</v>
      </c>
      <c r="CS85" s="137" t="s">
        <v>501</v>
      </c>
      <c r="CT85" s="135">
        <f>CT$3</f>
        <v>46206</v>
      </c>
      <c r="CU85" s="136" t="s">
        <v>501</v>
      </c>
      <c r="CV85" s="137" t="s">
        <v>501</v>
      </c>
      <c r="CW85" s="135">
        <f>CW$3</f>
        <v>46207</v>
      </c>
      <c r="CX85" s="136" t="s">
        <v>501</v>
      </c>
      <c r="CY85" s="137" t="s">
        <v>501</v>
      </c>
      <c r="CZ85" s="135"/>
      <c r="DA85" s="135">
        <f>DA$3</f>
        <v>46209</v>
      </c>
      <c r="DB85" s="136" t="s">
        <v>501</v>
      </c>
      <c r="DC85" s="137" t="s">
        <v>501</v>
      </c>
      <c r="DD85" s="135">
        <f>DD$3</f>
        <v>46210</v>
      </c>
      <c r="DE85" s="136" t="s">
        <v>501</v>
      </c>
      <c r="DF85" s="137" t="s">
        <v>501</v>
      </c>
      <c r="DG85" s="135">
        <f>DG$3</f>
        <v>46211</v>
      </c>
      <c r="DH85" s="136" t="s">
        <v>501</v>
      </c>
      <c r="DI85" s="137" t="s">
        <v>501</v>
      </c>
      <c r="DJ85" s="135">
        <f>DJ$3</f>
        <v>46212</v>
      </c>
      <c r="DK85" s="136" t="s">
        <v>501</v>
      </c>
      <c r="DL85" s="137" t="s">
        <v>501</v>
      </c>
      <c r="DM85" s="135">
        <f>DM$3</f>
        <v>46213</v>
      </c>
      <c r="DN85" s="136" t="s">
        <v>501</v>
      </c>
      <c r="DO85" s="137" t="s">
        <v>501</v>
      </c>
      <c r="DP85" s="135">
        <f>DP$3</f>
        <v>46214</v>
      </c>
      <c r="DQ85" s="136" t="s">
        <v>501</v>
      </c>
      <c r="DR85" s="137" t="s">
        <v>501</v>
      </c>
    </row>
    <row r="86" spans="1:122" outlineLevel="1">
      <c r="A86" s="171" t="str">
        <f>$A$80</f>
        <v>Nguyễn Hải Nam</v>
      </c>
      <c r="B86" s="172" t="str">
        <f>'Bảng 3'!A44</f>
        <v>3.B.DSHNQN.STA.203</v>
      </c>
      <c r="C86" s="28" t="str">
        <f>IF($B86="","",INDEX('Bảng 3'!C:C,MATCH($B86,'Bảng 3'!$A:$A,0)))</f>
        <v>Quản lý BIM</v>
      </c>
      <c r="D86" s="28" t="str">
        <f>IF($B86="","",INDEX('Bảng 3'!D:D,MATCH($B86,'Bảng 3'!$A:$A,0)))</f>
        <v>B.DSHNQN.STA</v>
      </c>
      <c r="E86" s="81" t="str">
        <f>IF($B86="","",INDEX('Bảng 3'!E:E,MATCH($B86,'Bảng 3'!$A:$A,0)))</f>
        <v>Nhà ga Yên Tử</v>
      </c>
      <c r="F86" s="81" t="str">
        <f>IF($B86="","",INDEX('Bảng 3'!F:F,MATCH($B86,'Bảng 3'!$A:$A,0)))</f>
        <v>KC</v>
      </c>
      <c r="G86" s="81" t="str">
        <f>IF($B86="","",INDEX('Bảng 3'!G:G,MATCH($B86,'Bảng 3'!$A:$A,0)))</f>
        <v>KSCL mô hình BIM</v>
      </c>
      <c r="H86" s="121"/>
      <c r="I86" s="135"/>
      <c r="J86" s="135">
        <f>J$3</f>
        <v>46174</v>
      </c>
      <c r="K86" s="148" t="s">
        <v>501</v>
      </c>
      <c r="L86" s="168" t="s">
        <v>501</v>
      </c>
      <c r="M86" s="135">
        <f>M$3</f>
        <v>46175</v>
      </c>
      <c r="N86" s="148"/>
      <c r="O86" s="137"/>
      <c r="P86" s="135">
        <f>P$3</f>
        <v>46176</v>
      </c>
      <c r="Q86" s="136" t="s">
        <v>501</v>
      </c>
      <c r="R86" s="137" t="s">
        <v>501</v>
      </c>
      <c r="S86" s="135">
        <f>S$3</f>
        <v>46177</v>
      </c>
      <c r="T86" s="136" t="s">
        <v>501</v>
      </c>
      <c r="U86" s="137" t="s">
        <v>501</v>
      </c>
      <c r="V86" s="135">
        <f>V$3</f>
        <v>46178</v>
      </c>
      <c r="W86" s="136" t="s">
        <v>501</v>
      </c>
      <c r="X86" s="137" t="s">
        <v>501</v>
      </c>
      <c r="Y86" s="135">
        <f>Y$3</f>
        <v>46179</v>
      </c>
      <c r="Z86" s="136" t="s">
        <v>501</v>
      </c>
      <c r="AA86" s="137" t="s">
        <v>501</v>
      </c>
      <c r="AB86" s="135"/>
      <c r="AC86" s="135">
        <f>AC$3</f>
        <v>46181</v>
      </c>
      <c r="AD86" s="136" t="s">
        <v>501</v>
      </c>
      <c r="AE86" s="137" t="s">
        <v>501</v>
      </c>
      <c r="AF86" s="135">
        <f>AF$3</f>
        <v>46182</v>
      </c>
      <c r="AG86" s="136" t="s">
        <v>501</v>
      </c>
      <c r="AH86" s="137" t="s">
        <v>501</v>
      </c>
      <c r="AI86" s="135">
        <f>AI$3</f>
        <v>46183</v>
      </c>
      <c r="AJ86" s="136" t="s">
        <v>501</v>
      </c>
      <c r="AK86" s="137" t="s">
        <v>501</v>
      </c>
      <c r="AL86" s="135">
        <f>AL$3</f>
        <v>46184</v>
      </c>
      <c r="AM86" s="136" t="s">
        <v>501</v>
      </c>
      <c r="AN86" s="137" t="s">
        <v>501</v>
      </c>
      <c r="AO86" s="135">
        <f>AO$3</f>
        <v>46185</v>
      </c>
      <c r="AP86" s="136" t="s">
        <v>501</v>
      </c>
      <c r="AQ86" s="137" t="s">
        <v>501</v>
      </c>
      <c r="AR86" s="135">
        <f>AR$3</f>
        <v>46186</v>
      </c>
      <c r="AS86" s="136" t="s">
        <v>501</v>
      </c>
      <c r="AT86" s="137" t="s">
        <v>501</v>
      </c>
      <c r="AU86" s="135"/>
      <c r="AV86" s="135">
        <f>AV$3</f>
        <v>46188</v>
      </c>
      <c r="AW86" s="148" t="s">
        <v>501</v>
      </c>
      <c r="AX86" s="137" t="s">
        <v>501</v>
      </c>
      <c r="AY86" s="135">
        <f>AY$3</f>
        <v>46189</v>
      </c>
      <c r="AZ86" s="136" t="s">
        <v>501</v>
      </c>
      <c r="BA86" s="137" t="s">
        <v>501</v>
      </c>
      <c r="BB86" s="135">
        <f>BB$3</f>
        <v>46190</v>
      </c>
      <c r="BC86" s="136" t="s">
        <v>501</v>
      </c>
      <c r="BD86" s="137" t="s">
        <v>501</v>
      </c>
      <c r="BE86" s="135">
        <f>BE$3</f>
        <v>46191</v>
      </c>
      <c r="BF86" s="136" t="s">
        <v>501</v>
      </c>
      <c r="BG86" s="137" t="s">
        <v>501</v>
      </c>
      <c r="BH86" s="135">
        <f>BH$3</f>
        <v>46192</v>
      </c>
      <c r="BI86" s="136" t="s">
        <v>501</v>
      </c>
      <c r="BJ86" s="137" t="s">
        <v>501</v>
      </c>
      <c r="BK86" s="135">
        <f>BK$3</f>
        <v>46193</v>
      </c>
      <c r="BL86" s="136" t="s">
        <v>501</v>
      </c>
      <c r="BM86" s="137" t="s">
        <v>501</v>
      </c>
      <c r="BN86" s="135"/>
      <c r="BO86" s="135">
        <f>BO$3</f>
        <v>46195</v>
      </c>
      <c r="BP86" s="136" t="s">
        <v>501</v>
      </c>
      <c r="BQ86" s="137" t="s">
        <v>501</v>
      </c>
      <c r="BR86" s="135">
        <f>BR$3</f>
        <v>46196</v>
      </c>
      <c r="BS86" s="136" t="s">
        <v>501</v>
      </c>
      <c r="BT86" s="137" t="s">
        <v>501</v>
      </c>
      <c r="BU86" s="135">
        <f>BU$3</f>
        <v>46197</v>
      </c>
      <c r="BV86" s="136" t="s">
        <v>501</v>
      </c>
      <c r="BW86" s="137" t="s">
        <v>501</v>
      </c>
      <c r="BX86" s="135">
        <f>BX$3</f>
        <v>46198</v>
      </c>
      <c r="BY86" s="136" t="s">
        <v>501</v>
      </c>
      <c r="BZ86" s="137" t="s">
        <v>501</v>
      </c>
      <c r="CA86" s="135">
        <f>CA$3</f>
        <v>46199</v>
      </c>
      <c r="CB86" s="136" t="s">
        <v>501</v>
      </c>
      <c r="CC86" s="137" t="s">
        <v>501</v>
      </c>
      <c r="CD86" s="135">
        <f>CD$3</f>
        <v>46200</v>
      </c>
      <c r="CE86" s="136" t="s">
        <v>501</v>
      </c>
      <c r="CF86" s="137" t="s">
        <v>501</v>
      </c>
      <c r="CG86" s="135"/>
      <c r="CH86" s="135">
        <f>CH$3</f>
        <v>46202</v>
      </c>
      <c r="CI86" s="148" t="s">
        <v>501</v>
      </c>
      <c r="CJ86" s="137" t="s">
        <v>501</v>
      </c>
      <c r="CK86" s="135">
        <f>CK$3</f>
        <v>46203</v>
      </c>
      <c r="CL86" s="136" t="s">
        <v>501</v>
      </c>
      <c r="CM86" s="137" t="s">
        <v>501</v>
      </c>
      <c r="CN86" s="135">
        <f>CN$3</f>
        <v>46204</v>
      </c>
      <c r="CO86" s="136" t="s">
        <v>501</v>
      </c>
      <c r="CP86" s="137" t="s">
        <v>501</v>
      </c>
      <c r="CQ86" s="135">
        <f>CQ$3</f>
        <v>46205</v>
      </c>
      <c r="CR86" s="136" t="s">
        <v>501</v>
      </c>
      <c r="CS86" s="137" t="s">
        <v>501</v>
      </c>
      <c r="CT86" s="135">
        <f>CT$3</f>
        <v>46206</v>
      </c>
      <c r="CU86" s="136" t="s">
        <v>501</v>
      </c>
      <c r="CV86" s="137" t="s">
        <v>501</v>
      </c>
      <c r="CW86" s="135">
        <f>CW$3</f>
        <v>46207</v>
      </c>
      <c r="CX86" s="136" t="s">
        <v>501</v>
      </c>
      <c r="CY86" s="137" t="s">
        <v>501</v>
      </c>
      <c r="CZ86" s="135"/>
      <c r="DA86" s="135">
        <f>DA$3</f>
        <v>46209</v>
      </c>
      <c r="DB86" s="136" t="s">
        <v>501</v>
      </c>
      <c r="DC86" s="137" t="s">
        <v>501</v>
      </c>
      <c r="DD86" s="135">
        <f>DD$3</f>
        <v>46210</v>
      </c>
      <c r="DE86" s="136" t="s">
        <v>501</v>
      </c>
      <c r="DF86" s="137" t="s">
        <v>501</v>
      </c>
      <c r="DG86" s="135">
        <f>DG$3</f>
        <v>46211</v>
      </c>
      <c r="DH86" s="136" t="s">
        <v>501</v>
      </c>
      <c r="DI86" s="137" t="s">
        <v>501</v>
      </c>
      <c r="DJ86" s="135">
        <f>DJ$3</f>
        <v>46212</v>
      </c>
      <c r="DK86" s="136" t="s">
        <v>501</v>
      </c>
      <c r="DL86" s="137" t="s">
        <v>501</v>
      </c>
      <c r="DM86" s="135">
        <f>DM$3</f>
        <v>46213</v>
      </c>
      <c r="DN86" s="136" t="s">
        <v>501</v>
      </c>
      <c r="DO86" s="137" t="s">
        <v>501</v>
      </c>
      <c r="DP86" s="135">
        <f>DP$3</f>
        <v>46214</v>
      </c>
      <c r="DQ86" s="136" t="s">
        <v>501</v>
      </c>
      <c r="DR86" s="137" t="s">
        <v>501</v>
      </c>
    </row>
    <row r="87" spans="1:122" outlineLevel="1">
      <c r="A87" s="122" t="str">
        <f>$A$80</f>
        <v>Nguyễn Hải Nam</v>
      </c>
      <c r="B87" s="172" t="str">
        <f>'Bảng 3'!A96</f>
        <v>3.B.HNO.VHOHN.SVD.101</v>
      </c>
      <c r="C87" s="173" t="str">
        <f>IF($B87="","",INDEX('Bảng 3'!C:C,MATCH($B87,'Bảng 3'!$A:$A,0)))</f>
        <v>Quản lý BIM</v>
      </c>
      <c r="D87" s="173" t="str">
        <f>IF($B87="","",INDEX('Bảng 3'!D:D,MATCH($B87,'Bảng 3'!$A:$A,0)))</f>
        <v>B.HNO.VHOHN.SVD</v>
      </c>
      <c r="E87" s="81" t="str">
        <f>IF($B87="","",INDEX('Bảng 3'!E:E,MATCH($B87,'Bảng 3'!$A:$A,0)))</f>
        <v>SVĐ lô đất TDTT01</v>
      </c>
      <c r="F87" s="81" t="str">
        <f>IF($B87="","",INDEX('Bảng 3'!F:F,MATCH($B87,'Bảng 3'!$A:$A,0)))</f>
        <v>KT</v>
      </c>
      <c r="G87" s="81" t="str">
        <f>IF($B87="","",INDEX('Bảng 3'!G:G,MATCH($B87,'Bảng 3'!$A:$A,0)))</f>
        <v>KSCL mô hình BIM</v>
      </c>
      <c r="H87" s="121"/>
      <c r="I87" s="135"/>
      <c r="J87" s="135">
        <f>J$3</f>
        <v>46174</v>
      </c>
      <c r="K87" s="148" t="s">
        <v>501</v>
      </c>
      <c r="L87" s="168" t="s">
        <v>501</v>
      </c>
      <c r="M87" s="135">
        <f>M$3</f>
        <v>46175</v>
      </c>
      <c r="N87" s="148" t="s">
        <v>501</v>
      </c>
      <c r="O87" s="137" t="s">
        <v>501</v>
      </c>
      <c r="P87" s="135">
        <f>P$3</f>
        <v>46176</v>
      </c>
      <c r="Q87" s="136" t="s">
        <v>501</v>
      </c>
      <c r="R87" s="137" t="s">
        <v>501</v>
      </c>
      <c r="S87" s="135">
        <f>S$3</f>
        <v>46177</v>
      </c>
      <c r="T87" s="136" t="s">
        <v>501</v>
      </c>
      <c r="U87" s="137" t="s">
        <v>501</v>
      </c>
      <c r="V87" s="135">
        <f>V$3</f>
        <v>46178</v>
      </c>
      <c r="W87" s="136" t="s">
        <v>501</v>
      </c>
      <c r="X87" s="137" t="s">
        <v>501</v>
      </c>
      <c r="Y87" s="135">
        <f>Y$3</f>
        <v>46179</v>
      </c>
      <c r="Z87" s="136" t="s">
        <v>501</v>
      </c>
      <c r="AA87" s="137" t="s">
        <v>501</v>
      </c>
      <c r="AB87" s="135"/>
      <c r="AC87" s="135">
        <f>AC$3</f>
        <v>46181</v>
      </c>
      <c r="AD87" s="136" t="s">
        <v>501</v>
      </c>
      <c r="AE87" s="137" t="s">
        <v>501</v>
      </c>
      <c r="AF87" s="135">
        <f>AF$3</f>
        <v>46182</v>
      </c>
      <c r="AG87" s="136" t="s">
        <v>501</v>
      </c>
      <c r="AH87" s="137" t="s">
        <v>501</v>
      </c>
      <c r="AI87" s="135">
        <f>AI$3</f>
        <v>46183</v>
      </c>
      <c r="AJ87" s="136" t="s">
        <v>501</v>
      </c>
      <c r="AK87" s="137" t="s">
        <v>501</v>
      </c>
      <c r="AL87" s="135">
        <f>AL$3</f>
        <v>46184</v>
      </c>
      <c r="AM87" s="136" t="s">
        <v>501</v>
      </c>
      <c r="AN87" s="137" t="s">
        <v>501</v>
      </c>
      <c r="AO87" s="135">
        <f>AO$3</f>
        <v>46185</v>
      </c>
      <c r="AP87" s="136" t="s">
        <v>501</v>
      </c>
      <c r="AQ87" s="137" t="s">
        <v>501</v>
      </c>
      <c r="AR87" s="135">
        <f>AR$3</f>
        <v>46186</v>
      </c>
      <c r="AS87" s="136" t="s">
        <v>501</v>
      </c>
      <c r="AT87" s="137" t="s">
        <v>501</v>
      </c>
      <c r="AU87" s="135"/>
      <c r="AV87" s="135">
        <f>AV$3</f>
        <v>46188</v>
      </c>
      <c r="AW87" s="148" t="s">
        <v>501</v>
      </c>
      <c r="AX87" s="137" t="s">
        <v>501</v>
      </c>
      <c r="AY87" s="135">
        <f>AY$3</f>
        <v>46189</v>
      </c>
      <c r="AZ87" s="136" t="s">
        <v>501</v>
      </c>
      <c r="BA87" s="137" t="s">
        <v>501</v>
      </c>
      <c r="BB87" s="135">
        <f>BB$3</f>
        <v>46190</v>
      </c>
      <c r="BC87" s="136" t="s">
        <v>501</v>
      </c>
      <c r="BD87" s="137" t="s">
        <v>501</v>
      </c>
      <c r="BE87" s="135">
        <f>BE$3</f>
        <v>46191</v>
      </c>
      <c r="BF87" s="136" t="s">
        <v>501</v>
      </c>
      <c r="BG87" s="137" t="s">
        <v>501</v>
      </c>
      <c r="BH87" s="135">
        <f>BH$3</f>
        <v>46192</v>
      </c>
      <c r="BI87" s="136" t="s">
        <v>501</v>
      </c>
      <c r="BJ87" s="137" t="s">
        <v>501</v>
      </c>
      <c r="BK87" s="135">
        <f>BK$3</f>
        <v>46193</v>
      </c>
      <c r="BL87" s="136" t="s">
        <v>501</v>
      </c>
      <c r="BM87" s="137" t="s">
        <v>501</v>
      </c>
      <c r="BN87" s="135"/>
      <c r="BO87" s="135">
        <f>BO$3</f>
        <v>46195</v>
      </c>
      <c r="BP87" s="136" t="s">
        <v>501</v>
      </c>
      <c r="BQ87" s="137" t="s">
        <v>501</v>
      </c>
      <c r="BR87" s="135">
        <f>BR$3</f>
        <v>46196</v>
      </c>
      <c r="BS87" s="136" t="s">
        <v>501</v>
      </c>
      <c r="BT87" s="137" t="s">
        <v>501</v>
      </c>
      <c r="BU87" s="135">
        <f>BU$3</f>
        <v>46197</v>
      </c>
      <c r="BV87" s="136" t="s">
        <v>501</v>
      </c>
      <c r="BW87" s="137" t="s">
        <v>501</v>
      </c>
      <c r="BX87" s="135">
        <f>BX$3</f>
        <v>46198</v>
      </c>
      <c r="BY87" s="136" t="s">
        <v>501</v>
      </c>
      <c r="BZ87" s="137" t="s">
        <v>501</v>
      </c>
      <c r="CA87" s="135">
        <f>CA$3</f>
        <v>46199</v>
      </c>
      <c r="CB87" s="136" t="s">
        <v>501</v>
      </c>
      <c r="CC87" s="137" t="s">
        <v>501</v>
      </c>
      <c r="CD87" s="135">
        <f>CD$3</f>
        <v>46200</v>
      </c>
      <c r="CE87" s="136" t="s">
        <v>501</v>
      </c>
      <c r="CF87" s="137" t="s">
        <v>501</v>
      </c>
      <c r="CG87" s="135"/>
      <c r="CH87" s="135">
        <f>CH$3</f>
        <v>46202</v>
      </c>
      <c r="CI87" s="148" t="s">
        <v>501</v>
      </c>
      <c r="CJ87" s="137" t="s">
        <v>501</v>
      </c>
      <c r="CK87" s="135">
        <f>CK$3</f>
        <v>46203</v>
      </c>
      <c r="CL87" s="136" t="s">
        <v>501</v>
      </c>
      <c r="CM87" s="137" t="s">
        <v>501</v>
      </c>
      <c r="CN87" s="135">
        <f>CN$3</f>
        <v>46204</v>
      </c>
      <c r="CO87" s="136" t="s">
        <v>501</v>
      </c>
      <c r="CP87" s="137" t="s">
        <v>501</v>
      </c>
      <c r="CQ87" s="135">
        <f>CQ$3</f>
        <v>46205</v>
      </c>
      <c r="CR87" s="136" t="s">
        <v>501</v>
      </c>
      <c r="CS87" s="137" t="s">
        <v>501</v>
      </c>
      <c r="CT87" s="135">
        <f>CT$3</f>
        <v>46206</v>
      </c>
      <c r="CU87" s="136" t="s">
        <v>501</v>
      </c>
      <c r="CV87" s="137" t="s">
        <v>501</v>
      </c>
      <c r="CW87" s="135">
        <f>CW$3</f>
        <v>46207</v>
      </c>
      <c r="CX87" s="136" t="s">
        <v>501</v>
      </c>
      <c r="CY87" s="137" t="s">
        <v>501</v>
      </c>
      <c r="CZ87" s="135"/>
      <c r="DA87" s="135">
        <f>DA$3</f>
        <v>46209</v>
      </c>
      <c r="DB87" s="136" t="s">
        <v>501</v>
      </c>
      <c r="DC87" s="137" t="s">
        <v>501</v>
      </c>
      <c r="DD87" s="135">
        <f>DD$3</f>
        <v>46210</v>
      </c>
      <c r="DE87" s="136" t="s">
        <v>501</v>
      </c>
      <c r="DF87" s="137" t="s">
        <v>501</v>
      </c>
      <c r="DG87" s="135">
        <f>DG$3</f>
        <v>46211</v>
      </c>
      <c r="DH87" s="136" t="s">
        <v>501</v>
      </c>
      <c r="DI87" s="137" t="s">
        <v>501</v>
      </c>
      <c r="DJ87" s="135">
        <f>DJ$3</f>
        <v>46212</v>
      </c>
      <c r="DK87" s="136" t="s">
        <v>501</v>
      </c>
      <c r="DL87" s="137" t="s">
        <v>501</v>
      </c>
      <c r="DM87" s="135">
        <f>DM$3</f>
        <v>46213</v>
      </c>
      <c r="DN87" s="136" t="s">
        <v>501</v>
      </c>
      <c r="DO87" s="137" t="s">
        <v>501</v>
      </c>
      <c r="DP87" s="135">
        <f>DP$3</f>
        <v>46214</v>
      </c>
      <c r="DQ87" s="136" t="s">
        <v>501</v>
      </c>
      <c r="DR87" s="137" t="s">
        <v>501</v>
      </c>
    </row>
    <row r="88" spans="1:122" outlineLevel="1">
      <c r="A88" s="122" t="str">
        <f>$A$80</f>
        <v>Nguyễn Hải Nam</v>
      </c>
      <c r="B88" s="172" t="str">
        <f>'Bảng 3'!A97</f>
        <v>3.B.HNO.VHOHN.SVD.201</v>
      </c>
      <c r="C88" s="81" t="str">
        <f>IF($B88="","",INDEX('Bảng 3'!C:C,MATCH($B88,'Bảng 3'!$A:$A,0)))</f>
        <v>Quản lý BIM</v>
      </c>
      <c r="D88" s="81" t="str">
        <f>IF($B88="","",INDEX('Bảng 3'!D:D,MATCH($B88,'Bảng 3'!$A:$A,0)))</f>
        <v>B.HNO.VHOHN.SVD</v>
      </c>
      <c r="E88" s="81" t="str">
        <f>IF($B88="","",INDEX('Bảng 3'!E:E,MATCH($B88,'Bảng 3'!$A:$A,0)))</f>
        <v>SVĐ lô đất TDTT01</v>
      </c>
      <c r="F88" s="81" t="str">
        <f>IF($B88="","",INDEX('Bảng 3'!F:F,MATCH($B88,'Bảng 3'!$A:$A,0)))</f>
        <v>KC</v>
      </c>
      <c r="G88" s="81" t="str">
        <f>IF($B88="","",INDEX('Bảng 3'!G:G,MATCH($B88,'Bảng 3'!$A:$A,0)))</f>
        <v>KSCL mô hình BIM</v>
      </c>
      <c r="H88" s="121"/>
      <c r="I88" s="135"/>
      <c r="J88" s="135">
        <f>J$3</f>
        <v>46174</v>
      </c>
      <c r="K88" s="148" t="s">
        <v>501</v>
      </c>
      <c r="L88" s="168" t="s">
        <v>501</v>
      </c>
      <c r="M88" s="135">
        <f>M$3</f>
        <v>46175</v>
      </c>
      <c r="N88" s="148" t="s">
        <v>501</v>
      </c>
      <c r="O88" s="137" t="s">
        <v>501</v>
      </c>
      <c r="P88" s="135">
        <f>P$3</f>
        <v>46176</v>
      </c>
      <c r="Q88" s="136" t="s">
        <v>501</v>
      </c>
      <c r="R88" s="137" t="s">
        <v>501</v>
      </c>
      <c r="S88" s="135">
        <f>S$3</f>
        <v>46177</v>
      </c>
      <c r="T88" s="136" t="s">
        <v>501</v>
      </c>
      <c r="U88" s="137" t="s">
        <v>501</v>
      </c>
      <c r="V88" s="135">
        <f>V$3</f>
        <v>46178</v>
      </c>
      <c r="W88" s="136" t="s">
        <v>501</v>
      </c>
      <c r="X88" s="137" t="s">
        <v>501</v>
      </c>
      <c r="Y88" s="135">
        <f>Y$3</f>
        <v>46179</v>
      </c>
      <c r="Z88" s="136" t="s">
        <v>501</v>
      </c>
      <c r="AA88" s="137" t="s">
        <v>501</v>
      </c>
      <c r="AB88" s="135"/>
      <c r="AC88" s="135">
        <f>AC$3</f>
        <v>46181</v>
      </c>
      <c r="AD88" s="136" t="s">
        <v>501</v>
      </c>
      <c r="AE88" s="137" t="s">
        <v>501</v>
      </c>
      <c r="AF88" s="135">
        <f>AF$3</f>
        <v>46182</v>
      </c>
      <c r="AG88" s="136" t="s">
        <v>501</v>
      </c>
      <c r="AH88" s="137" t="s">
        <v>501</v>
      </c>
      <c r="AI88" s="135">
        <f>AI$3</f>
        <v>46183</v>
      </c>
      <c r="AJ88" s="136" t="s">
        <v>501</v>
      </c>
      <c r="AK88" s="137" t="s">
        <v>501</v>
      </c>
      <c r="AL88" s="135">
        <f>AL$3</f>
        <v>46184</v>
      </c>
      <c r="AM88" s="136" t="s">
        <v>501</v>
      </c>
      <c r="AN88" s="137" t="s">
        <v>501</v>
      </c>
      <c r="AO88" s="135">
        <f>AO$3</f>
        <v>46185</v>
      </c>
      <c r="AP88" s="136" t="s">
        <v>501</v>
      </c>
      <c r="AQ88" s="137" t="s">
        <v>501</v>
      </c>
      <c r="AR88" s="135">
        <f>AR$3</f>
        <v>46186</v>
      </c>
      <c r="AS88" s="136" t="s">
        <v>501</v>
      </c>
      <c r="AT88" s="137" t="s">
        <v>501</v>
      </c>
      <c r="AU88" s="135"/>
      <c r="AV88" s="135">
        <f>AV$3</f>
        <v>46188</v>
      </c>
      <c r="AW88" s="148" t="s">
        <v>501</v>
      </c>
      <c r="AX88" s="137" t="s">
        <v>501</v>
      </c>
      <c r="AY88" s="135">
        <f>AY$3</f>
        <v>46189</v>
      </c>
      <c r="AZ88" s="136" t="s">
        <v>501</v>
      </c>
      <c r="BA88" s="137" t="s">
        <v>501</v>
      </c>
      <c r="BB88" s="135">
        <f>BB$3</f>
        <v>46190</v>
      </c>
      <c r="BC88" s="136" t="s">
        <v>501</v>
      </c>
      <c r="BD88" s="137" t="s">
        <v>501</v>
      </c>
      <c r="BE88" s="135">
        <f>BE$3</f>
        <v>46191</v>
      </c>
      <c r="BF88" s="136" t="s">
        <v>501</v>
      </c>
      <c r="BG88" s="137" t="s">
        <v>501</v>
      </c>
      <c r="BH88" s="135">
        <f>BH$3</f>
        <v>46192</v>
      </c>
      <c r="BI88" s="136" t="s">
        <v>501</v>
      </c>
      <c r="BJ88" s="137" t="s">
        <v>501</v>
      </c>
      <c r="BK88" s="135">
        <f>BK$3</f>
        <v>46193</v>
      </c>
      <c r="BL88" s="136" t="s">
        <v>501</v>
      </c>
      <c r="BM88" s="137" t="s">
        <v>501</v>
      </c>
      <c r="BN88" s="135"/>
      <c r="BO88" s="135">
        <f>BO$3</f>
        <v>46195</v>
      </c>
      <c r="BP88" s="136" t="s">
        <v>501</v>
      </c>
      <c r="BQ88" s="137" t="s">
        <v>501</v>
      </c>
      <c r="BR88" s="135">
        <f>BR$3</f>
        <v>46196</v>
      </c>
      <c r="BS88" s="136" t="s">
        <v>501</v>
      </c>
      <c r="BT88" s="137" t="s">
        <v>501</v>
      </c>
      <c r="BU88" s="135">
        <f>BU$3</f>
        <v>46197</v>
      </c>
      <c r="BV88" s="136" t="s">
        <v>501</v>
      </c>
      <c r="BW88" s="137" t="s">
        <v>501</v>
      </c>
      <c r="BX88" s="135">
        <f>BX$3</f>
        <v>46198</v>
      </c>
      <c r="BY88" s="136" t="s">
        <v>501</v>
      </c>
      <c r="BZ88" s="137" t="s">
        <v>501</v>
      </c>
      <c r="CA88" s="135">
        <f>CA$3</f>
        <v>46199</v>
      </c>
      <c r="CB88" s="136" t="s">
        <v>501</v>
      </c>
      <c r="CC88" s="137" t="s">
        <v>501</v>
      </c>
      <c r="CD88" s="135">
        <f>CD$3</f>
        <v>46200</v>
      </c>
      <c r="CE88" s="136" t="s">
        <v>501</v>
      </c>
      <c r="CF88" s="137" t="s">
        <v>501</v>
      </c>
      <c r="CG88" s="135"/>
      <c r="CH88" s="135">
        <f>CH$3</f>
        <v>46202</v>
      </c>
      <c r="CI88" s="148" t="s">
        <v>501</v>
      </c>
      <c r="CJ88" s="137" t="s">
        <v>501</v>
      </c>
      <c r="CK88" s="135">
        <f>CK$3</f>
        <v>46203</v>
      </c>
      <c r="CL88" s="136" t="s">
        <v>501</v>
      </c>
      <c r="CM88" s="137" t="s">
        <v>501</v>
      </c>
      <c r="CN88" s="135">
        <f>CN$3</f>
        <v>46204</v>
      </c>
      <c r="CO88" s="136" t="s">
        <v>501</v>
      </c>
      <c r="CP88" s="137" t="s">
        <v>501</v>
      </c>
      <c r="CQ88" s="135">
        <f>CQ$3</f>
        <v>46205</v>
      </c>
      <c r="CR88" s="136" t="s">
        <v>501</v>
      </c>
      <c r="CS88" s="137" t="s">
        <v>501</v>
      </c>
      <c r="CT88" s="135">
        <f>CT$3</f>
        <v>46206</v>
      </c>
      <c r="CU88" s="136" t="s">
        <v>501</v>
      </c>
      <c r="CV88" s="137" t="s">
        <v>501</v>
      </c>
      <c r="CW88" s="135">
        <f>CW$3</f>
        <v>46207</v>
      </c>
      <c r="CX88" s="136" t="s">
        <v>501</v>
      </c>
      <c r="CY88" s="137" t="s">
        <v>501</v>
      </c>
      <c r="CZ88" s="135"/>
      <c r="DA88" s="135">
        <f>DA$3</f>
        <v>46209</v>
      </c>
      <c r="DB88" s="136" t="s">
        <v>501</v>
      </c>
      <c r="DC88" s="137" t="s">
        <v>501</v>
      </c>
      <c r="DD88" s="135">
        <f>DD$3</f>
        <v>46210</v>
      </c>
      <c r="DE88" s="136" t="s">
        <v>501</v>
      </c>
      <c r="DF88" s="137" t="s">
        <v>501</v>
      </c>
      <c r="DG88" s="135">
        <f>DG$3</f>
        <v>46211</v>
      </c>
      <c r="DH88" s="136" t="s">
        <v>501</v>
      </c>
      <c r="DI88" s="137" t="s">
        <v>501</v>
      </c>
      <c r="DJ88" s="135">
        <f>DJ$3</f>
        <v>46212</v>
      </c>
      <c r="DK88" s="136" t="s">
        <v>501</v>
      </c>
      <c r="DL88" s="137" t="s">
        <v>501</v>
      </c>
      <c r="DM88" s="135">
        <f>DM$3</f>
        <v>46213</v>
      </c>
      <c r="DN88" s="136" t="s">
        <v>501</v>
      </c>
      <c r="DO88" s="137" t="s">
        <v>501</v>
      </c>
      <c r="DP88" s="135">
        <f>DP$3</f>
        <v>46214</v>
      </c>
      <c r="DQ88" s="136" t="s">
        <v>501</v>
      </c>
      <c r="DR88" s="137" t="s">
        <v>501</v>
      </c>
    </row>
    <row r="89" spans="1:122" outlineLevel="1">
      <c r="A89" s="122" t="str">
        <f>$A$80</f>
        <v>Nguyễn Hải Nam</v>
      </c>
      <c r="B89" s="172" t="str">
        <f>'Bảng 3'!A132</f>
        <v>3.B.HYE.NOXHHY.CT.704</v>
      </c>
      <c r="C89" s="173" t="str">
        <f>IF($B89="","",INDEX('Bảng 3'!C:C,MATCH($B89,'Bảng 3'!$A:$A,0)))</f>
        <v>Quản lý BIM</v>
      </c>
      <c r="D89" s="173" t="str">
        <f>IF($B89="","",INDEX('Bảng 3'!D:D,MATCH($B89,'Bảng 3'!$A:$A,0)))</f>
        <v>B.HYE.NOXHHY.CT</v>
      </c>
      <c r="E89" s="81" t="str">
        <f>IF($B89="","",INDEX('Bảng 3'!E:E,MATCH($B89,'Bảng 3'!$A:$A,0)))</f>
        <v>NOXH04 (07 tòa)</v>
      </c>
      <c r="F89" s="81" t="str">
        <f>IF($B89="","",INDEX('Bảng 3'!F:F,MATCH($B89,'Bảng 3'!$A:$A,0)))</f>
        <v>PC</v>
      </c>
      <c r="G89" s="81" t="str">
        <f>IF($B89="","",INDEX('Bảng 3'!G:G,MATCH($B89,'Bảng 3'!$A:$A,0)))</f>
        <v>KSCL mô hình BIM</v>
      </c>
      <c r="H89" s="121"/>
      <c r="I89" s="135"/>
      <c r="J89" s="135">
        <f>J$3</f>
        <v>46174</v>
      </c>
      <c r="K89" s="148" t="s">
        <v>501</v>
      </c>
      <c r="L89" s="168" t="s">
        <v>501</v>
      </c>
      <c r="M89" s="135">
        <f>M$3</f>
        <v>46175</v>
      </c>
      <c r="N89" s="148" t="s">
        <v>501</v>
      </c>
      <c r="O89" s="137" t="s">
        <v>501</v>
      </c>
      <c r="P89" s="135">
        <f>P$3</f>
        <v>46176</v>
      </c>
      <c r="Q89" s="136" t="s">
        <v>501</v>
      </c>
      <c r="R89" s="137" t="s">
        <v>501</v>
      </c>
      <c r="S89" s="135">
        <f>S$3</f>
        <v>46177</v>
      </c>
      <c r="T89" s="136" t="s">
        <v>501</v>
      </c>
      <c r="U89" s="137" t="s">
        <v>501</v>
      </c>
      <c r="V89" s="135">
        <f>V$3</f>
        <v>46178</v>
      </c>
      <c r="W89" s="136" t="s">
        <v>501</v>
      </c>
      <c r="X89" s="137" t="s">
        <v>501</v>
      </c>
      <c r="Y89" s="135">
        <f>Y$3</f>
        <v>46179</v>
      </c>
      <c r="Z89" s="136" t="s">
        <v>501</v>
      </c>
      <c r="AA89" s="137" t="s">
        <v>501</v>
      </c>
      <c r="AB89" s="135"/>
      <c r="AC89" s="135">
        <f>AC$3</f>
        <v>46181</v>
      </c>
      <c r="AD89" s="136" t="s">
        <v>501</v>
      </c>
      <c r="AE89" s="137" t="s">
        <v>501</v>
      </c>
      <c r="AF89" s="135">
        <f>AF$3</f>
        <v>46182</v>
      </c>
      <c r="AG89" s="136" t="s">
        <v>501</v>
      </c>
      <c r="AH89" s="137" t="s">
        <v>501</v>
      </c>
      <c r="AI89" s="135">
        <f>AI$3</f>
        <v>46183</v>
      </c>
      <c r="AJ89" s="136" t="s">
        <v>501</v>
      </c>
      <c r="AK89" s="137" t="s">
        <v>501</v>
      </c>
      <c r="AL89" s="135">
        <f>AL$3</f>
        <v>46184</v>
      </c>
      <c r="AM89" s="136" t="s">
        <v>501</v>
      </c>
      <c r="AN89" s="137" t="s">
        <v>501</v>
      </c>
      <c r="AO89" s="135">
        <f>AO$3</f>
        <v>46185</v>
      </c>
      <c r="AP89" s="136" t="s">
        <v>501</v>
      </c>
      <c r="AQ89" s="137" t="s">
        <v>501</v>
      </c>
      <c r="AR89" s="135">
        <f>AR$3</f>
        <v>46186</v>
      </c>
      <c r="AS89" s="136" t="s">
        <v>501</v>
      </c>
      <c r="AT89" s="137" t="s">
        <v>501</v>
      </c>
      <c r="AU89" s="135"/>
      <c r="AV89" s="135">
        <f>AV$3</f>
        <v>46188</v>
      </c>
      <c r="AW89" s="148" t="s">
        <v>501</v>
      </c>
      <c r="AX89" s="137" t="s">
        <v>501</v>
      </c>
      <c r="AY89" s="135">
        <f>AY$3</f>
        <v>46189</v>
      </c>
      <c r="AZ89" s="136" t="s">
        <v>501</v>
      </c>
      <c r="BA89" s="137" t="s">
        <v>501</v>
      </c>
      <c r="BB89" s="135">
        <f>BB$3</f>
        <v>46190</v>
      </c>
      <c r="BC89" s="136" t="s">
        <v>501</v>
      </c>
      <c r="BD89" s="137" t="s">
        <v>501</v>
      </c>
      <c r="BE89" s="135">
        <f>BE$3</f>
        <v>46191</v>
      </c>
      <c r="BF89" s="136" t="s">
        <v>501</v>
      </c>
      <c r="BG89" s="137" t="s">
        <v>501</v>
      </c>
      <c r="BH89" s="135">
        <f>BH$3</f>
        <v>46192</v>
      </c>
      <c r="BI89" s="136" t="s">
        <v>501</v>
      </c>
      <c r="BJ89" s="137" t="s">
        <v>501</v>
      </c>
      <c r="BK89" s="135">
        <f>BK$3</f>
        <v>46193</v>
      </c>
      <c r="BL89" s="136" t="s">
        <v>501</v>
      </c>
      <c r="BM89" s="137" t="s">
        <v>501</v>
      </c>
      <c r="BN89" s="135"/>
      <c r="BO89" s="135">
        <f>BO$3</f>
        <v>46195</v>
      </c>
      <c r="BP89" s="136" t="s">
        <v>501</v>
      </c>
      <c r="BQ89" s="137" t="s">
        <v>501</v>
      </c>
      <c r="BR89" s="135">
        <f>BR$3</f>
        <v>46196</v>
      </c>
      <c r="BS89" s="136" t="s">
        <v>501</v>
      </c>
      <c r="BT89" s="137" t="s">
        <v>501</v>
      </c>
      <c r="BU89" s="135">
        <f>BU$3</f>
        <v>46197</v>
      </c>
      <c r="BV89" s="136" t="s">
        <v>501</v>
      </c>
      <c r="BW89" s="137" t="s">
        <v>501</v>
      </c>
      <c r="BX89" s="135">
        <f>BX$3</f>
        <v>46198</v>
      </c>
      <c r="BY89" s="136" t="s">
        <v>501</v>
      </c>
      <c r="BZ89" s="137" t="s">
        <v>501</v>
      </c>
      <c r="CA89" s="135">
        <f>CA$3</f>
        <v>46199</v>
      </c>
      <c r="CB89" s="136" t="s">
        <v>501</v>
      </c>
      <c r="CC89" s="137" t="s">
        <v>501</v>
      </c>
      <c r="CD89" s="135">
        <f>CD$3</f>
        <v>46200</v>
      </c>
      <c r="CE89" s="136" t="s">
        <v>501</v>
      </c>
      <c r="CF89" s="137" t="s">
        <v>501</v>
      </c>
      <c r="CG89" s="135"/>
      <c r="CH89" s="135">
        <f>CH$3</f>
        <v>46202</v>
      </c>
      <c r="CI89" s="148" t="s">
        <v>501</v>
      </c>
      <c r="CJ89" s="137" t="s">
        <v>501</v>
      </c>
      <c r="CK89" s="135">
        <f>CK$3</f>
        <v>46203</v>
      </c>
      <c r="CL89" s="136" t="s">
        <v>501</v>
      </c>
      <c r="CM89" s="137" t="s">
        <v>501</v>
      </c>
      <c r="CN89" s="135">
        <f>CN$3</f>
        <v>46204</v>
      </c>
      <c r="CO89" s="136" t="s">
        <v>501</v>
      </c>
      <c r="CP89" s="137" t="s">
        <v>501</v>
      </c>
      <c r="CQ89" s="135">
        <f>CQ$3</f>
        <v>46205</v>
      </c>
      <c r="CR89" s="136" t="s">
        <v>501</v>
      </c>
      <c r="CS89" s="137" t="s">
        <v>501</v>
      </c>
      <c r="CT89" s="135">
        <f>CT$3</f>
        <v>46206</v>
      </c>
      <c r="CU89" s="136" t="s">
        <v>501</v>
      </c>
      <c r="CV89" s="137" t="s">
        <v>501</v>
      </c>
      <c r="CW89" s="135">
        <f>CW$3</f>
        <v>46207</v>
      </c>
      <c r="CX89" s="136" t="s">
        <v>501</v>
      </c>
      <c r="CY89" s="137" t="s">
        <v>501</v>
      </c>
      <c r="CZ89" s="135"/>
      <c r="DA89" s="135">
        <f>DA$3</f>
        <v>46209</v>
      </c>
      <c r="DB89" s="136" t="s">
        <v>501</v>
      </c>
      <c r="DC89" s="137" t="s">
        <v>501</v>
      </c>
      <c r="DD89" s="135">
        <f>DD$3</f>
        <v>46210</v>
      </c>
      <c r="DE89" s="136" t="s">
        <v>501</v>
      </c>
      <c r="DF89" s="137" t="s">
        <v>501</v>
      </c>
      <c r="DG89" s="135">
        <f>DG$3</f>
        <v>46211</v>
      </c>
      <c r="DH89" s="136" t="s">
        <v>501</v>
      </c>
      <c r="DI89" s="137" t="s">
        <v>501</v>
      </c>
      <c r="DJ89" s="135">
        <f>DJ$3</f>
        <v>46212</v>
      </c>
      <c r="DK89" s="136" t="s">
        <v>501</v>
      </c>
      <c r="DL89" s="137" t="s">
        <v>501</v>
      </c>
      <c r="DM89" s="135">
        <f>DM$3</f>
        <v>46213</v>
      </c>
      <c r="DN89" s="136" t="s">
        <v>501</v>
      </c>
      <c r="DO89" s="137" t="s">
        <v>501</v>
      </c>
      <c r="DP89" s="135">
        <f>DP$3</f>
        <v>46214</v>
      </c>
      <c r="DQ89" s="136" t="s">
        <v>501</v>
      </c>
      <c r="DR89" s="137" t="s">
        <v>501</v>
      </c>
    </row>
    <row r="90" spans="1:122" outlineLevel="1">
      <c r="A90" s="171" t="str">
        <f>$A$80</f>
        <v>Nguyễn Hải Nam</v>
      </c>
      <c r="B90" s="172" t="str">
        <f>'Bảng 3'!A133</f>
        <v>3.B.HYE.NOXHPH.NX.101</v>
      </c>
      <c r="C90" s="28" t="str">
        <f>IF($B90="","",INDEX('Bảng 3'!C:C,MATCH($B90,'Bảng 3'!$A:$A,0)))</f>
        <v>Quản lý BIM</v>
      </c>
      <c r="D90" s="28" t="str">
        <f>IF($B90="","",INDEX('Bảng 3'!D:D,MATCH($B90,'Bảng 3'!$A:$A,0)))</f>
        <v>B.HYE.NOXHPH.NX</v>
      </c>
      <c r="E90" s="81" t="str">
        <f>IF($B90="","",INDEX('Bảng 3'!E:E,MATCH($B90,'Bảng 3'!$A:$A,0)))</f>
        <v>Nhà xe BDX-01</v>
      </c>
      <c r="F90" s="81" t="str">
        <f>IF($B90="","",INDEX('Bảng 3'!F:F,MATCH($B90,'Bảng 3'!$A:$A,0)))</f>
        <v>KT</v>
      </c>
      <c r="G90" s="81" t="str">
        <f>IF($B90="","",INDEX('Bảng 3'!G:G,MATCH($B90,'Bảng 3'!$A:$A,0)))</f>
        <v>KSCL mô hình BIM</v>
      </c>
      <c r="H90" s="121"/>
      <c r="I90" s="135"/>
      <c r="J90" s="135">
        <f>J$3</f>
        <v>46174</v>
      </c>
      <c r="K90" s="148" t="s">
        <v>501</v>
      </c>
      <c r="L90" s="168" t="s">
        <v>501</v>
      </c>
      <c r="M90" s="135">
        <f>M$3</f>
        <v>46175</v>
      </c>
      <c r="N90" s="148"/>
      <c r="O90" s="137"/>
      <c r="P90" s="135">
        <f>P$3</f>
        <v>46176</v>
      </c>
      <c r="Q90" s="136" t="s">
        <v>501</v>
      </c>
      <c r="R90" s="137" t="s">
        <v>501</v>
      </c>
      <c r="S90" s="135">
        <f>S$3</f>
        <v>46177</v>
      </c>
      <c r="T90" s="136" t="s">
        <v>501</v>
      </c>
      <c r="U90" s="137" t="s">
        <v>501</v>
      </c>
      <c r="V90" s="135">
        <f>V$3</f>
        <v>46178</v>
      </c>
      <c r="W90" s="136" t="s">
        <v>501</v>
      </c>
      <c r="X90" s="137" t="s">
        <v>501</v>
      </c>
      <c r="Y90" s="135">
        <f>Y$3</f>
        <v>46179</v>
      </c>
      <c r="Z90" s="136" t="s">
        <v>501</v>
      </c>
      <c r="AA90" s="137" t="s">
        <v>501</v>
      </c>
      <c r="AB90" s="135"/>
      <c r="AC90" s="135">
        <f>AC$3</f>
        <v>46181</v>
      </c>
      <c r="AD90" s="136" t="s">
        <v>501</v>
      </c>
      <c r="AE90" s="137" t="s">
        <v>501</v>
      </c>
      <c r="AF90" s="135">
        <f>AF$3</f>
        <v>46182</v>
      </c>
      <c r="AG90" s="136" t="s">
        <v>501</v>
      </c>
      <c r="AH90" s="137" t="s">
        <v>501</v>
      </c>
      <c r="AI90" s="135">
        <f>AI$3</f>
        <v>46183</v>
      </c>
      <c r="AJ90" s="136" t="s">
        <v>501</v>
      </c>
      <c r="AK90" s="137" t="s">
        <v>501</v>
      </c>
      <c r="AL90" s="135">
        <f>AL$3</f>
        <v>46184</v>
      </c>
      <c r="AM90" s="136" t="s">
        <v>501</v>
      </c>
      <c r="AN90" s="137" t="s">
        <v>501</v>
      </c>
      <c r="AO90" s="135">
        <f>AO$3</f>
        <v>46185</v>
      </c>
      <c r="AP90" s="136" t="s">
        <v>501</v>
      </c>
      <c r="AQ90" s="137" t="s">
        <v>501</v>
      </c>
      <c r="AR90" s="135">
        <f>AR$3</f>
        <v>46186</v>
      </c>
      <c r="AS90" s="136" t="s">
        <v>501</v>
      </c>
      <c r="AT90" s="137" t="s">
        <v>501</v>
      </c>
      <c r="AU90" s="135"/>
      <c r="AV90" s="135">
        <f>AV$3</f>
        <v>46188</v>
      </c>
      <c r="AW90" s="148" t="s">
        <v>501</v>
      </c>
      <c r="AX90" s="137" t="s">
        <v>501</v>
      </c>
      <c r="AY90" s="135">
        <f>AY$3</f>
        <v>46189</v>
      </c>
      <c r="AZ90" s="136" t="s">
        <v>501</v>
      </c>
      <c r="BA90" s="137" t="s">
        <v>501</v>
      </c>
      <c r="BB90" s="135">
        <f>BB$3</f>
        <v>46190</v>
      </c>
      <c r="BC90" s="136" t="s">
        <v>501</v>
      </c>
      <c r="BD90" s="137" t="s">
        <v>501</v>
      </c>
      <c r="BE90" s="135">
        <f>BE$3</f>
        <v>46191</v>
      </c>
      <c r="BF90" s="136" t="s">
        <v>501</v>
      </c>
      <c r="BG90" s="137" t="s">
        <v>501</v>
      </c>
      <c r="BH90" s="135">
        <f>BH$3</f>
        <v>46192</v>
      </c>
      <c r="BI90" s="136" t="s">
        <v>501</v>
      </c>
      <c r="BJ90" s="137" t="s">
        <v>501</v>
      </c>
      <c r="BK90" s="135">
        <f>BK$3</f>
        <v>46193</v>
      </c>
      <c r="BL90" s="136" t="s">
        <v>501</v>
      </c>
      <c r="BM90" s="137" t="s">
        <v>501</v>
      </c>
      <c r="BN90" s="135"/>
      <c r="BO90" s="135">
        <f>BO$3</f>
        <v>46195</v>
      </c>
      <c r="BP90" s="136" t="s">
        <v>501</v>
      </c>
      <c r="BQ90" s="137" t="s">
        <v>501</v>
      </c>
      <c r="BR90" s="135">
        <f>BR$3</f>
        <v>46196</v>
      </c>
      <c r="BS90" s="136" t="s">
        <v>501</v>
      </c>
      <c r="BT90" s="137" t="s">
        <v>501</v>
      </c>
      <c r="BU90" s="135">
        <f>BU$3</f>
        <v>46197</v>
      </c>
      <c r="BV90" s="136" t="s">
        <v>501</v>
      </c>
      <c r="BW90" s="137" t="s">
        <v>501</v>
      </c>
      <c r="BX90" s="135">
        <f>BX$3</f>
        <v>46198</v>
      </c>
      <c r="BY90" s="136" t="s">
        <v>501</v>
      </c>
      <c r="BZ90" s="137" t="s">
        <v>501</v>
      </c>
      <c r="CA90" s="135">
        <f>CA$3</f>
        <v>46199</v>
      </c>
      <c r="CB90" s="136" t="s">
        <v>501</v>
      </c>
      <c r="CC90" s="137" t="s">
        <v>501</v>
      </c>
      <c r="CD90" s="135">
        <f>CD$3</f>
        <v>46200</v>
      </c>
      <c r="CE90" s="136" t="s">
        <v>501</v>
      </c>
      <c r="CF90" s="137" t="s">
        <v>501</v>
      </c>
      <c r="CG90" s="135"/>
      <c r="CH90" s="135">
        <f>CH$3</f>
        <v>46202</v>
      </c>
      <c r="CI90" s="148" t="s">
        <v>501</v>
      </c>
      <c r="CJ90" s="137" t="s">
        <v>501</v>
      </c>
      <c r="CK90" s="135">
        <f>CK$3</f>
        <v>46203</v>
      </c>
      <c r="CL90" s="136" t="s">
        <v>501</v>
      </c>
      <c r="CM90" s="137" t="s">
        <v>501</v>
      </c>
      <c r="CN90" s="135">
        <f>CN$3</f>
        <v>46204</v>
      </c>
      <c r="CO90" s="136" t="s">
        <v>501</v>
      </c>
      <c r="CP90" s="137" t="s">
        <v>501</v>
      </c>
      <c r="CQ90" s="135">
        <f>CQ$3</f>
        <v>46205</v>
      </c>
      <c r="CR90" s="136" t="s">
        <v>501</v>
      </c>
      <c r="CS90" s="137" t="s">
        <v>501</v>
      </c>
      <c r="CT90" s="135">
        <f>CT$3</f>
        <v>46206</v>
      </c>
      <c r="CU90" s="136" t="s">
        <v>501</v>
      </c>
      <c r="CV90" s="137" t="s">
        <v>501</v>
      </c>
      <c r="CW90" s="135">
        <f>CW$3</f>
        <v>46207</v>
      </c>
      <c r="CX90" s="136" t="s">
        <v>501</v>
      </c>
      <c r="CY90" s="137" t="s">
        <v>501</v>
      </c>
      <c r="CZ90" s="135"/>
      <c r="DA90" s="135">
        <f>DA$3</f>
        <v>46209</v>
      </c>
      <c r="DB90" s="136" t="s">
        <v>501</v>
      </c>
      <c r="DC90" s="137" t="s">
        <v>501</v>
      </c>
      <c r="DD90" s="135">
        <f>DD$3</f>
        <v>46210</v>
      </c>
      <c r="DE90" s="136" t="s">
        <v>501</v>
      </c>
      <c r="DF90" s="137" t="s">
        <v>501</v>
      </c>
      <c r="DG90" s="135">
        <f>DG$3</f>
        <v>46211</v>
      </c>
      <c r="DH90" s="136" t="s">
        <v>501</v>
      </c>
      <c r="DI90" s="137" t="s">
        <v>501</v>
      </c>
      <c r="DJ90" s="135">
        <f>DJ$3</f>
        <v>46212</v>
      </c>
      <c r="DK90" s="136" t="s">
        <v>501</v>
      </c>
      <c r="DL90" s="137" t="s">
        <v>501</v>
      </c>
      <c r="DM90" s="135">
        <f>DM$3</f>
        <v>46213</v>
      </c>
      <c r="DN90" s="136" t="s">
        <v>501</v>
      </c>
      <c r="DO90" s="137" t="s">
        <v>501</v>
      </c>
      <c r="DP90" s="135">
        <f>DP$3</f>
        <v>46214</v>
      </c>
      <c r="DQ90" s="136" t="s">
        <v>501</v>
      </c>
      <c r="DR90" s="137" t="s">
        <v>501</v>
      </c>
    </row>
    <row r="91" spans="1:122" outlineLevel="1">
      <c r="A91" s="122" t="str">
        <f>$A$80</f>
        <v>Nguyễn Hải Nam</v>
      </c>
      <c r="B91" s="172" t="str">
        <f>'Bảng 3'!A197</f>
        <v>3.B.QNI.HLXHL.VSC.102</v>
      </c>
      <c r="C91" s="173" t="str">
        <f>IF($B91="","",INDEX('Bảng 3'!C:C,MATCH($B91,'Bảng 3'!$A:$A,0)))</f>
        <v>Quản lý BIM</v>
      </c>
      <c r="D91" s="173" t="str">
        <f>IF($B91="","",INDEX('Bảng 3'!D:D,MATCH($B91,'Bảng 3'!$A:$A,0)))</f>
        <v>B.QNI.HLXHL.VSC</v>
      </c>
      <c r="E91" s="81" t="str">
        <f>IF($B91="","",INDEX('Bảng 3'!E:E,MATCH($B91,'Bảng 3'!$A:$A,0)))</f>
        <v>Trường học lô đất PT-01</v>
      </c>
      <c r="F91" s="81" t="str">
        <f>IF($B91="","",INDEX('Bảng 3'!F:F,MATCH($B91,'Bảng 3'!$A:$A,0)))</f>
        <v>KT</v>
      </c>
      <c r="G91" s="81" t="str">
        <f>IF($B91="","",INDEX('Bảng 3'!G:G,MATCH($B91,'Bảng 3'!$A:$A,0)))</f>
        <v>KSCL mô hình BIM</v>
      </c>
      <c r="H91" s="121"/>
      <c r="I91" s="135"/>
      <c r="J91" s="135">
        <f>J$3</f>
        <v>46174</v>
      </c>
      <c r="K91" s="148" t="s">
        <v>501</v>
      </c>
      <c r="L91" s="168" t="s">
        <v>501</v>
      </c>
      <c r="M91" s="135">
        <f>M$3</f>
        <v>46175</v>
      </c>
      <c r="N91" s="148" t="s">
        <v>501</v>
      </c>
      <c r="O91" s="137" t="s">
        <v>501</v>
      </c>
      <c r="P91" s="135">
        <f>P$3</f>
        <v>46176</v>
      </c>
      <c r="Q91" s="136" t="s">
        <v>501</v>
      </c>
      <c r="R91" s="137" t="s">
        <v>501</v>
      </c>
      <c r="S91" s="135">
        <f>S$3</f>
        <v>46177</v>
      </c>
      <c r="T91" s="136" t="s">
        <v>501</v>
      </c>
      <c r="U91" s="137" t="s">
        <v>501</v>
      </c>
      <c r="V91" s="135">
        <f>V$3</f>
        <v>46178</v>
      </c>
      <c r="W91" s="136" t="s">
        <v>501</v>
      </c>
      <c r="X91" s="137" t="s">
        <v>501</v>
      </c>
      <c r="Y91" s="135">
        <f>Y$3</f>
        <v>46179</v>
      </c>
      <c r="Z91" s="136" t="s">
        <v>501</v>
      </c>
      <c r="AA91" s="137" t="s">
        <v>501</v>
      </c>
      <c r="AB91" s="135"/>
      <c r="AC91" s="135">
        <f>AC$3</f>
        <v>46181</v>
      </c>
      <c r="AD91" s="136" t="s">
        <v>501</v>
      </c>
      <c r="AE91" s="137" t="s">
        <v>501</v>
      </c>
      <c r="AF91" s="135">
        <f>AF$3</f>
        <v>46182</v>
      </c>
      <c r="AG91" s="136" t="s">
        <v>501</v>
      </c>
      <c r="AH91" s="137" t="s">
        <v>501</v>
      </c>
      <c r="AI91" s="135">
        <f>AI$3</f>
        <v>46183</v>
      </c>
      <c r="AJ91" s="136" t="s">
        <v>501</v>
      </c>
      <c r="AK91" s="137" t="s">
        <v>501</v>
      </c>
      <c r="AL91" s="135">
        <f>AL$3</f>
        <v>46184</v>
      </c>
      <c r="AM91" s="136" t="s">
        <v>501</v>
      </c>
      <c r="AN91" s="137" t="s">
        <v>501</v>
      </c>
      <c r="AO91" s="135">
        <f>AO$3</f>
        <v>46185</v>
      </c>
      <c r="AP91" s="136" t="s">
        <v>501</v>
      </c>
      <c r="AQ91" s="137" t="s">
        <v>501</v>
      </c>
      <c r="AR91" s="135">
        <f>AR$3</f>
        <v>46186</v>
      </c>
      <c r="AS91" s="136" t="s">
        <v>501</v>
      </c>
      <c r="AT91" s="137" t="s">
        <v>501</v>
      </c>
      <c r="AU91" s="135"/>
      <c r="AV91" s="135">
        <f>AV$3</f>
        <v>46188</v>
      </c>
      <c r="AW91" s="148" t="s">
        <v>501</v>
      </c>
      <c r="AX91" s="137" t="s">
        <v>501</v>
      </c>
      <c r="AY91" s="135">
        <f>AY$3</f>
        <v>46189</v>
      </c>
      <c r="AZ91" s="136" t="s">
        <v>501</v>
      </c>
      <c r="BA91" s="137" t="s">
        <v>501</v>
      </c>
      <c r="BB91" s="135">
        <f>BB$3</f>
        <v>46190</v>
      </c>
      <c r="BC91" s="136" t="s">
        <v>501</v>
      </c>
      <c r="BD91" s="137" t="s">
        <v>501</v>
      </c>
      <c r="BE91" s="135">
        <f>BE$3</f>
        <v>46191</v>
      </c>
      <c r="BF91" s="136" t="s">
        <v>501</v>
      </c>
      <c r="BG91" s="137" t="s">
        <v>501</v>
      </c>
      <c r="BH91" s="135">
        <f>BH$3</f>
        <v>46192</v>
      </c>
      <c r="BI91" s="136" t="s">
        <v>501</v>
      </c>
      <c r="BJ91" s="137" t="s">
        <v>501</v>
      </c>
      <c r="BK91" s="135">
        <f>BK$3</f>
        <v>46193</v>
      </c>
      <c r="BL91" s="136" t="s">
        <v>501</v>
      </c>
      <c r="BM91" s="137" t="s">
        <v>501</v>
      </c>
      <c r="BN91" s="135"/>
      <c r="BO91" s="135">
        <f>BO$3</f>
        <v>46195</v>
      </c>
      <c r="BP91" s="136" t="s">
        <v>501</v>
      </c>
      <c r="BQ91" s="137" t="s">
        <v>501</v>
      </c>
      <c r="BR91" s="135">
        <f>BR$3</f>
        <v>46196</v>
      </c>
      <c r="BS91" s="136" t="s">
        <v>501</v>
      </c>
      <c r="BT91" s="137" t="s">
        <v>501</v>
      </c>
      <c r="BU91" s="135">
        <f>BU$3</f>
        <v>46197</v>
      </c>
      <c r="BV91" s="136" t="s">
        <v>501</v>
      </c>
      <c r="BW91" s="137" t="s">
        <v>501</v>
      </c>
      <c r="BX91" s="135">
        <f>BX$3</f>
        <v>46198</v>
      </c>
      <c r="BY91" s="136" t="s">
        <v>501</v>
      </c>
      <c r="BZ91" s="137" t="s">
        <v>501</v>
      </c>
      <c r="CA91" s="135">
        <f>CA$3</f>
        <v>46199</v>
      </c>
      <c r="CB91" s="136" t="s">
        <v>501</v>
      </c>
      <c r="CC91" s="137" t="s">
        <v>501</v>
      </c>
      <c r="CD91" s="135">
        <f>CD$3</f>
        <v>46200</v>
      </c>
      <c r="CE91" s="136" t="s">
        <v>501</v>
      </c>
      <c r="CF91" s="137" t="s">
        <v>501</v>
      </c>
      <c r="CG91" s="135"/>
      <c r="CH91" s="135">
        <f>CH$3</f>
        <v>46202</v>
      </c>
      <c r="CI91" s="148" t="s">
        <v>501</v>
      </c>
      <c r="CJ91" s="137" t="s">
        <v>501</v>
      </c>
      <c r="CK91" s="135">
        <f>CK$3</f>
        <v>46203</v>
      </c>
      <c r="CL91" s="136" t="s">
        <v>501</v>
      </c>
      <c r="CM91" s="137" t="s">
        <v>501</v>
      </c>
      <c r="CN91" s="135">
        <f>CN$3</f>
        <v>46204</v>
      </c>
      <c r="CO91" s="136" t="s">
        <v>501</v>
      </c>
      <c r="CP91" s="137" t="s">
        <v>501</v>
      </c>
      <c r="CQ91" s="135">
        <f>CQ$3</f>
        <v>46205</v>
      </c>
      <c r="CR91" s="136" t="s">
        <v>501</v>
      </c>
      <c r="CS91" s="137" t="s">
        <v>501</v>
      </c>
      <c r="CT91" s="135">
        <f>CT$3</f>
        <v>46206</v>
      </c>
      <c r="CU91" s="136" t="s">
        <v>501</v>
      </c>
      <c r="CV91" s="137" t="s">
        <v>501</v>
      </c>
      <c r="CW91" s="135">
        <f>CW$3</f>
        <v>46207</v>
      </c>
      <c r="CX91" s="136" t="s">
        <v>501</v>
      </c>
      <c r="CY91" s="137" t="s">
        <v>501</v>
      </c>
      <c r="CZ91" s="135"/>
      <c r="DA91" s="135">
        <f>DA$3</f>
        <v>46209</v>
      </c>
      <c r="DB91" s="136" t="s">
        <v>501</v>
      </c>
      <c r="DC91" s="137" t="s">
        <v>501</v>
      </c>
      <c r="DD91" s="135">
        <f>DD$3</f>
        <v>46210</v>
      </c>
      <c r="DE91" s="136" t="s">
        <v>501</v>
      </c>
      <c r="DF91" s="137" t="s">
        <v>501</v>
      </c>
      <c r="DG91" s="135">
        <f>DG$3</f>
        <v>46211</v>
      </c>
      <c r="DH91" s="136" t="s">
        <v>501</v>
      </c>
      <c r="DI91" s="137" t="s">
        <v>501</v>
      </c>
      <c r="DJ91" s="135">
        <f>DJ$3</f>
        <v>46212</v>
      </c>
      <c r="DK91" s="136" t="s">
        <v>501</v>
      </c>
      <c r="DL91" s="137" t="s">
        <v>501</v>
      </c>
      <c r="DM91" s="135">
        <f>DM$3</f>
        <v>46213</v>
      </c>
      <c r="DN91" s="136" t="s">
        <v>501</v>
      </c>
      <c r="DO91" s="137" t="s">
        <v>501</v>
      </c>
      <c r="DP91" s="135">
        <f>DP$3</f>
        <v>46214</v>
      </c>
      <c r="DQ91" s="136" t="s">
        <v>501</v>
      </c>
      <c r="DR91" s="137" t="s">
        <v>501</v>
      </c>
    </row>
    <row r="92" spans="1:122" outlineLevel="1">
      <c r="A92" s="122" t="str">
        <f>$A$80</f>
        <v>Nguyễn Hải Nam</v>
      </c>
      <c r="B92" s="172" t="str">
        <f>'Bảng 3'!A198</f>
        <v>3.B.QNI.HLXHL.VSC.202</v>
      </c>
      <c r="C92" s="81" t="str">
        <f>IF($B92="","",INDEX('Bảng 3'!C:C,MATCH($B92,'Bảng 3'!$A:$A,0)))</f>
        <v>Quản lý BIM</v>
      </c>
      <c r="D92" s="81" t="str">
        <f>IF($B92="","",INDEX('Bảng 3'!D:D,MATCH($B92,'Bảng 3'!$A:$A,0)))</f>
        <v>B.QNI.HLXHL.VSC</v>
      </c>
      <c r="E92" s="81" t="str">
        <f>IF($B92="","",INDEX('Bảng 3'!E:E,MATCH($B92,'Bảng 3'!$A:$A,0)))</f>
        <v>Trường học lô đất PT-01</v>
      </c>
      <c r="F92" s="81" t="str">
        <f>IF($B92="","",INDEX('Bảng 3'!F:F,MATCH($B92,'Bảng 3'!$A:$A,0)))</f>
        <v>KC</v>
      </c>
      <c r="G92" s="81" t="str">
        <f>IF($B92="","",INDEX('Bảng 3'!G:G,MATCH($B92,'Bảng 3'!$A:$A,0)))</f>
        <v>KSCL mô hình BIM</v>
      </c>
      <c r="H92" s="121"/>
      <c r="I92" s="135"/>
      <c r="J92" s="135">
        <f>J$3</f>
        <v>46174</v>
      </c>
      <c r="K92" s="148" t="s">
        <v>501</v>
      </c>
      <c r="L92" s="168" t="s">
        <v>501</v>
      </c>
      <c r="M92" s="135">
        <f>M$3</f>
        <v>46175</v>
      </c>
      <c r="N92" s="148" t="s">
        <v>501</v>
      </c>
      <c r="O92" s="137" t="s">
        <v>501</v>
      </c>
      <c r="P92" s="135">
        <f>P$3</f>
        <v>46176</v>
      </c>
      <c r="Q92" s="136" t="s">
        <v>501</v>
      </c>
      <c r="R92" s="137" t="s">
        <v>501</v>
      </c>
      <c r="S92" s="135">
        <f>S$3</f>
        <v>46177</v>
      </c>
      <c r="T92" s="136" t="s">
        <v>501</v>
      </c>
      <c r="U92" s="137" t="s">
        <v>501</v>
      </c>
      <c r="V92" s="135">
        <f>V$3</f>
        <v>46178</v>
      </c>
      <c r="W92" s="136" t="s">
        <v>501</v>
      </c>
      <c r="X92" s="137" t="s">
        <v>501</v>
      </c>
      <c r="Y92" s="135">
        <f>Y$3</f>
        <v>46179</v>
      </c>
      <c r="Z92" s="136" t="s">
        <v>501</v>
      </c>
      <c r="AA92" s="137" t="s">
        <v>501</v>
      </c>
      <c r="AB92" s="135"/>
      <c r="AC92" s="135">
        <f>AC$3</f>
        <v>46181</v>
      </c>
      <c r="AD92" s="136" t="s">
        <v>501</v>
      </c>
      <c r="AE92" s="137" t="s">
        <v>501</v>
      </c>
      <c r="AF92" s="135">
        <f>AF$3</f>
        <v>46182</v>
      </c>
      <c r="AG92" s="136" t="s">
        <v>501</v>
      </c>
      <c r="AH92" s="137" t="s">
        <v>501</v>
      </c>
      <c r="AI92" s="135">
        <f>AI$3</f>
        <v>46183</v>
      </c>
      <c r="AJ92" s="136" t="s">
        <v>501</v>
      </c>
      <c r="AK92" s="137" t="s">
        <v>501</v>
      </c>
      <c r="AL92" s="135">
        <f>AL$3</f>
        <v>46184</v>
      </c>
      <c r="AM92" s="136" t="s">
        <v>501</v>
      </c>
      <c r="AN92" s="137" t="s">
        <v>501</v>
      </c>
      <c r="AO92" s="135">
        <f>AO$3</f>
        <v>46185</v>
      </c>
      <c r="AP92" s="136" t="s">
        <v>501</v>
      </c>
      <c r="AQ92" s="137" t="s">
        <v>501</v>
      </c>
      <c r="AR92" s="135">
        <f>AR$3</f>
        <v>46186</v>
      </c>
      <c r="AS92" s="136" t="s">
        <v>501</v>
      </c>
      <c r="AT92" s="137" t="s">
        <v>501</v>
      </c>
      <c r="AU92" s="135"/>
      <c r="AV92" s="135">
        <f>AV$3</f>
        <v>46188</v>
      </c>
      <c r="AW92" s="148" t="s">
        <v>501</v>
      </c>
      <c r="AX92" s="137" t="s">
        <v>501</v>
      </c>
      <c r="AY92" s="135">
        <f>AY$3</f>
        <v>46189</v>
      </c>
      <c r="AZ92" s="136" t="s">
        <v>501</v>
      </c>
      <c r="BA92" s="137" t="s">
        <v>501</v>
      </c>
      <c r="BB92" s="135">
        <f>BB$3</f>
        <v>46190</v>
      </c>
      <c r="BC92" s="136" t="s">
        <v>501</v>
      </c>
      <c r="BD92" s="137" t="s">
        <v>501</v>
      </c>
      <c r="BE92" s="135">
        <f>BE$3</f>
        <v>46191</v>
      </c>
      <c r="BF92" s="136" t="s">
        <v>501</v>
      </c>
      <c r="BG92" s="137" t="s">
        <v>501</v>
      </c>
      <c r="BH92" s="135">
        <f>BH$3</f>
        <v>46192</v>
      </c>
      <c r="BI92" s="136" t="s">
        <v>501</v>
      </c>
      <c r="BJ92" s="137" t="s">
        <v>501</v>
      </c>
      <c r="BK92" s="135">
        <f>BK$3</f>
        <v>46193</v>
      </c>
      <c r="BL92" s="136" t="s">
        <v>501</v>
      </c>
      <c r="BM92" s="137" t="s">
        <v>501</v>
      </c>
      <c r="BN92" s="135"/>
      <c r="BO92" s="135">
        <f>BO$3</f>
        <v>46195</v>
      </c>
      <c r="BP92" s="136" t="s">
        <v>501</v>
      </c>
      <c r="BQ92" s="137" t="s">
        <v>501</v>
      </c>
      <c r="BR92" s="135">
        <f>BR$3</f>
        <v>46196</v>
      </c>
      <c r="BS92" s="136" t="s">
        <v>501</v>
      </c>
      <c r="BT92" s="137" t="s">
        <v>501</v>
      </c>
      <c r="BU92" s="135">
        <f>BU$3</f>
        <v>46197</v>
      </c>
      <c r="BV92" s="136" t="s">
        <v>501</v>
      </c>
      <c r="BW92" s="137" t="s">
        <v>501</v>
      </c>
      <c r="BX92" s="135">
        <f>BX$3</f>
        <v>46198</v>
      </c>
      <c r="BY92" s="136" t="s">
        <v>501</v>
      </c>
      <c r="BZ92" s="137" t="s">
        <v>501</v>
      </c>
      <c r="CA92" s="135">
        <f>CA$3</f>
        <v>46199</v>
      </c>
      <c r="CB92" s="136" t="s">
        <v>501</v>
      </c>
      <c r="CC92" s="137" t="s">
        <v>501</v>
      </c>
      <c r="CD92" s="135">
        <f>CD$3</f>
        <v>46200</v>
      </c>
      <c r="CE92" s="136" t="s">
        <v>501</v>
      </c>
      <c r="CF92" s="137" t="s">
        <v>501</v>
      </c>
      <c r="CG92" s="135"/>
      <c r="CH92" s="135">
        <f>CH$3</f>
        <v>46202</v>
      </c>
      <c r="CI92" s="148" t="s">
        <v>501</v>
      </c>
      <c r="CJ92" s="137" t="s">
        <v>501</v>
      </c>
      <c r="CK92" s="135">
        <f>CK$3</f>
        <v>46203</v>
      </c>
      <c r="CL92" s="136" t="s">
        <v>501</v>
      </c>
      <c r="CM92" s="137" t="s">
        <v>501</v>
      </c>
      <c r="CN92" s="135">
        <f>CN$3</f>
        <v>46204</v>
      </c>
      <c r="CO92" s="136" t="s">
        <v>501</v>
      </c>
      <c r="CP92" s="137" t="s">
        <v>501</v>
      </c>
      <c r="CQ92" s="135">
        <f>CQ$3</f>
        <v>46205</v>
      </c>
      <c r="CR92" s="136" t="s">
        <v>501</v>
      </c>
      <c r="CS92" s="137" t="s">
        <v>501</v>
      </c>
      <c r="CT92" s="135">
        <f>CT$3</f>
        <v>46206</v>
      </c>
      <c r="CU92" s="136" t="s">
        <v>501</v>
      </c>
      <c r="CV92" s="137" t="s">
        <v>501</v>
      </c>
      <c r="CW92" s="135">
        <f>CW$3</f>
        <v>46207</v>
      </c>
      <c r="CX92" s="136" t="s">
        <v>501</v>
      </c>
      <c r="CY92" s="137" t="s">
        <v>501</v>
      </c>
      <c r="CZ92" s="135"/>
      <c r="DA92" s="135">
        <f>DA$3</f>
        <v>46209</v>
      </c>
      <c r="DB92" s="136" t="s">
        <v>501</v>
      </c>
      <c r="DC92" s="137" t="s">
        <v>501</v>
      </c>
      <c r="DD92" s="135">
        <f>DD$3</f>
        <v>46210</v>
      </c>
      <c r="DE92" s="136" t="s">
        <v>501</v>
      </c>
      <c r="DF92" s="137" t="s">
        <v>501</v>
      </c>
      <c r="DG92" s="135">
        <f>DG$3</f>
        <v>46211</v>
      </c>
      <c r="DH92" s="136" t="s">
        <v>501</v>
      </c>
      <c r="DI92" s="137" t="s">
        <v>501</v>
      </c>
      <c r="DJ92" s="135">
        <f>DJ$3</f>
        <v>46212</v>
      </c>
      <c r="DK92" s="136" t="s">
        <v>501</v>
      </c>
      <c r="DL92" s="137" t="s">
        <v>501</v>
      </c>
      <c r="DM92" s="135">
        <f>DM$3</f>
        <v>46213</v>
      </c>
      <c r="DN92" s="136" t="s">
        <v>501</v>
      </c>
      <c r="DO92" s="137" t="s">
        <v>501</v>
      </c>
      <c r="DP92" s="135">
        <f>DP$3</f>
        <v>46214</v>
      </c>
      <c r="DQ92" s="136" t="s">
        <v>501</v>
      </c>
      <c r="DR92" s="137" t="s">
        <v>501</v>
      </c>
    </row>
    <row r="93" spans="1:122" outlineLevel="1">
      <c r="A93" s="122" t="str">
        <f>$A$80</f>
        <v>Nguyễn Hải Nam</v>
      </c>
      <c r="B93" s="172" t="str">
        <f>'Bảng 3'!A223</f>
        <v>3.N.DSHCMCG.STA.101</v>
      </c>
      <c r="C93" s="173" t="str">
        <f>IF($B93="","",INDEX('Bảng 3'!C:C,MATCH($B93,'Bảng 3'!$A:$A,0)))</f>
        <v>Quản lý BIM</v>
      </c>
      <c r="D93" s="173" t="str">
        <f>IF($B93="","",INDEX('Bảng 3'!D:D,MATCH($B93,'Bảng 3'!$A:$A,0)))</f>
        <v>N.DSHCMCG.STA</v>
      </c>
      <c r="E93" s="81" t="str">
        <f>IF($B93="","",INDEX('Bảng 3'!E:E,MATCH($B93,'Bảng 3'!$A:$A,0)))</f>
        <v>Nhà Ga Bến Thành</v>
      </c>
      <c r="F93" s="81" t="str">
        <f>IF($B93="","",INDEX('Bảng 3'!F:F,MATCH($B93,'Bảng 3'!$A:$A,0)))</f>
        <v>KT</v>
      </c>
      <c r="G93" s="81" t="str">
        <f>IF($B93="","",INDEX('Bảng 3'!G:G,MATCH($B93,'Bảng 3'!$A:$A,0)))</f>
        <v>Tạo lập mô hình BIM</v>
      </c>
      <c r="H93" s="121"/>
      <c r="I93" s="135"/>
      <c r="J93" s="135">
        <f>J$3</f>
        <v>46174</v>
      </c>
      <c r="K93" s="148" t="s">
        <v>501</v>
      </c>
      <c r="L93" s="168" t="s">
        <v>501</v>
      </c>
      <c r="M93" s="135">
        <f>M$3</f>
        <v>46175</v>
      </c>
      <c r="N93" s="148" t="s">
        <v>501</v>
      </c>
      <c r="O93" s="137" t="s">
        <v>501</v>
      </c>
      <c r="P93" s="135">
        <f>P$3</f>
        <v>46176</v>
      </c>
      <c r="Q93" s="136" t="s">
        <v>501</v>
      </c>
      <c r="R93" s="137" t="s">
        <v>501</v>
      </c>
      <c r="S93" s="135">
        <f>S$3</f>
        <v>46177</v>
      </c>
      <c r="T93" s="136" t="s">
        <v>501</v>
      </c>
      <c r="U93" s="137" t="s">
        <v>501</v>
      </c>
      <c r="V93" s="135">
        <f>V$3</f>
        <v>46178</v>
      </c>
      <c r="W93" s="136" t="s">
        <v>501</v>
      </c>
      <c r="X93" s="137" t="s">
        <v>501</v>
      </c>
      <c r="Y93" s="135">
        <f>Y$3</f>
        <v>46179</v>
      </c>
      <c r="Z93" s="136" t="s">
        <v>501</v>
      </c>
      <c r="AA93" s="137" t="s">
        <v>501</v>
      </c>
      <c r="AB93" s="135"/>
      <c r="AC93" s="135">
        <f>AC$3</f>
        <v>46181</v>
      </c>
      <c r="AD93" s="136" t="s">
        <v>501</v>
      </c>
      <c r="AE93" s="137" t="s">
        <v>501</v>
      </c>
      <c r="AF93" s="135">
        <f>AF$3</f>
        <v>46182</v>
      </c>
      <c r="AG93" s="136" t="s">
        <v>501</v>
      </c>
      <c r="AH93" s="137" t="s">
        <v>501</v>
      </c>
      <c r="AI93" s="135">
        <f>AI$3</f>
        <v>46183</v>
      </c>
      <c r="AJ93" s="136" t="s">
        <v>501</v>
      </c>
      <c r="AK93" s="137" t="s">
        <v>501</v>
      </c>
      <c r="AL93" s="135">
        <f>AL$3</f>
        <v>46184</v>
      </c>
      <c r="AM93" s="136" t="s">
        <v>501</v>
      </c>
      <c r="AN93" s="137" t="s">
        <v>501</v>
      </c>
      <c r="AO93" s="135">
        <f>AO$3</f>
        <v>46185</v>
      </c>
      <c r="AP93" s="136" t="s">
        <v>501</v>
      </c>
      <c r="AQ93" s="137" t="s">
        <v>501</v>
      </c>
      <c r="AR93" s="135">
        <f>AR$3</f>
        <v>46186</v>
      </c>
      <c r="AS93" s="136" t="s">
        <v>501</v>
      </c>
      <c r="AT93" s="137" t="s">
        <v>501</v>
      </c>
      <c r="AU93" s="135"/>
      <c r="AV93" s="135">
        <f>AV$3</f>
        <v>46188</v>
      </c>
      <c r="AW93" s="148" t="s">
        <v>501</v>
      </c>
      <c r="AX93" s="137" t="s">
        <v>501</v>
      </c>
      <c r="AY93" s="135">
        <f>AY$3</f>
        <v>46189</v>
      </c>
      <c r="AZ93" s="136" t="s">
        <v>501</v>
      </c>
      <c r="BA93" s="137" t="s">
        <v>501</v>
      </c>
      <c r="BB93" s="135">
        <f>BB$3</f>
        <v>46190</v>
      </c>
      <c r="BC93" s="136" t="s">
        <v>501</v>
      </c>
      <c r="BD93" s="137" t="s">
        <v>501</v>
      </c>
      <c r="BE93" s="135">
        <f>BE$3</f>
        <v>46191</v>
      </c>
      <c r="BF93" s="136" t="s">
        <v>501</v>
      </c>
      <c r="BG93" s="137" t="s">
        <v>501</v>
      </c>
      <c r="BH93" s="135">
        <f>BH$3</f>
        <v>46192</v>
      </c>
      <c r="BI93" s="136" t="s">
        <v>501</v>
      </c>
      <c r="BJ93" s="137" t="s">
        <v>501</v>
      </c>
      <c r="BK93" s="135">
        <f>BK$3</f>
        <v>46193</v>
      </c>
      <c r="BL93" s="136" t="s">
        <v>501</v>
      </c>
      <c r="BM93" s="137" t="s">
        <v>501</v>
      </c>
      <c r="BN93" s="135"/>
      <c r="BO93" s="135">
        <f>BO$3</f>
        <v>46195</v>
      </c>
      <c r="BP93" s="136" t="s">
        <v>501</v>
      </c>
      <c r="BQ93" s="137" t="s">
        <v>501</v>
      </c>
      <c r="BR93" s="135">
        <f>BR$3</f>
        <v>46196</v>
      </c>
      <c r="BS93" s="136" t="s">
        <v>501</v>
      </c>
      <c r="BT93" s="137" t="s">
        <v>501</v>
      </c>
      <c r="BU93" s="135">
        <f>BU$3</f>
        <v>46197</v>
      </c>
      <c r="BV93" s="136" t="s">
        <v>501</v>
      </c>
      <c r="BW93" s="137" t="s">
        <v>501</v>
      </c>
      <c r="BX93" s="135">
        <f>BX$3</f>
        <v>46198</v>
      </c>
      <c r="BY93" s="136" t="s">
        <v>501</v>
      </c>
      <c r="BZ93" s="137" t="s">
        <v>501</v>
      </c>
      <c r="CA93" s="135">
        <f>CA$3</f>
        <v>46199</v>
      </c>
      <c r="CB93" s="136" t="s">
        <v>501</v>
      </c>
      <c r="CC93" s="137" t="s">
        <v>501</v>
      </c>
      <c r="CD93" s="135">
        <f>CD$3</f>
        <v>46200</v>
      </c>
      <c r="CE93" s="136" t="s">
        <v>501</v>
      </c>
      <c r="CF93" s="137" t="s">
        <v>501</v>
      </c>
      <c r="CG93" s="135"/>
      <c r="CH93" s="135">
        <f>CH$3</f>
        <v>46202</v>
      </c>
      <c r="CI93" s="148" t="s">
        <v>501</v>
      </c>
      <c r="CJ93" s="137" t="s">
        <v>501</v>
      </c>
      <c r="CK93" s="135">
        <f>CK$3</f>
        <v>46203</v>
      </c>
      <c r="CL93" s="136" t="s">
        <v>501</v>
      </c>
      <c r="CM93" s="137" t="s">
        <v>501</v>
      </c>
      <c r="CN93" s="135">
        <f>CN$3</f>
        <v>46204</v>
      </c>
      <c r="CO93" s="136" t="s">
        <v>501</v>
      </c>
      <c r="CP93" s="137" t="s">
        <v>501</v>
      </c>
      <c r="CQ93" s="135">
        <f>CQ$3</f>
        <v>46205</v>
      </c>
      <c r="CR93" s="136" t="s">
        <v>501</v>
      </c>
      <c r="CS93" s="137" t="s">
        <v>501</v>
      </c>
      <c r="CT93" s="135">
        <f>CT$3</f>
        <v>46206</v>
      </c>
      <c r="CU93" s="136" t="s">
        <v>501</v>
      </c>
      <c r="CV93" s="137" t="s">
        <v>501</v>
      </c>
      <c r="CW93" s="135">
        <f>CW$3</f>
        <v>46207</v>
      </c>
      <c r="CX93" s="136" t="s">
        <v>501</v>
      </c>
      <c r="CY93" s="137" t="s">
        <v>501</v>
      </c>
      <c r="CZ93" s="135"/>
      <c r="DA93" s="135">
        <f>DA$3</f>
        <v>46209</v>
      </c>
      <c r="DB93" s="136" t="s">
        <v>501</v>
      </c>
      <c r="DC93" s="137" t="s">
        <v>501</v>
      </c>
      <c r="DD93" s="135">
        <f>DD$3</f>
        <v>46210</v>
      </c>
      <c r="DE93" s="136" t="s">
        <v>501</v>
      </c>
      <c r="DF93" s="137" t="s">
        <v>501</v>
      </c>
      <c r="DG93" s="135">
        <f>DG$3</f>
        <v>46211</v>
      </c>
      <c r="DH93" s="136" t="s">
        <v>501</v>
      </c>
      <c r="DI93" s="137" t="s">
        <v>501</v>
      </c>
      <c r="DJ93" s="135">
        <f>DJ$3</f>
        <v>46212</v>
      </c>
      <c r="DK93" s="136" t="s">
        <v>501</v>
      </c>
      <c r="DL93" s="137" t="s">
        <v>501</v>
      </c>
      <c r="DM93" s="135">
        <f>DM$3</f>
        <v>46213</v>
      </c>
      <c r="DN93" s="136" t="s">
        <v>501</v>
      </c>
      <c r="DO93" s="137" t="s">
        <v>501</v>
      </c>
      <c r="DP93" s="135">
        <f>DP$3</f>
        <v>46214</v>
      </c>
      <c r="DQ93" s="136" t="s">
        <v>501</v>
      </c>
      <c r="DR93" s="137" t="s">
        <v>501</v>
      </c>
    </row>
    <row r="94" spans="1:122" outlineLevel="1">
      <c r="A94" s="171" t="str">
        <f>$A$80</f>
        <v>Nguyễn Hải Nam</v>
      </c>
      <c r="B94" s="172" t="str">
        <f>'Bảng 3'!A224</f>
        <v>3.N.DSHCMCG.STA.201</v>
      </c>
      <c r="C94" s="28" t="str">
        <f>IF($B94="","",INDEX('Bảng 3'!C:C,MATCH($B94,'Bảng 3'!$A:$A,0)))</f>
        <v>Quản lý BIM</v>
      </c>
      <c r="D94" s="28" t="str">
        <f>IF($B94="","",INDEX('Bảng 3'!D:D,MATCH($B94,'Bảng 3'!$A:$A,0)))</f>
        <v>N.DSHCMCG.STA</v>
      </c>
      <c r="E94" s="81" t="str">
        <f>IF($B94="","",INDEX('Bảng 3'!E:E,MATCH($B94,'Bảng 3'!$A:$A,0)))</f>
        <v>Nhà Ga Bến Thành</v>
      </c>
      <c r="F94" s="81" t="str">
        <f>IF($B94="","",INDEX('Bảng 3'!F:F,MATCH($B94,'Bảng 3'!$A:$A,0)))</f>
        <v>KC</v>
      </c>
      <c r="G94" s="81" t="str">
        <f>IF($B94="","",INDEX('Bảng 3'!G:G,MATCH($B94,'Bảng 3'!$A:$A,0)))</f>
        <v>KSCL mô hình BIM</v>
      </c>
      <c r="H94" s="121"/>
      <c r="I94" s="135"/>
      <c r="J94" s="135">
        <f>J$3</f>
        <v>46174</v>
      </c>
      <c r="K94" s="148" t="s">
        <v>501</v>
      </c>
      <c r="L94" s="168" t="s">
        <v>501</v>
      </c>
      <c r="M94" s="135">
        <f>M$3</f>
        <v>46175</v>
      </c>
      <c r="N94" s="148"/>
      <c r="O94" s="137"/>
      <c r="P94" s="135">
        <f>P$3</f>
        <v>46176</v>
      </c>
      <c r="Q94" s="136" t="s">
        <v>501</v>
      </c>
      <c r="R94" s="137" t="s">
        <v>501</v>
      </c>
      <c r="S94" s="135">
        <f>S$3</f>
        <v>46177</v>
      </c>
      <c r="T94" s="136" t="s">
        <v>501</v>
      </c>
      <c r="U94" s="137" t="s">
        <v>501</v>
      </c>
      <c r="V94" s="135">
        <f>V$3</f>
        <v>46178</v>
      </c>
      <c r="W94" s="136" t="s">
        <v>501</v>
      </c>
      <c r="X94" s="137" t="s">
        <v>501</v>
      </c>
      <c r="Y94" s="135">
        <f>Y$3</f>
        <v>46179</v>
      </c>
      <c r="Z94" s="136" t="s">
        <v>501</v>
      </c>
      <c r="AA94" s="137" t="s">
        <v>501</v>
      </c>
      <c r="AB94" s="135"/>
      <c r="AC94" s="135">
        <f>AC$3</f>
        <v>46181</v>
      </c>
      <c r="AD94" s="136" t="s">
        <v>501</v>
      </c>
      <c r="AE94" s="137" t="s">
        <v>501</v>
      </c>
      <c r="AF94" s="135">
        <f>AF$3</f>
        <v>46182</v>
      </c>
      <c r="AG94" s="136" t="s">
        <v>501</v>
      </c>
      <c r="AH94" s="137" t="s">
        <v>501</v>
      </c>
      <c r="AI94" s="135">
        <f>AI$3</f>
        <v>46183</v>
      </c>
      <c r="AJ94" s="136" t="s">
        <v>501</v>
      </c>
      <c r="AK94" s="137" t="s">
        <v>501</v>
      </c>
      <c r="AL94" s="135">
        <f>AL$3</f>
        <v>46184</v>
      </c>
      <c r="AM94" s="136" t="s">
        <v>501</v>
      </c>
      <c r="AN94" s="137" t="s">
        <v>501</v>
      </c>
      <c r="AO94" s="135">
        <f>AO$3</f>
        <v>46185</v>
      </c>
      <c r="AP94" s="136" t="s">
        <v>501</v>
      </c>
      <c r="AQ94" s="137" t="s">
        <v>501</v>
      </c>
      <c r="AR94" s="135">
        <f>AR$3</f>
        <v>46186</v>
      </c>
      <c r="AS94" s="136" t="s">
        <v>501</v>
      </c>
      <c r="AT94" s="137" t="s">
        <v>501</v>
      </c>
      <c r="AU94" s="135"/>
      <c r="AV94" s="135">
        <f>AV$3</f>
        <v>46188</v>
      </c>
      <c r="AW94" s="148" t="s">
        <v>501</v>
      </c>
      <c r="AX94" s="137" t="s">
        <v>501</v>
      </c>
      <c r="AY94" s="135">
        <f>AY$3</f>
        <v>46189</v>
      </c>
      <c r="AZ94" s="136" t="s">
        <v>501</v>
      </c>
      <c r="BA94" s="137" t="s">
        <v>501</v>
      </c>
      <c r="BB94" s="135">
        <f>BB$3</f>
        <v>46190</v>
      </c>
      <c r="BC94" s="136" t="s">
        <v>501</v>
      </c>
      <c r="BD94" s="137" t="s">
        <v>501</v>
      </c>
      <c r="BE94" s="135">
        <f>BE$3</f>
        <v>46191</v>
      </c>
      <c r="BF94" s="136" t="s">
        <v>501</v>
      </c>
      <c r="BG94" s="137" t="s">
        <v>501</v>
      </c>
      <c r="BH94" s="135">
        <f>BH$3</f>
        <v>46192</v>
      </c>
      <c r="BI94" s="136" t="s">
        <v>501</v>
      </c>
      <c r="BJ94" s="137" t="s">
        <v>501</v>
      </c>
      <c r="BK94" s="135">
        <f>BK$3</f>
        <v>46193</v>
      </c>
      <c r="BL94" s="136" t="s">
        <v>501</v>
      </c>
      <c r="BM94" s="137" t="s">
        <v>501</v>
      </c>
      <c r="BN94" s="135"/>
      <c r="BO94" s="135">
        <f>BO$3</f>
        <v>46195</v>
      </c>
      <c r="BP94" s="136" t="s">
        <v>501</v>
      </c>
      <c r="BQ94" s="137" t="s">
        <v>501</v>
      </c>
      <c r="BR94" s="135">
        <f>BR$3</f>
        <v>46196</v>
      </c>
      <c r="BS94" s="136" t="s">
        <v>501</v>
      </c>
      <c r="BT94" s="137" t="s">
        <v>501</v>
      </c>
      <c r="BU94" s="135">
        <f>BU$3</f>
        <v>46197</v>
      </c>
      <c r="BV94" s="136" t="s">
        <v>501</v>
      </c>
      <c r="BW94" s="137" t="s">
        <v>501</v>
      </c>
      <c r="BX94" s="135">
        <f>BX$3</f>
        <v>46198</v>
      </c>
      <c r="BY94" s="136" t="s">
        <v>501</v>
      </c>
      <c r="BZ94" s="137" t="s">
        <v>501</v>
      </c>
      <c r="CA94" s="135">
        <f>CA$3</f>
        <v>46199</v>
      </c>
      <c r="CB94" s="136" t="s">
        <v>501</v>
      </c>
      <c r="CC94" s="137" t="s">
        <v>501</v>
      </c>
      <c r="CD94" s="135">
        <f>CD$3</f>
        <v>46200</v>
      </c>
      <c r="CE94" s="136" t="s">
        <v>501</v>
      </c>
      <c r="CF94" s="137" t="s">
        <v>501</v>
      </c>
      <c r="CG94" s="135"/>
      <c r="CH94" s="135">
        <f>CH$3</f>
        <v>46202</v>
      </c>
      <c r="CI94" s="148" t="s">
        <v>501</v>
      </c>
      <c r="CJ94" s="137" t="s">
        <v>501</v>
      </c>
      <c r="CK94" s="135">
        <f>CK$3</f>
        <v>46203</v>
      </c>
      <c r="CL94" s="136" t="s">
        <v>501</v>
      </c>
      <c r="CM94" s="137" t="s">
        <v>501</v>
      </c>
      <c r="CN94" s="135">
        <f>CN$3</f>
        <v>46204</v>
      </c>
      <c r="CO94" s="136" t="s">
        <v>501</v>
      </c>
      <c r="CP94" s="137" t="s">
        <v>501</v>
      </c>
      <c r="CQ94" s="135">
        <f>CQ$3</f>
        <v>46205</v>
      </c>
      <c r="CR94" s="136" t="s">
        <v>501</v>
      </c>
      <c r="CS94" s="137" t="s">
        <v>501</v>
      </c>
      <c r="CT94" s="135">
        <f>CT$3</f>
        <v>46206</v>
      </c>
      <c r="CU94" s="136" t="s">
        <v>501</v>
      </c>
      <c r="CV94" s="137" t="s">
        <v>501</v>
      </c>
      <c r="CW94" s="135">
        <f>CW$3</f>
        <v>46207</v>
      </c>
      <c r="CX94" s="136" t="s">
        <v>501</v>
      </c>
      <c r="CY94" s="137" t="s">
        <v>501</v>
      </c>
      <c r="CZ94" s="135"/>
      <c r="DA94" s="135">
        <f>DA$3</f>
        <v>46209</v>
      </c>
      <c r="DB94" s="136" t="s">
        <v>501</v>
      </c>
      <c r="DC94" s="137" t="s">
        <v>501</v>
      </c>
      <c r="DD94" s="135">
        <f>DD$3</f>
        <v>46210</v>
      </c>
      <c r="DE94" s="136" t="s">
        <v>501</v>
      </c>
      <c r="DF94" s="137" t="s">
        <v>501</v>
      </c>
      <c r="DG94" s="135">
        <f>DG$3</f>
        <v>46211</v>
      </c>
      <c r="DH94" s="136" t="s">
        <v>501</v>
      </c>
      <c r="DI94" s="137" t="s">
        <v>501</v>
      </c>
      <c r="DJ94" s="135">
        <f>DJ$3</f>
        <v>46212</v>
      </c>
      <c r="DK94" s="136" t="s">
        <v>501</v>
      </c>
      <c r="DL94" s="137" t="s">
        <v>501</v>
      </c>
      <c r="DM94" s="135">
        <f>DM$3</f>
        <v>46213</v>
      </c>
      <c r="DN94" s="136" t="s">
        <v>501</v>
      </c>
      <c r="DO94" s="137" t="s">
        <v>501</v>
      </c>
      <c r="DP94" s="135">
        <f>DP$3</f>
        <v>46214</v>
      </c>
      <c r="DQ94" s="136" t="s">
        <v>501</v>
      </c>
      <c r="DR94" s="137" t="s">
        <v>501</v>
      </c>
    </row>
    <row r="95" spans="1:122" outlineLevel="1">
      <c r="A95" s="122" t="str">
        <f>$A$80</f>
        <v>Nguyễn Hải Nam</v>
      </c>
      <c r="B95" s="172" t="str">
        <f>'Bảng 3'!A275</f>
        <v>3.N.HCM.CGIO.KSMN.103</v>
      </c>
      <c r="C95" s="173" t="str">
        <f>IF($B95="","",INDEX('Bảng 3'!C:C,MATCH($B95,'Bảng 3'!$A:$A,0)))</f>
        <v>Quản lý BIM</v>
      </c>
      <c r="D95" s="173" t="str">
        <f>IF($B95="","",INDEX('Bảng 3'!D:D,MATCH($B95,'Bảng 3'!$A:$A,0)))</f>
        <v>N.HCM.CGIO.KSMN</v>
      </c>
      <c r="E95" s="81" t="str">
        <f>IF($B95="","",INDEX('Bảng 3'!E:E,MATCH($B95,'Bảng 3'!$A:$A,0)))</f>
        <v>Lô A5.01.02, mẫu M4G, M9, M9G</v>
      </c>
      <c r="F95" s="81" t="str">
        <f>IF($B95="","",INDEX('Bảng 3'!F:F,MATCH($B95,'Bảng 3'!$A:$A,0)))</f>
        <v>KT</v>
      </c>
      <c r="G95" s="81" t="str">
        <f>IF($B95="","",INDEX('Bảng 3'!G:G,MATCH($B95,'Bảng 3'!$A:$A,0)))</f>
        <v>KSCL mô hình BIM</v>
      </c>
      <c r="H95" s="121"/>
      <c r="I95" s="135"/>
      <c r="J95" s="135">
        <f>J$3</f>
        <v>46174</v>
      </c>
      <c r="K95" s="148" t="s">
        <v>501</v>
      </c>
      <c r="L95" s="168" t="s">
        <v>501</v>
      </c>
      <c r="M95" s="135">
        <f>M$3</f>
        <v>46175</v>
      </c>
      <c r="N95" s="148" t="s">
        <v>501</v>
      </c>
      <c r="O95" s="137" t="s">
        <v>501</v>
      </c>
      <c r="P95" s="135">
        <f>P$3</f>
        <v>46176</v>
      </c>
      <c r="Q95" s="136" t="s">
        <v>501</v>
      </c>
      <c r="R95" s="137" t="s">
        <v>501</v>
      </c>
      <c r="S95" s="135">
        <f>S$3</f>
        <v>46177</v>
      </c>
      <c r="T95" s="136" t="s">
        <v>501</v>
      </c>
      <c r="U95" s="137" t="s">
        <v>501</v>
      </c>
      <c r="V95" s="135">
        <f>V$3</f>
        <v>46178</v>
      </c>
      <c r="W95" s="136" t="s">
        <v>501</v>
      </c>
      <c r="X95" s="137" t="s">
        <v>501</v>
      </c>
      <c r="Y95" s="135">
        <f>Y$3</f>
        <v>46179</v>
      </c>
      <c r="Z95" s="136" t="s">
        <v>501</v>
      </c>
      <c r="AA95" s="137" t="s">
        <v>501</v>
      </c>
      <c r="AB95" s="135"/>
      <c r="AC95" s="135">
        <f>AC$3</f>
        <v>46181</v>
      </c>
      <c r="AD95" s="136" t="s">
        <v>501</v>
      </c>
      <c r="AE95" s="137" t="s">
        <v>501</v>
      </c>
      <c r="AF95" s="135">
        <f>AF$3</f>
        <v>46182</v>
      </c>
      <c r="AG95" s="136" t="s">
        <v>501</v>
      </c>
      <c r="AH95" s="137" t="s">
        <v>501</v>
      </c>
      <c r="AI95" s="135">
        <f>AI$3</f>
        <v>46183</v>
      </c>
      <c r="AJ95" s="136" t="s">
        <v>501</v>
      </c>
      <c r="AK95" s="137" t="s">
        <v>501</v>
      </c>
      <c r="AL95" s="135">
        <f>AL$3</f>
        <v>46184</v>
      </c>
      <c r="AM95" s="136" t="s">
        <v>501</v>
      </c>
      <c r="AN95" s="137" t="s">
        <v>501</v>
      </c>
      <c r="AO95" s="135">
        <f>AO$3</f>
        <v>46185</v>
      </c>
      <c r="AP95" s="136" t="s">
        <v>501</v>
      </c>
      <c r="AQ95" s="137" t="s">
        <v>501</v>
      </c>
      <c r="AR95" s="135">
        <f>AR$3</f>
        <v>46186</v>
      </c>
      <c r="AS95" s="136" t="s">
        <v>501</v>
      </c>
      <c r="AT95" s="137" t="s">
        <v>501</v>
      </c>
      <c r="AU95" s="135"/>
      <c r="AV95" s="135">
        <f>AV$3</f>
        <v>46188</v>
      </c>
      <c r="AW95" s="148" t="s">
        <v>501</v>
      </c>
      <c r="AX95" s="137" t="s">
        <v>501</v>
      </c>
      <c r="AY95" s="135">
        <f>AY$3</f>
        <v>46189</v>
      </c>
      <c r="AZ95" s="136" t="s">
        <v>501</v>
      </c>
      <c r="BA95" s="137" t="s">
        <v>501</v>
      </c>
      <c r="BB95" s="135">
        <f>BB$3</f>
        <v>46190</v>
      </c>
      <c r="BC95" s="136" t="s">
        <v>501</v>
      </c>
      <c r="BD95" s="137" t="s">
        <v>501</v>
      </c>
      <c r="BE95" s="135">
        <f>BE$3</f>
        <v>46191</v>
      </c>
      <c r="BF95" s="136" t="s">
        <v>501</v>
      </c>
      <c r="BG95" s="137" t="s">
        <v>501</v>
      </c>
      <c r="BH95" s="135">
        <f>BH$3</f>
        <v>46192</v>
      </c>
      <c r="BI95" s="136" t="s">
        <v>501</v>
      </c>
      <c r="BJ95" s="137" t="s">
        <v>501</v>
      </c>
      <c r="BK95" s="135">
        <f>BK$3</f>
        <v>46193</v>
      </c>
      <c r="BL95" s="136" t="s">
        <v>501</v>
      </c>
      <c r="BM95" s="137" t="s">
        <v>501</v>
      </c>
      <c r="BN95" s="135"/>
      <c r="BO95" s="135">
        <f>BO$3</f>
        <v>46195</v>
      </c>
      <c r="BP95" s="136" t="s">
        <v>501</v>
      </c>
      <c r="BQ95" s="137" t="s">
        <v>501</v>
      </c>
      <c r="BR95" s="135">
        <f>BR$3</f>
        <v>46196</v>
      </c>
      <c r="BS95" s="136" t="s">
        <v>501</v>
      </c>
      <c r="BT95" s="137" t="s">
        <v>501</v>
      </c>
      <c r="BU95" s="135">
        <f>BU$3</f>
        <v>46197</v>
      </c>
      <c r="BV95" s="136" t="s">
        <v>501</v>
      </c>
      <c r="BW95" s="137" t="s">
        <v>501</v>
      </c>
      <c r="BX95" s="135">
        <f>BX$3</f>
        <v>46198</v>
      </c>
      <c r="BY95" s="136" t="s">
        <v>501</v>
      </c>
      <c r="BZ95" s="137" t="s">
        <v>501</v>
      </c>
      <c r="CA95" s="135">
        <f>CA$3</f>
        <v>46199</v>
      </c>
      <c r="CB95" s="136" t="s">
        <v>501</v>
      </c>
      <c r="CC95" s="137" t="s">
        <v>501</v>
      </c>
      <c r="CD95" s="135">
        <f>CD$3</f>
        <v>46200</v>
      </c>
      <c r="CE95" s="136" t="s">
        <v>501</v>
      </c>
      <c r="CF95" s="137" t="s">
        <v>501</v>
      </c>
      <c r="CG95" s="135"/>
      <c r="CH95" s="135">
        <f>CH$3</f>
        <v>46202</v>
      </c>
      <c r="CI95" s="148" t="s">
        <v>501</v>
      </c>
      <c r="CJ95" s="137" t="s">
        <v>501</v>
      </c>
      <c r="CK95" s="135">
        <f>CK$3</f>
        <v>46203</v>
      </c>
      <c r="CL95" s="136" t="s">
        <v>501</v>
      </c>
      <c r="CM95" s="137" t="s">
        <v>501</v>
      </c>
      <c r="CN95" s="135">
        <f>CN$3</f>
        <v>46204</v>
      </c>
      <c r="CO95" s="136" t="s">
        <v>501</v>
      </c>
      <c r="CP95" s="137" t="s">
        <v>501</v>
      </c>
      <c r="CQ95" s="135">
        <f>CQ$3</f>
        <v>46205</v>
      </c>
      <c r="CR95" s="136" t="s">
        <v>501</v>
      </c>
      <c r="CS95" s="137" t="s">
        <v>501</v>
      </c>
      <c r="CT95" s="135">
        <f>CT$3</f>
        <v>46206</v>
      </c>
      <c r="CU95" s="136" t="s">
        <v>501</v>
      </c>
      <c r="CV95" s="137" t="s">
        <v>501</v>
      </c>
      <c r="CW95" s="135">
        <f>CW$3</f>
        <v>46207</v>
      </c>
      <c r="CX95" s="136" t="s">
        <v>501</v>
      </c>
      <c r="CY95" s="137" t="s">
        <v>501</v>
      </c>
      <c r="CZ95" s="135"/>
      <c r="DA95" s="135">
        <f>DA$3</f>
        <v>46209</v>
      </c>
      <c r="DB95" s="136" t="s">
        <v>501</v>
      </c>
      <c r="DC95" s="137" t="s">
        <v>501</v>
      </c>
      <c r="DD95" s="135">
        <f>DD$3</f>
        <v>46210</v>
      </c>
      <c r="DE95" s="136" t="s">
        <v>501</v>
      </c>
      <c r="DF95" s="137" t="s">
        <v>501</v>
      </c>
      <c r="DG95" s="135">
        <f>DG$3</f>
        <v>46211</v>
      </c>
      <c r="DH95" s="136" t="s">
        <v>501</v>
      </c>
      <c r="DI95" s="137" t="s">
        <v>501</v>
      </c>
      <c r="DJ95" s="135">
        <f>DJ$3</f>
        <v>46212</v>
      </c>
      <c r="DK95" s="136" t="s">
        <v>501</v>
      </c>
      <c r="DL95" s="137" t="s">
        <v>501</v>
      </c>
      <c r="DM95" s="135">
        <f>DM$3</f>
        <v>46213</v>
      </c>
      <c r="DN95" s="136" t="s">
        <v>501</v>
      </c>
      <c r="DO95" s="137" t="s">
        <v>501</v>
      </c>
      <c r="DP95" s="135">
        <f>DP$3</f>
        <v>46214</v>
      </c>
      <c r="DQ95" s="136" t="s">
        <v>501</v>
      </c>
      <c r="DR95" s="137" t="s">
        <v>501</v>
      </c>
    </row>
    <row r="96" spans="1:122" outlineLevel="1">
      <c r="A96" s="171" t="str">
        <f>$A$80</f>
        <v>Nguyễn Hải Nam</v>
      </c>
      <c r="B96" s="172" t="str">
        <f>'Bảng 3'!A277</f>
        <v>3.N.HCM.CGIO.KSMN.202</v>
      </c>
      <c r="C96" s="28" t="str">
        <f>IF($B96="","",INDEX('Bảng 3'!C:C,MATCH($B96,'Bảng 3'!$A:$A,0)))</f>
        <v>Quản lý BIM</v>
      </c>
      <c r="D96" s="28" t="str">
        <f>IF($B96="","",INDEX('Bảng 3'!D:D,MATCH($B96,'Bảng 3'!$A:$A,0)))</f>
        <v>N.HCM.CGIO.KSMN</v>
      </c>
      <c r="E96" s="81" t="str">
        <f>IF($B96="","",INDEX('Bảng 3'!E:E,MATCH($B96,'Bảng 3'!$A:$A,0)))</f>
        <v>Lô A5.01.02, mẫu M4G, M9, M9G</v>
      </c>
      <c r="F96" s="81" t="str">
        <f>IF($B96="","",INDEX('Bảng 3'!F:F,MATCH($B96,'Bảng 3'!$A:$A,0)))</f>
        <v>KC</v>
      </c>
      <c r="G96" s="81" t="str">
        <f>IF($B96="","",INDEX('Bảng 3'!G:G,MATCH($B96,'Bảng 3'!$A:$A,0)))</f>
        <v>KSCL mô hình BIM</v>
      </c>
      <c r="H96" s="121"/>
      <c r="I96" s="135"/>
      <c r="J96" s="135">
        <f>J$3</f>
        <v>46174</v>
      </c>
      <c r="K96" s="148" t="s">
        <v>501</v>
      </c>
      <c r="L96" s="168" t="s">
        <v>501</v>
      </c>
      <c r="M96" s="135">
        <f>M$3</f>
        <v>46175</v>
      </c>
      <c r="N96" s="148"/>
      <c r="O96" s="137"/>
      <c r="P96" s="135">
        <f>P$3</f>
        <v>46176</v>
      </c>
      <c r="Q96" s="136" t="s">
        <v>501</v>
      </c>
      <c r="R96" s="137" t="s">
        <v>501</v>
      </c>
      <c r="S96" s="135">
        <f>S$3</f>
        <v>46177</v>
      </c>
      <c r="T96" s="136" t="s">
        <v>501</v>
      </c>
      <c r="U96" s="137" t="s">
        <v>501</v>
      </c>
      <c r="V96" s="135">
        <f>V$3</f>
        <v>46178</v>
      </c>
      <c r="W96" s="136" t="s">
        <v>501</v>
      </c>
      <c r="X96" s="137" t="s">
        <v>501</v>
      </c>
      <c r="Y96" s="135">
        <f>Y$3</f>
        <v>46179</v>
      </c>
      <c r="Z96" s="136" t="s">
        <v>501</v>
      </c>
      <c r="AA96" s="137" t="s">
        <v>501</v>
      </c>
      <c r="AB96" s="135"/>
      <c r="AC96" s="135">
        <f>AC$3</f>
        <v>46181</v>
      </c>
      <c r="AD96" s="136" t="s">
        <v>501</v>
      </c>
      <c r="AE96" s="137" t="s">
        <v>501</v>
      </c>
      <c r="AF96" s="135">
        <f>AF$3</f>
        <v>46182</v>
      </c>
      <c r="AG96" s="136" t="s">
        <v>501</v>
      </c>
      <c r="AH96" s="137" t="s">
        <v>501</v>
      </c>
      <c r="AI96" s="135">
        <f>AI$3</f>
        <v>46183</v>
      </c>
      <c r="AJ96" s="136" t="s">
        <v>501</v>
      </c>
      <c r="AK96" s="137" t="s">
        <v>501</v>
      </c>
      <c r="AL96" s="135">
        <f>AL$3</f>
        <v>46184</v>
      </c>
      <c r="AM96" s="136" t="s">
        <v>501</v>
      </c>
      <c r="AN96" s="137" t="s">
        <v>501</v>
      </c>
      <c r="AO96" s="135">
        <f>AO$3</f>
        <v>46185</v>
      </c>
      <c r="AP96" s="136" t="s">
        <v>501</v>
      </c>
      <c r="AQ96" s="137" t="s">
        <v>501</v>
      </c>
      <c r="AR96" s="135">
        <f>AR$3</f>
        <v>46186</v>
      </c>
      <c r="AS96" s="136" t="s">
        <v>501</v>
      </c>
      <c r="AT96" s="137" t="s">
        <v>501</v>
      </c>
      <c r="AU96" s="135"/>
      <c r="AV96" s="135">
        <f>AV$3</f>
        <v>46188</v>
      </c>
      <c r="AW96" s="148" t="s">
        <v>501</v>
      </c>
      <c r="AX96" s="137" t="s">
        <v>501</v>
      </c>
      <c r="AY96" s="135">
        <f>AY$3</f>
        <v>46189</v>
      </c>
      <c r="AZ96" s="136" t="s">
        <v>501</v>
      </c>
      <c r="BA96" s="137" t="s">
        <v>501</v>
      </c>
      <c r="BB96" s="135">
        <f>BB$3</f>
        <v>46190</v>
      </c>
      <c r="BC96" s="136" t="s">
        <v>501</v>
      </c>
      <c r="BD96" s="137" t="s">
        <v>501</v>
      </c>
      <c r="BE96" s="135">
        <f>BE$3</f>
        <v>46191</v>
      </c>
      <c r="BF96" s="136" t="s">
        <v>501</v>
      </c>
      <c r="BG96" s="137" t="s">
        <v>501</v>
      </c>
      <c r="BH96" s="135">
        <f>BH$3</f>
        <v>46192</v>
      </c>
      <c r="BI96" s="136" t="s">
        <v>501</v>
      </c>
      <c r="BJ96" s="137" t="s">
        <v>501</v>
      </c>
      <c r="BK96" s="135">
        <f>BK$3</f>
        <v>46193</v>
      </c>
      <c r="BL96" s="136" t="s">
        <v>501</v>
      </c>
      <c r="BM96" s="137" t="s">
        <v>501</v>
      </c>
      <c r="BN96" s="135"/>
      <c r="BO96" s="135">
        <f>BO$3</f>
        <v>46195</v>
      </c>
      <c r="BP96" s="136" t="s">
        <v>501</v>
      </c>
      <c r="BQ96" s="137" t="s">
        <v>501</v>
      </c>
      <c r="BR96" s="135">
        <f>BR$3</f>
        <v>46196</v>
      </c>
      <c r="BS96" s="136" t="s">
        <v>501</v>
      </c>
      <c r="BT96" s="137" t="s">
        <v>501</v>
      </c>
      <c r="BU96" s="135">
        <f>BU$3</f>
        <v>46197</v>
      </c>
      <c r="BV96" s="136" t="s">
        <v>501</v>
      </c>
      <c r="BW96" s="137" t="s">
        <v>501</v>
      </c>
      <c r="BX96" s="135">
        <f>BX$3</f>
        <v>46198</v>
      </c>
      <c r="BY96" s="136" t="s">
        <v>501</v>
      </c>
      <c r="BZ96" s="137" t="s">
        <v>501</v>
      </c>
      <c r="CA96" s="135">
        <f>CA$3</f>
        <v>46199</v>
      </c>
      <c r="CB96" s="136" t="s">
        <v>501</v>
      </c>
      <c r="CC96" s="137" t="s">
        <v>501</v>
      </c>
      <c r="CD96" s="135">
        <f>CD$3</f>
        <v>46200</v>
      </c>
      <c r="CE96" s="136" t="s">
        <v>501</v>
      </c>
      <c r="CF96" s="137" t="s">
        <v>501</v>
      </c>
      <c r="CG96" s="135"/>
      <c r="CH96" s="135">
        <f>CH$3</f>
        <v>46202</v>
      </c>
      <c r="CI96" s="148" t="s">
        <v>501</v>
      </c>
      <c r="CJ96" s="137" t="s">
        <v>501</v>
      </c>
      <c r="CK96" s="135">
        <f>CK$3</f>
        <v>46203</v>
      </c>
      <c r="CL96" s="136" t="s">
        <v>501</v>
      </c>
      <c r="CM96" s="137" t="s">
        <v>501</v>
      </c>
      <c r="CN96" s="135">
        <f>CN$3</f>
        <v>46204</v>
      </c>
      <c r="CO96" s="136" t="s">
        <v>501</v>
      </c>
      <c r="CP96" s="137" t="s">
        <v>501</v>
      </c>
      <c r="CQ96" s="135">
        <f>CQ$3</f>
        <v>46205</v>
      </c>
      <c r="CR96" s="136" t="s">
        <v>501</v>
      </c>
      <c r="CS96" s="137" t="s">
        <v>501</v>
      </c>
      <c r="CT96" s="135">
        <f>CT$3</f>
        <v>46206</v>
      </c>
      <c r="CU96" s="136" t="s">
        <v>501</v>
      </c>
      <c r="CV96" s="137" t="s">
        <v>501</v>
      </c>
      <c r="CW96" s="135">
        <f>CW$3</f>
        <v>46207</v>
      </c>
      <c r="CX96" s="136" t="s">
        <v>501</v>
      </c>
      <c r="CY96" s="137" t="s">
        <v>501</v>
      </c>
      <c r="CZ96" s="135"/>
      <c r="DA96" s="135">
        <f>DA$3</f>
        <v>46209</v>
      </c>
      <c r="DB96" s="136" t="s">
        <v>501</v>
      </c>
      <c r="DC96" s="137" t="s">
        <v>501</v>
      </c>
      <c r="DD96" s="135">
        <f>DD$3</f>
        <v>46210</v>
      </c>
      <c r="DE96" s="136" t="s">
        <v>501</v>
      </c>
      <c r="DF96" s="137" t="s">
        <v>501</v>
      </c>
      <c r="DG96" s="135">
        <f>DG$3</f>
        <v>46211</v>
      </c>
      <c r="DH96" s="136" t="s">
        <v>501</v>
      </c>
      <c r="DI96" s="137" t="s">
        <v>501</v>
      </c>
      <c r="DJ96" s="135">
        <f>DJ$3</f>
        <v>46212</v>
      </c>
      <c r="DK96" s="136" t="s">
        <v>501</v>
      </c>
      <c r="DL96" s="137" t="s">
        <v>501</v>
      </c>
      <c r="DM96" s="135">
        <f>DM$3</f>
        <v>46213</v>
      </c>
      <c r="DN96" s="136" t="s">
        <v>501</v>
      </c>
      <c r="DO96" s="137" t="s">
        <v>501</v>
      </c>
      <c r="DP96" s="135">
        <f>DP$3</f>
        <v>46214</v>
      </c>
      <c r="DQ96" s="136" t="s">
        <v>501</v>
      </c>
      <c r="DR96" s="137" t="s">
        <v>501</v>
      </c>
    </row>
    <row r="97" spans="1:122" outlineLevel="1">
      <c r="A97" s="122" t="str">
        <f>$A$80</f>
        <v>Nguyễn Hải Nam</v>
      </c>
      <c r="B97" s="172" t="str">
        <f>'Bảng 3'!A307</f>
        <v>3.N.HCM.CGIO.VSC.101</v>
      </c>
      <c r="C97" s="173" t="str">
        <f>IF($B97="","",INDEX('Bảng 3'!C:C,MATCH($B97,'Bảng 3'!$A:$A,0)))</f>
        <v>Quản lý BIM</v>
      </c>
      <c r="D97" s="173" t="str">
        <f>IF($B97="","",INDEX('Bảng 3'!D:D,MATCH($B97,'Bảng 3'!$A:$A,0)))</f>
        <v>N.HCM.CGIO.VSC</v>
      </c>
      <c r="E97" s="81" t="str">
        <f>IF($B97="","",INDEX('Bảng 3'!E:E,MATCH($B97,'Bảng 3'!$A:$A,0)))</f>
        <v>Trường MN tại lô đất A4-13</v>
      </c>
      <c r="F97" s="81" t="str">
        <f>IF($B97="","",INDEX('Bảng 3'!F:F,MATCH($B97,'Bảng 3'!$A:$A,0)))</f>
        <v>KT</v>
      </c>
      <c r="G97" s="81" t="str">
        <f>IF($B97="","",INDEX('Bảng 3'!G:G,MATCH($B97,'Bảng 3'!$A:$A,0)))</f>
        <v>KSCL mô hình BIM</v>
      </c>
      <c r="H97" s="121"/>
      <c r="I97" s="135"/>
      <c r="J97" s="135">
        <f>J$3</f>
        <v>46174</v>
      </c>
      <c r="K97" s="148" t="s">
        <v>501</v>
      </c>
      <c r="L97" s="168" t="s">
        <v>501</v>
      </c>
      <c r="M97" s="135">
        <f>M$3</f>
        <v>46175</v>
      </c>
      <c r="N97" s="148" t="s">
        <v>501</v>
      </c>
      <c r="O97" s="137" t="s">
        <v>501</v>
      </c>
      <c r="P97" s="135">
        <f>P$3</f>
        <v>46176</v>
      </c>
      <c r="Q97" s="136" t="s">
        <v>501</v>
      </c>
      <c r="R97" s="137" t="s">
        <v>501</v>
      </c>
      <c r="S97" s="135">
        <f>S$3</f>
        <v>46177</v>
      </c>
      <c r="T97" s="136" t="s">
        <v>501</v>
      </c>
      <c r="U97" s="137" t="s">
        <v>501</v>
      </c>
      <c r="V97" s="135">
        <f>V$3</f>
        <v>46178</v>
      </c>
      <c r="W97" s="136" t="s">
        <v>501</v>
      </c>
      <c r="X97" s="137" t="s">
        <v>501</v>
      </c>
      <c r="Y97" s="135">
        <f>Y$3</f>
        <v>46179</v>
      </c>
      <c r="Z97" s="136" t="s">
        <v>501</v>
      </c>
      <c r="AA97" s="137" t="s">
        <v>501</v>
      </c>
      <c r="AB97" s="135"/>
      <c r="AC97" s="135">
        <f>AC$3</f>
        <v>46181</v>
      </c>
      <c r="AD97" s="136" t="s">
        <v>501</v>
      </c>
      <c r="AE97" s="137" t="s">
        <v>501</v>
      </c>
      <c r="AF97" s="135">
        <f>AF$3</f>
        <v>46182</v>
      </c>
      <c r="AG97" s="136" t="s">
        <v>501</v>
      </c>
      <c r="AH97" s="137" t="s">
        <v>501</v>
      </c>
      <c r="AI97" s="135">
        <f>AI$3</f>
        <v>46183</v>
      </c>
      <c r="AJ97" s="136" t="s">
        <v>501</v>
      </c>
      <c r="AK97" s="137" t="s">
        <v>501</v>
      </c>
      <c r="AL97" s="135">
        <f>AL$3</f>
        <v>46184</v>
      </c>
      <c r="AM97" s="136" t="s">
        <v>501</v>
      </c>
      <c r="AN97" s="137" t="s">
        <v>501</v>
      </c>
      <c r="AO97" s="135">
        <f>AO$3</f>
        <v>46185</v>
      </c>
      <c r="AP97" s="136" t="s">
        <v>501</v>
      </c>
      <c r="AQ97" s="137" t="s">
        <v>501</v>
      </c>
      <c r="AR97" s="135">
        <f>AR$3</f>
        <v>46186</v>
      </c>
      <c r="AS97" s="136" t="s">
        <v>501</v>
      </c>
      <c r="AT97" s="137" t="s">
        <v>501</v>
      </c>
      <c r="AU97" s="135"/>
      <c r="AV97" s="135">
        <f>AV$3</f>
        <v>46188</v>
      </c>
      <c r="AW97" s="148" t="s">
        <v>501</v>
      </c>
      <c r="AX97" s="137" t="s">
        <v>501</v>
      </c>
      <c r="AY97" s="135">
        <f>AY$3</f>
        <v>46189</v>
      </c>
      <c r="AZ97" s="136" t="s">
        <v>501</v>
      </c>
      <c r="BA97" s="137" t="s">
        <v>501</v>
      </c>
      <c r="BB97" s="135">
        <f>BB$3</f>
        <v>46190</v>
      </c>
      <c r="BC97" s="136" t="s">
        <v>501</v>
      </c>
      <c r="BD97" s="137" t="s">
        <v>501</v>
      </c>
      <c r="BE97" s="135">
        <f>BE$3</f>
        <v>46191</v>
      </c>
      <c r="BF97" s="136" t="s">
        <v>501</v>
      </c>
      <c r="BG97" s="137" t="s">
        <v>501</v>
      </c>
      <c r="BH97" s="135">
        <f>BH$3</f>
        <v>46192</v>
      </c>
      <c r="BI97" s="136" t="s">
        <v>501</v>
      </c>
      <c r="BJ97" s="137" t="s">
        <v>501</v>
      </c>
      <c r="BK97" s="135">
        <f>BK$3</f>
        <v>46193</v>
      </c>
      <c r="BL97" s="136" t="s">
        <v>501</v>
      </c>
      <c r="BM97" s="137" t="s">
        <v>501</v>
      </c>
      <c r="BN97" s="135"/>
      <c r="BO97" s="135">
        <f>BO$3</f>
        <v>46195</v>
      </c>
      <c r="BP97" s="136" t="s">
        <v>501</v>
      </c>
      <c r="BQ97" s="137" t="s">
        <v>501</v>
      </c>
      <c r="BR97" s="135">
        <f>BR$3</f>
        <v>46196</v>
      </c>
      <c r="BS97" s="136" t="s">
        <v>501</v>
      </c>
      <c r="BT97" s="137" t="s">
        <v>501</v>
      </c>
      <c r="BU97" s="135">
        <f>BU$3</f>
        <v>46197</v>
      </c>
      <c r="BV97" s="136" t="s">
        <v>501</v>
      </c>
      <c r="BW97" s="137" t="s">
        <v>501</v>
      </c>
      <c r="BX97" s="135">
        <f>BX$3</f>
        <v>46198</v>
      </c>
      <c r="BY97" s="136" t="s">
        <v>501</v>
      </c>
      <c r="BZ97" s="137" t="s">
        <v>501</v>
      </c>
      <c r="CA97" s="135">
        <f>CA$3</f>
        <v>46199</v>
      </c>
      <c r="CB97" s="136" t="s">
        <v>501</v>
      </c>
      <c r="CC97" s="137" t="s">
        <v>501</v>
      </c>
      <c r="CD97" s="135">
        <f>CD$3</f>
        <v>46200</v>
      </c>
      <c r="CE97" s="136" t="s">
        <v>501</v>
      </c>
      <c r="CF97" s="137" t="s">
        <v>501</v>
      </c>
      <c r="CG97" s="135"/>
      <c r="CH97" s="135">
        <f>CH$3</f>
        <v>46202</v>
      </c>
      <c r="CI97" s="148" t="s">
        <v>501</v>
      </c>
      <c r="CJ97" s="137" t="s">
        <v>501</v>
      </c>
      <c r="CK97" s="135">
        <f>CK$3</f>
        <v>46203</v>
      </c>
      <c r="CL97" s="136" t="s">
        <v>501</v>
      </c>
      <c r="CM97" s="137" t="s">
        <v>501</v>
      </c>
      <c r="CN97" s="135">
        <f>CN$3</f>
        <v>46204</v>
      </c>
      <c r="CO97" s="136" t="s">
        <v>501</v>
      </c>
      <c r="CP97" s="137" t="s">
        <v>501</v>
      </c>
      <c r="CQ97" s="135">
        <f>CQ$3</f>
        <v>46205</v>
      </c>
      <c r="CR97" s="136" t="s">
        <v>501</v>
      </c>
      <c r="CS97" s="137" t="s">
        <v>501</v>
      </c>
      <c r="CT97" s="135">
        <f>CT$3</f>
        <v>46206</v>
      </c>
      <c r="CU97" s="136" t="s">
        <v>501</v>
      </c>
      <c r="CV97" s="137" t="s">
        <v>501</v>
      </c>
      <c r="CW97" s="135">
        <f>CW$3</f>
        <v>46207</v>
      </c>
      <c r="CX97" s="136" t="s">
        <v>501</v>
      </c>
      <c r="CY97" s="137" t="s">
        <v>501</v>
      </c>
      <c r="CZ97" s="135"/>
      <c r="DA97" s="135">
        <f>DA$3</f>
        <v>46209</v>
      </c>
      <c r="DB97" s="136" t="s">
        <v>501</v>
      </c>
      <c r="DC97" s="137" t="s">
        <v>501</v>
      </c>
      <c r="DD97" s="135">
        <f>DD$3</f>
        <v>46210</v>
      </c>
      <c r="DE97" s="136" t="s">
        <v>501</v>
      </c>
      <c r="DF97" s="137" t="s">
        <v>501</v>
      </c>
      <c r="DG97" s="135">
        <f>DG$3</f>
        <v>46211</v>
      </c>
      <c r="DH97" s="136" t="s">
        <v>501</v>
      </c>
      <c r="DI97" s="137" t="s">
        <v>501</v>
      </c>
      <c r="DJ97" s="135">
        <f>DJ$3</f>
        <v>46212</v>
      </c>
      <c r="DK97" s="136" t="s">
        <v>501</v>
      </c>
      <c r="DL97" s="137" t="s">
        <v>501</v>
      </c>
      <c r="DM97" s="135">
        <f>DM$3</f>
        <v>46213</v>
      </c>
      <c r="DN97" s="136" t="s">
        <v>501</v>
      </c>
      <c r="DO97" s="137" t="s">
        <v>501</v>
      </c>
      <c r="DP97" s="135">
        <f>DP$3</f>
        <v>46214</v>
      </c>
      <c r="DQ97" s="136" t="s">
        <v>501</v>
      </c>
      <c r="DR97" s="137" t="s">
        <v>501</v>
      </c>
    </row>
    <row r="98" spans="1:122" outlineLevel="1">
      <c r="A98" s="171" t="str">
        <f>$A$80</f>
        <v>Nguyễn Hải Nam</v>
      </c>
      <c r="B98" s="172" t="str">
        <f>'Bảng 3'!A308</f>
        <v>3.N.HCM.CGIO.VSC.201</v>
      </c>
      <c r="C98" s="28" t="str">
        <f>IF($B98="","",INDEX('Bảng 3'!C:C,MATCH($B98,'Bảng 3'!$A:$A,0)))</f>
        <v>Quản lý BIM</v>
      </c>
      <c r="D98" s="28" t="str">
        <f>IF($B98="","",INDEX('Bảng 3'!D:D,MATCH($B98,'Bảng 3'!$A:$A,0)))</f>
        <v>N.HCM.CGIO.VSC</v>
      </c>
      <c r="E98" s="81" t="str">
        <f>IF($B98="","",INDEX('Bảng 3'!E:E,MATCH($B98,'Bảng 3'!$A:$A,0)))</f>
        <v>Trường MN tại lô đất A4-13</v>
      </c>
      <c r="F98" s="81" t="str">
        <f>IF($B98="","",INDEX('Bảng 3'!F:F,MATCH($B98,'Bảng 3'!$A:$A,0)))</f>
        <v>KC</v>
      </c>
      <c r="G98" s="81" t="str">
        <f>IF($B98="","",INDEX('Bảng 3'!G:G,MATCH($B98,'Bảng 3'!$A:$A,0)))</f>
        <v>KSCL mô hình BIM</v>
      </c>
      <c r="H98" s="121"/>
      <c r="I98" s="135"/>
      <c r="J98" s="135">
        <f>J$3</f>
        <v>46174</v>
      </c>
      <c r="K98" s="148" t="s">
        <v>501</v>
      </c>
      <c r="L98" s="168" t="s">
        <v>501</v>
      </c>
      <c r="M98" s="135">
        <f>M$3</f>
        <v>46175</v>
      </c>
      <c r="N98" s="148"/>
      <c r="O98" s="137"/>
      <c r="P98" s="135">
        <f>P$3</f>
        <v>46176</v>
      </c>
      <c r="Q98" s="136" t="s">
        <v>501</v>
      </c>
      <c r="R98" s="137" t="s">
        <v>501</v>
      </c>
      <c r="S98" s="135">
        <f>S$3</f>
        <v>46177</v>
      </c>
      <c r="T98" s="136" t="s">
        <v>501</v>
      </c>
      <c r="U98" s="137" t="s">
        <v>501</v>
      </c>
      <c r="V98" s="135">
        <f>V$3</f>
        <v>46178</v>
      </c>
      <c r="W98" s="136" t="s">
        <v>501</v>
      </c>
      <c r="X98" s="137" t="s">
        <v>501</v>
      </c>
      <c r="Y98" s="135">
        <f>Y$3</f>
        <v>46179</v>
      </c>
      <c r="Z98" s="136" t="s">
        <v>501</v>
      </c>
      <c r="AA98" s="137" t="s">
        <v>501</v>
      </c>
      <c r="AB98" s="135"/>
      <c r="AC98" s="135">
        <f>AC$3</f>
        <v>46181</v>
      </c>
      <c r="AD98" s="136" t="s">
        <v>501</v>
      </c>
      <c r="AE98" s="137" t="s">
        <v>501</v>
      </c>
      <c r="AF98" s="135">
        <f>AF$3</f>
        <v>46182</v>
      </c>
      <c r="AG98" s="136" t="s">
        <v>501</v>
      </c>
      <c r="AH98" s="137" t="s">
        <v>501</v>
      </c>
      <c r="AI98" s="135">
        <f>AI$3</f>
        <v>46183</v>
      </c>
      <c r="AJ98" s="136" t="s">
        <v>501</v>
      </c>
      <c r="AK98" s="137" t="s">
        <v>501</v>
      </c>
      <c r="AL98" s="135">
        <f>AL$3</f>
        <v>46184</v>
      </c>
      <c r="AM98" s="136" t="s">
        <v>501</v>
      </c>
      <c r="AN98" s="137" t="s">
        <v>501</v>
      </c>
      <c r="AO98" s="135">
        <f>AO$3</f>
        <v>46185</v>
      </c>
      <c r="AP98" s="136" t="s">
        <v>501</v>
      </c>
      <c r="AQ98" s="137" t="s">
        <v>501</v>
      </c>
      <c r="AR98" s="135">
        <f>AR$3</f>
        <v>46186</v>
      </c>
      <c r="AS98" s="136" t="s">
        <v>501</v>
      </c>
      <c r="AT98" s="137" t="s">
        <v>501</v>
      </c>
      <c r="AU98" s="135"/>
      <c r="AV98" s="135">
        <f>AV$3</f>
        <v>46188</v>
      </c>
      <c r="AW98" s="148" t="s">
        <v>501</v>
      </c>
      <c r="AX98" s="137" t="s">
        <v>501</v>
      </c>
      <c r="AY98" s="135">
        <f>AY$3</f>
        <v>46189</v>
      </c>
      <c r="AZ98" s="136" t="s">
        <v>501</v>
      </c>
      <c r="BA98" s="137" t="s">
        <v>501</v>
      </c>
      <c r="BB98" s="135">
        <f>BB$3</f>
        <v>46190</v>
      </c>
      <c r="BC98" s="136" t="s">
        <v>501</v>
      </c>
      <c r="BD98" s="137" t="s">
        <v>501</v>
      </c>
      <c r="BE98" s="135">
        <f>BE$3</f>
        <v>46191</v>
      </c>
      <c r="BF98" s="136" t="s">
        <v>501</v>
      </c>
      <c r="BG98" s="137" t="s">
        <v>501</v>
      </c>
      <c r="BH98" s="135">
        <f>BH$3</f>
        <v>46192</v>
      </c>
      <c r="BI98" s="136" t="s">
        <v>501</v>
      </c>
      <c r="BJ98" s="137" t="s">
        <v>501</v>
      </c>
      <c r="BK98" s="135">
        <f>BK$3</f>
        <v>46193</v>
      </c>
      <c r="BL98" s="136" t="s">
        <v>501</v>
      </c>
      <c r="BM98" s="137" t="s">
        <v>501</v>
      </c>
      <c r="BN98" s="135"/>
      <c r="BO98" s="135">
        <f>BO$3</f>
        <v>46195</v>
      </c>
      <c r="BP98" s="136" t="s">
        <v>501</v>
      </c>
      <c r="BQ98" s="137" t="s">
        <v>501</v>
      </c>
      <c r="BR98" s="135">
        <f>BR$3</f>
        <v>46196</v>
      </c>
      <c r="BS98" s="136" t="s">
        <v>501</v>
      </c>
      <c r="BT98" s="137" t="s">
        <v>501</v>
      </c>
      <c r="BU98" s="135">
        <f>BU$3</f>
        <v>46197</v>
      </c>
      <c r="BV98" s="136" t="s">
        <v>501</v>
      </c>
      <c r="BW98" s="137" t="s">
        <v>501</v>
      </c>
      <c r="BX98" s="135">
        <f>BX$3</f>
        <v>46198</v>
      </c>
      <c r="BY98" s="136" t="s">
        <v>501</v>
      </c>
      <c r="BZ98" s="137" t="s">
        <v>501</v>
      </c>
      <c r="CA98" s="135">
        <f>CA$3</f>
        <v>46199</v>
      </c>
      <c r="CB98" s="136" t="s">
        <v>501</v>
      </c>
      <c r="CC98" s="137" t="s">
        <v>501</v>
      </c>
      <c r="CD98" s="135">
        <f>CD$3</f>
        <v>46200</v>
      </c>
      <c r="CE98" s="136" t="s">
        <v>501</v>
      </c>
      <c r="CF98" s="137" t="s">
        <v>501</v>
      </c>
      <c r="CG98" s="135"/>
      <c r="CH98" s="135">
        <f>CH$3</f>
        <v>46202</v>
      </c>
      <c r="CI98" s="148" t="s">
        <v>501</v>
      </c>
      <c r="CJ98" s="137" t="s">
        <v>501</v>
      </c>
      <c r="CK98" s="135">
        <f>CK$3</f>
        <v>46203</v>
      </c>
      <c r="CL98" s="136" t="s">
        <v>501</v>
      </c>
      <c r="CM98" s="137" t="s">
        <v>501</v>
      </c>
      <c r="CN98" s="135">
        <f>CN$3</f>
        <v>46204</v>
      </c>
      <c r="CO98" s="136" t="s">
        <v>501</v>
      </c>
      <c r="CP98" s="137" t="s">
        <v>501</v>
      </c>
      <c r="CQ98" s="135">
        <f>CQ$3</f>
        <v>46205</v>
      </c>
      <c r="CR98" s="136" t="s">
        <v>501</v>
      </c>
      <c r="CS98" s="137" t="s">
        <v>501</v>
      </c>
      <c r="CT98" s="135">
        <f>CT$3</f>
        <v>46206</v>
      </c>
      <c r="CU98" s="136" t="s">
        <v>501</v>
      </c>
      <c r="CV98" s="137" t="s">
        <v>501</v>
      </c>
      <c r="CW98" s="135">
        <f>CW$3</f>
        <v>46207</v>
      </c>
      <c r="CX98" s="136" t="s">
        <v>501</v>
      </c>
      <c r="CY98" s="137" t="s">
        <v>501</v>
      </c>
      <c r="CZ98" s="135"/>
      <c r="DA98" s="135">
        <f>DA$3</f>
        <v>46209</v>
      </c>
      <c r="DB98" s="136" t="s">
        <v>501</v>
      </c>
      <c r="DC98" s="137" t="s">
        <v>501</v>
      </c>
      <c r="DD98" s="135">
        <f>DD$3</f>
        <v>46210</v>
      </c>
      <c r="DE98" s="136" t="s">
        <v>501</v>
      </c>
      <c r="DF98" s="137" t="s">
        <v>501</v>
      </c>
      <c r="DG98" s="135">
        <f>DG$3</f>
        <v>46211</v>
      </c>
      <c r="DH98" s="136" t="s">
        <v>501</v>
      </c>
      <c r="DI98" s="137" t="s">
        <v>501</v>
      </c>
      <c r="DJ98" s="135">
        <f>DJ$3</f>
        <v>46212</v>
      </c>
      <c r="DK98" s="136" t="s">
        <v>501</v>
      </c>
      <c r="DL98" s="137" t="s">
        <v>501</v>
      </c>
      <c r="DM98" s="135">
        <f>DM$3</f>
        <v>46213</v>
      </c>
      <c r="DN98" s="136" t="s">
        <v>501</v>
      </c>
      <c r="DO98" s="137" t="s">
        <v>501</v>
      </c>
      <c r="DP98" s="135">
        <f>DP$3</f>
        <v>46214</v>
      </c>
      <c r="DQ98" s="136" t="s">
        <v>501</v>
      </c>
      <c r="DR98" s="137" t="s">
        <v>501</v>
      </c>
    </row>
    <row r="99" spans="1:122" outlineLevel="1">
      <c r="A99" s="122" t="str">
        <f>$A$80</f>
        <v>Nguyễn Hải Nam</v>
      </c>
      <c r="B99" s="172" t="str">
        <f>'Bảng 3'!A314</f>
        <v>3.N.HCM.CGIO.VSC.102</v>
      </c>
      <c r="C99" s="173" t="str">
        <f>IF($B99="","",INDEX('Bảng 3'!C:C,MATCH($B99,'Bảng 3'!$A:$A,0)))</f>
        <v>Quản lý BIM</v>
      </c>
      <c r="D99" s="173" t="str">
        <f>IF($B99="","",INDEX('Bảng 3'!D:D,MATCH($B99,'Bảng 3'!$A:$A,0)))</f>
        <v>N.HCM.CGIO.VSC</v>
      </c>
      <c r="E99" s="81" t="str">
        <f>IF($B99="","",INDEX('Bảng 3'!E:E,MATCH($B99,'Bảng 3'!$A:$A,0)))</f>
        <v>Trường TH tại lô đất A4-15</v>
      </c>
      <c r="F99" s="81" t="str">
        <f>IF($B99="","",INDEX('Bảng 3'!F:F,MATCH($B99,'Bảng 3'!$A:$A,0)))</f>
        <v>KT</v>
      </c>
      <c r="G99" s="81" t="str">
        <f>IF($B99="","",INDEX('Bảng 3'!G:G,MATCH($B99,'Bảng 3'!$A:$A,0)))</f>
        <v>KSCL mô hình BIM</v>
      </c>
      <c r="H99" s="121"/>
      <c r="I99" s="135"/>
      <c r="J99" s="135">
        <f>J$3</f>
        <v>46174</v>
      </c>
      <c r="K99" s="148" t="s">
        <v>501</v>
      </c>
      <c r="L99" s="168" t="s">
        <v>501</v>
      </c>
      <c r="M99" s="135">
        <f>M$3</f>
        <v>46175</v>
      </c>
      <c r="N99" s="148" t="s">
        <v>501</v>
      </c>
      <c r="O99" s="137" t="s">
        <v>501</v>
      </c>
      <c r="P99" s="135">
        <f>P$3</f>
        <v>46176</v>
      </c>
      <c r="Q99" s="136" t="s">
        <v>501</v>
      </c>
      <c r="R99" s="137" t="s">
        <v>501</v>
      </c>
      <c r="S99" s="135">
        <f>S$3</f>
        <v>46177</v>
      </c>
      <c r="T99" s="136" t="s">
        <v>501</v>
      </c>
      <c r="U99" s="137" t="s">
        <v>501</v>
      </c>
      <c r="V99" s="135">
        <f>V$3</f>
        <v>46178</v>
      </c>
      <c r="W99" s="136" t="s">
        <v>501</v>
      </c>
      <c r="X99" s="137" t="s">
        <v>501</v>
      </c>
      <c r="Y99" s="135">
        <f>Y$3</f>
        <v>46179</v>
      </c>
      <c r="Z99" s="136" t="s">
        <v>501</v>
      </c>
      <c r="AA99" s="137" t="s">
        <v>501</v>
      </c>
      <c r="AB99" s="135"/>
      <c r="AC99" s="135">
        <f>AC$3</f>
        <v>46181</v>
      </c>
      <c r="AD99" s="136" t="s">
        <v>501</v>
      </c>
      <c r="AE99" s="137" t="s">
        <v>501</v>
      </c>
      <c r="AF99" s="135">
        <f>AF$3</f>
        <v>46182</v>
      </c>
      <c r="AG99" s="136" t="s">
        <v>501</v>
      </c>
      <c r="AH99" s="137" t="s">
        <v>501</v>
      </c>
      <c r="AI99" s="135">
        <f>AI$3</f>
        <v>46183</v>
      </c>
      <c r="AJ99" s="136" t="s">
        <v>501</v>
      </c>
      <c r="AK99" s="137" t="s">
        <v>501</v>
      </c>
      <c r="AL99" s="135">
        <f>AL$3</f>
        <v>46184</v>
      </c>
      <c r="AM99" s="136" t="s">
        <v>501</v>
      </c>
      <c r="AN99" s="137" t="s">
        <v>501</v>
      </c>
      <c r="AO99" s="135">
        <f>AO$3</f>
        <v>46185</v>
      </c>
      <c r="AP99" s="136" t="s">
        <v>501</v>
      </c>
      <c r="AQ99" s="137" t="s">
        <v>501</v>
      </c>
      <c r="AR99" s="135">
        <f>AR$3</f>
        <v>46186</v>
      </c>
      <c r="AS99" s="136" t="s">
        <v>501</v>
      </c>
      <c r="AT99" s="137" t="s">
        <v>501</v>
      </c>
      <c r="AU99" s="135"/>
      <c r="AV99" s="135">
        <f>AV$3</f>
        <v>46188</v>
      </c>
      <c r="AW99" s="148" t="s">
        <v>501</v>
      </c>
      <c r="AX99" s="137" t="s">
        <v>501</v>
      </c>
      <c r="AY99" s="135">
        <f>AY$3</f>
        <v>46189</v>
      </c>
      <c r="AZ99" s="136" t="s">
        <v>501</v>
      </c>
      <c r="BA99" s="137" t="s">
        <v>501</v>
      </c>
      <c r="BB99" s="135">
        <f>BB$3</f>
        <v>46190</v>
      </c>
      <c r="BC99" s="136" t="s">
        <v>501</v>
      </c>
      <c r="BD99" s="137" t="s">
        <v>501</v>
      </c>
      <c r="BE99" s="135">
        <f>BE$3</f>
        <v>46191</v>
      </c>
      <c r="BF99" s="136" t="s">
        <v>501</v>
      </c>
      <c r="BG99" s="137" t="s">
        <v>501</v>
      </c>
      <c r="BH99" s="135">
        <f>BH$3</f>
        <v>46192</v>
      </c>
      <c r="BI99" s="136" t="s">
        <v>501</v>
      </c>
      <c r="BJ99" s="137" t="s">
        <v>501</v>
      </c>
      <c r="BK99" s="135">
        <f>BK$3</f>
        <v>46193</v>
      </c>
      <c r="BL99" s="136" t="s">
        <v>501</v>
      </c>
      <c r="BM99" s="137" t="s">
        <v>501</v>
      </c>
      <c r="BN99" s="135"/>
      <c r="BO99" s="135">
        <f>BO$3</f>
        <v>46195</v>
      </c>
      <c r="BP99" s="136" t="s">
        <v>501</v>
      </c>
      <c r="BQ99" s="137" t="s">
        <v>501</v>
      </c>
      <c r="BR99" s="135">
        <f>BR$3</f>
        <v>46196</v>
      </c>
      <c r="BS99" s="136" t="s">
        <v>501</v>
      </c>
      <c r="BT99" s="137" t="s">
        <v>501</v>
      </c>
      <c r="BU99" s="135">
        <f>BU$3</f>
        <v>46197</v>
      </c>
      <c r="BV99" s="136" t="s">
        <v>501</v>
      </c>
      <c r="BW99" s="137" t="s">
        <v>501</v>
      </c>
      <c r="BX99" s="135">
        <f>BX$3</f>
        <v>46198</v>
      </c>
      <c r="BY99" s="136" t="s">
        <v>501</v>
      </c>
      <c r="BZ99" s="137" t="s">
        <v>501</v>
      </c>
      <c r="CA99" s="135">
        <f>CA$3</f>
        <v>46199</v>
      </c>
      <c r="CB99" s="136" t="s">
        <v>501</v>
      </c>
      <c r="CC99" s="137" t="s">
        <v>501</v>
      </c>
      <c r="CD99" s="135">
        <f>CD$3</f>
        <v>46200</v>
      </c>
      <c r="CE99" s="136" t="s">
        <v>501</v>
      </c>
      <c r="CF99" s="137" t="s">
        <v>501</v>
      </c>
      <c r="CG99" s="135"/>
      <c r="CH99" s="135">
        <f>CH$3</f>
        <v>46202</v>
      </c>
      <c r="CI99" s="148" t="s">
        <v>501</v>
      </c>
      <c r="CJ99" s="137" t="s">
        <v>501</v>
      </c>
      <c r="CK99" s="135">
        <f>CK$3</f>
        <v>46203</v>
      </c>
      <c r="CL99" s="136" t="s">
        <v>501</v>
      </c>
      <c r="CM99" s="137" t="s">
        <v>501</v>
      </c>
      <c r="CN99" s="135">
        <f>CN$3</f>
        <v>46204</v>
      </c>
      <c r="CO99" s="136" t="s">
        <v>501</v>
      </c>
      <c r="CP99" s="137" t="s">
        <v>501</v>
      </c>
      <c r="CQ99" s="135">
        <f>CQ$3</f>
        <v>46205</v>
      </c>
      <c r="CR99" s="136" t="s">
        <v>501</v>
      </c>
      <c r="CS99" s="137" t="s">
        <v>501</v>
      </c>
      <c r="CT99" s="135">
        <f>CT$3</f>
        <v>46206</v>
      </c>
      <c r="CU99" s="136" t="s">
        <v>501</v>
      </c>
      <c r="CV99" s="137" t="s">
        <v>501</v>
      </c>
      <c r="CW99" s="135">
        <f>CW$3</f>
        <v>46207</v>
      </c>
      <c r="CX99" s="136" t="s">
        <v>501</v>
      </c>
      <c r="CY99" s="137" t="s">
        <v>501</v>
      </c>
      <c r="CZ99" s="135"/>
      <c r="DA99" s="135">
        <f>DA$3</f>
        <v>46209</v>
      </c>
      <c r="DB99" s="136" t="s">
        <v>501</v>
      </c>
      <c r="DC99" s="137" t="s">
        <v>501</v>
      </c>
      <c r="DD99" s="135">
        <f>DD$3</f>
        <v>46210</v>
      </c>
      <c r="DE99" s="136" t="s">
        <v>501</v>
      </c>
      <c r="DF99" s="137" t="s">
        <v>501</v>
      </c>
      <c r="DG99" s="135">
        <f>DG$3</f>
        <v>46211</v>
      </c>
      <c r="DH99" s="136" t="s">
        <v>501</v>
      </c>
      <c r="DI99" s="137" t="s">
        <v>501</v>
      </c>
      <c r="DJ99" s="135">
        <f>DJ$3</f>
        <v>46212</v>
      </c>
      <c r="DK99" s="136" t="s">
        <v>501</v>
      </c>
      <c r="DL99" s="137" t="s">
        <v>501</v>
      </c>
      <c r="DM99" s="135">
        <f>DM$3</f>
        <v>46213</v>
      </c>
      <c r="DN99" s="136" t="s">
        <v>501</v>
      </c>
      <c r="DO99" s="137" t="s">
        <v>501</v>
      </c>
      <c r="DP99" s="135">
        <f>DP$3</f>
        <v>46214</v>
      </c>
      <c r="DQ99" s="136" t="s">
        <v>501</v>
      </c>
      <c r="DR99" s="137" t="s">
        <v>501</v>
      </c>
    </row>
    <row r="100" spans="1:122" outlineLevel="1">
      <c r="A100" s="171" t="str">
        <f>$A$80</f>
        <v>Nguyễn Hải Nam</v>
      </c>
      <c r="B100" s="172" t="str">
        <f>'Bảng 3'!A315</f>
        <v>3.N.HCM.CGIO.VSC.202</v>
      </c>
      <c r="C100" s="28" t="str">
        <f>IF($B100="","",INDEX('Bảng 3'!C:C,MATCH($B100,'Bảng 3'!$A:$A,0)))</f>
        <v>Quản lý BIM</v>
      </c>
      <c r="D100" s="28" t="str">
        <f>IF($B100="","",INDEX('Bảng 3'!D:D,MATCH($B100,'Bảng 3'!$A:$A,0)))</f>
        <v>N.HCM.CGIO.VSC</v>
      </c>
      <c r="E100" s="81" t="str">
        <f>IF($B100="","",INDEX('Bảng 3'!E:E,MATCH($B100,'Bảng 3'!$A:$A,0)))</f>
        <v>Trường TH tại lô đất A4-15</v>
      </c>
      <c r="F100" s="81" t="str">
        <f>IF($B100="","",INDEX('Bảng 3'!F:F,MATCH($B100,'Bảng 3'!$A:$A,0)))</f>
        <v>KC</v>
      </c>
      <c r="G100" s="81" t="str">
        <f>IF($B100="","",INDEX('Bảng 3'!G:G,MATCH($B100,'Bảng 3'!$A:$A,0)))</f>
        <v>KSCL mô hình BIM</v>
      </c>
      <c r="H100" s="121"/>
      <c r="I100" s="135"/>
      <c r="J100" s="135">
        <f>J$3</f>
        <v>46174</v>
      </c>
      <c r="K100" s="148" t="s">
        <v>501</v>
      </c>
      <c r="L100" s="168" t="s">
        <v>501</v>
      </c>
      <c r="M100" s="135">
        <f>M$3</f>
        <v>46175</v>
      </c>
      <c r="N100" s="148"/>
      <c r="O100" s="137"/>
      <c r="P100" s="135">
        <f>P$3</f>
        <v>46176</v>
      </c>
      <c r="Q100" s="136" t="s">
        <v>501</v>
      </c>
      <c r="R100" s="137" t="s">
        <v>501</v>
      </c>
      <c r="S100" s="135">
        <f>S$3</f>
        <v>46177</v>
      </c>
      <c r="T100" s="136" t="s">
        <v>501</v>
      </c>
      <c r="U100" s="137" t="s">
        <v>501</v>
      </c>
      <c r="V100" s="135">
        <f>V$3</f>
        <v>46178</v>
      </c>
      <c r="W100" s="136" t="s">
        <v>501</v>
      </c>
      <c r="X100" s="137" t="s">
        <v>501</v>
      </c>
      <c r="Y100" s="135">
        <f>Y$3</f>
        <v>46179</v>
      </c>
      <c r="Z100" s="136" t="s">
        <v>501</v>
      </c>
      <c r="AA100" s="137" t="s">
        <v>501</v>
      </c>
      <c r="AB100" s="135"/>
      <c r="AC100" s="135">
        <f>AC$3</f>
        <v>46181</v>
      </c>
      <c r="AD100" s="136" t="s">
        <v>501</v>
      </c>
      <c r="AE100" s="137" t="s">
        <v>501</v>
      </c>
      <c r="AF100" s="135">
        <f>AF$3</f>
        <v>46182</v>
      </c>
      <c r="AG100" s="136" t="s">
        <v>501</v>
      </c>
      <c r="AH100" s="137" t="s">
        <v>501</v>
      </c>
      <c r="AI100" s="135">
        <f>AI$3</f>
        <v>46183</v>
      </c>
      <c r="AJ100" s="136" t="s">
        <v>501</v>
      </c>
      <c r="AK100" s="137" t="s">
        <v>501</v>
      </c>
      <c r="AL100" s="135">
        <f>AL$3</f>
        <v>46184</v>
      </c>
      <c r="AM100" s="136" t="s">
        <v>501</v>
      </c>
      <c r="AN100" s="137" t="s">
        <v>501</v>
      </c>
      <c r="AO100" s="135">
        <f>AO$3</f>
        <v>46185</v>
      </c>
      <c r="AP100" s="136" t="s">
        <v>501</v>
      </c>
      <c r="AQ100" s="137" t="s">
        <v>501</v>
      </c>
      <c r="AR100" s="135">
        <f>AR$3</f>
        <v>46186</v>
      </c>
      <c r="AS100" s="136" t="s">
        <v>501</v>
      </c>
      <c r="AT100" s="137" t="s">
        <v>501</v>
      </c>
      <c r="AU100" s="135"/>
      <c r="AV100" s="135">
        <f>AV$3</f>
        <v>46188</v>
      </c>
      <c r="AW100" s="148" t="s">
        <v>501</v>
      </c>
      <c r="AX100" s="137" t="s">
        <v>501</v>
      </c>
      <c r="AY100" s="135">
        <f>AY$3</f>
        <v>46189</v>
      </c>
      <c r="AZ100" s="136" t="s">
        <v>501</v>
      </c>
      <c r="BA100" s="137" t="s">
        <v>501</v>
      </c>
      <c r="BB100" s="135">
        <f>BB$3</f>
        <v>46190</v>
      </c>
      <c r="BC100" s="136" t="s">
        <v>501</v>
      </c>
      <c r="BD100" s="137" t="s">
        <v>501</v>
      </c>
      <c r="BE100" s="135">
        <f>BE$3</f>
        <v>46191</v>
      </c>
      <c r="BF100" s="136" t="s">
        <v>501</v>
      </c>
      <c r="BG100" s="137" t="s">
        <v>501</v>
      </c>
      <c r="BH100" s="135">
        <f>BH$3</f>
        <v>46192</v>
      </c>
      <c r="BI100" s="136" t="s">
        <v>501</v>
      </c>
      <c r="BJ100" s="137" t="s">
        <v>501</v>
      </c>
      <c r="BK100" s="135">
        <f>BK$3</f>
        <v>46193</v>
      </c>
      <c r="BL100" s="136" t="s">
        <v>501</v>
      </c>
      <c r="BM100" s="137" t="s">
        <v>501</v>
      </c>
      <c r="BN100" s="135"/>
      <c r="BO100" s="135">
        <f>BO$3</f>
        <v>46195</v>
      </c>
      <c r="BP100" s="136" t="s">
        <v>501</v>
      </c>
      <c r="BQ100" s="137" t="s">
        <v>501</v>
      </c>
      <c r="BR100" s="135">
        <f>BR$3</f>
        <v>46196</v>
      </c>
      <c r="BS100" s="136" t="s">
        <v>501</v>
      </c>
      <c r="BT100" s="137" t="s">
        <v>501</v>
      </c>
      <c r="BU100" s="135">
        <f>BU$3</f>
        <v>46197</v>
      </c>
      <c r="BV100" s="136" t="s">
        <v>501</v>
      </c>
      <c r="BW100" s="137" t="s">
        <v>501</v>
      </c>
      <c r="BX100" s="135">
        <f>BX$3</f>
        <v>46198</v>
      </c>
      <c r="BY100" s="136" t="s">
        <v>501</v>
      </c>
      <c r="BZ100" s="137" t="s">
        <v>501</v>
      </c>
      <c r="CA100" s="135">
        <f>CA$3</f>
        <v>46199</v>
      </c>
      <c r="CB100" s="136" t="s">
        <v>501</v>
      </c>
      <c r="CC100" s="137" t="s">
        <v>501</v>
      </c>
      <c r="CD100" s="135">
        <f>CD$3</f>
        <v>46200</v>
      </c>
      <c r="CE100" s="136" t="s">
        <v>501</v>
      </c>
      <c r="CF100" s="137" t="s">
        <v>501</v>
      </c>
      <c r="CG100" s="135"/>
      <c r="CH100" s="135">
        <f>CH$3</f>
        <v>46202</v>
      </c>
      <c r="CI100" s="148" t="s">
        <v>501</v>
      </c>
      <c r="CJ100" s="137" t="s">
        <v>501</v>
      </c>
      <c r="CK100" s="135">
        <f>CK$3</f>
        <v>46203</v>
      </c>
      <c r="CL100" s="136" t="s">
        <v>501</v>
      </c>
      <c r="CM100" s="137" t="s">
        <v>501</v>
      </c>
      <c r="CN100" s="135">
        <f>CN$3</f>
        <v>46204</v>
      </c>
      <c r="CO100" s="136" t="s">
        <v>501</v>
      </c>
      <c r="CP100" s="137" t="s">
        <v>501</v>
      </c>
      <c r="CQ100" s="135">
        <f>CQ$3</f>
        <v>46205</v>
      </c>
      <c r="CR100" s="136" t="s">
        <v>501</v>
      </c>
      <c r="CS100" s="137" t="s">
        <v>501</v>
      </c>
      <c r="CT100" s="135">
        <f>CT$3</f>
        <v>46206</v>
      </c>
      <c r="CU100" s="136" t="s">
        <v>501</v>
      </c>
      <c r="CV100" s="137" t="s">
        <v>501</v>
      </c>
      <c r="CW100" s="135">
        <f>CW$3</f>
        <v>46207</v>
      </c>
      <c r="CX100" s="136" t="s">
        <v>501</v>
      </c>
      <c r="CY100" s="137" t="s">
        <v>501</v>
      </c>
      <c r="CZ100" s="135"/>
      <c r="DA100" s="135">
        <f>DA$3</f>
        <v>46209</v>
      </c>
      <c r="DB100" s="136" t="s">
        <v>501</v>
      </c>
      <c r="DC100" s="137" t="s">
        <v>501</v>
      </c>
      <c r="DD100" s="135">
        <f>DD$3</f>
        <v>46210</v>
      </c>
      <c r="DE100" s="136" t="s">
        <v>501</v>
      </c>
      <c r="DF100" s="137" t="s">
        <v>501</v>
      </c>
      <c r="DG100" s="135">
        <f>DG$3</f>
        <v>46211</v>
      </c>
      <c r="DH100" s="136" t="s">
        <v>501</v>
      </c>
      <c r="DI100" s="137" t="s">
        <v>501</v>
      </c>
      <c r="DJ100" s="135">
        <f>DJ$3</f>
        <v>46212</v>
      </c>
      <c r="DK100" s="136" t="s">
        <v>501</v>
      </c>
      <c r="DL100" s="137" t="s">
        <v>501</v>
      </c>
      <c r="DM100" s="135">
        <f>DM$3</f>
        <v>46213</v>
      </c>
      <c r="DN100" s="136" t="s">
        <v>501</v>
      </c>
      <c r="DO100" s="137" t="s">
        <v>501</v>
      </c>
      <c r="DP100" s="135">
        <f>DP$3</f>
        <v>46214</v>
      </c>
      <c r="DQ100" s="136" t="s">
        <v>501</v>
      </c>
      <c r="DR100" s="137" t="s">
        <v>501</v>
      </c>
    </row>
    <row r="101" spans="1:122" outlineLevel="1">
      <c r="A101" s="122" t="str">
        <f>$A$80</f>
        <v>Nguyễn Hải Nam</v>
      </c>
      <c r="B101" s="172" t="str">
        <f>'Bảng 3'!A321</f>
        <v>3.N.HCM.CGIO.VSC.103</v>
      </c>
      <c r="C101" s="173" t="str">
        <f>IF($B101="","",INDEX('Bảng 3'!C:C,MATCH($B101,'Bảng 3'!$A:$A,0)))</f>
        <v>Quản lý BIM</v>
      </c>
      <c r="D101" s="173" t="str">
        <f>IF($B101="","",INDEX('Bảng 3'!D:D,MATCH($B101,'Bảng 3'!$A:$A,0)))</f>
        <v>N.HCM.CGIO.VSC</v>
      </c>
      <c r="E101" s="81" t="str">
        <f>IF($B101="","",INDEX('Bảng 3'!E:E,MATCH($B101,'Bảng 3'!$A:$A,0)))</f>
        <v>Trường THCS tại lô đất A4-16</v>
      </c>
      <c r="F101" s="81" t="str">
        <f>IF($B101="","",INDEX('Bảng 3'!F:F,MATCH($B101,'Bảng 3'!$A:$A,0)))</f>
        <v>KT</v>
      </c>
      <c r="G101" s="81" t="str">
        <f>IF($B101="","",INDEX('Bảng 3'!G:G,MATCH($B101,'Bảng 3'!$A:$A,0)))</f>
        <v>KSCL mô hình BIM</v>
      </c>
      <c r="H101" s="121"/>
      <c r="I101" s="135"/>
      <c r="J101" s="135">
        <f>J$3</f>
        <v>46174</v>
      </c>
      <c r="K101" s="148" t="s">
        <v>501</v>
      </c>
      <c r="L101" s="168" t="s">
        <v>501</v>
      </c>
      <c r="M101" s="135">
        <f>M$3</f>
        <v>46175</v>
      </c>
      <c r="N101" s="148" t="s">
        <v>501</v>
      </c>
      <c r="O101" s="137" t="s">
        <v>501</v>
      </c>
      <c r="P101" s="135">
        <f>P$3</f>
        <v>46176</v>
      </c>
      <c r="Q101" s="136" t="s">
        <v>501</v>
      </c>
      <c r="R101" s="137" t="s">
        <v>501</v>
      </c>
      <c r="S101" s="135">
        <f>S$3</f>
        <v>46177</v>
      </c>
      <c r="T101" s="136" t="s">
        <v>501</v>
      </c>
      <c r="U101" s="137" t="s">
        <v>501</v>
      </c>
      <c r="V101" s="135">
        <f>V$3</f>
        <v>46178</v>
      </c>
      <c r="W101" s="136" t="s">
        <v>501</v>
      </c>
      <c r="X101" s="137" t="s">
        <v>501</v>
      </c>
      <c r="Y101" s="135">
        <f>Y$3</f>
        <v>46179</v>
      </c>
      <c r="Z101" s="136" t="s">
        <v>501</v>
      </c>
      <c r="AA101" s="137" t="s">
        <v>501</v>
      </c>
      <c r="AB101" s="135"/>
      <c r="AC101" s="135">
        <f>AC$3</f>
        <v>46181</v>
      </c>
      <c r="AD101" s="136" t="s">
        <v>501</v>
      </c>
      <c r="AE101" s="137" t="s">
        <v>501</v>
      </c>
      <c r="AF101" s="135">
        <f>AF$3</f>
        <v>46182</v>
      </c>
      <c r="AG101" s="136" t="s">
        <v>501</v>
      </c>
      <c r="AH101" s="137" t="s">
        <v>501</v>
      </c>
      <c r="AI101" s="135">
        <f>AI$3</f>
        <v>46183</v>
      </c>
      <c r="AJ101" s="136" t="s">
        <v>501</v>
      </c>
      <c r="AK101" s="137" t="s">
        <v>501</v>
      </c>
      <c r="AL101" s="135">
        <f>AL$3</f>
        <v>46184</v>
      </c>
      <c r="AM101" s="136" t="s">
        <v>501</v>
      </c>
      <c r="AN101" s="137" t="s">
        <v>501</v>
      </c>
      <c r="AO101" s="135">
        <f>AO$3</f>
        <v>46185</v>
      </c>
      <c r="AP101" s="136" t="s">
        <v>501</v>
      </c>
      <c r="AQ101" s="137" t="s">
        <v>501</v>
      </c>
      <c r="AR101" s="135">
        <f>AR$3</f>
        <v>46186</v>
      </c>
      <c r="AS101" s="136" t="s">
        <v>501</v>
      </c>
      <c r="AT101" s="137" t="s">
        <v>501</v>
      </c>
      <c r="AU101" s="135"/>
      <c r="AV101" s="135">
        <f>AV$3</f>
        <v>46188</v>
      </c>
      <c r="AW101" s="148" t="s">
        <v>501</v>
      </c>
      <c r="AX101" s="137" t="s">
        <v>501</v>
      </c>
      <c r="AY101" s="135">
        <f>AY$3</f>
        <v>46189</v>
      </c>
      <c r="AZ101" s="136" t="s">
        <v>501</v>
      </c>
      <c r="BA101" s="137" t="s">
        <v>501</v>
      </c>
      <c r="BB101" s="135">
        <f>BB$3</f>
        <v>46190</v>
      </c>
      <c r="BC101" s="136" t="s">
        <v>501</v>
      </c>
      <c r="BD101" s="137" t="s">
        <v>501</v>
      </c>
      <c r="BE101" s="135">
        <f>BE$3</f>
        <v>46191</v>
      </c>
      <c r="BF101" s="136" t="s">
        <v>501</v>
      </c>
      <c r="BG101" s="137" t="s">
        <v>501</v>
      </c>
      <c r="BH101" s="135">
        <f>BH$3</f>
        <v>46192</v>
      </c>
      <c r="BI101" s="136" t="s">
        <v>501</v>
      </c>
      <c r="BJ101" s="137" t="s">
        <v>501</v>
      </c>
      <c r="BK101" s="135">
        <f>BK$3</f>
        <v>46193</v>
      </c>
      <c r="BL101" s="136" t="s">
        <v>501</v>
      </c>
      <c r="BM101" s="137" t="s">
        <v>501</v>
      </c>
      <c r="BN101" s="135"/>
      <c r="BO101" s="135">
        <f>BO$3</f>
        <v>46195</v>
      </c>
      <c r="BP101" s="136" t="s">
        <v>501</v>
      </c>
      <c r="BQ101" s="137" t="s">
        <v>501</v>
      </c>
      <c r="BR101" s="135">
        <f>BR$3</f>
        <v>46196</v>
      </c>
      <c r="BS101" s="136" t="s">
        <v>501</v>
      </c>
      <c r="BT101" s="137" t="s">
        <v>501</v>
      </c>
      <c r="BU101" s="135">
        <f>BU$3</f>
        <v>46197</v>
      </c>
      <c r="BV101" s="136" t="s">
        <v>501</v>
      </c>
      <c r="BW101" s="137" t="s">
        <v>501</v>
      </c>
      <c r="BX101" s="135">
        <f>BX$3</f>
        <v>46198</v>
      </c>
      <c r="BY101" s="136" t="s">
        <v>501</v>
      </c>
      <c r="BZ101" s="137" t="s">
        <v>501</v>
      </c>
      <c r="CA101" s="135">
        <f>CA$3</f>
        <v>46199</v>
      </c>
      <c r="CB101" s="136" t="s">
        <v>501</v>
      </c>
      <c r="CC101" s="137" t="s">
        <v>501</v>
      </c>
      <c r="CD101" s="135">
        <f>CD$3</f>
        <v>46200</v>
      </c>
      <c r="CE101" s="136" t="s">
        <v>501</v>
      </c>
      <c r="CF101" s="137" t="s">
        <v>501</v>
      </c>
      <c r="CG101" s="135"/>
      <c r="CH101" s="135">
        <f>CH$3</f>
        <v>46202</v>
      </c>
      <c r="CI101" s="148" t="s">
        <v>501</v>
      </c>
      <c r="CJ101" s="137" t="s">
        <v>501</v>
      </c>
      <c r="CK101" s="135">
        <f>CK$3</f>
        <v>46203</v>
      </c>
      <c r="CL101" s="136" t="s">
        <v>501</v>
      </c>
      <c r="CM101" s="137" t="s">
        <v>501</v>
      </c>
      <c r="CN101" s="135">
        <f>CN$3</f>
        <v>46204</v>
      </c>
      <c r="CO101" s="136" t="s">
        <v>501</v>
      </c>
      <c r="CP101" s="137" t="s">
        <v>501</v>
      </c>
      <c r="CQ101" s="135">
        <f>CQ$3</f>
        <v>46205</v>
      </c>
      <c r="CR101" s="136" t="s">
        <v>501</v>
      </c>
      <c r="CS101" s="137" t="s">
        <v>501</v>
      </c>
      <c r="CT101" s="135">
        <f>CT$3</f>
        <v>46206</v>
      </c>
      <c r="CU101" s="136" t="s">
        <v>501</v>
      </c>
      <c r="CV101" s="137" t="s">
        <v>501</v>
      </c>
      <c r="CW101" s="135">
        <f>CW$3</f>
        <v>46207</v>
      </c>
      <c r="CX101" s="136" t="s">
        <v>501</v>
      </c>
      <c r="CY101" s="137" t="s">
        <v>501</v>
      </c>
      <c r="CZ101" s="135"/>
      <c r="DA101" s="135">
        <f>DA$3</f>
        <v>46209</v>
      </c>
      <c r="DB101" s="136" t="s">
        <v>501</v>
      </c>
      <c r="DC101" s="137" t="s">
        <v>501</v>
      </c>
      <c r="DD101" s="135">
        <f>DD$3</f>
        <v>46210</v>
      </c>
      <c r="DE101" s="136" t="s">
        <v>501</v>
      </c>
      <c r="DF101" s="137" t="s">
        <v>501</v>
      </c>
      <c r="DG101" s="135">
        <f>DG$3</f>
        <v>46211</v>
      </c>
      <c r="DH101" s="136" t="s">
        <v>501</v>
      </c>
      <c r="DI101" s="137" t="s">
        <v>501</v>
      </c>
      <c r="DJ101" s="135">
        <f>DJ$3</f>
        <v>46212</v>
      </c>
      <c r="DK101" s="136" t="s">
        <v>501</v>
      </c>
      <c r="DL101" s="137" t="s">
        <v>501</v>
      </c>
      <c r="DM101" s="135">
        <f>DM$3</f>
        <v>46213</v>
      </c>
      <c r="DN101" s="136" t="s">
        <v>501</v>
      </c>
      <c r="DO101" s="137" t="s">
        <v>501</v>
      </c>
      <c r="DP101" s="135">
        <f>DP$3</f>
        <v>46214</v>
      </c>
      <c r="DQ101" s="136" t="s">
        <v>501</v>
      </c>
      <c r="DR101" s="137" t="s">
        <v>501</v>
      </c>
    </row>
    <row r="102" spans="1:122" outlineLevel="1">
      <c r="A102" s="171" t="str">
        <f>$A$80</f>
        <v>Nguyễn Hải Nam</v>
      </c>
      <c r="B102" s="172" t="str">
        <f>'Bảng 3'!A322</f>
        <v>3.N.HCM.CGIO.VSC.203</v>
      </c>
      <c r="C102" s="28" t="str">
        <f>IF($B102="","",INDEX('Bảng 3'!C:C,MATCH($B102,'Bảng 3'!$A:$A,0)))</f>
        <v>Quản lý BIM</v>
      </c>
      <c r="D102" s="28" t="str">
        <f>IF($B102="","",INDEX('Bảng 3'!D:D,MATCH($B102,'Bảng 3'!$A:$A,0)))</f>
        <v>N.HCM.CGIO.VSC</v>
      </c>
      <c r="E102" s="81" t="str">
        <f>IF($B102="","",INDEX('Bảng 3'!E:E,MATCH($B102,'Bảng 3'!$A:$A,0)))</f>
        <v>Trường THCS tại lô đất A4-16</v>
      </c>
      <c r="F102" s="81" t="str">
        <f>IF($B102="","",INDEX('Bảng 3'!F:F,MATCH($B102,'Bảng 3'!$A:$A,0)))</f>
        <v>KC</v>
      </c>
      <c r="G102" s="81" t="str">
        <f>IF($B102="","",INDEX('Bảng 3'!G:G,MATCH($B102,'Bảng 3'!$A:$A,0)))</f>
        <v>KSCL mô hình BIM</v>
      </c>
      <c r="H102" s="121"/>
      <c r="I102" s="135"/>
      <c r="J102" s="135">
        <f>J$3</f>
        <v>46174</v>
      </c>
      <c r="K102" s="148" t="s">
        <v>501</v>
      </c>
      <c r="L102" s="168" t="s">
        <v>501</v>
      </c>
      <c r="M102" s="135">
        <f>M$3</f>
        <v>46175</v>
      </c>
      <c r="N102" s="148"/>
      <c r="O102" s="137"/>
      <c r="P102" s="135">
        <f>P$3</f>
        <v>46176</v>
      </c>
      <c r="Q102" s="136" t="s">
        <v>501</v>
      </c>
      <c r="R102" s="137" t="s">
        <v>501</v>
      </c>
      <c r="S102" s="135">
        <f>S$3</f>
        <v>46177</v>
      </c>
      <c r="T102" s="136" t="s">
        <v>501</v>
      </c>
      <c r="U102" s="137" t="s">
        <v>501</v>
      </c>
      <c r="V102" s="135">
        <f>V$3</f>
        <v>46178</v>
      </c>
      <c r="W102" s="136" t="s">
        <v>501</v>
      </c>
      <c r="X102" s="137" t="s">
        <v>501</v>
      </c>
      <c r="Y102" s="135">
        <f>Y$3</f>
        <v>46179</v>
      </c>
      <c r="Z102" s="136" t="s">
        <v>501</v>
      </c>
      <c r="AA102" s="137" t="s">
        <v>501</v>
      </c>
      <c r="AB102" s="135"/>
      <c r="AC102" s="135">
        <f>AC$3</f>
        <v>46181</v>
      </c>
      <c r="AD102" s="136" t="s">
        <v>501</v>
      </c>
      <c r="AE102" s="137" t="s">
        <v>501</v>
      </c>
      <c r="AF102" s="135">
        <f>AF$3</f>
        <v>46182</v>
      </c>
      <c r="AG102" s="136" t="s">
        <v>501</v>
      </c>
      <c r="AH102" s="137" t="s">
        <v>501</v>
      </c>
      <c r="AI102" s="135">
        <f>AI$3</f>
        <v>46183</v>
      </c>
      <c r="AJ102" s="136" t="s">
        <v>501</v>
      </c>
      <c r="AK102" s="137" t="s">
        <v>501</v>
      </c>
      <c r="AL102" s="135">
        <f>AL$3</f>
        <v>46184</v>
      </c>
      <c r="AM102" s="136" t="s">
        <v>501</v>
      </c>
      <c r="AN102" s="137" t="s">
        <v>501</v>
      </c>
      <c r="AO102" s="135">
        <f>AO$3</f>
        <v>46185</v>
      </c>
      <c r="AP102" s="136" t="s">
        <v>501</v>
      </c>
      <c r="AQ102" s="137" t="s">
        <v>501</v>
      </c>
      <c r="AR102" s="135">
        <f>AR$3</f>
        <v>46186</v>
      </c>
      <c r="AS102" s="136" t="s">
        <v>501</v>
      </c>
      <c r="AT102" s="137" t="s">
        <v>501</v>
      </c>
      <c r="AU102" s="135"/>
      <c r="AV102" s="135">
        <f>AV$3</f>
        <v>46188</v>
      </c>
      <c r="AW102" s="148" t="s">
        <v>501</v>
      </c>
      <c r="AX102" s="137" t="s">
        <v>501</v>
      </c>
      <c r="AY102" s="135">
        <f>AY$3</f>
        <v>46189</v>
      </c>
      <c r="AZ102" s="136" t="s">
        <v>501</v>
      </c>
      <c r="BA102" s="137" t="s">
        <v>501</v>
      </c>
      <c r="BB102" s="135">
        <f>BB$3</f>
        <v>46190</v>
      </c>
      <c r="BC102" s="136" t="s">
        <v>501</v>
      </c>
      <c r="BD102" s="137" t="s">
        <v>501</v>
      </c>
      <c r="BE102" s="135">
        <f>BE$3</f>
        <v>46191</v>
      </c>
      <c r="BF102" s="136" t="s">
        <v>501</v>
      </c>
      <c r="BG102" s="137" t="s">
        <v>501</v>
      </c>
      <c r="BH102" s="135">
        <f>BH$3</f>
        <v>46192</v>
      </c>
      <c r="BI102" s="136" t="s">
        <v>501</v>
      </c>
      <c r="BJ102" s="137" t="s">
        <v>501</v>
      </c>
      <c r="BK102" s="135">
        <f>BK$3</f>
        <v>46193</v>
      </c>
      <c r="BL102" s="136" t="s">
        <v>501</v>
      </c>
      <c r="BM102" s="137" t="s">
        <v>501</v>
      </c>
      <c r="BN102" s="135"/>
      <c r="BO102" s="135">
        <f>BO$3</f>
        <v>46195</v>
      </c>
      <c r="BP102" s="136" t="s">
        <v>501</v>
      </c>
      <c r="BQ102" s="137" t="s">
        <v>501</v>
      </c>
      <c r="BR102" s="135">
        <f>BR$3</f>
        <v>46196</v>
      </c>
      <c r="BS102" s="136" t="s">
        <v>501</v>
      </c>
      <c r="BT102" s="137" t="s">
        <v>501</v>
      </c>
      <c r="BU102" s="135">
        <f>BU$3</f>
        <v>46197</v>
      </c>
      <c r="BV102" s="136" t="s">
        <v>501</v>
      </c>
      <c r="BW102" s="137" t="s">
        <v>501</v>
      </c>
      <c r="BX102" s="135">
        <f>BX$3</f>
        <v>46198</v>
      </c>
      <c r="BY102" s="136" t="s">
        <v>501</v>
      </c>
      <c r="BZ102" s="137" t="s">
        <v>501</v>
      </c>
      <c r="CA102" s="135">
        <f>CA$3</f>
        <v>46199</v>
      </c>
      <c r="CB102" s="136" t="s">
        <v>501</v>
      </c>
      <c r="CC102" s="137" t="s">
        <v>501</v>
      </c>
      <c r="CD102" s="135">
        <f>CD$3</f>
        <v>46200</v>
      </c>
      <c r="CE102" s="136" t="s">
        <v>501</v>
      </c>
      <c r="CF102" s="137" t="s">
        <v>501</v>
      </c>
      <c r="CG102" s="135"/>
      <c r="CH102" s="135">
        <f>CH$3</f>
        <v>46202</v>
      </c>
      <c r="CI102" s="148" t="s">
        <v>501</v>
      </c>
      <c r="CJ102" s="137" t="s">
        <v>501</v>
      </c>
      <c r="CK102" s="135">
        <f>CK$3</f>
        <v>46203</v>
      </c>
      <c r="CL102" s="136" t="s">
        <v>501</v>
      </c>
      <c r="CM102" s="137" t="s">
        <v>501</v>
      </c>
      <c r="CN102" s="135">
        <f>CN$3</f>
        <v>46204</v>
      </c>
      <c r="CO102" s="136" t="s">
        <v>501</v>
      </c>
      <c r="CP102" s="137" t="s">
        <v>501</v>
      </c>
      <c r="CQ102" s="135">
        <f>CQ$3</f>
        <v>46205</v>
      </c>
      <c r="CR102" s="136" t="s">
        <v>501</v>
      </c>
      <c r="CS102" s="137" t="s">
        <v>501</v>
      </c>
      <c r="CT102" s="135">
        <f>CT$3</f>
        <v>46206</v>
      </c>
      <c r="CU102" s="136" t="s">
        <v>501</v>
      </c>
      <c r="CV102" s="137" t="s">
        <v>501</v>
      </c>
      <c r="CW102" s="135">
        <f>CW$3</f>
        <v>46207</v>
      </c>
      <c r="CX102" s="136" t="s">
        <v>501</v>
      </c>
      <c r="CY102" s="137" t="s">
        <v>501</v>
      </c>
      <c r="CZ102" s="135"/>
      <c r="DA102" s="135">
        <f>DA$3</f>
        <v>46209</v>
      </c>
      <c r="DB102" s="136" t="s">
        <v>501</v>
      </c>
      <c r="DC102" s="137" t="s">
        <v>501</v>
      </c>
      <c r="DD102" s="135">
        <f>DD$3</f>
        <v>46210</v>
      </c>
      <c r="DE102" s="136" t="s">
        <v>501</v>
      </c>
      <c r="DF102" s="137" t="s">
        <v>501</v>
      </c>
      <c r="DG102" s="135">
        <f>DG$3</f>
        <v>46211</v>
      </c>
      <c r="DH102" s="136" t="s">
        <v>501</v>
      </c>
      <c r="DI102" s="137" t="s">
        <v>501</v>
      </c>
      <c r="DJ102" s="135">
        <f>DJ$3</f>
        <v>46212</v>
      </c>
      <c r="DK102" s="136" t="s">
        <v>501</v>
      </c>
      <c r="DL102" s="137" t="s">
        <v>501</v>
      </c>
      <c r="DM102" s="135">
        <f>DM$3</f>
        <v>46213</v>
      </c>
      <c r="DN102" s="136" t="s">
        <v>501</v>
      </c>
      <c r="DO102" s="137" t="s">
        <v>501</v>
      </c>
      <c r="DP102" s="135">
        <f>DP$3</f>
        <v>46214</v>
      </c>
      <c r="DQ102" s="136" t="s">
        <v>501</v>
      </c>
      <c r="DR102" s="137" t="s">
        <v>501</v>
      </c>
    </row>
    <row r="103" spans="1:122" outlineLevel="1">
      <c r="A103" s="122" t="str">
        <f>$A$80</f>
        <v>Nguyễn Hải Nam</v>
      </c>
      <c r="B103" s="172" t="str">
        <f>'Bảng 3'!A328</f>
        <v>3.N.HCM.CGIO.VSC.104</v>
      </c>
      <c r="C103" s="173" t="str">
        <f>IF($B103="","",INDEX('Bảng 3'!C:C,MATCH($B103,'Bảng 3'!$A:$A,0)))</f>
        <v>Quản lý BIM</v>
      </c>
      <c r="D103" s="173" t="str">
        <f>IF($B103="","",INDEX('Bảng 3'!D:D,MATCH($B103,'Bảng 3'!$A:$A,0)))</f>
        <v>N.HCM.CGIO.VSC</v>
      </c>
      <c r="E103" s="81" t="str">
        <f>IF($B103="","",INDEX('Bảng 3'!E:E,MATCH($B103,'Bảng 3'!$A:$A,0)))</f>
        <v>Trường THPT tại lô đất A4-29</v>
      </c>
      <c r="F103" s="81" t="str">
        <f>IF($B103="","",INDEX('Bảng 3'!F:F,MATCH($B103,'Bảng 3'!$A:$A,0)))</f>
        <v>KT</v>
      </c>
      <c r="G103" s="81" t="str">
        <f>IF($B103="","",INDEX('Bảng 3'!G:G,MATCH($B103,'Bảng 3'!$A:$A,0)))</f>
        <v>KSCL mô hình BIM</v>
      </c>
      <c r="H103" s="121"/>
      <c r="I103" s="135"/>
      <c r="J103" s="135">
        <f>J$3</f>
        <v>46174</v>
      </c>
      <c r="K103" s="148" t="s">
        <v>501</v>
      </c>
      <c r="L103" s="168" t="s">
        <v>501</v>
      </c>
      <c r="M103" s="135">
        <f>M$3</f>
        <v>46175</v>
      </c>
      <c r="N103" s="148" t="s">
        <v>501</v>
      </c>
      <c r="O103" s="137" t="s">
        <v>501</v>
      </c>
      <c r="P103" s="135">
        <f>P$3</f>
        <v>46176</v>
      </c>
      <c r="Q103" s="136" t="s">
        <v>501</v>
      </c>
      <c r="R103" s="137" t="s">
        <v>501</v>
      </c>
      <c r="S103" s="135">
        <f>S$3</f>
        <v>46177</v>
      </c>
      <c r="T103" s="136" t="s">
        <v>501</v>
      </c>
      <c r="U103" s="137" t="s">
        <v>501</v>
      </c>
      <c r="V103" s="135">
        <f>V$3</f>
        <v>46178</v>
      </c>
      <c r="W103" s="136" t="s">
        <v>501</v>
      </c>
      <c r="X103" s="137" t="s">
        <v>501</v>
      </c>
      <c r="Y103" s="135">
        <f>Y$3</f>
        <v>46179</v>
      </c>
      <c r="Z103" s="136" t="s">
        <v>501</v>
      </c>
      <c r="AA103" s="137" t="s">
        <v>501</v>
      </c>
      <c r="AB103" s="135"/>
      <c r="AC103" s="135">
        <f>AC$3</f>
        <v>46181</v>
      </c>
      <c r="AD103" s="136" t="s">
        <v>501</v>
      </c>
      <c r="AE103" s="137" t="s">
        <v>501</v>
      </c>
      <c r="AF103" s="135">
        <f>AF$3</f>
        <v>46182</v>
      </c>
      <c r="AG103" s="136" t="s">
        <v>501</v>
      </c>
      <c r="AH103" s="137" t="s">
        <v>501</v>
      </c>
      <c r="AI103" s="135">
        <f>AI$3</f>
        <v>46183</v>
      </c>
      <c r="AJ103" s="136" t="s">
        <v>501</v>
      </c>
      <c r="AK103" s="137" t="s">
        <v>501</v>
      </c>
      <c r="AL103" s="135">
        <f>AL$3</f>
        <v>46184</v>
      </c>
      <c r="AM103" s="136" t="s">
        <v>501</v>
      </c>
      <c r="AN103" s="137" t="s">
        <v>501</v>
      </c>
      <c r="AO103" s="135">
        <f>AO$3</f>
        <v>46185</v>
      </c>
      <c r="AP103" s="136" t="s">
        <v>501</v>
      </c>
      <c r="AQ103" s="137" t="s">
        <v>501</v>
      </c>
      <c r="AR103" s="135">
        <f>AR$3</f>
        <v>46186</v>
      </c>
      <c r="AS103" s="136" t="s">
        <v>501</v>
      </c>
      <c r="AT103" s="137" t="s">
        <v>501</v>
      </c>
      <c r="AU103" s="135"/>
      <c r="AV103" s="135">
        <f>AV$3</f>
        <v>46188</v>
      </c>
      <c r="AW103" s="148" t="s">
        <v>501</v>
      </c>
      <c r="AX103" s="137" t="s">
        <v>501</v>
      </c>
      <c r="AY103" s="135">
        <f>AY$3</f>
        <v>46189</v>
      </c>
      <c r="AZ103" s="136" t="s">
        <v>501</v>
      </c>
      <c r="BA103" s="137" t="s">
        <v>501</v>
      </c>
      <c r="BB103" s="135">
        <f>BB$3</f>
        <v>46190</v>
      </c>
      <c r="BC103" s="136" t="s">
        <v>501</v>
      </c>
      <c r="BD103" s="137" t="s">
        <v>501</v>
      </c>
      <c r="BE103" s="135">
        <f>BE$3</f>
        <v>46191</v>
      </c>
      <c r="BF103" s="136" t="s">
        <v>501</v>
      </c>
      <c r="BG103" s="137" t="s">
        <v>501</v>
      </c>
      <c r="BH103" s="135">
        <f>BH$3</f>
        <v>46192</v>
      </c>
      <c r="BI103" s="136" t="s">
        <v>501</v>
      </c>
      <c r="BJ103" s="137" t="s">
        <v>501</v>
      </c>
      <c r="BK103" s="135">
        <f>BK$3</f>
        <v>46193</v>
      </c>
      <c r="BL103" s="136" t="s">
        <v>501</v>
      </c>
      <c r="BM103" s="137" t="s">
        <v>501</v>
      </c>
      <c r="BN103" s="135"/>
      <c r="BO103" s="135">
        <f>BO$3</f>
        <v>46195</v>
      </c>
      <c r="BP103" s="136" t="s">
        <v>501</v>
      </c>
      <c r="BQ103" s="137" t="s">
        <v>501</v>
      </c>
      <c r="BR103" s="135">
        <f>BR$3</f>
        <v>46196</v>
      </c>
      <c r="BS103" s="136" t="s">
        <v>501</v>
      </c>
      <c r="BT103" s="137" t="s">
        <v>501</v>
      </c>
      <c r="BU103" s="135">
        <f>BU$3</f>
        <v>46197</v>
      </c>
      <c r="BV103" s="136" t="s">
        <v>501</v>
      </c>
      <c r="BW103" s="137" t="s">
        <v>501</v>
      </c>
      <c r="BX103" s="135">
        <f>BX$3</f>
        <v>46198</v>
      </c>
      <c r="BY103" s="136" t="s">
        <v>501</v>
      </c>
      <c r="BZ103" s="137" t="s">
        <v>501</v>
      </c>
      <c r="CA103" s="135">
        <f>CA$3</f>
        <v>46199</v>
      </c>
      <c r="CB103" s="136" t="s">
        <v>501</v>
      </c>
      <c r="CC103" s="137" t="s">
        <v>501</v>
      </c>
      <c r="CD103" s="135">
        <f>CD$3</f>
        <v>46200</v>
      </c>
      <c r="CE103" s="136" t="s">
        <v>501</v>
      </c>
      <c r="CF103" s="137" t="s">
        <v>501</v>
      </c>
      <c r="CG103" s="135"/>
      <c r="CH103" s="135">
        <f>CH$3</f>
        <v>46202</v>
      </c>
      <c r="CI103" s="148" t="s">
        <v>501</v>
      </c>
      <c r="CJ103" s="137" t="s">
        <v>501</v>
      </c>
      <c r="CK103" s="135">
        <f>CK$3</f>
        <v>46203</v>
      </c>
      <c r="CL103" s="136" t="s">
        <v>501</v>
      </c>
      <c r="CM103" s="137" t="s">
        <v>501</v>
      </c>
      <c r="CN103" s="135">
        <f>CN$3</f>
        <v>46204</v>
      </c>
      <c r="CO103" s="136" t="s">
        <v>501</v>
      </c>
      <c r="CP103" s="137" t="s">
        <v>501</v>
      </c>
      <c r="CQ103" s="135">
        <f>CQ$3</f>
        <v>46205</v>
      </c>
      <c r="CR103" s="136" t="s">
        <v>501</v>
      </c>
      <c r="CS103" s="137" t="s">
        <v>501</v>
      </c>
      <c r="CT103" s="135">
        <f>CT$3</f>
        <v>46206</v>
      </c>
      <c r="CU103" s="136" t="s">
        <v>501</v>
      </c>
      <c r="CV103" s="137" t="s">
        <v>501</v>
      </c>
      <c r="CW103" s="135">
        <f>CW$3</f>
        <v>46207</v>
      </c>
      <c r="CX103" s="136" t="s">
        <v>501</v>
      </c>
      <c r="CY103" s="137" t="s">
        <v>501</v>
      </c>
      <c r="CZ103" s="135"/>
      <c r="DA103" s="135">
        <f>DA$3</f>
        <v>46209</v>
      </c>
      <c r="DB103" s="136" t="s">
        <v>501</v>
      </c>
      <c r="DC103" s="137" t="s">
        <v>501</v>
      </c>
      <c r="DD103" s="135">
        <f>DD$3</f>
        <v>46210</v>
      </c>
      <c r="DE103" s="136" t="s">
        <v>501</v>
      </c>
      <c r="DF103" s="137" t="s">
        <v>501</v>
      </c>
      <c r="DG103" s="135">
        <f>DG$3</f>
        <v>46211</v>
      </c>
      <c r="DH103" s="136" t="s">
        <v>501</v>
      </c>
      <c r="DI103" s="137" t="s">
        <v>501</v>
      </c>
      <c r="DJ103" s="135">
        <f>DJ$3</f>
        <v>46212</v>
      </c>
      <c r="DK103" s="136" t="s">
        <v>501</v>
      </c>
      <c r="DL103" s="137" t="s">
        <v>501</v>
      </c>
      <c r="DM103" s="135">
        <f>DM$3</f>
        <v>46213</v>
      </c>
      <c r="DN103" s="136" t="s">
        <v>501</v>
      </c>
      <c r="DO103" s="137" t="s">
        <v>501</v>
      </c>
      <c r="DP103" s="135">
        <f>DP$3</f>
        <v>46214</v>
      </c>
      <c r="DQ103" s="136" t="s">
        <v>501</v>
      </c>
      <c r="DR103" s="137" t="s">
        <v>501</v>
      </c>
    </row>
    <row r="104" spans="1:122" outlineLevel="1">
      <c r="A104" s="171" t="str">
        <f>$A$80</f>
        <v>Nguyễn Hải Nam</v>
      </c>
      <c r="B104" s="172" t="str">
        <f>'Bảng 3'!A329</f>
        <v>3.N.HCM.CGIO.VSC.204</v>
      </c>
      <c r="C104" s="28" t="str">
        <f>IF($B104="","",INDEX('Bảng 3'!C:C,MATCH($B104,'Bảng 3'!$A:$A,0)))</f>
        <v>Quản lý BIM</v>
      </c>
      <c r="D104" s="28" t="str">
        <f>IF($B104="","",INDEX('Bảng 3'!D:D,MATCH($B104,'Bảng 3'!$A:$A,0)))</f>
        <v>N.HCM.CGIO.VSC</v>
      </c>
      <c r="E104" s="81" t="str">
        <f>IF($B104="","",INDEX('Bảng 3'!E:E,MATCH($B104,'Bảng 3'!$A:$A,0)))</f>
        <v>Trường THPT tại lô đất A4-29</v>
      </c>
      <c r="F104" s="81" t="str">
        <f>IF($B104="","",INDEX('Bảng 3'!F:F,MATCH($B104,'Bảng 3'!$A:$A,0)))</f>
        <v>KC</v>
      </c>
      <c r="G104" s="81" t="str">
        <f>IF($B104="","",INDEX('Bảng 3'!G:G,MATCH($B104,'Bảng 3'!$A:$A,0)))</f>
        <v>KSCL mô hình BIM</v>
      </c>
      <c r="H104" s="121"/>
      <c r="I104" s="135"/>
      <c r="J104" s="135">
        <f>J$3</f>
        <v>46174</v>
      </c>
      <c r="K104" s="148" t="s">
        <v>501</v>
      </c>
      <c r="L104" s="168" t="s">
        <v>501</v>
      </c>
      <c r="M104" s="135">
        <f>M$3</f>
        <v>46175</v>
      </c>
      <c r="N104" s="148"/>
      <c r="O104" s="137"/>
      <c r="P104" s="135">
        <f>P$3</f>
        <v>46176</v>
      </c>
      <c r="Q104" s="136" t="s">
        <v>501</v>
      </c>
      <c r="R104" s="137" t="s">
        <v>501</v>
      </c>
      <c r="S104" s="135">
        <f>S$3</f>
        <v>46177</v>
      </c>
      <c r="T104" s="136" t="s">
        <v>501</v>
      </c>
      <c r="U104" s="137" t="s">
        <v>501</v>
      </c>
      <c r="V104" s="135">
        <f>V$3</f>
        <v>46178</v>
      </c>
      <c r="W104" s="136" t="s">
        <v>501</v>
      </c>
      <c r="X104" s="137" t="s">
        <v>501</v>
      </c>
      <c r="Y104" s="135">
        <f>Y$3</f>
        <v>46179</v>
      </c>
      <c r="Z104" s="136" t="s">
        <v>501</v>
      </c>
      <c r="AA104" s="137" t="s">
        <v>501</v>
      </c>
      <c r="AB104" s="135"/>
      <c r="AC104" s="135">
        <f>AC$3</f>
        <v>46181</v>
      </c>
      <c r="AD104" s="136" t="s">
        <v>501</v>
      </c>
      <c r="AE104" s="137" t="s">
        <v>501</v>
      </c>
      <c r="AF104" s="135">
        <f>AF$3</f>
        <v>46182</v>
      </c>
      <c r="AG104" s="136" t="s">
        <v>501</v>
      </c>
      <c r="AH104" s="137" t="s">
        <v>501</v>
      </c>
      <c r="AI104" s="135">
        <f>AI$3</f>
        <v>46183</v>
      </c>
      <c r="AJ104" s="136" t="s">
        <v>501</v>
      </c>
      <c r="AK104" s="137" t="s">
        <v>501</v>
      </c>
      <c r="AL104" s="135">
        <f>AL$3</f>
        <v>46184</v>
      </c>
      <c r="AM104" s="136" t="s">
        <v>501</v>
      </c>
      <c r="AN104" s="137" t="s">
        <v>501</v>
      </c>
      <c r="AO104" s="135">
        <f>AO$3</f>
        <v>46185</v>
      </c>
      <c r="AP104" s="136" t="s">
        <v>501</v>
      </c>
      <c r="AQ104" s="137" t="s">
        <v>501</v>
      </c>
      <c r="AR104" s="135">
        <f>AR$3</f>
        <v>46186</v>
      </c>
      <c r="AS104" s="136" t="s">
        <v>501</v>
      </c>
      <c r="AT104" s="137" t="s">
        <v>501</v>
      </c>
      <c r="AU104" s="135"/>
      <c r="AV104" s="135">
        <f>AV$3</f>
        <v>46188</v>
      </c>
      <c r="AW104" s="148" t="s">
        <v>501</v>
      </c>
      <c r="AX104" s="137" t="s">
        <v>501</v>
      </c>
      <c r="AY104" s="135">
        <f>AY$3</f>
        <v>46189</v>
      </c>
      <c r="AZ104" s="136" t="s">
        <v>501</v>
      </c>
      <c r="BA104" s="137" t="s">
        <v>501</v>
      </c>
      <c r="BB104" s="135">
        <f>BB$3</f>
        <v>46190</v>
      </c>
      <c r="BC104" s="136" t="s">
        <v>501</v>
      </c>
      <c r="BD104" s="137" t="s">
        <v>501</v>
      </c>
      <c r="BE104" s="135">
        <f>BE$3</f>
        <v>46191</v>
      </c>
      <c r="BF104" s="136" t="s">
        <v>501</v>
      </c>
      <c r="BG104" s="137" t="s">
        <v>501</v>
      </c>
      <c r="BH104" s="135">
        <f>BH$3</f>
        <v>46192</v>
      </c>
      <c r="BI104" s="136" t="s">
        <v>501</v>
      </c>
      <c r="BJ104" s="137" t="s">
        <v>501</v>
      </c>
      <c r="BK104" s="135">
        <f>BK$3</f>
        <v>46193</v>
      </c>
      <c r="BL104" s="136" t="s">
        <v>501</v>
      </c>
      <c r="BM104" s="137" t="s">
        <v>501</v>
      </c>
      <c r="BN104" s="135"/>
      <c r="BO104" s="135">
        <f>BO$3</f>
        <v>46195</v>
      </c>
      <c r="BP104" s="136" t="s">
        <v>501</v>
      </c>
      <c r="BQ104" s="137" t="s">
        <v>501</v>
      </c>
      <c r="BR104" s="135">
        <f>BR$3</f>
        <v>46196</v>
      </c>
      <c r="BS104" s="136" t="s">
        <v>501</v>
      </c>
      <c r="BT104" s="137" t="s">
        <v>501</v>
      </c>
      <c r="BU104" s="135">
        <f>BU$3</f>
        <v>46197</v>
      </c>
      <c r="BV104" s="136" t="s">
        <v>501</v>
      </c>
      <c r="BW104" s="137" t="s">
        <v>501</v>
      </c>
      <c r="BX104" s="135">
        <f>BX$3</f>
        <v>46198</v>
      </c>
      <c r="BY104" s="136" t="s">
        <v>501</v>
      </c>
      <c r="BZ104" s="137" t="s">
        <v>501</v>
      </c>
      <c r="CA104" s="135">
        <f>CA$3</f>
        <v>46199</v>
      </c>
      <c r="CB104" s="136" t="s">
        <v>501</v>
      </c>
      <c r="CC104" s="137" t="s">
        <v>501</v>
      </c>
      <c r="CD104" s="135">
        <f>CD$3</f>
        <v>46200</v>
      </c>
      <c r="CE104" s="136" t="s">
        <v>501</v>
      </c>
      <c r="CF104" s="137" t="s">
        <v>501</v>
      </c>
      <c r="CG104" s="135"/>
      <c r="CH104" s="135">
        <f>CH$3</f>
        <v>46202</v>
      </c>
      <c r="CI104" s="148" t="s">
        <v>501</v>
      </c>
      <c r="CJ104" s="137" t="s">
        <v>501</v>
      </c>
      <c r="CK104" s="135">
        <f>CK$3</f>
        <v>46203</v>
      </c>
      <c r="CL104" s="136" t="s">
        <v>501</v>
      </c>
      <c r="CM104" s="137" t="s">
        <v>501</v>
      </c>
      <c r="CN104" s="135">
        <f>CN$3</f>
        <v>46204</v>
      </c>
      <c r="CO104" s="136" t="s">
        <v>501</v>
      </c>
      <c r="CP104" s="137" t="s">
        <v>501</v>
      </c>
      <c r="CQ104" s="135">
        <f>CQ$3</f>
        <v>46205</v>
      </c>
      <c r="CR104" s="136" t="s">
        <v>501</v>
      </c>
      <c r="CS104" s="137" t="s">
        <v>501</v>
      </c>
      <c r="CT104" s="135">
        <f>CT$3</f>
        <v>46206</v>
      </c>
      <c r="CU104" s="136" t="s">
        <v>501</v>
      </c>
      <c r="CV104" s="137" t="s">
        <v>501</v>
      </c>
      <c r="CW104" s="135">
        <f>CW$3</f>
        <v>46207</v>
      </c>
      <c r="CX104" s="136" t="s">
        <v>501</v>
      </c>
      <c r="CY104" s="137" t="s">
        <v>501</v>
      </c>
      <c r="CZ104" s="135"/>
      <c r="DA104" s="135">
        <f>DA$3</f>
        <v>46209</v>
      </c>
      <c r="DB104" s="136" t="s">
        <v>501</v>
      </c>
      <c r="DC104" s="137" t="s">
        <v>501</v>
      </c>
      <c r="DD104" s="135">
        <f>DD$3</f>
        <v>46210</v>
      </c>
      <c r="DE104" s="136" t="s">
        <v>501</v>
      </c>
      <c r="DF104" s="137" t="s">
        <v>501</v>
      </c>
      <c r="DG104" s="135">
        <f>DG$3</f>
        <v>46211</v>
      </c>
      <c r="DH104" s="136" t="s">
        <v>501</v>
      </c>
      <c r="DI104" s="137" t="s">
        <v>501</v>
      </c>
      <c r="DJ104" s="135">
        <f>DJ$3</f>
        <v>46212</v>
      </c>
      <c r="DK104" s="136" t="s">
        <v>501</v>
      </c>
      <c r="DL104" s="137" t="s">
        <v>501</v>
      </c>
      <c r="DM104" s="135">
        <f>DM$3</f>
        <v>46213</v>
      </c>
      <c r="DN104" s="136" t="s">
        <v>501</v>
      </c>
      <c r="DO104" s="137" t="s">
        <v>501</v>
      </c>
      <c r="DP104" s="135">
        <f>DP$3</f>
        <v>46214</v>
      </c>
      <c r="DQ104" s="136" t="s">
        <v>501</v>
      </c>
      <c r="DR104" s="137" t="s">
        <v>501</v>
      </c>
    </row>
    <row r="105" spans="1:122" outlineLevel="1">
      <c r="A105" s="171" t="str">
        <f>$A$80</f>
        <v>Nguyễn Hải Nam</v>
      </c>
      <c r="B105" s="172" t="str">
        <f>'Bảng 3'!A353</f>
        <v>3.N.TNI.HNLA.VSC.101</v>
      </c>
      <c r="C105" s="28" t="str">
        <f>IF($B105="","",INDEX('Bảng 3'!C:C,MATCH($B105,'Bảng 3'!$A:$A,0)))</f>
        <v>Quản lý BIM</v>
      </c>
      <c r="D105" s="28" t="str">
        <f>IF($B105="","",INDEX('Bảng 3'!D:D,MATCH($B105,'Bảng 3'!$A:$A,0)))</f>
        <v>N.TNI.HNLA.VSC</v>
      </c>
      <c r="E105" s="81" t="str">
        <f>IF($B105="","",INDEX('Bảng 3'!E:E,MATCH($B105,'Bảng 3'!$A:$A,0)))</f>
        <v>Trường PTLC lô THCS-01</v>
      </c>
      <c r="F105" s="81" t="str">
        <f>IF($B105="","",INDEX('Bảng 3'!F:F,MATCH($B105,'Bảng 3'!$A:$A,0)))</f>
        <v>KT</v>
      </c>
      <c r="G105" s="81" t="str">
        <f>IF($B105="","",INDEX('Bảng 3'!G:G,MATCH($B105,'Bảng 3'!$A:$A,0)))</f>
        <v>KSCL mô hình BIM</v>
      </c>
      <c r="H105" s="121"/>
      <c r="I105" s="135"/>
      <c r="J105" s="135">
        <f>J$3</f>
        <v>46174</v>
      </c>
      <c r="K105" s="148" t="s">
        <v>501</v>
      </c>
      <c r="L105" s="168" t="s">
        <v>501</v>
      </c>
      <c r="M105" s="135">
        <f>M$3</f>
        <v>46175</v>
      </c>
      <c r="N105" s="148"/>
      <c r="O105" s="137"/>
      <c r="P105" s="135">
        <f>P$3</f>
        <v>46176</v>
      </c>
      <c r="Q105" s="136" t="s">
        <v>501</v>
      </c>
      <c r="R105" s="137" t="s">
        <v>501</v>
      </c>
      <c r="S105" s="135">
        <f>S$3</f>
        <v>46177</v>
      </c>
      <c r="T105" s="136" t="s">
        <v>501</v>
      </c>
      <c r="U105" s="137" t="s">
        <v>501</v>
      </c>
      <c r="V105" s="135">
        <f>V$3</f>
        <v>46178</v>
      </c>
      <c r="W105" s="136" t="s">
        <v>501</v>
      </c>
      <c r="X105" s="137" t="s">
        <v>501</v>
      </c>
      <c r="Y105" s="135">
        <f>Y$3</f>
        <v>46179</v>
      </c>
      <c r="Z105" s="136" t="s">
        <v>501</v>
      </c>
      <c r="AA105" s="137" t="s">
        <v>501</v>
      </c>
      <c r="AB105" s="135"/>
      <c r="AC105" s="135">
        <f>AC$3</f>
        <v>46181</v>
      </c>
      <c r="AD105" s="136" t="s">
        <v>501</v>
      </c>
      <c r="AE105" s="137" t="s">
        <v>501</v>
      </c>
      <c r="AF105" s="135">
        <f>AF$3</f>
        <v>46182</v>
      </c>
      <c r="AG105" s="136" t="s">
        <v>501</v>
      </c>
      <c r="AH105" s="137" t="s">
        <v>501</v>
      </c>
      <c r="AI105" s="135">
        <f>AI$3</f>
        <v>46183</v>
      </c>
      <c r="AJ105" s="136" t="s">
        <v>501</v>
      </c>
      <c r="AK105" s="137" t="s">
        <v>501</v>
      </c>
      <c r="AL105" s="135">
        <f>AL$3</f>
        <v>46184</v>
      </c>
      <c r="AM105" s="136" t="s">
        <v>501</v>
      </c>
      <c r="AN105" s="137" t="s">
        <v>501</v>
      </c>
      <c r="AO105" s="135">
        <f>AO$3</f>
        <v>46185</v>
      </c>
      <c r="AP105" s="136" t="s">
        <v>501</v>
      </c>
      <c r="AQ105" s="137" t="s">
        <v>501</v>
      </c>
      <c r="AR105" s="135">
        <f>AR$3</f>
        <v>46186</v>
      </c>
      <c r="AS105" s="136" t="s">
        <v>501</v>
      </c>
      <c r="AT105" s="137" t="s">
        <v>501</v>
      </c>
      <c r="AU105" s="135"/>
      <c r="AV105" s="135">
        <f>AV$3</f>
        <v>46188</v>
      </c>
      <c r="AW105" s="148" t="s">
        <v>501</v>
      </c>
      <c r="AX105" s="137" t="s">
        <v>501</v>
      </c>
      <c r="AY105" s="135">
        <f>AY$3</f>
        <v>46189</v>
      </c>
      <c r="AZ105" s="136" t="s">
        <v>501</v>
      </c>
      <c r="BA105" s="137" t="s">
        <v>501</v>
      </c>
      <c r="BB105" s="135">
        <f>BB$3</f>
        <v>46190</v>
      </c>
      <c r="BC105" s="136" t="s">
        <v>501</v>
      </c>
      <c r="BD105" s="137" t="s">
        <v>501</v>
      </c>
      <c r="BE105" s="135">
        <f>BE$3</f>
        <v>46191</v>
      </c>
      <c r="BF105" s="136" t="s">
        <v>501</v>
      </c>
      <c r="BG105" s="137" t="s">
        <v>501</v>
      </c>
      <c r="BH105" s="135">
        <f>BH$3</f>
        <v>46192</v>
      </c>
      <c r="BI105" s="136" t="s">
        <v>501</v>
      </c>
      <c r="BJ105" s="137" t="s">
        <v>501</v>
      </c>
      <c r="BK105" s="135">
        <f>BK$3</f>
        <v>46193</v>
      </c>
      <c r="BL105" s="136" t="s">
        <v>501</v>
      </c>
      <c r="BM105" s="137" t="s">
        <v>501</v>
      </c>
      <c r="BN105" s="135"/>
      <c r="BO105" s="135">
        <f>BO$3</f>
        <v>46195</v>
      </c>
      <c r="BP105" s="136" t="s">
        <v>501</v>
      </c>
      <c r="BQ105" s="137" t="s">
        <v>501</v>
      </c>
      <c r="BR105" s="135">
        <f>BR$3</f>
        <v>46196</v>
      </c>
      <c r="BS105" s="136" t="s">
        <v>501</v>
      </c>
      <c r="BT105" s="137" t="s">
        <v>501</v>
      </c>
      <c r="BU105" s="135">
        <f>BU$3</f>
        <v>46197</v>
      </c>
      <c r="BV105" s="136" t="s">
        <v>501</v>
      </c>
      <c r="BW105" s="137" t="s">
        <v>501</v>
      </c>
      <c r="BX105" s="135">
        <f>BX$3</f>
        <v>46198</v>
      </c>
      <c r="BY105" s="136" t="s">
        <v>501</v>
      </c>
      <c r="BZ105" s="137" t="s">
        <v>501</v>
      </c>
      <c r="CA105" s="135">
        <f>CA$3</f>
        <v>46199</v>
      </c>
      <c r="CB105" s="136" t="s">
        <v>501</v>
      </c>
      <c r="CC105" s="137" t="s">
        <v>501</v>
      </c>
      <c r="CD105" s="135">
        <f>CD$3</f>
        <v>46200</v>
      </c>
      <c r="CE105" s="136" t="s">
        <v>501</v>
      </c>
      <c r="CF105" s="137" t="s">
        <v>501</v>
      </c>
      <c r="CG105" s="135"/>
      <c r="CH105" s="135">
        <f>CH$3</f>
        <v>46202</v>
      </c>
      <c r="CI105" s="148" t="s">
        <v>501</v>
      </c>
      <c r="CJ105" s="137" t="s">
        <v>501</v>
      </c>
      <c r="CK105" s="135">
        <f>CK$3</f>
        <v>46203</v>
      </c>
      <c r="CL105" s="136" t="s">
        <v>501</v>
      </c>
      <c r="CM105" s="137" t="s">
        <v>501</v>
      </c>
      <c r="CN105" s="135">
        <f>CN$3</f>
        <v>46204</v>
      </c>
      <c r="CO105" s="136" t="s">
        <v>501</v>
      </c>
      <c r="CP105" s="137" t="s">
        <v>501</v>
      </c>
      <c r="CQ105" s="135">
        <f>CQ$3</f>
        <v>46205</v>
      </c>
      <c r="CR105" s="136" t="s">
        <v>501</v>
      </c>
      <c r="CS105" s="137" t="s">
        <v>501</v>
      </c>
      <c r="CT105" s="135">
        <f>CT$3</f>
        <v>46206</v>
      </c>
      <c r="CU105" s="136" t="s">
        <v>501</v>
      </c>
      <c r="CV105" s="137" t="s">
        <v>501</v>
      </c>
      <c r="CW105" s="135">
        <f>CW$3</f>
        <v>46207</v>
      </c>
      <c r="CX105" s="136" t="s">
        <v>501</v>
      </c>
      <c r="CY105" s="137" t="s">
        <v>501</v>
      </c>
      <c r="CZ105" s="135"/>
      <c r="DA105" s="135">
        <f>DA$3</f>
        <v>46209</v>
      </c>
      <c r="DB105" s="136" t="s">
        <v>501</v>
      </c>
      <c r="DC105" s="137" t="s">
        <v>501</v>
      </c>
      <c r="DD105" s="135">
        <f>DD$3</f>
        <v>46210</v>
      </c>
      <c r="DE105" s="136" t="s">
        <v>501</v>
      </c>
      <c r="DF105" s="137" t="s">
        <v>501</v>
      </c>
      <c r="DG105" s="135">
        <f>DG$3</f>
        <v>46211</v>
      </c>
      <c r="DH105" s="136" t="s">
        <v>501</v>
      </c>
      <c r="DI105" s="137" t="s">
        <v>501</v>
      </c>
      <c r="DJ105" s="135">
        <f>DJ$3</f>
        <v>46212</v>
      </c>
      <c r="DK105" s="136" t="s">
        <v>501</v>
      </c>
      <c r="DL105" s="137" t="s">
        <v>501</v>
      </c>
      <c r="DM105" s="135">
        <f>DM$3</f>
        <v>46213</v>
      </c>
      <c r="DN105" s="136" t="s">
        <v>501</v>
      </c>
      <c r="DO105" s="137" t="s">
        <v>501</v>
      </c>
      <c r="DP105" s="135">
        <f>DP$3</f>
        <v>46214</v>
      </c>
      <c r="DQ105" s="136" t="s">
        <v>501</v>
      </c>
      <c r="DR105" s="137" t="s">
        <v>501</v>
      </c>
    </row>
    <row r="106" spans="1:122" outlineLevel="1">
      <c r="A106" s="171" t="str">
        <f>$A$80</f>
        <v>Nguyễn Hải Nam</v>
      </c>
      <c r="B106" s="172" t="str">
        <f>'Bảng 3'!A354</f>
        <v>3.N.TNI.HNLA.VSC.201</v>
      </c>
      <c r="C106" s="28" t="str">
        <f>IF($B106="","",INDEX('Bảng 3'!C:C,MATCH($B106,'Bảng 3'!$A:$A,0)))</f>
        <v>Quản lý BIM</v>
      </c>
      <c r="D106" s="28" t="str">
        <f>IF($B106="","",INDEX('Bảng 3'!D:D,MATCH($B106,'Bảng 3'!$A:$A,0)))</f>
        <v>N.TNI.HNLA.VSC</v>
      </c>
      <c r="E106" s="81" t="str">
        <f>IF($B106="","",INDEX('Bảng 3'!E:E,MATCH($B106,'Bảng 3'!$A:$A,0)))</f>
        <v>Trường PTLC lô THCS-01</v>
      </c>
      <c r="F106" s="81" t="str">
        <f>IF($B106="","",INDEX('Bảng 3'!F:F,MATCH($B106,'Bảng 3'!$A:$A,0)))</f>
        <v>KC</v>
      </c>
      <c r="G106" s="81" t="str">
        <f>IF($B106="","",INDEX('Bảng 3'!G:G,MATCH($B106,'Bảng 3'!$A:$A,0)))</f>
        <v>KSCL mô hình BIM</v>
      </c>
      <c r="H106" s="121"/>
      <c r="I106" s="135"/>
      <c r="J106" s="135">
        <f>J$3</f>
        <v>46174</v>
      </c>
      <c r="K106" s="148" t="s">
        <v>501</v>
      </c>
      <c r="L106" s="168" t="s">
        <v>501</v>
      </c>
      <c r="M106" s="135">
        <f>M$3</f>
        <v>46175</v>
      </c>
      <c r="N106" s="148"/>
      <c r="O106" s="137"/>
      <c r="P106" s="135">
        <f>P$3</f>
        <v>46176</v>
      </c>
      <c r="Q106" s="136" t="s">
        <v>501</v>
      </c>
      <c r="R106" s="137" t="s">
        <v>501</v>
      </c>
      <c r="S106" s="135">
        <f>S$3</f>
        <v>46177</v>
      </c>
      <c r="T106" s="136" t="s">
        <v>501</v>
      </c>
      <c r="U106" s="137" t="s">
        <v>501</v>
      </c>
      <c r="V106" s="135">
        <f>V$3</f>
        <v>46178</v>
      </c>
      <c r="W106" s="136" t="s">
        <v>501</v>
      </c>
      <c r="X106" s="137" t="s">
        <v>501</v>
      </c>
      <c r="Y106" s="135">
        <f>Y$3</f>
        <v>46179</v>
      </c>
      <c r="Z106" s="136" t="s">
        <v>501</v>
      </c>
      <c r="AA106" s="137" t="s">
        <v>501</v>
      </c>
      <c r="AB106" s="135"/>
      <c r="AC106" s="135">
        <f>AC$3</f>
        <v>46181</v>
      </c>
      <c r="AD106" s="136" t="s">
        <v>501</v>
      </c>
      <c r="AE106" s="137" t="s">
        <v>501</v>
      </c>
      <c r="AF106" s="135">
        <f>AF$3</f>
        <v>46182</v>
      </c>
      <c r="AG106" s="136" t="s">
        <v>501</v>
      </c>
      <c r="AH106" s="137" t="s">
        <v>501</v>
      </c>
      <c r="AI106" s="135">
        <f>AI$3</f>
        <v>46183</v>
      </c>
      <c r="AJ106" s="136" t="s">
        <v>501</v>
      </c>
      <c r="AK106" s="137" t="s">
        <v>501</v>
      </c>
      <c r="AL106" s="135">
        <f>AL$3</f>
        <v>46184</v>
      </c>
      <c r="AM106" s="136" t="s">
        <v>501</v>
      </c>
      <c r="AN106" s="137" t="s">
        <v>501</v>
      </c>
      <c r="AO106" s="135">
        <f>AO$3</f>
        <v>46185</v>
      </c>
      <c r="AP106" s="136" t="s">
        <v>501</v>
      </c>
      <c r="AQ106" s="137" t="s">
        <v>501</v>
      </c>
      <c r="AR106" s="135">
        <f>AR$3</f>
        <v>46186</v>
      </c>
      <c r="AS106" s="136" t="s">
        <v>501</v>
      </c>
      <c r="AT106" s="137" t="s">
        <v>501</v>
      </c>
      <c r="AU106" s="135"/>
      <c r="AV106" s="135">
        <f>AV$3</f>
        <v>46188</v>
      </c>
      <c r="AW106" s="148" t="s">
        <v>501</v>
      </c>
      <c r="AX106" s="137" t="s">
        <v>501</v>
      </c>
      <c r="AY106" s="135">
        <f>AY$3</f>
        <v>46189</v>
      </c>
      <c r="AZ106" s="136" t="s">
        <v>501</v>
      </c>
      <c r="BA106" s="137" t="s">
        <v>501</v>
      </c>
      <c r="BB106" s="135">
        <f>BB$3</f>
        <v>46190</v>
      </c>
      <c r="BC106" s="136" t="s">
        <v>501</v>
      </c>
      <c r="BD106" s="137" t="s">
        <v>501</v>
      </c>
      <c r="BE106" s="135">
        <f>BE$3</f>
        <v>46191</v>
      </c>
      <c r="BF106" s="136" t="s">
        <v>501</v>
      </c>
      <c r="BG106" s="137" t="s">
        <v>501</v>
      </c>
      <c r="BH106" s="135">
        <f>BH$3</f>
        <v>46192</v>
      </c>
      <c r="BI106" s="136" t="s">
        <v>501</v>
      </c>
      <c r="BJ106" s="137" t="s">
        <v>501</v>
      </c>
      <c r="BK106" s="135">
        <f>BK$3</f>
        <v>46193</v>
      </c>
      <c r="BL106" s="136" t="s">
        <v>501</v>
      </c>
      <c r="BM106" s="137" t="s">
        <v>501</v>
      </c>
      <c r="BN106" s="135"/>
      <c r="BO106" s="135">
        <f>BO$3</f>
        <v>46195</v>
      </c>
      <c r="BP106" s="136" t="s">
        <v>501</v>
      </c>
      <c r="BQ106" s="137" t="s">
        <v>501</v>
      </c>
      <c r="BR106" s="135">
        <f>BR$3</f>
        <v>46196</v>
      </c>
      <c r="BS106" s="136" t="s">
        <v>501</v>
      </c>
      <c r="BT106" s="137" t="s">
        <v>501</v>
      </c>
      <c r="BU106" s="135">
        <f>BU$3</f>
        <v>46197</v>
      </c>
      <c r="BV106" s="136" t="s">
        <v>501</v>
      </c>
      <c r="BW106" s="137" t="s">
        <v>501</v>
      </c>
      <c r="BX106" s="135">
        <f>BX$3</f>
        <v>46198</v>
      </c>
      <c r="BY106" s="136" t="s">
        <v>501</v>
      </c>
      <c r="BZ106" s="137" t="s">
        <v>501</v>
      </c>
      <c r="CA106" s="135">
        <f>CA$3</f>
        <v>46199</v>
      </c>
      <c r="CB106" s="136" t="s">
        <v>501</v>
      </c>
      <c r="CC106" s="137" t="s">
        <v>501</v>
      </c>
      <c r="CD106" s="135">
        <f>CD$3</f>
        <v>46200</v>
      </c>
      <c r="CE106" s="136" t="s">
        <v>501</v>
      </c>
      <c r="CF106" s="137" t="s">
        <v>501</v>
      </c>
      <c r="CG106" s="135"/>
      <c r="CH106" s="135">
        <f>CH$3</f>
        <v>46202</v>
      </c>
      <c r="CI106" s="148" t="s">
        <v>501</v>
      </c>
      <c r="CJ106" s="137" t="s">
        <v>501</v>
      </c>
      <c r="CK106" s="135">
        <f>CK$3</f>
        <v>46203</v>
      </c>
      <c r="CL106" s="136" t="s">
        <v>501</v>
      </c>
      <c r="CM106" s="137" t="s">
        <v>501</v>
      </c>
      <c r="CN106" s="135">
        <f>CN$3</f>
        <v>46204</v>
      </c>
      <c r="CO106" s="136" t="s">
        <v>501</v>
      </c>
      <c r="CP106" s="137" t="s">
        <v>501</v>
      </c>
      <c r="CQ106" s="135">
        <f>CQ$3</f>
        <v>46205</v>
      </c>
      <c r="CR106" s="136" t="s">
        <v>501</v>
      </c>
      <c r="CS106" s="137" t="s">
        <v>501</v>
      </c>
      <c r="CT106" s="135">
        <f>CT$3</f>
        <v>46206</v>
      </c>
      <c r="CU106" s="136" t="s">
        <v>501</v>
      </c>
      <c r="CV106" s="137" t="s">
        <v>501</v>
      </c>
      <c r="CW106" s="135">
        <f>CW$3</f>
        <v>46207</v>
      </c>
      <c r="CX106" s="136" t="s">
        <v>501</v>
      </c>
      <c r="CY106" s="137" t="s">
        <v>501</v>
      </c>
      <c r="CZ106" s="135"/>
      <c r="DA106" s="135">
        <f>DA$3</f>
        <v>46209</v>
      </c>
      <c r="DB106" s="136" t="s">
        <v>501</v>
      </c>
      <c r="DC106" s="137" t="s">
        <v>501</v>
      </c>
      <c r="DD106" s="135">
        <f>DD$3</f>
        <v>46210</v>
      </c>
      <c r="DE106" s="136" t="s">
        <v>501</v>
      </c>
      <c r="DF106" s="137" t="s">
        <v>501</v>
      </c>
      <c r="DG106" s="135">
        <f>DG$3</f>
        <v>46211</v>
      </c>
      <c r="DH106" s="136" t="s">
        <v>501</v>
      </c>
      <c r="DI106" s="137" t="s">
        <v>501</v>
      </c>
      <c r="DJ106" s="135">
        <f>DJ$3</f>
        <v>46212</v>
      </c>
      <c r="DK106" s="136" t="s">
        <v>501</v>
      </c>
      <c r="DL106" s="137" t="s">
        <v>501</v>
      </c>
      <c r="DM106" s="135">
        <f>DM$3</f>
        <v>46213</v>
      </c>
      <c r="DN106" s="136" t="s">
        <v>501</v>
      </c>
      <c r="DO106" s="137" t="s">
        <v>501</v>
      </c>
      <c r="DP106" s="135">
        <f>DP$3</f>
        <v>46214</v>
      </c>
      <c r="DQ106" s="136" t="s">
        <v>501</v>
      </c>
      <c r="DR106" s="137" t="s">
        <v>501</v>
      </c>
    </row>
    <row r="107" spans="1:122" outlineLevel="1">
      <c r="A107" s="171" t="str">
        <f>$A$80</f>
        <v>Nguyễn Hải Nam</v>
      </c>
      <c r="B107" s="172" t="str">
        <f>'Bảng 3'!A381</f>
        <v>3.T.KHO.VPNT.KSMN.105</v>
      </c>
      <c r="C107" s="28" t="str">
        <f>IF($B107="","",INDEX('Bảng 3'!C:C,MATCH($B107,'Bảng 3'!$A:$A,0)))</f>
        <v>Quản lý BIM</v>
      </c>
      <c r="D107" s="28" t="str">
        <f>IF($B107="","",INDEX('Bảng 3'!D:D,MATCH($B107,'Bảng 3'!$A:$A,0)))</f>
        <v>T.KHO.VPNT.KSMN</v>
      </c>
      <c r="E107" s="81" t="str">
        <f>IF($B107="","",INDEX('Bảng 3'!E:E,MATCH($B107,'Bảng 3'!$A:$A,0)))</f>
        <v>Mẫu M3</v>
      </c>
      <c r="F107" s="81" t="str">
        <f>IF($B107="","",INDEX('Bảng 3'!F:F,MATCH($B107,'Bảng 3'!$A:$A,0)))</f>
        <v>KT</v>
      </c>
      <c r="G107" s="81" t="str">
        <f>IF($B107="","",INDEX('Bảng 3'!G:G,MATCH($B107,'Bảng 3'!$A:$A,0)))</f>
        <v>KSCL mô hình BIM</v>
      </c>
      <c r="H107" s="121"/>
      <c r="I107" s="135"/>
      <c r="J107" s="135">
        <f>J$3</f>
        <v>46174</v>
      </c>
      <c r="K107" s="148" t="s">
        <v>501</v>
      </c>
      <c r="L107" s="168" t="s">
        <v>501</v>
      </c>
      <c r="M107" s="135">
        <f>M$3</f>
        <v>46175</v>
      </c>
      <c r="N107" s="148"/>
      <c r="O107" s="137"/>
      <c r="P107" s="135">
        <f>P$3</f>
        <v>46176</v>
      </c>
      <c r="Q107" s="136" t="s">
        <v>501</v>
      </c>
      <c r="R107" s="137" t="s">
        <v>501</v>
      </c>
      <c r="S107" s="135">
        <f>S$3</f>
        <v>46177</v>
      </c>
      <c r="T107" s="136" t="s">
        <v>501</v>
      </c>
      <c r="U107" s="137" t="s">
        <v>501</v>
      </c>
      <c r="V107" s="135">
        <f>V$3</f>
        <v>46178</v>
      </c>
      <c r="W107" s="136" t="s">
        <v>501</v>
      </c>
      <c r="X107" s="137" t="s">
        <v>501</v>
      </c>
      <c r="Y107" s="135">
        <f>Y$3</f>
        <v>46179</v>
      </c>
      <c r="Z107" s="136" t="s">
        <v>501</v>
      </c>
      <c r="AA107" s="137" t="s">
        <v>501</v>
      </c>
      <c r="AB107" s="135"/>
      <c r="AC107" s="135">
        <f>AC$3</f>
        <v>46181</v>
      </c>
      <c r="AD107" s="136" t="s">
        <v>501</v>
      </c>
      <c r="AE107" s="137" t="s">
        <v>501</v>
      </c>
      <c r="AF107" s="135">
        <f>AF$3</f>
        <v>46182</v>
      </c>
      <c r="AG107" s="136" t="s">
        <v>501</v>
      </c>
      <c r="AH107" s="137" t="s">
        <v>501</v>
      </c>
      <c r="AI107" s="135">
        <f>AI$3</f>
        <v>46183</v>
      </c>
      <c r="AJ107" s="136" t="s">
        <v>501</v>
      </c>
      <c r="AK107" s="137" t="s">
        <v>501</v>
      </c>
      <c r="AL107" s="135">
        <f>AL$3</f>
        <v>46184</v>
      </c>
      <c r="AM107" s="136" t="s">
        <v>501</v>
      </c>
      <c r="AN107" s="137" t="s">
        <v>501</v>
      </c>
      <c r="AO107" s="135">
        <f>AO$3</f>
        <v>46185</v>
      </c>
      <c r="AP107" s="136" t="s">
        <v>501</v>
      </c>
      <c r="AQ107" s="137" t="s">
        <v>501</v>
      </c>
      <c r="AR107" s="135">
        <f>AR$3</f>
        <v>46186</v>
      </c>
      <c r="AS107" s="136" t="s">
        <v>501</v>
      </c>
      <c r="AT107" s="137" t="s">
        <v>501</v>
      </c>
      <c r="AU107" s="135"/>
      <c r="AV107" s="135">
        <f>AV$3</f>
        <v>46188</v>
      </c>
      <c r="AW107" s="148" t="s">
        <v>501</v>
      </c>
      <c r="AX107" s="137" t="s">
        <v>501</v>
      </c>
      <c r="AY107" s="135">
        <f>AY$3</f>
        <v>46189</v>
      </c>
      <c r="AZ107" s="136" t="s">
        <v>501</v>
      </c>
      <c r="BA107" s="137" t="s">
        <v>501</v>
      </c>
      <c r="BB107" s="135">
        <f>BB$3</f>
        <v>46190</v>
      </c>
      <c r="BC107" s="136" t="s">
        <v>501</v>
      </c>
      <c r="BD107" s="137" t="s">
        <v>501</v>
      </c>
      <c r="BE107" s="135">
        <f>BE$3</f>
        <v>46191</v>
      </c>
      <c r="BF107" s="136" t="s">
        <v>501</v>
      </c>
      <c r="BG107" s="137" t="s">
        <v>501</v>
      </c>
      <c r="BH107" s="135">
        <f>BH$3</f>
        <v>46192</v>
      </c>
      <c r="BI107" s="136" t="s">
        <v>501</v>
      </c>
      <c r="BJ107" s="137" t="s">
        <v>501</v>
      </c>
      <c r="BK107" s="135">
        <f>BK$3</f>
        <v>46193</v>
      </c>
      <c r="BL107" s="136" t="s">
        <v>501</v>
      </c>
      <c r="BM107" s="137" t="s">
        <v>501</v>
      </c>
      <c r="BN107" s="135"/>
      <c r="BO107" s="135">
        <f>BO$3</f>
        <v>46195</v>
      </c>
      <c r="BP107" s="136" t="s">
        <v>501</v>
      </c>
      <c r="BQ107" s="137" t="s">
        <v>501</v>
      </c>
      <c r="BR107" s="135">
        <f>BR$3</f>
        <v>46196</v>
      </c>
      <c r="BS107" s="136" t="s">
        <v>501</v>
      </c>
      <c r="BT107" s="137" t="s">
        <v>501</v>
      </c>
      <c r="BU107" s="135">
        <f>BU$3</f>
        <v>46197</v>
      </c>
      <c r="BV107" s="136" t="s">
        <v>501</v>
      </c>
      <c r="BW107" s="137" t="s">
        <v>501</v>
      </c>
      <c r="BX107" s="135">
        <f>BX$3</f>
        <v>46198</v>
      </c>
      <c r="BY107" s="136" t="s">
        <v>501</v>
      </c>
      <c r="BZ107" s="137" t="s">
        <v>501</v>
      </c>
      <c r="CA107" s="135">
        <f>CA$3</f>
        <v>46199</v>
      </c>
      <c r="CB107" s="136" t="s">
        <v>501</v>
      </c>
      <c r="CC107" s="137" t="s">
        <v>501</v>
      </c>
      <c r="CD107" s="135">
        <f>CD$3</f>
        <v>46200</v>
      </c>
      <c r="CE107" s="136" t="s">
        <v>501</v>
      </c>
      <c r="CF107" s="137" t="s">
        <v>501</v>
      </c>
      <c r="CG107" s="135"/>
      <c r="CH107" s="135">
        <f>CH$3</f>
        <v>46202</v>
      </c>
      <c r="CI107" s="148" t="s">
        <v>501</v>
      </c>
      <c r="CJ107" s="137" t="s">
        <v>501</v>
      </c>
      <c r="CK107" s="135">
        <f>CK$3</f>
        <v>46203</v>
      </c>
      <c r="CL107" s="136" t="s">
        <v>501</v>
      </c>
      <c r="CM107" s="137" t="s">
        <v>501</v>
      </c>
      <c r="CN107" s="135">
        <f>CN$3</f>
        <v>46204</v>
      </c>
      <c r="CO107" s="136" t="s">
        <v>501</v>
      </c>
      <c r="CP107" s="137" t="s">
        <v>501</v>
      </c>
      <c r="CQ107" s="135">
        <f>CQ$3</f>
        <v>46205</v>
      </c>
      <c r="CR107" s="136" t="s">
        <v>501</v>
      </c>
      <c r="CS107" s="137" t="s">
        <v>501</v>
      </c>
      <c r="CT107" s="135">
        <f>CT$3</f>
        <v>46206</v>
      </c>
      <c r="CU107" s="136" t="s">
        <v>501</v>
      </c>
      <c r="CV107" s="137" t="s">
        <v>501</v>
      </c>
      <c r="CW107" s="135">
        <f>CW$3</f>
        <v>46207</v>
      </c>
      <c r="CX107" s="136" t="s">
        <v>501</v>
      </c>
      <c r="CY107" s="137" t="s">
        <v>501</v>
      </c>
      <c r="CZ107" s="135"/>
      <c r="DA107" s="135">
        <f>DA$3</f>
        <v>46209</v>
      </c>
      <c r="DB107" s="136" t="s">
        <v>501</v>
      </c>
      <c r="DC107" s="137" t="s">
        <v>501</v>
      </c>
      <c r="DD107" s="135">
        <f>DD$3</f>
        <v>46210</v>
      </c>
      <c r="DE107" s="136" t="s">
        <v>501</v>
      </c>
      <c r="DF107" s="137" t="s">
        <v>501</v>
      </c>
      <c r="DG107" s="135">
        <f>DG$3</f>
        <v>46211</v>
      </c>
      <c r="DH107" s="136" t="s">
        <v>501</v>
      </c>
      <c r="DI107" s="137" t="s">
        <v>501</v>
      </c>
      <c r="DJ107" s="135">
        <f>DJ$3</f>
        <v>46212</v>
      </c>
      <c r="DK107" s="136" t="s">
        <v>501</v>
      </c>
      <c r="DL107" s="137" t="s">
        <v>501</v>
      </c>
      <c r="DM107" s="135">
        <f>DM$3</f>
        <v>46213</v>
      </c>
      <c r="DN107" s="136" t="s">
        <v>501</v>
      </c>
      <c r="DO107" s="137" t="s">
        <v>501</v>
      </c>
      <c r="DP107" s="135">
        <f>DP$3</f>
        <v>46214</v>
      </c>
      <c r="DQ107" s="136" t="s">
        <v>501</v>
      </c>
      <c r="DR107" s="137" t="s">
        <v>501</v>
      </c>
    </row>
    <row r="108" spans="1:122" outlineLevel="1">
      <c r="A108" s="171" t="str">
        <f>$A$80</f>
        <v>Nguyễn Hải Nam</v>
      </c>
      <c r="B108" s="172" t="str">
        <f>'Bảng 3'!A383</f>
        <v>3.T.KHO.VPNT.KSMN.203</v>
      </c>
      <c r="C108" s="28" t="str">
        <f>IF($B108="","",INDEX('Bảng 3'!C:C,MATCH($B108,'Bảng 3'!$A:$A,0)))</f>
        <v>Quản lý BIM</v>
      </c>
      <c r="D108" s="28" t="str">
        <f>IF($B108="","",INDEX('Bảng 3'!D:D,MATCH($B108,'Bảng 3'!$A:$A,0)))</f>
        <v>T.KHO.VPNT.KSMN</v>
      </c>
      <c r="E108" s="81" t="str">
        <f>IF($B108="","",INDEX('Bảng 3'!E:E,MATCH($B108,'Bảng 3'!$A:$A,0)))</f>
        <v>Mẫu M3</v>
      </c>
      <c r="F108" s="81" t="str">
        <f>IF($B108="","",INDEX('Bảng 3'!F:F,MATCH($B108,'Bảng 3'!$A:$A,0)))</f>
        <v>KC</v>
      </c>
      <c r="G108" s="81" t="str">
        <f>IF($B108="","",INDEX('Bảng 3'!G:G,MATCH($B108,'Bảng 3'!$A:$A,0)))</f>
        <v>KSCL mô hình BIM</v>
      </c>
      <c r="H108" s="121"/>
      <c r="I108" s="135"/>
      <c r="J108" s="135">
        <f>J$3</f>
        <v>46174</v>
      </c>
      <c r="K108" s="148" t="s">
        <v>501</v>
      </c>
      <c r="L108" s="168" t="s">
        <v>501</v>
      </c>
      <c r="M108" s="135">
        <f>M$3</f>
        <v>46175</v>
      </c>
      <c r="N108" s="148"/>
      <c r="O108" s="137"/>
      <c r="P108" s="135">
        <f>P$3</f>
        <v>46176</v>
      </c>
      <c r="Q108" s="136" t="s">
        <v>501</v>
      </c>
      <c r="R108" s="137" t="s">
        <v>501</v>
      </c>
      <c r="S108" s="135">
        <f>S$3</f>
        <v>46177</v>
      </c>
      <c r="T108" s="136" t="s">
        <v>501</v>
      </c>
      <c r="U108" s="137" t="s">
        <v>501</v>
      </c>
      <c r="V108" s="135">
        <f>V$3</f>
        <v>46178</v>
      </c>
      <c r="W108" s="136" t="s">
        <v>501</v>
      </c>
      <c r="X108" s="137" t="s">
        <v>501</v>
      </c>
      <c r="Y108" s="135">
        <f>Y$3</f>
        <v>46179</v>
      </c>
      <c r="Z108" s="136" t="s">
        <v>501</v>
      </c>
      <c r="AA108" s="137" t="s">
        <v>501</v>
      </c>
      <c r="AB108" s="135"/>
      <c r="AC108" s="135">
        <f>AC$3</f>
        <v>46181</v>
      </c>
      <c r="AD108" s="136" t="s">
        <v>501</v>
      </c>
      <c r="AE108" s="137" t="s">
        <v>501</v>
      </c>
      <c r="AF108" s="135">
        <f>AF$3</f>
        <v>46182</v>
      </c>
      <c r="AG108" s="136" t="s">
        <v>501</v>
      </c>
      <c r="AH108" s="137" t="s">
        <v>501</v>
      </c>
      <c r="AI108" s="135">
        <f>AI$3</f>
        <v>46183</v>
      </c>
      <c r="AJ108" s="136" t="s">
        <v>501</v>
      </c>
      <c r="AK108" s="137" t="s">
        <v>501</v>
      </c>
      <c r="AL108" s="135">
        <f>AL$3</f>
        <v>46184</v>
      </c>
      <c r="AM108" s="136" t="s">
        <v>501</v>
      </c>
      <c r="AN108" s="137" t="s">
        <v>501</v>
      </c>
      <c r="AO108" s="135">
        <f>AO$3</f>
        <v>46185</v>
      </c>
      <c r="AP108" s="136" t="s">
        <v>501</v>
      </c>
      <c r="AQ108" s="137" t="s">
        <v>501</v>
      </c>
      <c r="AR108" s="135">
        <f>AR$3</f>
        <v>46186</v>
      </c>
      <c r="AS108" s="136" t="s">
        <v>501</v>
      </c>
      <c r="AT108" s="137" t="s">
        <v>501</v>
      </c>
      <c r="AU108" s="135"/>
      <c r="AV108" s="135">
        <f>AV$3</f>
        <v>46188</v>
      </c>
      <c r="AW108" s="148" t="s">
        <v>501</v>
      </c>
      <c r="AX108" s="137" t="s">
        <v>501</v>
      </c>
      <c r="AY108" s="135">
        <f>AY$3</f>
        <v>46189</v>
      </c>
      <c r="AZ108" s="136" t="s">
        <v>501</v>
      </c>
      <c r="BA108" s="137" t="s">
        <v>501</v>
      </c>
      <c r="BB108" s="135">
        <f>BB$3</f>
        <v>46190</v>
      </c>
      <c r="BC108" s="136" t="s">
        <v>501</v>
      </c>
      <c r="BD108" s="137" t="s">
        <v>501</v>
      </c>
      <c r="BE108" s="135">
        <f>BE$3</f>
        <v>46191</v>
      </c>
      <c r="BF108" s="136" t="s">
        <v>501</v>
      </c>
      <c r="BG108" s="137" t="s">
        <v>501</v>
      </c>
      <c r="BH108" s="135">
        <f>BH$3</f>
        <v>46192</v>
      </c>
      <c r="BI108" s="136" t="s">
        <v>501</v>
      </c>
      <c r="BJ108" s="137" t="s">
        <v>501</v>
      </c>
      <c r="BK108" s="135">
        <f>BK$3</f>
        <v>46193</v>
      </c>
      <c r="BL108" s="136" t="s">
        <v>501</v>
      </c>
      <c r="BM108" s="137" t="s">
        <v>501</v>
      </c>
      <c r="BN108" s="135"/>
      <c r="BO108" s="135">
        <f>BO$3</f>
        <v>46195</v>
      </c>
      <c r="BP108" s="136" t="s">
        <v>501</v>
      </c>
      <c r="BQ108" s="137" t="s">
        <v>501</v>
      </c>
      <c r="BR108" s="135">
        <f>BR$3</f>
        <v>46196</v>
      </c>
      <c r="BS108" s="136" t="s">
        <v>501</v>
      </c>
      <c r="BT108" s="137" t="s">
        <v>501</v>
      </c>
      <c r="BU108" s="135">
        <f>BU$3</f>
        <v>46197</v>
      </c>
      <c r="BV108" s="136" t="s">
        <v>501</v>
      </c>
      <c r="BW108" s="137" t="s">
        <v>501</v>
      </c>
      <c r="BX108" s="135">
        <f>BX$3</f>
        <v>46198</v>
      </c>
      <c r="BY108" s="136" t="s">
        <v>501</v>
      </c>
      <c r="BZ108" s="137" t="s">
        <v>501</v>
      </c>
      <c r="CA108" s="135">
        <f>CA$3</f>
        <v>46199</v>
      </c>
      <c r="CB108" s="136" t="s">
        <v>501</v>
      </c>
      <c r="CC108" s="137" t="s">
        <v>501</v>
      </c>
      <c r="CD108" s="135">
        <f>CD$3</f>
        <v>46200</v>
      </c>
      <c r="CE108" s="136" t="s">
        <v>501</v>
      </c>
      <c r="CF108" s="137" t="s">
        <v>501</v>
      </c>
      <c r="CG108" s="135"/>
      <c r="CH108" s="135">
        <f>CH$3</f>
        <v>46202</v>
      </c>
      <c r="CI108" s="148" t="s">
        <v>501</v>
      </c>
      <c r="CJ108" s="137" t="s">
        <v>501</v>
      </c>
      <c r="CK108" s="135">
        <f>CK$3</f>
        <v>46203</v>
      </c>
      <c r="CL108" s="136" t="s">
        <v>501</v>
      </c>
      <c r="CM108" s="137" t="s">
        <v>501</v>
      </c>
      <c r="CN108" s="135">
        <f>CN$3</f>
        <v>46204</v>
      </c>
      <c r="CO108" s="136" t="s">
        <v>501</v>
      </c>
      <c r="CP108" s="137" t="s">
        <v>501</v>
      </c>
      <c r="CQ108" s="135">
        <f>CQ$3</f>
        <v>46205</v>
      </c>
      <c r="CR108" s="136" t="s">
        <v>501</v>
      </c>
      <c r="CS108" s="137" t="s">
        <v>501</v>
      </c>
      <c r="CT108" s="135">
        <f>CT$3</f>
        <v>46206</v>
      </c>
      <c r="CU108" s="136" t="s">
        <v>501</v>
      </c>
      <c r="CV108" s="137" t="s">
        <v>501</v>
      </c>
      <c r="CW108" s="135">
        <f>CW$3</f>
        <v>46207</v>
      </c>
      <c r="CX108" s="136" t="s">
        <v>501</v>
      </c>
      <c r="CY108" s="137" t="s">
        <v>501</v>
      </c>
      <c r="CZ108" s="135"/>
      <c r="DA108" s="135">
        <f>DA$3</f>
        <v>46209</v>
      </c>
      <c r="DB108" s="136" t="s">
        <v>501</v>
      </c>
      <c r="DC108" s="137" t="s">
        <v>501</v>
      </c>
      <c r="DD108" s="135">
        <f>DD$3</f>
        <v>46210</v>
      </c>
      <c r="DE108" s="136" t="s">
        <v>501</v>
      </c>
      <c r="DF108" s="137" t="s">
        <v>501</v>
      </c>
      <c r="DG108" s="135">
        <f>DG$3</f>
        <v>46211</v>
      </c>
      <c r="DH108" s="136" t="s">
        <v>501</v>
      </c>
      <c r="DI108" s="137" t="s">
        <v>501</v>
      </c>
      <c r="DJ108" s="135">
        <f>DJ$3</f>
        <v>46212</v>
      </c>
      <c r="DK108" s="136" t="s">
        <v>501</v>
      </c>
      <c r="DL108" s="137" t="s">
        <v>501</v>
      </c>
      <c r="DM108" s="135">
        <f>DM$3</f>
        <v>46213</v>
      </c>
      <c r="DN108" s="136" t="s">
        <v>501</v>
      </c>
      <c r="DO108" s="137" t="s">
        <v>501</v>
      </c>
      <c r="DP108" s="135">
        <f>DP$3</f>
        <v>46214</v>
      </c>
      <c r="DQ108" s="136" t="s">
        <v>501</v>
      </c>
      <c r="DR108" s="137" t="s">
        <v>501</v>
      </c>
    </row>
    <row r="109" spans="1:122" outlineLevel="1">
      <c r="A109" s="171" t="str">
        <f>$A$80</f>
        <v>Nguyễn Hải Nam</v>
      </c>
      <c r="B109" s="28"/>
      <c r="C109" s="28" t="str">
        <f>IF($B109="","",INDEX('Bảng 3'!C:C,MATCH($B109,'Bảng 3'!$A:$A,0)))</f>
        <v/>
      </c>
      <c r="D109" s="28" t="str">
        <f>IF($B109="","",INDEX('Bảng 3'!D:D,MATCH($B109,'Bảng 3'!$A:$A,0)))</f>
        <v/>
      </c>
      <c r="E109" s="81" t="str">
        <f>IF($B109="","",INDEX('Bảng 3'!E:E,MATCH($B109,'Bảng 3'!$A:$A,0)))</f>
        <v/>
      </c>
      <c r="F109" s="81" t="str">
        <f>IF($B109="","",INDEX('Bảng 3'!F:F,MATCH($B109,'Bảng 3'!$A:$A,0)))</f>
        <v/>
      </c>
      <c r="G109" s="81" t="str">
        <f>IF($B109="","",INDEX('Bảng 3'!G:G,MATCH($B109,'Bảng 3'!$A:$A,0)))</f>
        <v/>
      </c>
      <c r="H109" s="121"/>
      <c r="I109" s="135"/>
      <c r="J109" s="135">
        <f>J$3</f>
        <v>46174</v>
      </c>
      <c r="K109" s="148" t="s">
        <v>501</v>
      </c>
      <c r="L109" s="168" t="s">
        <v>501</v>
      </c>
      <c r="M109" s="135">
        <f>M$3</f>
        <v>46175</v>
      </c>
      <c r="N109" s="148"/>
      <c r="O109" s="137"/>
      <c r="P109" s="135">
        <f>P$3</f>
        <v>46176</v>
      </c>
      <c r="Q109" s="136" t="s">
        <v>501</v>
      </c>
      <c r="R109" s="137" t="s">
        <v>501</v>
      </c>
      <c r="S109" s="135">
        <f>S$3</f>
        <v>46177</v>
      </c>
      <c r="T109" s="136" t="s">
        <v>501</v>
      </c>
      <c r="U109" s="137" t="s">
        <v>501</v>
      </c>
      <c r="V109" s="135">
        <f>V$3</f>
        <v>46178</v>
      </c>
      <c r="W109" s="136" t="s">
        <v>501</v>
      </c>
      <c r="X109" s="137" t="s">
        <v>501</v>
      </c>
      <c r="Y109" s="135">
        <f>Y$3</f>
        <v>46179</v>
      </c>
      <c r="Z109" s="136" t="s">
        <v>501</v>
      </c>
      <c r="AA109" s="137" t="s">
        <v>501</v>
      </c>
      <c r="AB109" s="135"/>
      <c r="AC109" s="135">
        <f>AC$3</f>
        <v>46181</v>
      </c>
      <c r="AD109" s="136" t="s">
        <v>501</v>
      </c>
      <c r="AE109" s="137" t="s">
        <v>501</v>
      </c>
      <c r="AF109" s="135">
        <f>AF$3</f>
        <v>46182</v>
      </c>
      <c r="AG109" s="136" t="s">
        <v>501</v>
      </c>
      <c r="AH109" s="137" t="s">
        <v>501</v>
      </c>
      <c r="AI109" s="135">
        <f>AI$3</f>
        <v>46183</v>
      </c>
      <c r="AJ109" s="136" t="s">
        <v>501</v>
      </c>
      <c r="AK109" s="137" t="s">
        <v>501</v>
      </c>
      <c r="AL109" s="135">
        <f>AL$3</f>
        <v>46184</v>
      </c>
      <c r="AM109" s="136" t="s">
        <v>501</v>
      </c>
      <c r="AN109" s="137" t="s">
        <v>501</v>
      </c>
      <c r="AO109" s="135">
        <f>AO$3</f>
        <v>46185</v>
      </c>
      <c r="AP109" s="136" t="s">
        <v>501</v>
      </c>
      <c r="AQ109" s="137" t="s">
        <v>501</v>
      </c>
      <c r="AR109" s="135">
        <f>AR$3</f>
        <v>46186</v>
      </c>
      <c r="AS109" s="136" t="s">
        <v>501</v>
      </c>
      <c r="AT109" s="137" t="s">
        <v>501</v>
      </c>
      <c r="AU109" s="135"/>
      <c r="AV109" s="135">
        <f>AV$3</f>
        <v>46188</v>
      </c>
      <c r="AW109" s="148" t="s">
        <v>501</v>
      </c>
      <c r="AX109" s="137" t="s">
        <v>501</v>
      </c>
      <c r="AY109" s="135">
        <f>AY$3</f>
        <v>46189</v>
      </c>
      <c r="AZ109" s="136" t="s">
        <v>501</v>
      </c>
      <c r="BA109" s="137" t="s">
        <v>501</v>
      </c>
      <c r="BB109" s="135">
        <f>BB$3</f>
        <v>46190</v>
      </c>
      <c r="BC109" s="136" t="s">
        <v>501</v>
      </c>
      <c r="BD109" s="137" t="s">
        <v>501</v>
      </c>
      <c r="BE109" s="135">
        <f>BE$3</f>
        <v>46191</v>
      </c>
      <c r="BF109" s="136" t="s">
        <v>501</v>
      </c>
      <c r="BG109" s="137" t="s">
        <v>501</v>
      </c>
      <c r="BH109" s="135">
        <f>BH$3</f>
        <v>46192</v>
      </c>
      <c r="BI109" s="136" t="s">
        <v>501</v>
      </c>
      <c r="BJ109" s="137" t="s">
        <v>501</v>
      </c>
      <c r="BK109" s="135">
        <f>BK$3</f>
        <v>46193</v>
      </c>
      <c r="BL109" s="136" t="s">
        <v>501</v>
      </c>
      <c r="BM109" s="137" t="s">
        <v>501</v>
      </c>
      <c r="BN109" s="135"/>
      <c r="BO109" s="135">
        <f>BO$3</f>
        <v>46195</v>
      </c>
      <c r="BP109" s="136" t="s">
        <v>501</v>
      </c>
      <c r="BQ109" s="137" t="s">
        <v>501</v>
      </c>
      <c r="BR109" s="135">
        <f>BR$3</f>
        <v>46196</v>
      </c>
      <c r="BS109" s="136" t="s">
        <v>501</v>
      </c>
      <c r="BT109" s="137" t="s">
        <v>501</v>
      </c>
      <c r="BU109" s="135">
        <f>BU$3</f>
        <v>46197</v>
      </c>
      <c r="BV109" s="136" t="s">
        <v>501</v>
      </c>
      <c r="BW109" s="137" t="s">
        <v>501</v>
      </c>
      <c r="BX109" s="135">
        <f>BX$3</f>
        <v>46198</v>
      </c>
      <c r="BY109" s="136" t="s">
        <v>501</v>
      </c>
      <c r="BZ109" s="137" t="s">
        <v>501</v>
      </c>
      <c r="CA109" s="135">
        <f>CA$3</f>
        <v>46199</v>
      </c>
      <c r="CB109" s="136" t="s">
        <v>501</v>
      </c>
      <c r="CC109" s="137" t="s">
        <v>501</v>
      </c>
      <c r="CD109" s="135">
        <f>CD$3</f>
        <v>46200</v>
      </c>
      <c r="CE109" s="136" t="s">
        <v>501</v>
      </c>
      <c r="CF109" s="137" t="s">
        <v>501</v>
      </c>
      <c r="CG109" s="135"/>
      <c r="CH109" s="135">
        <f>CH$3</f>
        <v>46202</v>
      </c>
      <c r="CI109" s="148" t="s">
        <v>501</v>
      </c>
      <c r="CJ109" s="137" t="s">
        <v>501</v>
      </c>
      <c r="CK109" s="135">
        <f>CK$3</f>
        <v>46203</v>
      </c>
      <c r="CL109" s="136" t="s">
        <v>501</v>
      </c>
      <c r="CM109" s="137" t="s">
        <v>501</v>
      </c>
      <c r="CN109" s="135">
        <f>CN$3</f>
        <v>46204</v>
      </c>
      <c r="CO109" s="136" t="s">
        <v>501</v>
      </c>
      <c r="CP109" s="137" t="s">
        <v>501</v>
      </c>
      <c r="CQ109" s="135">
        <f>CQ$3</f>
        <v>46205</v>
      </c>
      <c r="CR109" s="136" t="s">
        <v>501</v>
      </c>
      <c r="CS109" s="137" t="s">
        <v>501</v>
      </c>
      <c r="CT109" s="135">
        <f>CT$3</f>
        <v>46206</v>
      </c>
      <c r="CU109" s="136" t="s">
        <v>501</v>
      </c>
      <c r="CV109" s="137" t="s">
        <v>501</v>
      </c>
      <c r="CW109" s="135">
        <f>CW$3</f>
        <v>46207</v>
      </c>
      <c r="CX109" s="136" t="s">
        <v>501</v>
      </c>
      <c r="CY109" s="137" t="s">
        <v>501</v>
      </c>
      <c r="CZ109" s="135"/>
      <c r="DA109" s="135">
        <f>DA$3</f>
        <v>46209</v>
      </c>
      <c r="DB109" s="136" t="s">
        <v>501</v>
      </c>
      <c r="DC109" s="137" t="s">
        <v>501</v>
      </c>
      <c r="DD109" s="135">
        <f>DD$3</f>
        <v>46210</v>
      </c>
      <c r="DE109" s="136" t="s">
        <v>501</v>
      </c>
      <c r="DF109" s="137" t="s">
        <v>501</v>
      </c>
      <c r="DG109" s="135">
        <f>DG$3</f>
        <v>46211</v>
      </c>
      <c r="DH109" s="136" t="s">
        <v>501</v>
      </c>
      <c r="DI109" s="137" t="s">
        <v>501</v>
      </c>
      <c r="DJ109" s="135">
        <f>DJ$3</f>
        <v>46212</v>
      </c>
      <c r="DK109" s="136" t="s">
        <v>501</v>
      </c>
      <c r="DL109" s="137" t="s">
        <v>501</v>
      </c>
      <c r="DM109" s="135">
        <f>DM$3</f>
        <v>46213</v>
      </c>
      <c r="DN109" s="136" t="s">
        <v>501</v>
      </c>
      <c r="DO109" s="137" t="s">
        <v>501</v>
      </c>
      <c r="DP109" s="135">
        <f>DP$3</f>
        <v>46214</v>
      </c>
      <c r="DQ109" s="136" t="s">
        <v>501</v>
      </c>
      <c r="DR109" s="137" t="s">
        <v>501</v>
      </c>
    </row>
    <row r="110" spans="1:122" outlineLevel="1">
      <c r="A110" s="171" t="str">
        <f>$A$80</f>
        <v>Nguyễn Hải Nam</v>
      </c>
      <c r="B110" s="28"/>
      <c r="C110" s="28" t="str">
        <f>IF($B110="","",INDEX('Bảng 3'!C:C,MATCH($B110,'Bảng 3'!$A:$A,0)))</f>
        <v/>
      </c>
      <c r="D110" s="28" t="str">
        <f>IF($B110="","",INDEX('Bảng 3'!D:D,MATCH($B110,'Bảng 3'!$A:$A,0)))</f>
        <v/>
      </c>
      <c r="E110" s="81" t="str">
        <f>IF($B110="","",INDEX('Bảng 3'!E:E,MATCH($B110,'Bảng 3'!$A:$A,0)))</f>
        <v/>
      </c>
      <c r="F110" s="81" t="str">
        <f>IF($B110="","",INDEX('Bảng 3'!F:F,MATCH($B110,'Bảng 3'!$A:$A,0)))</f>
        <v/>
      </c>
      <c r="G110" s="81" t="str">
        <f>IF($B110="","",INDEX('Bảng 3'!G:G,MATCH($B110,'Bảng 3'!$A:$A,0)))</f>
        <v/>
      </c>
      <c r="H110" s="121"/>
      <c r="I110" s="135"/>
      <c r="J110" s="135">
        <f>J$3</f>
        <v>46174</v>
      </c>
      <c r="K110" s="148" t="s">
        <v>501</v>
      </c>
      <c r="L110" s="168" t="s">
        <v>501</v>
      </c>
      <c r="M110" s="135">
        <f>M$3</f>
        <v>46175</v>
      </c>
      <c r="N110" s="148"/>
      <c r="O110" s="137"/>
      <c r="P110" s="135">
        <f>P$3</f>
        <v>46176</v>
      </c>
      <c r="Q110" s="136" t="s">
        <v>501</v>
      </c>
      <c r="R110" s="137" t="s">
        <v>501</v>
      </c>
      <c r="S110" s="135">
        <f>S$3</f>
        <v>46177</v>
      </c>
      <c r="T110" s="136" t="s">
        <v>501</v>
      </c>
      <c r="U110" s="137" t="s">
        <v>501</v>
      </c>
      <c r="V110" s="135">
        <f>V$3</f>
        <v>46178</v>
      </c>
      <c r="W110" s="136" t="s">
        <v>501</v>
      </c>
      <c r="X110" s="137" t="s">
        <v>501</v>
      </c>
      <c r="Y110" s="135">
        <f>Y$3</f>
        <v>46179</v>
      </c>
      <c r="Z110" s="136" t="s">
        <v>501</v>
      </c>
      <c r="AA110" s="137" t="s">
        <v>501</v>
      </c>
      <c r="AB110" s="135"/>
      <c r="AC110" s="135">
        <f>AC$3</f>
        <v>46181</v>
      </c>
      <c r="AD110" s="136" t="s">
        <v>501</v>
      </c>
      <c r="AE110" s="137" t="s">
        <v>501</v>
      </c>
      <c r="AF110" s="135">
        <f>AF$3</f>
        <v>46182</v>
      </c>
      <c r="AG110" s="136" t="s">
        <v>501</v>
      </c>
      <c r="AH110" s="137" t="s">
        <v>501</v>
      </c>
      <c r="AI110" s="135">
        <f>AI$3</f>
        <v>46183</v>
      </c>
      <c r="AJ110" s="136" t="s">
        <v>501</v>
      </c>
      <c r="AK110" s="137" t="s">
        <v>501</v>
      </c>
      <c r="AL110" s="135">
        <f>AL$3</f>
        <v>46184</v>
      </c>
      <c r="AM110" s="136" t="s">
        <v>501</v>
      </c>
      <c r="AN110" s="137" t="s">
        <v>501</v>
      </c>
      <c r="AO110" s="135">
        <f>AO$3</f>
        <v>46185</v>
      </c>
      <c r="AP110" s="136" t="s">
        <v>501</v>
      </c>
      <c r="AQ110" s="137" t="s">
        <v>501</v>
      </c>
      <c r="AR110" s="135">
        <f>AR$3</f>
        <v>46186</v>
      </c>
      <c r="AS110" s="136" t="s">
        <v>501</v>
      </c>
      <c r="AT110" s="137" t="s">
        <v>501</v>
      </c>
      <c r="AU110" s="135"/>
      <c r="AV110" s="135">
        <f>AV$3</f>
        <v>46188</v>
      </c>
      <c r="AW110" s="148" t="s">
        <v>501</v>
      </c>
      <c r="AX110" s="137" t="s">
        <v>501</v>
      </c>
      <c r="AY110" s="135">
        <f>AY$3</f>
        <v>46189</v>
      </c>
      <c r="AZ110" s="136" t="s">
        <v>501</v>
      </c>
      <c r="BA110" s="137" t="s">
        <v>501</v>
      </c>
      <c r="BB110" s="135">
        <f>BB$3</f>
        <v>46190</v>
      </c>
      <c r="BC110" s="136" t="s">
        <v>501</v>
      </c>
      <c r="BD110" s="137" t="s">
        <v>501</v>
      </c>
      <c r="BE110" s="135">
        <f>BE$3</f>
        <v>46191</v>
      </c>
      <c r="BF110" s="136" t="s">
        <v>501</v>
      </c>
      <c r="BG110" s="137" t="s">
        <v>501</v>
      </c>
      <c r="BH110" s="135">
        <f>BH$3</f>
        <v>46192</v>
      </c>
      <c r="BI110" s="136" t="s">
        <v>501</v>
      </c>
      <c r="BJ110" s="137" t="s">
        <v>501</v>
      </c>
      <c r="BK110" s="135">
        <f>BK$3</f>
        <v>46193</v>
      </c>
      <c r="BL110" s="136" t="s">
        <v>501</v>
      </c>
      <c r="BM110" s="137" t="s">
        <v>501</v>
      </c>
      <c r="BN110" s="135"/>
      <c r="BO110" s="135">
        <f>BO$3</f>
        <v>46195</v>
      </c>
      <c r="BP110" s="136" t="s">
        <v>501</v>
      </c>
      <c r="BQ110" s="137" t="s">
        <v>501</v>
      </c>
      <c r="BR110" s="135">
        <f>BR$3</f>
        <v>46196</v>
      </c>
      <c r="BS110" s="136" t="s">
        <v>501</v>
      </c>
      <c r="BT110" s="137" t="s">
        <v>501</v>
      </c>
      <c r="BU110" s="135">
        <f>BU$3</f>
        <v>46197</v>
      </c>
      <c r="BV110" s="136" t="s">
        <v>501</v>
      </c>
      <c r="BW110" s="137" t="s">
        <v>501</v>
      </c>
      <c r="BX110" s="135">
        <f>BX$3</f>
        <v>46198</v>
      </c>
      <c r="BY110" s="136" t="s">
        <v>501</v>
      </c>
      <c r="BZ110" s="137" t="s">
        <v>501</v>
      </c>
      <c r="CA110" s="135">
        <f>CA$3</f>
        <v>46199</v>
      </c>
      <c r="CB110" s="136" t="s">
        <v>501</v>
      </c>
      <c r="CC110" s="137" t="s">
        <v>501</v>
      </c>
      <c r="CD110" s="135">
        <f>CD$3</f>
        <v>46200</v>
      </c>
      <c r="CE110" s="136" t="s">
        <v>501</v>
      </c>
      <c r="CF110" s="137" t="s">
        <v>501</v>
      </c>
      <c r="CG110" s="135"/>
      <c r="CH110" s="135">
        <f>CH$3</f>
        <v>46202</v>
      </c>
      <c r="CI110" s="148" t="s">
        <v>501</v>
      </c>
      <c r="CJ110" s="137" t="s">
        <v>501</v>
      </c>
      <c r="CK110" s="135">
        <f>CK$3</f>
        <v>46203</v>
      </c>
      <c r="CL110" s="136" t="s">
        <v>501</v>
      </c>
      <c r="CM110" s="137" t="s">
        <v>501</v>
      </c>
      <c r="CN110" s="135">
        <f>CN$3</f>
        <v>46204</v>
      </c>
      <c r="CO110" s="136" t="s">
        <v>501</v>
      </c>
      <c r="CP110" s="137" t="s">
        <v>501</v>
      </c>
      <c r="CQ110" s="135">
        <f>CQ$3</f>
        <v>46205</v>
      </c>
      <c r="CR110" s="136" t="s">
        <v>501</v>
      </c>
      <c r="CS110" s="137" t="s">
        <v>501</v>
      </c>
      <c r="CT110" s="135">
        <f>CT$3</f>
        <v>46206</v>
      </c>
      <c r="CU110" s="136" t="s">
        <v>501</v>
      </c>
      <c r="CV110" s="137" t="s">
        <v>501</v>
      </c>
      <c r="CW110" s="135">
        <f>CW$3</f>
        <v>46207</v>
      </c>
      <c r="CX110" s="136" t="s">
        <v>501</v>
      </c>
      <c r="CY110" s="137" t="s">
        <v>501</v>
      </c>
      <c r="CZ110" s="135"/>
      <c r="DA110" s="135">
        <f>DA$3</f>
        <v>46209</v>
      </c>
      <c r="DB110" s="136" t="s">
        <v>501</v>
      </c>
      <c r="DC110" s="137" t="s">
        <v>501</v>
      </c>
      <c r="DD110" s="135">
        <f>DD$3</f>
        <v>46210</v>
      </c>
      <c r="DE110" s="136" t="s">
        <v>501</v>
      </c>
      <c r="DF110" s="137" t="s">
        <v>501</v>
      </c>
      <c r="DG110" s="135">
        <f>DG$3</f>
        <v>46211</v>
      </c>
      <c r="DH110" s="136" t="s">
        <v>501</v>
      </c>
      <c r="DI110" s="137" t="s">
        <v>501</v>
      </c>
      <c r="DJ110" s="135">
        <f>DJ$3</f>
        <v>46212</v>
      </c>
      <c r="DK110" s="136" t="s">
        <v>501</v>
      </c>
      <c r="DL110" s="137" t="s">
        <v>501</v>
      </c>
      <c r="DM110" s="135">
        <f>DM$3</f>
        <v>46213</v>
      </c>
      <c r="DN110" s="136" t="s">
        <v>501</v>
      </c>
      <c r="DO110" s="137" t="s">
        <v>501</v>
      </c>
      <c r="DP110" s="135">
        <f>DP$3</f>
        <v>46214</v>
      </c>
      <c r="DQ110" s="136" t="s">
        <v>501</v>
      </c>
      <c r="DR110" s="137" t="s">
        <v>501</v>
      </c>
    </row>
    <row r="111" spans="1:122" outlineLevel="1">
      <c r="A111" s="171" t="str">
        <f>$A$80</f>
        <v>Nguyễn Hải Nam</v>
      </c>
      <c r="B111" s="28"/>
      <c r="C111" s="28" t="str">
        <f>IF($B111="","",INDEX('Bảng 3'!C:C,MATCH($B111,'Bảng 3'!$A:$A,0)))</f>
        <v/>
      </c>
      <c r="D111" s="28" t="str">
        <f>IF($B111="","",INDEX('Bảng 3'!D:D,MATCH($B111,'Bảng 3'!$A:$A,0)))</f>
        <v/>
      </c>
      <c r="E111" s="81" t="str">
        <f>IF($B111="","",INDEX('Bảng 3'!E:E,MATCH($B111,'Bảng 3'!$A:$A,0)))</f>
        <v/>
      </c>
      <c r="F111" s="81" t="str">
        <f>IF($B111="","",INDEX('Bảng 3'!F:F,MATCH($B111,'Bảng 3'!$A:$A,0)))</f>
        <v/>
      </c>
      <c r="G111" s="81" t="str">
        <f>IF($B111="","",INDEX('Bảng 3'!G:G,MATCH($B111,'Bảng 3'!$A:$A,0)))</f>
        <v/>
      </c>
      <c r="H111" s="121"/>
      <c r="I111" s="135"/>
      <c r="J111" s="135">
        <f>J$3</f>
        <v>46174</v>
      </c>
      <c r="K111" s="148" t="s">
        <v>501</v>
      </c>
      <c r="L111" s="168" t="s">
        <v>501</v>
      </c>
      <c r="M111" s="135">
        <f>M$3</f>
        <v>46175</v>
      </c>
      <c r="N111" s="148"/>
      <c r="O111" s="137"/>
      <c r="P111" s="135">
        <f>P$3</f>
        <v>46176</v>
      </c>
      <c r="Q111" s="136" t="s">
        <v>501</v>
      </c>
      <c r="R111" s="137" t="s">
        <v>501</v>
      </c>
      <c r="S111" s="135">
        <f>S$3</f>
        <v>46177</v>
      </c>
      <c r="T111" s="136" t="s">
        <v>501</v>
      </c>
      <c r="U111" s="137" t="s">
        <v>501</v>
      </c>
      <c r="V111" s="135">
        <f>V$3</f>
        <v>46178</v>
      </c>
      <c r="W111" s="136" t="s">
        <v>501</v>
      </c>
      <c r="X111" s="137" t="s">
        <v>501</v>
      </c>
      <c r="Y111" s="135">
        <f>Y$3</f>
        <v>46179</v>
      </c>
      <c r="Z111" s="136" t="s">
        <v>501</v>
      </c>
      <c r="AA111" s="137" t="s">
        <v>501</v>
      </c>
      <c r="AB111" s="135"/>
      <c r="AC111" s="135">
        <f>AC$3</f>
        <v>46181</v>
      </c>
      <c r="AD111" s="136" t="s">
        <v>501</v>
      </c>
      <c r="AE111" s="137" t="s">
        <v>501</v>
      </c>
      <c r="AF111" s="135">
        <f>AF$3</f>
        <v>46182</v>
      </c>
      <c r="AG111" s="136" t="s">
        <v>501</v>
      </c>
      <c r="AH111" s="137" t="s">
        <v>501</v>
      </c>
      <c r="AI111" s="135">
        <f>AI$3</f>
        <v>46183</v>
      </c>
      <c r="AJ111" s="136" t="s">
        <v>501</v>
      </c>
      <c r="AK111" s="137" t="s">
        <v>501</v>
      </c>
      <c r="AL111" s="135">
        <f>AL$3</f>
        <v>46184</v>
      </c>
      <c r="AM111" s="136" t="s">
        <v>501</v>
      </c>
      <c r="AN111" s="137" t="s">
        <v>501</v>
      </c>
      <c r="AO111" s="135">
        <f>AO$3</f>
        <v>46185</v>
      </c>
      <c r="AP111" s="136" t="s">
        <v>501</v>
      </c>
      <c r="AQ111" s="137" t="s">
        <v>501</v>
      </c>
      <c r="AR111" s="135">
        <f>AR$3</f>
        <v>46186</v>
      </c>
      <c r="AS111" s="136" t="s">
        <v>501</v>
      </c>
      <c r="AT111" s="137" t="s">
        <v>501</v>
      </c>
      <c r="AU111" s="135"/>
      <c r="AV111" s="135">
        <f>AV$3</f>
        <v>46188</v>
      </c>
      <c r="AW111" s="148" t="s">
        <v>501</v>
      </c>
      <c r="AX111" s="137" t="s">
        <v>501</v>
      </c>
      <c r="AY111" s="135">
        <f>AY$3</f>
        <v>46189</v>
      </c>
      <c r="AZ111" s="136" t="s">
        <v>501</v>
      </c>
      <c r="BA111" s="137" t="s">
        <v>501</v>
      </c>
      <c r="BB111" s="135">
        <f>BB$3</f>
        <v>46190</v>
      </c>
      <c r="BC111" s="136" t="s">
        <v>501</v>
      </c>
      <c r="BD111" s="137" t="s">
        <v>501</v>
      </c>
      <c r="BE111" s="135">
        <f>BE$3</f>
        <v>46191</v>
      </c>
      <c r="BF111" s="136" t="s">
        <v>501</v>
      </c>
      <c r="BG111" s="137" t="s">
        <v>501</v>
      </c>
      <c r="BH111" s="135">
        <f>BH$3</f>
        <v>46192</v>
      </c>
      <c r="BI111" s="136" t="s">
        <v>501</v>
      </c>
      <c r="BJ111" s="137" t="s">
        <v>501</v>
      </c>
      <c r="BK111" s="135">
        <f>BK$3</f>
        <v>46193</v>
      </c>
      <c r="BL111" s="136" t="s">
        <v>501</v>
      </c>
      <c r="BM111" s="137" t="s">
        <v>501</v>
      </c>
      <c r="BN111" s="135"/>
      <c r="BO111" s="135">
        <f>BO$3</f>
        <v>46195</v>
      </c>
      <c r="BP111" s="136" t="s">
        <v>501</v>
      </c>
      <c r="BQ111" s="137" t="s">
        <v>501</v>
      </c>
      <c r="BR111" s="135">
        <f>BR$3</f>
        <v>46196</v>
      </c>
      <c r="BS111" s="136" t="s">
        <v>501</v>
      </c>
      <c r="BT111" s="137" t="s">
        <v>501</v>
      </c>
      <c r="BU111" s="135">
        <f>BU$3</f>
        <v>46197</v>
      </c>
      <c r="BV111" s="136" t="s">
        <v>501</v>
      </c>
      <c r="BW111" s="137" t="s">
        <v>501</v>
      </c>
      <c r="BX111" s="135">
        <f>BX$3</f>
        <v>46198</v>
      </c>
      <c r="BY111" s="136" t="s">
        <v>501</v>
      </c>
      <c r="BZ111" s="137" t="s">
        <v>501</v>
      </c>
      <c r="CA111" s="135">
        <f>CA$3</f>
        <v>46199</v>
      </c>
      <c r="CB111" s="136" t="s">
        <v>501</v>
      </c>
      <c r="CC111" s="137" t="s">
        <v>501</v>
      </c>
      <c r="CD111" s="135">
        <f>CD$3</f>
        <v>46200</v>
      </c>
      <c r="CE111" s="136" t="s">
        <v>501</v>
      </c>
      <c r="CF111" s="137" t="s">
        <v>501</v>
      </c>
      <c r="CG111" s="135"/>
      <c r="CH111" s="135">
        <f>CH$3</f>
        <v>46202</v>
      </c>
      <c r="CI111" s="148" t="s">
        <v>501</v>
      </c>
      <c r="CJ111" s="137" t="s">
        <v>501</v>
      </c>
      <c r="CK111" s="135">
        <f>CK$3</f>
        <v>46203</v>
      </c>
      <c r="CL111" s="136" t="s">
        <v>501</v>
      </c>
      <c r="CM111" s="137" t="s">
        <v>501</v>
      </c>
      <c r="CN111" s="135">
        <f>CN$3</f>
        <v>46204</v>
      </c>
      <c r="CO111" s="136" t="s">
        <v>501</v>
      </c>
      <c r="CP111" s="137" t="s">
        <v>501</v>
      </c>
      <c r="CQ111" s="135">
        <f>CQ$3</f>
        <v>46205</v>
      </c>
      <c r="CR111" s="136" t="s">
        <v>501</v>
      </c>
      <c r="CS111" s="137" t="s">
        <v>501</v>
      </c>
      <c r="CT111" s="135">
        <f>CT$3</f>
        <v>46206</v>
      </c>
      <c r="CU111" s="136" t="s">
        <v>501</v>
      </c>
      <c r="CV111" s="137" t="s">
        <v>501</v>
      </c>
      <c r="CW111" s="135">
        <f>CW$3</f>
        <v>46207</v>
      </c>
      <c r="CX111" s="136" t="s">
        <v>501</v>
      </c>
      <c r="CY111" s="137" t="s">
        <v>501</v>
      </c>
      <c r="CZ111" s="135"/>
      <c r="DA111" s="135">
        <f>DA$3</f>
        <v>46209</v>
      </c>
      <c r="DB111" s="136" t="s">
        <v>501</v>
      </c>
      <c r="DC111" s="137" t="s">
        <v>501</v>
      </c>
      <c r="DD111" s="135">
        <f>DD$3</f>
        <v>46210</v>
      </c>
      <c r="DE111" s="136" t="s">
        <v>501</v>
      </c>
      <c r="DF111" s="137" t="s">
        <v>501</v>
      </c>
      <c r="DG111" s="135">
        <f>DG$3</f>
        <v>46211</v>
      </c>
      <c r="DH111" s="136" t="s">
        <v>501</v>
      </c>
      <c r="DI111" s="137" t="s">
        <v>501</v>
      </c>
      <c r="DJ111" s="135">
        <f>DJ$3</f>
        <v>46212</v>
      </c>
      <c r="DK111" s="136" t="s">
        <v>501</v>
      </c>
      <c r="DL111" s="137" t="s">
        <v>501</v>
      </c>
      <c r="DM111" s="135">
        <f>DM$3</f>
        <v>46213</v>
      </c>
      <c r="DN111" s="136" t="s">
        <v>501</v>
      </c>
      <c r="DO111" s="137" t="s">
        <v>501</v>
      </c>
      <c r="DP111" s="135">
        <f>DP$3</f>
        <v>46214</v>
      </c>
      <c r="DQ111" s="136" t="s">
        <v>501</v>
      </c>
      <c r="DR111" s="137" t="s">
        <v>501</v>
      </c>
    </row>
    <row r="112" spans="1:122" ht="30.75" outlineLevel="1">
      <c r="A112" s="171" t="str">
        <f>$A$80</f>
        <v>Nguyễn Hải Nam</v>
      </c>
      <c r="B112" s="28"/>
      <c r="C112" s="81" t="s">
        <v>38</v>
      </c>
      <c r="D112" s="81" t="s">
        <v>53</v>
      </c>
      <c r="E112" s="81" t="s">
        <v>53</v>
      </c>
      <c r="F112" s="81" t="s">
        <v>53</v>
      </c>
      <c r="G112" s="81" t="s">
        <v>53</v>
      </c>
      <c r="H112" s="121"/>
      <c r="I112" s="135"/>
      <c r="J112" s="135">
        <f>J$3</f>
        <v>46174</v>
      </c>
      <c r="K112" s="148" t="s">
        <v>501</v>
      </c>
      <c r="L112" s="168"/>
      <c r="M112" s="135">
        <f>M$3</f>
        <v>46175</v>
      </c>
      <c r="N112" s="148" t="s">
        <v>650</v>
      </c>
      <c r="O112" s="137">
        <v>2</v>
      </c>
      <c r="P112" s="135">
        <f>P$3</f>
        <v>46176</v>
      </c>
      <c r="Q112" s="136" t="s">
        <v>501</v>
      </c>
      <c r="R112" s="137" t="s">
        <v>501</v>
      </c>
      <c r="S112" s="135">
        <f>S$3</f>
        <v>46177</v>
      </c>
      <c r="T112" s="136" t="s">
        <v>501</v>
      </c>
      <c r="U112" s="137" t="s">
        <v>501</v>
      </c>
      <c r="V112" s="135">
        <f>V$3</f>
        <v>46178</v>
      </c>
      <c r="W112" s="136" t="s">
        <v>501</v>
      </c>
      <c r="X112" s="137" t="s">
        <v>501</v>
      </c>
      <c r="Y112" s="135">
        <f>Y$3</f>
        <v>46179</v>
      </c>
      <c r="Z112" s="136" t="s">
        <v>501</v>
      </c>
      <c r="AA112" s="137" t="s">
        <v>501</v>
      </c>
      <c r="AB112" s="135"/>
      <c r="AC112" s="135">
        <f>AC$3</f>
        <v>46181</v>
      </c>
      <c r="AD112" s="136" t="s">
        <v>501</v>
      </c>
      <c r="AE112" s="137" t="s">
        <v>501</v>
      </c>
      <c r="AF112" s="135">
        <f>AF$3</f>
        <v>46182</v>
      </c>
      <c r="AG112" s="136" t="s">
        <v>501</v>
      </c>
      <c r="AH112" s="137" t="s">
        <v>501</v>
      </c>
      <c r="AI112" s="135">
        <f>AI$3</f>
        <v>46183</v>
      </c>
      <c r="AJ112" s="136" t="s">
        <v>501</v>
      </c>
      <c r="AK112" s="137" t="s">
        <v>501</v>
      </c>
      <c r="AL112" s="135">
        <f>AL$3</f>
        <v>46184</v>
      </c>
      <c r="AM112" s="136" t="s">
        <v>501</v>
      </c>
      <c r="AN112" s="137" t="s">
        <v>501</v>
      </c>
      <c r="AO112" s="135">
        <f>AO$3</f>
        <v>46185</v>
      </c>
      <c r="AP112" s="136" t="s">
        <v>501</v>
      </c>
      <c r="AQ112" s="137" t="s">
        <v>501</v>
      </c>
      <c r="AR112" s="135">
        <f>AR$3</f>
        <v>46186</v>
      </c>
      <c r="AS112" s="136" t="s">
        <v>501</v>
      </c>
      <c r="AT112" s="137" t="s">
        <v>501</v>
      </c>
      <c r="AU112" s="135"/>
      <c r="AV112" s="135">
        <f>AV$3</f>
        <v>46188</v>
      </c>
      <c r="AW112" s="148" t="s">
        <v>501</v>
      </c>
      <c r="AX112" s="137" t="s">
        <v>501</v>
      </c>
      <c r="AY112" s="135">
        <f>AY$3</f>
        <v>46189</v>
      </c>
      <c r="AZ112" s="136" t="s">
        <v>501</v>
      </c>
      <c r="BA112" s="137" t="s">
        <v>501</v>
      </c>
      <c r="BB112" s="135">
        <f>BB$3</f>
        <v>46190</v>
      </c>
      <c r="BC112" s="136" t="s">
        <v>501</v>
      </c>
      <c r="BD112" s="137" t="s">
        <v>501</v>
      </c>
      <c r="BE112" s="135">
        <f>BE$3</f>
        <v>46191</v>
      </c>
      <c r="BF112" s="136" t="s">
        <v>501</v>
      </c>
      <c r="BG112" s="137" t="s">
        <v>501</v>
      </c>
      <c r="BH112" s="135">
        <f>BH$3</f>
        <v>46192</v>
      </c>
      <c r="BI112" s="136" t="s">
        <v>501</v>
      </c>
      <c r="BJ112" s="137" t="s">
        <v>501</v>
      </c>
      <c r="BK112" s="135">
        <f>BK$3</f>
        <v>46193</v>
      </c>
      <c r="BL112" s="136" t="s">
        <v>501</v>
      </c>
      <c r="BM112" s="137" t="s">
        <v>501</v>
      </c>
      <c r="BN112" s="135"/>
      <c r="BO112" s="135">
        <f>BO$3</f>
        <v>46195</v>
      </c>
      <c r="BP112" s="136" t="s">
        <v>501</v>
      </c>
      <c r="BQ112" s="137" t="s">
        <v>501</v>
      </c>
      <c r="BR112" s="135">
        <f>BR$3</f>
        <v>46196</v>
      </c>
      <c r="BS112" s="136" t="s">
        <v>501</v>
      </c>
      <c r="BT112" s="137" t="s">
        <v>501</v>
      </c>
      <c r="BU112" s="135">
        <f>BU$3</f>
        <v>46197</v>
      </c>
      <c r="BV112" s="136" t="s">
        <v>501</v>
      </c>
      <c r="BW112" s="137" t="s">
        <v>501</v>
      </c>
      <c r="BX112" s="135">
        <f>BX$3</f>
        <v>46198</v>
      </c>
      <c r="BY112" s="136" t="s">
        <v>501</v>
      </c>
      <c r="BZ112" s="137" t="s">
        <v>501</v>
      </c>
      <c r="CA112" s="135">
        <f>CA$3</f>
        <v>46199</v>
      </c>
      <c r="CB112" s="136" t="s">
        <v>501</v>
      </c>
      <c r="CC112" s="137" t="s">
        <v>501</v>
      </c>
      <c r="CD112" s="135">
        <f>CD$3</f>
        <v>46200</v>
      </c>
      <c r="CE112" s="136" t="s">
        <v>501</v>
      </c>
      <c r="CF112" s="137" t="s">
        <v>501</v>
      </c>
      <c r="CG112" s="135"/>
      <c r="CH112" s="135">
        <f>CH$3</f>
        <v>46202</v>
      </c>
      <c r="CI112" s="148" t="s">
        <v>501</v>
      </c>
      <c r="CJ112" s="137" t="s">
        <v>501</v>
      </c>
      <c r="CK112" s="135">
        <f>CK$3</f>
        <v>46203</v>
      </c>
      <c r="CL112" s="136" t="s">
        <v>501</v>
      </c>
      <c r="CM112" s="137" t="s">
        <v>501</v>
      </c>
      <c r="CN112" s="135">
        <f>CN$3</f>
        <v>46204</v>
      </c>
      <c r="CO112" s="136" t="s">
        <v>501</v>
      </c>
      <c r="CP112" s="137" t="s">
        <v>501</v>
      </c>
      <c r="CQ112" s="135">
        <f>CQ$3</f>
        <v>46205</v>
      </c>
      <c r="CR112" s="136" t="s">
        <v>501</v>
      </c>
      <c r="CS112" s="137" t="s">
        <v>501</v>
      </c>
      <c r="CT112" s="135">
        <f>CT$3</f>
        <v>46206</v>
      </c>
      <c r="CU112" s="136" t="s">
        <v>501</v>
      </c>
      <c r="CV112" s="137" t="s">
        <v>501</v>
      </c>
      <c r="CW112" s="135">
        <f>CW$3</f>
        <v>46207</v>
      </c>
      <c r="CX112" s="136" t="s">
        <v>501</v>
      </c>
      <c r="CY112" s="137" t="s">
        <v>501</v>
      </c>
      <c r="CZ112" s="135"/>
      <c r="DA112" s="135">
        <f>DA$3</f>
        <v>46209</v>
      </c>
      <c r="DB112" s="136" t="s">
        <v>501</v>
      </c>
      <c r="DC112" s="137" t="s">
        <v>501</v>
      </c>
      <c r="DD112" s="135">
        <f>DD$3</f>
        <v>46210</v>
      </c>
      <c r="DE112" s="136" t="s">
        <v>501</v>
      </c>
      <c r="DF112" s="137" t="s">
        <v>501</v>
      </c>
      <c r="DG112" s="135">
        <f>DG$3</f>
        <v>46211</v>
      </c>
      <c r="DH112" s="136" t="s">
        <v>501</v>
      </c>
      <c r="DI112" s="137" t="s">
        <v>501</v>
      </c>
      <c r="DJ112" s="135">
        <f>DJ$3</f>
        <v>46212</v>
      </c>
      <c r="DK112" s="136" t="s">
        <v>501</v>
      </c>
      <c r="DL112" s="137" t="s">
        <v>501</v>
      </c>
      <c r="DM112" s="135">
        <f>DM$3</f>
        <v>46213</v>
      </c>
      <c r="DN112" s="136" t="s">
        <v>501</v>
      </c>
      <c r="DO112" s="137" t="s">
        <v>501</v>
      </c>
      <c r="DP112" s="135">
        <f>DP$3</f>
        <v>46214</v>
      </c>
      <c r="DQ112" s="136" t="s">
        <v>501</v>
      </c>
      <c r="DR112" s="137" t="s">
        <v>501</v>
      </c>
    </row>
    <row r="113" spans="1:122">
      <c r="A113" s="175" t="s">
        <v>155</v>
      </c>
      <c r="B113" s="28"/>
      <c r="C113" s="28" t="str">
        <f>IF($B113="","",INDEX('Bảng 3'!C:C,MATCH($B113,'Bảng 3'!$A:$A,0)))</f>
        <v/>
      </c>
      <c r="D113" s="28" t="str">
        <f>IF($B113="","",INDEX('Bảng 3'!D:D,MATCH($B113,'Bảng 3'!$A:$A,0)))</f>
        <v/>
      </c>
      <c r="E113" s="81" t="str">
        <f>IF($B113="","",INDEX('Bảng 3'!E:E,MATCH($B113,'Bảng 3'!$A:$A,0)))</f>
        <v/>
      </c>
      <c r="F113" s="81" t="str">
        <f>IF($B113="","",INDEX('Bảng 3'!F:F,MATCH($B113,'Bảng 3'!$A:$A,0)))</f>
        <v/>
      </c>
      <c r="G113" s="81" t="str">
        <f>IF($B113="","",INDEX('Bảng 3'!G:G,MATCH($B113,'Bảng 3'!$A:$A,0)))</f>
        <v/>
      </c>
      <c r="H113" s="121"/>
      <c r="I113" s="138"/>
      <c r="J113" s="138">
        <f>J$3</f>
        <v>46174</v>
      </c>
      <c r="K113" s="158" t="s">
        <v>501</v>
      </c>
      <c r="L113" s="167">
        <f>SUM(L118:L149)</f>
        <v>9</v>
      </c>
      <c r="M113" s="138">
        <f>M$3</f>
        <v>46175</v>
      </c>
      <c r="N113" s="147" t="s">
        <v>501</v>
      </c>
      <c r="O113" s="133">
        <f>SUM(O118:O123)</f>
        <v>0</v>
      </c>
      <c r="P113" s="138">
        <f>P$3</f>
        <v>46176</v>
      </c>
      <c r="Q113" s="132" t="s">
        <v>501</v>
      </c>
      <c r="R113" s="133">
        <f>SUM(R118:R123)</f>
        <v>0</v>
      </c>
      <c r="S113" s="138">
        <f>S$3</f>
        <v>46177</v>
      </c>
      <c r="T113" s="132" t="s">
        <v>501</v>
      </c>
      <c r="U113" s="133">
        <f>SUM(U118:U123)</f>
        <v>0</v>
      </c>
      <c r="V113" s="138">
        <f>V$3</f>
        <v>46178</v>
      </c>
      <c r="W113" s="132" t="s">
        <v>501</v>
      </c>
      <c r="X113" s="133">
        <f>SUM(X118:X123)</f>
        <v>0</v>
      </c>
      <c r="Y113" s="138">
        <f>Y$3</f>
        <v>46179</v>
      </c>
      <c r="Z113" s="132" t="s">
        <v>501</v>
      </c>
      <c r="AA113" s="133">
        <f>SUM(AA118:AA123)</f>
        <v>0</v>
      </c>
      <c r="AB113" s="138"/>
      <c r="AC113" s="138">
        <f>AC$3</f>
        <v>46181</v>
      </c>
      <c r="AD113" s="132" t="s">
        <v>501</v>
      </c>
      <c r="AE113" s="133">
        <f>SUM(AE118:AE123)</f>
        <v>0</v>
      </c>
      <c r="AF113" s="138">
        <f>AF$3</f>
        <v>46182</v>
      </c>
      <c r="AG113" s="132" t="s">
        <v>501</v>
      </c>
      <c r="AH113" s="133">
        <f>SUM(AH118:AH123)</f>
        <v>0</v>
      </c>
      <c r="AI113" s="138">
        <f>AI$3</f>
        <v>46183</v>
      </c>
      <c r="AJ113" s="132" t="s">
        <v>501</v>
      </c>
      <c r="AK113" s="133">
        <f>SUM(AK118:AK123)</f>
        <v>0</v>
      </c>
      <c r="AL113" s="138">
        <f>AL$3</f>
        <v>46184</v>
      </c>
      <c r="AM113" s="132" t="s">
        <v>501</v>
      </c>
      <c r="AN113" s="133">
        <f>SUM(AN118:AN123)</f>
        <v>0</v>
      </c>
      <c r="AO113" s="138">
        <f>AO$3</f>
        <v>46185</v>
      </c>
      <c r="AP113" s="132" t="s">
        <v>501</v>
      </c>
      <c r="AQ113" s="133">
        <f>SUM(AQ118:AQ123)</f>
        <v>0</v>
      </c>
      <c r="AR113" s="138">
        <f>AR$3</f>
        <v>46186</v>
      </c>
      <c r="AS113" s="132" t="s">
        <v>501</v>
      </c>
      <c r="AT113" s="133">
        <f>SUM(AT118:AT123)</f>
        <v>0</v>
      </c>
      <c r="AU113" s="138"/>
      <c r="AV113" s="138">
        <f>AV$3</f>
        <v>46188</v>
      </c>
      <c r="AW113" s="147" t="s">
        <v>501</v>
      </c>
      <c r="AX113" s="133">
        <f>SUM(AX118:AX123)</f>
        <v>0</v>
      </c>
      <c r="AY113" s="138">
        <f>AY$3</f>
        <v>46189</v>
      </c>
      <c r="AZ113" s="132" t="s">
        <v>501</v>
      </c>
      <c r="BA113" s="133">
        <f>SUM(BA118:BA123)</f>
        <v>0</v>
      </c>
      <c r="BB113" s="138">
        <f>BB$3</f>
        <v>46190</v>
      </c>
      <c r="BC113" s="132" t="s">
        <v>501</v>
      </c>
      <c r="BD113" s="133">
        <f>SUM(BD118:BD123)</f>
        <v>0</v>
      </c>
      <c r="BE113" s="138">
        <f>BE$3</f>
        <v>46191</v>
      </c>
      <c r="BF113" s="132" t="s">
        <v>501</v>
      </c>
      <c r="BG113" s="133">
        <f>SUM(BG118:BG123)</f>
        <v>0</v>
      </c>
      <c r="BH113" s="138">
        <f>BH$3</f>
        <v>46192</v>
      </c>
      <c r="BI113" s="132" t="s">
        <v>501</v>
      </c>
      <c r="BJ113" s="133">
        <f>SUM(BJ118:BJ123)</f>
        <v>0</v>
      </c>
      <c r="BK113" s="138">
        <f>BK$3</f>
        <v>46193</v>
      </c>
      <c r="BL113" s="132" t="s">
        <v>501</v>
      </c>
      <c r="BM113" s="133">
        <f>SUM(BM118:BM123)</f>
        <v>0</v>
      </c>
      <c r="BN113" s="138"/>
      <c r="BO113" s="138">
        <f>BO$3</f>
        <v>46195</v>
      </c>
      <c r="BP113" s="132" t="s">
        <v>501</v>
      </c>
      <c r="BQ113" s="133">
        <f>SUM(BQ118:BQ123)</f>
        <v>0</v>
      </c>
      <c r="BR113" s="138">
        <f>BR$3</f>
        <v>46196</v>
      </c>
      <c r="BS113" s="132" t="s">
        <v>501</v>
      </c>
      <c r="BT113" s="133">
        <f>SUM(BT118:BT123)</f>
        <v>0</v>
      </c>
      <c r="BU113" s="138">
        <f>BU$3</f>
        <v>46197</v>
      </c>
      <c r="BV113" s="132" t="s">
        <v>501</v>
      </c>
      <c r="BW113" s="133">
        <f>SUM(BW118:BW123)</f>
        <v>0</v>
      </c>
      <c r="BX113" s="138">
        <f>BX$3</f>
        <v>46198</v>
      </c>
      <c r="BY113" s="132" t="s">
        <v>501</v>
      </c>
      <c r="BZ113" s="133">
        <f>SUM(BZ118:BZ123)</f>
        <v>0</v>
      </c>
      <c r="CA113" s="138">
        <f>CA$3</f>
        <v>46199</v>
      </c>
      <c r="CB113" s="132" t="s">
        <v>501</v>
      </c>
      <c r="CC113" s="133">
        <f>SUM(CC118:CC123)</f>
        <v>0</v>
      </c>
      <c r="CD113" s="138">
        <f>CD$3</f>
        <v>46200</v>
      </c>
      <c r="CE113" s="132" t="s">
        <v>501</v>
      </c>
      <c r="CF113" s="133">
        <f>SUM(CF118:CF123)</f>
        <v>0</v>
      </c>
      <c r="CG113" s="138"/>
      <c r="CH113" s="138">
        <f>CH$3</f>
        <v>46202</v>
      </c>
      <c r="CI113" s="147" t="s">
        <v>501</v>
      </c>
      <c r="CJ113" s="133">
        <f>SUM(CJ118:CJ123)</f>
        <v>0</v>
      </c>
      <c r="CK113" s="138">
        <f>CK$3</f>
        <v>46203</v>
      </c>
      <c r="CL113" s="132" t="s">
        <v>501</v>
      </c>
      <c r="CM113" s="133">
        <f>SUM(CM118:CM123)</f>
        <v>0</v>
      </c>
      <c r="CN113" s="138">
        <f>CN$3</f>
        <v>46204</v>
      </c>
      <c r="CO113" s="132" t="s">
        <v>501</v>
      </c>
      <c r="CP113" s="133">
        <f>SUM(CP118:CP123)</f>
        <v>0</v>
      </c>
      <c r="CQ113" s="138">
        <f>CQ$3</f>
        <v>46205</v>
      </c>
      <c r="CR113" s="132" t="s">
        <v>501</v>
      </c>
      <c r="CS113" s="133">
        <f>SUM(CS118:CS123)</f>
        <v>0</v>
      </c>
      <c r="CT113" s="138">
        <f>CT$3</f>
        <v>46206</v>
      </c>
      <c r="CU113" s="132" t="s">
        <v>501</v>
      </c>
      <c r="CV113" s="133">
        <f>SUM(CV118:CV123)</f>
        <v>0</v>
      </c>
      <c r="CW113" s="138">
        <f>CW$3</f>
        <v>46207</v>
      </c>
      <c r="CX113" s="132" t="s">
        <v>501</v>
      </c>
      <c r="CY113" s="133">
        <f>SUM(CY118:CY123)</f>
        <v>0</v>
      </c>
      <c r="CZ113" s="138"/>
      <c r="DA113" s="138">
        <f>DA$3</f>
        <v>46209</v>
      </c>
      <c r="DB113" s="132" t="s">
        <v>501</v>
      </c>
      <c r="DC113" s="133">
        <f>SUM(DC118:DC123)</f>
        <v>0</v>
      </c>
      <c r="DD113" s="138">
        <f>DD$3</f>
        <v>46210</v>
      </c>
      <c r="DE113" s="132" t="s">
        <v>501</v>
      </c>
      <c r="DF113" s="133">
        <f>SUM(DF118:DF123)</f>
        <v>0</v>
      </c>
      <c r="DG113" s="138">
        <f>DG$3</f>
        <v>46211</v>
      </c>
      <c r="DH113" s="132" t="s">
        <v>501</v>
      </c>
      <c r="DI113" s="133">
        <f>SUM(DI118:DI123)</f>
        <v>0</v>
      </c>
      <c r="DJ113" s="138">
        <f>DJ$3</f>
        <v>46212</v>
      </c>
      <c r="DK113" s="132" t="s">
        <v>501</v>
      </c>
      <c r="DL113" s="133">
        <f>SUM(DL118:DL123)</f>
        <v>0</v>
      </c>
      <c r="DM113" s="138">
        <f>DM$3</f>
        <v>46213</v>
      </c>
      <c r="DN113" s="132" t="s">
        <v>501</v>
      </c>
      <c r="DO113" s="133">
        <f>SUM(DO118:DO123)</f>
        <v>0</v>
      </c>
      <c r="DP113" s="138">
        <f>DP$3</f>
        <v>46214</v>
      </c>
      <c r="DQ113" s="132" t="s">
        <v>501</v>
      </c>
      <c r="DR113" s="133">
        <f>SUM(DR118:DR123)</f>
        <v>0</v>
      </c>
    </row>
    <row r="114" spans="1:122" outlineLevel="1">
      <c r="A114" s="122" t="str">
        <f>$A$113</f>
        <v>Vũ Thị Thêu</v>
      </c>
      <c r="B114" s="123" t="str">
        <f>'Bảng 3'!A29</f>
        <v>3.B.DSHNQN.STA.103</v>
      </c>
      <c r="C114" s="174" t="str">
        <f>IF($B114="","",INDEX('Bảng 3'!C:C,MATCH($B114,'Bảng 3'!$A:$A,0)))</f>
        <v>Quản lý BIM</v>
      </c>
      <c r="D114" s="174" t="str">
        <f>IF($B114="","",INDEX('Bảng 3'!D:D,MATCH($B114,'Bảng 3'!$A:$A,0)))</f>
        <v>B.DSHNQN.STA</v>
      </c>
      <c r="E114" s="81" t="str">
        <f>IF($B114="","",INDEX('Bảng 3'!E:E,MATCH($B114,'Bảng 3'!$A:$A,0)))</f>
        <v>Nhà ga Hạ Long Xanh</v>
      </c>
      <c r="F114" s="81" t="str">
        <f>IF($B114="","",INDEX('Bảng 3'!F:F,MATCH($B114,'Bảng 3'!$A:$A,0)))</f>
        <v>KT</v>
      </c>
      <c r="G114" s="81" t="str">
        <f>IF($B114="","",INDEX('Bảng 3'!G:G,MATCH($B114,'Bảng 3'!$A:$A,0)))</f>
        <v>Tạo lập mô hình BIM</v>
      </c>
      <c r="H114" s="121"/>
      <c r="I114" s="135"/>
      <c r="J114" s="135">
        <f>J$3</f>
        <v>46174</v>
      </c>
      <c r="K114" s="148" t="s">
        <v>501</v>
      </c>
      <c r="L114" s="168" t="s">
        <v>501</v>
      </c>
      <c r="M114" s="135">
        <f>M$3</f>
        <v>46175</v>
      </c>
      <c r="N114" s="148" t="s">
        <v>501</v>
      </c>
      <c r="O114" s="137" t="s">
        <v>501</v>
      </c>
      <c r="P114" s="135">
        <f>P$3</f>
        <v>46176</v>
      </c>
      <c r="Q114" s="136" t="s">
        <v>501</v>
      </c>
      <c r="R114" s="137" t="s">
        <v>501</v>
      </c>
      <c r="S114" s="135">
        <f>S$3</f>
        <v>46177</v>
      </c>
      <c r="T114" s="136" t="s">
        <v>501</v>
      </c>
      <c r="U114" s="137" t="s">
        <v>501</v>
      </c>
      <c r="V114" s="135">
        <f>V$3</f>
        <v>46178</v>
      </c>
      <c r="W114" s="136" t="s">
        <v>501</v>
      </c>
      <c r="X114" s="137" t="s">
        <v>501</v>
      </c>
      <c r="Y114" s="135">
        <f>Y$3</f>
        <v>46179</v>
      </c>
      <c r="Z114" s="136" t="s">
        <v>501</v>
      </c>
      <c r="AA114" s="137" t="s">
        <v>501</v>
      </c>
      <c r="AB114" s="135"/>
      <c r="AC114" s="135">
        <f>AC$3</f>
        <v>46181</v>
      </c>
      <c r="AD114" s="136" t="s">
        <v>501</v>
      </c>
      <c r="AE114" s="137" t="s">
        <v>501</v>
      </c>
      <c r="AF114" s="135">
        <f>AF$3</f>
        <v>46182</v>
      </c>
      <c r="AG114" s="136" t="s">
        <v>501</v>
      </c>
      <c r="AH114" s="137" t="s">
        <v>501</v>
      </c>
      <c r="AI114" s="135">
        <f>AI$3</f>
        <v>46183</v>
      </c>
      <c r="AJ114" s="136" t="s">
        <v>501</v>
      </c>
      <c r="AK114" s="137" t="s">
        <v>501</v>
      </c>
      <c r="AL114" s="135">
        <f>AL$3</f>
        <v>46184</v>
      </c>
      <c r="AM114" s="136" t="s">
        <v>501</v>
      </c>
      <c r="AN114" s="137" t="s">
        <v>501</v>
      </c>
      <c r="AO114" s="135">
        <f>AO$3</f>
        <v>46185</v>
      </c>
      <c r="AP114" s="136" t="s">
        <v>501</v>
      </c>
      <c r="AQ114" s="137" t="s">
        <v>501</v>
      </c>
      <c r="AR114" s="135">
        <f>AR$3</f>
        <v>46186</v>
      </c>
      <c r="AS114" s="136" t="s">
        <v>501</v>
      </c>
      <c r="AT114" s="137" t="s">
        <v>501</v>
      </c>
      <c r="AU114" s="135"/>
      <c r="AV114" s="135">
        <f>AV$3</f>
        <v>46188</v>
      </c>
      <c r="AW114" s="148" t="s">
        <v>501</v>
      </c>
      <c r="AX114" s="137" t="s">
        <v>501</v>
      </c>
      <c r="AY114" s="135">
        <f>AY$3</f>
        <v>46189</v>
      </c>
      <c r="AZ114" s="136" t="s">
        <v>501</v>
      </c>
      <c r="BA114" s="137" t="s">
        <v>501</v>
      </c>
      <c r="BB114" s="135">
        <f>BB$3</f>
        <v>46190</v>
      </c>
      <c r="BC114" s="136" t="s">
        <v>501</v>
      </c>
      <c r="BD114" s="137" t="s">
        <v>501</v>
      </c>
      <c r="BE114" s="135">
        <f>BE$3</f>
        <v>46191</v>
      </c>
      <c r="BF114" s="136" t="s">
        <v>501</v>
      </c>
      <c r="BG114" s="137" t="s">
        <v>501</v>
      </c>
      <c r="BH114" s="135">
        <f>BH$3</f>
        <v>46192</v>
      </c>
      <c r="BI114" s="136" t="s">
        <v>501</v>
      </c>
      <c r="BJ114" s="137" t="s">
        <v>501</v>
      </c>
      <c r="BK114" s="135">
        <f>BK$3</f>
        <v>46193</v>
      </c>
      <c r="BL114" s="136" t="s">
        <v>501</v>
      </c>
      <c r="BM114" s="137" t="s">
        <v>501</v>
      </c>
      <c r="BN114" s="135"/>
      <c r="BO114" s="135">
        <f>BO$3</f>
        <v>46195</v>
      </c>
      <c r="BP114" s="136" t="s">
        <v>501</v>
      </c>
      <c r="BQ114" s="137" t="s">
        <v>501</v>
      </c>
      <c r="BR114" s="135">
        <f>BR$3</f>
        <v>46196</v>
      </c>
      <c r="BS114" s="136" t="s">
        <v>501</v>
      </c>
      <c r="BT114" s="137" t="s">
        <v>501</v>
      </c>
      <c r="BU114" s="135">
        <f>BU$3</f>
        <v>46197</v>
      </c>
      <c r="BV114" s="136" t="s">
        <v>501</v>
      </c>
      <c r="BW114" s="137" t="s">
        <v>501</v>
      </c>
      <c r="BX114" s="135">
        <f>BX$3</f>
        <v>46198</v>
      </c>
      <c r="BY114" s="136" t="s">
        <v>501</v>
      </c>
      <c r="BZ114" s="137" t="s">
        <v>501</v>
      </c>
      <c r="CA114" s="135">
        <f>CA$3</f>
        <v>46199</v>
      </c>
      <c r="CB114" s="136" t="s">
        <v>501</v>
      </c>
      <c r="CC114" s="137" t="s">
        <v>501</v>
      </c>
      <c r="CD114" s="135">
        <f>CD$3</f>
        <v>46200</v>
      </c>
      <c r="CE114" s="136" t="s">
        <v>501</v>
      </c>
      <c r="CF114" s="137" t="s">
        <v>501</v>
      </c>
      <c r="CG114" s="135"/>
      <c r="CH114" s="135">
        <f>CH$3</f>
        <v>46202</v>
      </c>
      <c r="CI114" s="148" t="s">
        <v>501</v>
      </c>
      <c r="CJ114" s="137" t="s">
        <v>501</v>
      </c>
      <c r="CK114" s="135">
        <f>CK$3</f>
        <v>46203</v>
      </c>
      <c r="CL114" s="136" t="s">
        <v>501</v>
      </c>
      <c r="CM114" s="137" t="s">
        <v>501</v>
      </c>
      <c r="CN114" s="135">
        <f>CN$3</f>
        <v>46204</v>
      </c>
      <c r="CO114" s="136" t="s">
        <v>501</v>
      </c>
      <c r="CP114" s="137" t="s">
        <v>501</v>
      </c>
      <c r="CQ114" s="135">
        <f>CQ$3</f>
        <v>46205</v>
      </c>
      <c r="CR114" s="136" t="s">
        <v>501</v>
      </c>
      <c r="CS114" s="137" t="s">
        <v>501</v>
      </c>
      <c r="CT114" s="135">
        <f>CT$3</f>
        <v>46206</v>
      </c>
      <c r="CU114" s="136" t="s">
        <v>501</v>
      </c>
      <c r="CV114" s="137" t="s">
        <v>501</v>
      </c>
      <c r="CW114" s="135">
        <f>CW$3</f>
        <v>46207</v>
      </c>
      <c r="CX114" s="136" t="s">
        <v>501</v>
      </c>
      <c r="CY114" s="137" t="s">
        <v>501</v>
      </c>
      <c r="CZ114" s="135"/>
      <c r="DA114" s="135">
        <f>DA$3</f>
        <v>46209</v>
      </c>
      <c r="DB114" s="136" t="s">
        <v>501</v>
      </c>
      <c r="DC114" s="137" t="s">
        <v>501</v>
      </c>
      <c r="DD114" s="135">
        <f>DD$3</f>
        <v>46210</v>
      </c>
      <c r="DE114" s="136" t="s">
        <v>501</v>
      </c>
      <c r="DF114" s="137" t="s">
        <v>501</v>
      </c>
      <c r="DG114" s="135">
        <f>DG$3</f>
        <v>46211</v>
      </c>
      <c r="DH114" s="136" t="s">
        <v>501</v>
      </c>
      <c r="DI114" s="137" t="s">
        <v>501</v>
      </c>
      <c r="DJ114" s="135">
        <f>DJ$3</f>
        <v>46212</v>
      </c>
      <c r="DK114" s="136" t="s">
        <v>501</v>
      </c>
      <c r="DL114" s="137" t="s">
        <v>501</v>
      </c>
      <c r="DM114" s="135">
        <f>DM$3</f>
        <v>46213</v>
      </c>
      <c r="DN114" s="136" t="s">
        <v>501</v>
      </c>
      <c r="DO114" s="137" t="s">
        <v>501</v>
      </c>
      <c r="DP114" s="135">
        <f>DP$3</f>
        <v>46214</v>
      </c>
      <c r="DQ114" s="136" t="s">
        <v>501</v>
      </c>
      <c r="DR114" s="137" t="s">
        <v>501</v>
      </c>
    </row>
    <row r="115" spans="1:122" outlineLevel="1">
      <c r="A115" s="122" t="str">
        <f>$A$113</f>
        <v>Vũ Thị Thêu</v>
      </c>
      <c r="B115" s="123" t="str">
        <f>'Bảng 3'!A30</f>
        <v>3.B.DSHNQN.STA.201</v>
      </c>
      <c r="C115" s="81" t="str">
        <f>IF($B115="","",INDEX('Bảng 3'!C:C,MATCH($B115,'Bảng 3'!$A:$A,0)))</f>
        <v>Quản lý BIM</v>
      </c>
      <c r="D115" s="81" t="str">
        <f>IF($B115="","",INDEX('Bảng 3'!D:D,MATCH($B115,'Bảng 3'!$A:$A,0)))</f>
        <v>B.DSHNQN.STA</v>
      </c>
      <c r="E115" s="81" t="str">
        <f>IF($B115="","",INDEX('Bảng 3'!E:E,MATCH($B115,'Bảng 3'!$A:$A,0)))</f>
        <v>Nhà ga Hạ Long Xanh</v>
      </c>
      <c r="F115" s="81" t="str">
        <f>IF($B115="","",INDEX('Bảng 3'!F:F,MATCH($B115,'Bảng 3'!$A:$A,0)))</f>
        <v>KC</v>
      </c>
      <c r="G115" s="81" t="str">
        <f>IF($B115="","",INDEX('Bảng 3'!G:G,MATCH($B115,'Bảng 3'!$A:$A,0)))</f>
        <v>KSCL mô hình BIM</v>
      </c>
      <c r="H115" s="121"/>
      <c r="I115" s="135"/>
      <c r="J115" s="135">
        <f>J$3</f>
        <v>46174</v>
      </c>
      <c r="K115" s="148" t="s">
        <v>501</v>
      </c>
      <c r="L115" s="168" t="s">
        <v>501</v>
      </c>
      <c r="M115" s="135">
        <f>M$3</f>
        <v>46175</v>
      </c>
      <c r="N115" s="148" t="s">
        <v>501</v>
      </c>
      <c r="O115" s="137" t="s">
        <v>501</v>
      </c>
      <c r="P115" s="135">
        <f>P$3</f>
        <v>46176</v>
      </c>
      <c r="Q115" s="136" t="s">
        <v>501</v>
      </c>
      <c r="R115" s="137" t="s">
        <v>501</v>
      </c>
      <c r="S115" s="135">
        <f>S$3</f>
        <v>46177</v>
      </c>
      <c r="T115" s="136" t="s">
        <v>501</v>
      </c>
      <c r="U115" s="137" t="s">
        <v>501</v>
      </c>
      <c r="V115" s="135">
        <f>V$3</f>
        <v>46178</v>
      </c>
      <c r="W115" s="136" t="s">
        <v>501</v>
      </c>
      <c r="X115" s="137" t="s">
        <v>501</v>
      </c>
      <c r="Y115" s="135">
        <f>Y$3</f>
        <v>46179</v>
      </c>
      <c r="Z115" s="136" t="s">
        <v>501</v>
      </c>
      <c r="AA115" s="137" t="s">
        <v>501</v>
      </c>
      <c r="AB115" s="135"/>
      <c r="AC115" s="135">
        <f>AC$3</f>
        <v>46181</v>
      </c>
      <c r="AD115" s="136" t="s">
        <v>501</v>
      </c>
      <c r="AE115" s="137" t="s">
        <v>501</v>
      </c>
      <c r="AF115" s="135">
        <f>AF$3</f>
        <v>46182</v>
      </c>
      <c r="AG115" s="136" t="s">
        <v>501</v>
      </c>
      <c r="AH115" s="137" t="s">
        <v>501</v>
      </c>
      <c r="AI115" s="135">
        <f>AI$3</f>
        <v>46183</v>
      </c>
      <c r="AJ115" s="136" t="s">
        <v>501</v>
      </c>
      <c r="AK115" s="137" t="s">
        <v>501</v>
      </c>
      <c r="AL115" s="135">
        <f>AL$3</f>
        <v>46184</v>
      </c>
      <c r="AM115" s="136" t="s">
        <v>501</v>
      </c>
      <c r="AN115" s="137" t="s">
        <v>501</v>
      </c>
      <c r="AO115" s="135">
        <f>AO$3</f>
        <v>46185</v>
      </c>
      <c r="AP115" s="136" t="s">
        <v>501</v>
      </c>
      <c r="AQ115" s="137" t="s">
        <v>501</v>
      </c>
      <c r="AR115" s="135">
        <f>AR$3</f>
        <v>46186</v>
      </c>
      <c r="AS115" s="136" t="s">
        <v>501</v>
      </c>
      <c r="AT115" s="137" t="s">
        <v>501</v>
      </c>
      <c r="AU115" s="135"/>
      <c r="AV115" s="135">
        <f>AV$3</f>
        <v>46188</v>
      </c>
      <c r="AW115" s="148" t="s">
        <v>501</v>
      </c>
      <c r="AX115" s="137" t="s">
        <v>501</v>
      </c>
      <c r="AY115" s="135">
        <f>AY$3</f>
        <v>46189</v>
      </c>
      <c r="AZ115" s="136" t="s">
        <v>501</v>
      </c>
      <c r="BA115" s="137" t="s">
        <v>501</v>
      </c>
      <c r="BB115" s="135">
        <f>BB$3</f>
        <v>46190</v>
      </c>
      <c r="BC115" s="136" t="s">
        <v>501</v>
      </c>
      <c r="BD115" s="137" t="s">
        <v>501</v>
      </c>
      <c r="BE115" s="135">
        <f>BE$3</f>
        <v>46191</v>
      </c>
      <c r="BF115" s="136" t="s">
        <v>501</v>
      </c>
      <c r="BG115" s="137" t="s">
        <v>501</v>
      </c>
      <c r="BH115" s="135">
        <f>BH$3</f>
        <v>46192</v>
      </c>
      <c r="BI115" s="136" t="s">
        <v>501</v>
      </c>
      <c r="BJ115" s="137" t="s">
        <v>501</v>
      </c>
      <c r="BK115" s="135">
        <f>BK$3</f>
        <v>46193</v>
      </c>
      <c r="BL115" s="136" t="s">
        <v>501</v>
      </c>
      <c r="BM115" s="137" t="s">
        <v>501</v>
      </c>
      <c r="BN115" s="135"/>
      <c r="BO115" s="135">
        <f>BO$3</f>
        <v>46195</v>
      </c>
      <c r="BP115" s="136" t="s">
        <v>501</v>
      </c>
      <c r="BQ115" s="137" t="s">
        <v>501</v>
      </c>
      <c r="BR115" s="135">
        <f>BR$3</f>
        <v>46196</v>
      </c>
      <c r="BS115" s="136" t="s">
        <v>501</v>
      </c>
      <c r="BT115" s="137" t="s">
        <v>501</v>
      </c>
      <c r="BU115" s="135">
        <f>BU$3</f>
        <v>46197</v>
      </c>
      <c r="BV115" s="136" t="s">
        <v>501</v>
      </c>
      <c r="BW115" s="137" t="s">
        <v>501</v>
      </c>
      <c r="BX115" s="135">
        <f>BX$3</f>
        <v>46198</v>
      </c>
      <c r="BY115" s="136" t="s">
        <v>501</v>
      </c>
      <c r="BZ115" s="137" t="s">
        <v>501</v>
      </c>
      <c r="CA115" s="135">
        <f>CA$3</f>
        <v>46199</v>
      </c>
      <c r="CB115" s="136" t="s">
        <v>501</v>
      </c>
      <c r="CC115" s="137" t="s">
        <v>501</v>
      </c>
      <c r="CD115" s="135">
        <f>CD$3</f>
        <v>46200</v>
      </c>
      <c r="CE115" s="136" t="s">
        <v>501</v>
      </c>
      <c r="CF115" s="137" t="s">
        <v>501</v>
      </c>
      <c r="CG115" s="135"/>
      <c r="CH115" s="135">
        <f>CH$3</f>
        <v>46202</v>
      </c>
      <c r="CI115" s="148" t="s">
        <v>501</v>
      </c>
      <c r="CJ115" s="137" t="s">
        <v>501</v>
      </c>
      <c r="CK115" s="135">
        <f>CK$3</f>
        <v>46203</v>
      </c>
      <c r="CL115" s="136" t="s">
        <v>501</v>
      </c>
      <c r="CM115" s="137" t="s">
        <v>501</v>
      </c>
      <c r="CN115" s="135">
        <f>CN$3</f>
        <v>46204</v>
      </c>
      <c r="CO115" s="136" t="s">
        <v>501</v>
      </c>
      <c r="CP115" s="137" t="s">
        <v>501</v>
      </c>
      <c r="CQ115" s="135">
        <f>CQ$3</f>
        <v>46205</v>
      </c>
      <c r="CR115" s="136" t="s">
        <v>501</v>
      </c>
      <c r="CS115" s="137" t="s">
        <v>501</v>
      </c>
      <c r="CT115" s="135">
        <f>CT$3</f>
        <v>46206</v>
      </c>
      <c r="CU115" s="136" t="s">
        <v>501</v>
      </c>
      <c r="CV115" s="137" t="s">
        <v>501</v>
      </c>
      <c r="CW115" s="135">
        <f>CW$3</f>
        <v>46207</v>
      </c>
      <c r="CX115" s="136" t="s">
        <v>501</v>
      </c>
      <c r="CY115" s="137" t="s">
        <v>501</v>
      </c>
      <c r="CZ115" s="135"/>
      <c r="DA115" s="135">
        <f>DA$3</f>
        <v>46209</v>
      </c>
      <c r="DB115" s="136" t="s">
        <v>501</v>
      </c>
      <c r="DC115" s="137" t="s">
        <v>501</v>
      </c>
      <c r="DD115" s="135">
        <f>DD$3</f>
        <v>46210</v>
      </c>
      <c r="DE115" s="136" t="s">
        <v>501</v>
      </c>
      <c r="DF115" s="137" t="s">
        <v>501</v>
      </c>
      <c r="DG115" s="135">
        <f>DG$3</f>
        <v>46211</v>
      </c>
      <c r="DH115" s="136" t="s">
        <v>501</v>
      </c>
      <c r="DI115" s="137" t="s">
        <v>501</v>
      </c>
      <c r="DJ115" s="135">
        <f>DJ$3</f>
        <v>46212</v>
      </c>
      <c r="DK115" s="136" t="s">
        <v>501</v>
      </c>
      <c r="DL115" s="137" t="s">
        <v>501</v>
      </c>
      <c r="DM115" s="135">
        <f>DM$3</f>
        <v>46213</v>
      </c>
      <c r="DN115" s="136" t="s">
        <v>501</v>
      </c>
      <c r="DO115" s="137" t="s">
        <v>501</v>
      </c>
      <c r="DP115" s="135">
        <f>DP$3</f>
        <v>46214</v>
      </c>
      <c r="DQ115" s="136" t="s">
        <v>501</v>
      </c>
      <c r="DR115" s="137" t="s">
        <v>501</v>
      </c>
    </row>
    <row r="116" spans="1:122" outlineLevel="1">
      <c r="A116" s="122" t="str">
        <f>$A$113</f>
        <v>Vũ Thị Thêu</v>
      </c>
      <c r="B116" s="123" t="str">
        <f>'Bảng 3'!A36</f>
        <v>3.B.DSHNQN.STA.104</v>
      </c>
      <c r="C116" s="81" t="str">
        <f>IF($B116="","",INDEX('Bảng 3'!C:C,MATCH($B116,'Bảng 3'!$A:$A,0)))</f>
        <v>Quản lý BIM</v>
      </c>
      <c r="D116" s="81" t="str">
        <f>IF($B116="","",INDEX('Bảng 3'!D:D,MATCH($B116,'Bảng 3'!$A:$A,0)))</f>
        <v>B.DSHNQN.STA</v>
      </c>
      <c r="E116" s="81" t="str">
        <f>IF($B116="","",INDEX('Bảng 3'!E:E,MATCH($B116,'Bảng 3'!$A:$A,0)))</f>
        <v>Nhà ga Ninh Xá</v>
      </c>
      <c r="F116" s="81" t="str">
        <f>IF($B116="","",INDEX('Bảng 3'!F:F,MATCH($B116,'Bảng 3'!$A:$A,0)))</f>
        <v>KT</v>
      </c>
      <c r="G116" s="81" t="str">
        <f>IF($B116="","",INDEX('Bảng 3'!G:G,MATCH($B116,'Bảng 3'!$A:$A,0)))</f>
        <v>Tạo lập mô hình BIM</v>
      </c>
      <c r="H116" s="121"/>
      <c r="I116" s="135"/>
      <c r="J116" s="135">
        <f>J$3</f>
        <v>46174</v>
      </c>
      <c r="K116" s="148" t="s">
        <v>501</v>
      </c>
      <c r="L116" s="168" t="s">
        <v>501</v>
      </c>
      <c r="M116" s="135">
        <f>M$3</f>
        <v>46175</v>
      </c>
      <c r="N116" s="148" t="s">
        <v>501</v>
      </c>
      <c r="O116" s="137" t="s">
        <v>501</v>
      </c>
      <c r="P116" s="135">
        <f>P$3</f>
        <v>46176</v>
      </c>
      <c r="Q116" s="136" t="s">
        <v>501</v>
      </c>
      <c r="R116" s="137" t="s">
        <v>501</v>
      </c>
      <c r="S116" s="135">
        <f>S$3</f>
        <v>46177</v>
      </c>
      <c r="T116" s="136" t="s">
        <v>501</v>
      </c>
      <c r="U116" s="137" t="s">
        <v>501</v>
      </c>
      <c r="V116" s="135">
        <f>V$3</f>
        <v>46178</v>
      </c>
      <c r="W116" s="136" t="s">
        <v>501</v>
      </c>
      <c r="X116" s="137" t="s">
        <v>501</v>
      </c>
      <c r="Y116" s="135">
        <f>Y$3</f>
        <v>46179</v>
      </c>
      <c r="Z116" s="136" t="s">
        <v>501</v>
      </c>
      <c r="AA116" s="137" t="s">
        <v>501</v>
      </c>
      <c r="AB116" s="135"/>
      <c r="AC116" s="135">
        <f>AC$3</f>
        <v>46181</v>
      </c>
      <c r="AD116" s="136" t="s">
        <v>501</v>
      </c>
      <c r="AE116" s="137" t="s">
        <v>501</v>
      </c>
      <c r="AF116" s="135">
        <f>AF$3</f>
        <v>46182</v>
      </c>
      <c r="AG116" s="136" t="s">
        <v>501</v>
      </c>
      <c r="AH116" s="137" t="s">
        <v>501</v>
      </c>
      <c r="AI116" s="135">
        <f>AI$3</f>
        <v>46183</v>
      </c>
      <c r="AJ116" s="136" t="s">
        <v>501</v>
      </c>
      <c r="AK116" s="137" t="s">
        <v>501</v>
      </c>
      <c r="AL116" s="135">
        <f>AL$3</f>
        <v>46184</v>
      </c>
      <c r="AM116" s="136" t="s">
        <v>501</v>
      </c>
      <c r="AN116" s="137" t="s">
        <v>501</v>
      </c>
      <c r="AO116" s="135">
        <f>AO$3</f>
        <v>46185</v>
      </c>
      <c r="AP116" s="136" t="s">
        <v>501</v>
      </c>
      <c r="AQ116" s="137" t="s">
        <v>501</v>
      </c>
      <c r="AR116" s="135">
        <f>AR$3</f>
        <v>46186</v>
      </c>
      <c r="AS116" s="136" t="s">
        <v>501</v>
      </c>
      <c r="AT116" s="137" t="s">
        <v>501</v>
      </c>
      <c r="AU116" s="135"/>
      <c r="AV116" s="135">
        <f>AV$3</f>
        <v>46188</v>
      </c>
      <c r="AW116" s="148" t="s">
        <v>501</v>
      </c>
      <c r="AX116" s="137" t="s">
        <v>501</v>
      </c>
      <c r="AY116" s="135">
        <f>AY$3</f>
        <v>46189</v>
      </c>
      <c r="AZ116" s="136" t="s">
        <v>501</v>
      </c>
      <c r="BA116" s="137" t="s">
        <v>501</v>
      </c>
      <c r="BB116" s="135">
        <f>BB$3</f>
        <v>46190</v>
      </c>
      <c r="BC116" s="136" t="s">
        <v>501</v>
      </c>
      <c r="BD116" s="137" t="s">
        <v>501</v>
      </c>
      <c r="BE116" s="135">
        <f>BE$3</f>
        <v>46191</v>
      </c>
      <c r="BF116" s="136" t="s">
        <v>501</v>
      </c>
      <c r="BG116" s="137" t="s">
        <v>501</v>
      </c>
      <c r="BH116" s="135">
        <f>BH$3</f>
        <v>46192</v>
      </c>
      <c r="BI116" s="136" t="s">
        <v>501</v>
      </c>
      <c r="BJ116" s="137" t="s">
        <v>501</v>
      </c>
      <c r="BK116" s="135">
        <f>BK$3</f>
        <v>46193</v>
      </c>
      <c r="BL116" s="136" t="s">
        <v>501</v>
      </c>
      <c r="BM116" s="137" t="s">
        <v>501</v>
      </c>
      <c r="BN116" s="135"/>
      <c r="BO116" s="135">
        <f>BO$3</f>
        <v>46195</v>
      </c>
      <c r="BP116" s="136" t="s">
        <v>501</v>
      </c>
      <c r="BQ116" s="137" t="s">
        <v>501</v>
      </c>
      <c r="BR116" s="135">
        <f>BR$3</f>
        <v>46196</v>
      </c>
      <c r="BS116" s="136" t="s">
        <v>501</v>
      </c>
      <c r="BT116" s="137" t="s">
        <v>501</v>
      </c>
      <c r="BU116" s="135">
        <f>BU$3</f>
        <v>46197</v>
      </c>
      <c r="BV116" s="136" t="s">
        <v>501</v>
      </c>
      <c r="BW116" s="137" t="s">
        <v>501</v>
      </c>
      <c r="BX116" s="135">
        <f>BX$3</f>
        <v>46198</v>
      </c>
      <c r="BY116" s="136" t="s">
        <v>501</v>
      </c>
      <c r="BZ116" s="137" t="s">
        <v>501</v>
      </c>
      <c r="CA116" s="135">
        <f>CA$3</f>
        <v>46199</v>
      </c>
      <c r="CB116" s="136" t="s">
        <v>501</v>
      </c>
      <c r="CC116" s="137" t="s">
        <v>501</v>
      </c>
      <c r="CD116" s="135">
        <f>CD$3</f>
        <v>46200</v>
      </c>
      <c r="CE116" s="136" t="s">
        <v>501</v>
      </c>
      <c r="CF116" s="137" t="s">
        <v>501</v>
      </c>
      <c r="CG116" s="135"/>
      <c r="CH116" s="135">
        <f>CH$3</f>
        <v>46202</v>
      </c>
      <c r="CI116" s="148" t="s">
        <v>501</v>
      </c>
      <c r="CJ116" s="137" t="s">
        <v>501</v>
      </c>
      <c r="CK116" s="135">
        <f>CK$3</f>
        <v>46203</v>
      </c>
      <c r="CL116" s="136" t="s">
        <v>501</v>
      </c>
      <c r="CM116" s="137" t="s">
        <v>501</v>
      </c>
      <c r="CN116" s="135">
        <f>CN$3</f>
        <v>46204</v>
      </c>
      <c r="CO116" s="136" t="s">
        <v>501</v>
      </c>
      <c r="CP116" s="137" t="s">
        <v>501</v>
      </c>
      <c r="CQ116" s="135">
        <f>CQ$3</f>
        <v>46205</v>
      </c>
      <c r="CR116" s="136" t="s">
        <v>501</v>
      </c>
      <c r="CS116" s="137" t="s">
        <v>501</v>
      </c>
      <c r="CT116" s="135">
        <f>CT$3</f>
        <v>46206</v>
      </c>
      <c r="CU116" s="136" t="s">
        <v>501</v>
      </c>
      <c r="CV116" s="137" t="s">
        <v>501</v>
      </c>
      <c r="CW116" s="135">
        <f>CW$3</f>
        <v>46207</v>
      </c>
      <c r="CX116" s="136" t="s">
        <v>501</v>
      </c>
      <c r="CY116" s="137" t="s">
        <v>501</v>
      </c>
      <c r="CZ116" s="135"/>
      <c r="DA116" s="135">
        <f>DA$3</f>
        <v>46209</v>
      </c>
      <c r="DB116" s="136" t="s">
        <v>501</v>
      </c>
      <c r="DC116" s="137" t="s">
        <v>501</v>
      </c>
      <c r="DD116" s="135">
        <f>DD$3</f>
        <v>46210</v>
      </c>
      <c r="DE116" s="136" t="s">
        <v>501</v>
      </c>
      <c r="DF116" s="137" t="s">
        <v>501</v>
      </c>
      <c r="DG116" s="135">
        <f>DG$3</f>
        <v>46211</v>
      </c>
      <c r="DH116" s="136" t="s">
        <v>501</v>
      </c>
      <c r="DI116" s="137" t="s">
        <v>501</v>
      </c>
      <c r="DJ116" s="135">
        <f>DJ$3</f>
        <v>46212</v>
      </c>
      <c r="DK116" s="136" t="s">
        <v>501</v>
      </c>
      <c r="DL116" s="137" t="s">
        <v>501</v>
      </c>
      <c r="DM116" s="135">
        <f>DM$3</f>
        <v>46213</v>
      </c>
      <c r="DN116" s="136" t="s">
        <v>501</v>
      </c>
      <c r="DO116" s="137" t="s">
        <v>501</v>
      </c>
      <c r="DP116" s="135">
        <f>DP$3</f>
        <v>46214</v>
      </c>
      <c r="DQ116" s="136" t="s">
        <v>501</v>
      </c>
      <c r="DR116" s="137" t="s">
        <v>501</v>
      </c>
    </row>
    <row r="117" spans="1:122" outlineLevel="1">
      <c r="A117" s="122" t="str">
        <f>$A$113</f>
        <v>Vũ Thị Thêu</v>
      </c>
      <c r="B117" s="123" t="str">
        <f>'Bảng 3'!A37</f>
        <v>3.B.DSHNQN.STA.202</v>
      </c>
      <c r="C117" s="81" t="str">
        <f>IF($B117="","",INDEX('Bảng 3'!C:C,MATCH($B117,'Bảng 3'!$A:$A,0)))</f>
        <v>Quản lý BIM</v>
      </c>
      <c r="D117" s="81" t="str">
        <f>IF($B117="","",INDEX('Bảng 3'!D:D,MATCH($B117,'Bảng 3'!$A:$A,0)))</f>
        <v>B.DSHNQN.STA</v>
      </c>
      <c r="E117" s="81" t="str">
        <f>IF($B117="","",INDEX('Bảng 3'!E:E,MATCH($B117,'Bảng 3'!$A:$A,0)))</f>
        <v>Nhà ga Ninh Xá</v>
      </c>
      <c r="F117" s="81" t="str">
        <f>IF($B117="","",INDEX('Bảng 3'!F:F,MATCH($B117,'Bảng 3'!$A:$A,0)))</f>
        <v>KC</v>
      </c>
      <c r="G117" s="81" t="str">
        <f>IF($B117="","",INDEX('Bảng 3'!G:G,MATCH($B117,'Bảng 3'!$A:$A,0)))</f>
        <v>KSCL mô hình BIM</v>
      </c>
      <c r="H117" s="121"/>
      <c r="I117" s="135"/>
      <c r="J117" s="135">
        <f>J$3</f>
        <v>46174</v>
      </c>
      <c r="K117" s="148" t="s">
        <v>501</v>
      </c>
      <c r="L117" s="168" t="s">
        <v>501</v>
      </c>
      <c r="M117" s="135">
        <f>M$3</f>
        <v>46175</v>
      </c>
      <c r="N117" s="148" t="s">
        <v>501</v>
      </c>
      <c r="O117" s="137" t="s">
        <v>501</v>
      </c>
      <c r="P117" s="135">
        <f>P$3</f>
        <v>46176</v>
      </c>
      <c r="Q117" s="136" t="s">
        <v>501</v>
      </c>
      <c r="R117" s="137" t="s">
        <v>501</v>
      </c>
      <c r="S117" s="135">
        <f>S$3</f>
        <v>46177</v>
      </c>
      <c r="T117" s="136" t="s">
        <v>501</v>
      </c>
      <c r="U117" s="137" t="s">
        <v>501</v>
      </c>
      <c r="V117" s="135">
        <f>V$3</f>
        <v>46178</v>
      </c>
      <c r="W117" s="136" t="s">
        <v>501</v>
      </c>
      <c r="X117" s="137" t="s">
        <v>501</v>
      </c>
      <c r="Y117" s="135">
        <f>Y$3</f>
        <v>46179</v>
      </c>
      <c r="Z117" s="136" t="s">
        <v>501</v>
      </c>
      <c r="AA117" s="137" t="s">
        <v>501</v>
      </c>
      <c r="AB117" s="135"/>
      <c r="AC117" s="135">
        <f>AC$3</f>
        <v>46181</v>
      </c>
      <c r="AD117" s="136" t="s">
        <v>501</v>
      </c>
      <c r="AE117" s="137" t="s">
        <v>501</v>
      </c>
      <c r="AF117" s="135">
        <f>AF$3</f>
        <v>46182</v>
      </c>
      <c r="AG117" s="136" t="s">
        <v>501</v>
      </c>
      <c r="AH117" s="137" t="s">
        <v>501</v>
      </c>
      <c r="AI117" s="135">
        <f>AI$3</f>
        <v>46183</v>
      </c>
      <c r="AJ117" s="136" t="s">
        <v>501</v>
      </c>
      <c r="AK117" s="137" t="s">
        <v>501</v>
      </c>
      <c r="AL117" s="135">
        <f>AL$3</f>
        <v>46184</v>
      </c>
      <c r="AM117" s="136" t="s">
        <v>501</v>
      </c>
      <c r="AN117" s="137" t="s">
        <v>501</v>
      </c>
      <c r="AO117" s="135">
        <f>AO$3</f>
        <v>46185</v>
      </c>
      <c r="AP117" s="136" t="s">
        <v>501</v>
      </c>
      <c r="AQ117" s="137" t="s">
        <v>501</v>
      </c>
      <c r="AR117" s="135">
        <f>AR$3</f>
        <v>46186</v>
      </c>
      <c r="AS117" s="136" t="s">
        <v>501</v>
      </c>
      <c r="AT117" s="137" t="s">
        <v>501</v>
      </c>
      <c r="AU117" s="135"/>
      <c r="AV117" s="135">
        <f>AV$3</f>
        <v>46188</v>
      </c>
      <c r="AW117" s="148" t="s">
        <v>501</v>
      </c>
      <c r="AX117" s="137" t="s">
        <v>501</v>
      </c>
      <c r="AY117" s="135">
        <f>AY$3</f>
        <v>46189</v>
      </c>
      <c r="AZ117" s="136" t="s">
        <v>501</v>
      </c>
      <c r="BA117" s="137" t="s">
        <v>501</v>
      </c>
      <c r="BB117" s="135">
        <f>BB$3</f>
        <v>46190</v>
      </c>
      <c r="BC117" s="136" t="s">
        <v>501</v>
      </c>
      <c r="BD117" s="137" t="s">
        <v>501</v>
      </c>
      <c r="BE117" s="135">
        <f>BE$3</f>
        <v>46191</v>
      </c>
      <c r="BF117" s="136" t="s">
        <v>501</v>
      </c>
      <c r="BG117" s="137" t="s">
        <v>501</v>
      </c>
      <c r="BH117" s="135">
        <f>BH$3</f>
        <v>46192</v>
      </c>
      <c r="BI117" s="136" t="s">
        <v>501</v>
      </c>
      <c r="BJ117" s="137" t="s">
        <v>501</v>
      </c>
      <c r="BK117" s="135">
        <f>BK$3</f>
        <v>46193</v>
      </c>
      <c r="BL117" s="136" t="s">
        <v>501</v>
      </c>
      <c r="BM117" s="137" t="s">
        <v>501</v>
      </c>
      <c r="BN117" s="135"/>
      <c r="BO117" s="135">
        <f>BO$3</f>
        <v>46195</v>
      </c>
      <c r="BP117" s="136" t="s">
        <v>501</v>
      </c>
      <c r="BQ117" s="137" t="s">
        <v>501</v>
      </c>
      <c r="BR117" s="135">
        <f>BR$3</f>
        <v>46196</v>
      </c>
      <c r="BS117" s="136" t="s">
        <v>501</v>
      </c>
      <c r="BT117" s="137" t="s">
        <v>501</v>
      </c>
      <c r="BU117" s="135">
        <f>BU$3</f>
        <v>46197</v>
      </c>
      <c r="BV117" s="136" t="s">
        <v>501</v>
      </c>
      <c r="BW117" s="137" t="s">
        <v>501</v>
      </c>
      <c r="BX117" s="135">
        <f>BX$3</f>
        <v>46198</v>
      </c>
      <c r="BY117" s="136" t="s">
        <v>501</v>
      </c>
      <c r="BZ117" s="137" t="s">
        <v>501</v>
      </c>
      <c r="CA117" s="135">
        <f>CA$3</f>
        <v>46199</v>
      </c>
      <c r="CB117" s="136" t="s">
        <v>501</v>
      </c>
      <c r="CC117" s="137" t="s">
        <v>501</v>
      </c>
      <c r="CD117" s="135">
        <f>CD$3</f>
        <v>46200</v>
      </c>
      <c r="CE117" s="136" t="s">
        <v>501</v>
      </c>
      <c r="CF117" s="137" t="s">
        <v>501</v>
      </c>
      <c r="CG117" s="135"/>
      <c r="CH117" s="135">
        <f>CH$3</f>
        <v>46202</v>
      </c>
      <c r="CI117" s="148" t="s">
        <v>501</v>
      </c>
      <c r="CJ117" s="137" t="s">
        <v>501</v>
      </c>
      <c r="CK117" s="135">
        <f>CK$3</f>
        <v>46203</v>
      </c>
      <c r="CL117" s="136" t="s">
        <v>501</v>
      </c>
      <c r="CM117" s="137" t="s">
        <v>501</v>
      </c>
      <c r="CN117" s="135">
        <f>CN$3</f>
        <v>46204</v>
      </c>
      <c r="CO117" s="136" t="s">
        <v>501</v>
      </c>
      <c r="CP117" s="137" t="s">
        <v>501</v>
      </c>
      <c r="CQ117" s="135">
        <f>CQ$3</f>
        <v>46205</v>
      </c>
      <c r="CR117" s="136" t="s">
        <v>501</v>
      </c>
      <c r="CS117" s="137" t="s">
        <v>501</v>
      </c>
      <c r="CT117" s="135">
        <f>CT$3</f>
        <v>46206</v>
      </c>
      <c r="CU117" s="136" t="s">
        <v>501</v>
      </c>
      <c r="CV117" s="137" t="s">
        <v>501</v>
      </c>
      <c r="CW117" s="135">
        <f>CW$3</f>
        <v>46207</v>
      </c>
      <c r="CX117" s="136" t="s">
        <v>501</v>
      </c>
      <c r="CY117" s="137" t="s">
        <v>501</v>
      </c>
      <c r="CZ117" s="135"/>
      <c r="DA117" s="135">
        <f>DA$3</f>
        <v>46209</v>
      </c>
      <c r="DB117" s="136" t="s">
        <v>501</v>
      </c>
      <c r="DC117" s="137" t="s">
        <v>501</v>
      </c>
      <c r="DD117" s="135">
        <f>DD$3</f>
        <v>46210</v>
      </c>
      <c r="DE117" s="136" t="s">
        <v>501</v>
      </c>
      <c r="DF117" s="137" t="s">
        <v>501</v>
      </c>
      <c r="DG117" s="135">
        <f>DG$3</f>
        <v>46211</v>
      </c>
      <c r="DH117" s="136" t="s">
        <v>501</v>
      </c>
      <c r="DI117" s="137" t="s">
        <v>501</v>
      </c>
      <c r="DJ117" s="135">
        <f>DJ$3</f>
        <v>46212</v>
      </c>
      <c r="DK117" s="136" t="s">
        <v>501</v>
      </c>
      <c r="DL117" s="137" t="s">
        <v>501</v>
      </c>
      <c r="DM117" s="135">
        <f>DM$3</f>
        <v>46213</v>
      </c>
      <c r="DN117" s="136" t="s">
        <v>501</v>
      </c>
      <c r="DO117" s="137" t="s">
        <v>501</v>
      </c>
      <c r="DP117" s="135">
        <f>DP$3</f>
        <v>46214</v>
      </c>
      <c r="DQ117" s="136" t="s">
        <v>501</v>
      </c>
      <c r="DR117" s="137" t="s">
        <v>501</v>
      </c>
    </row>
    <row r="118" spans="1:122" outlineLevel="1">
      <c r="A118" s="122" t="str">
        <f>$A$113</f>
        <v>Vũ Thị Thêu</v>
      </c>
      <c r="B118" s="123" t="str">
        <f>'Bảng 3'!A57</f>
        <v>3.B.HNO.GL.VUNI.101</v>
      </c>
      <c r="C118" s="174" t="str">
        <f>IF($B118="","",INDEX('Bảng 3'!C:C,MATCH($B118,'Bảng 3'!$A:$A,0)))</f>
        <v>Quản lý BIM</v>
      </c>
      <c r="D118" s="174" t="str">
        <f>IF($B118="","",INDEX('Bảng 3'!D:D,MATCH($B118,'Bảng 3'!$A:$A,0)))</f>
        <v>B.HNO.GL.VUNI</v>
      </c>
      <c r="E118" s="81" t="str">
        <f>IF($B118="","",INDEX('Bảng 3'!E:E,MATCH($B118,'Bảng 3'!$A:$A,0)))</f>
        <v>Trường Vinuni  - Tòa M</v>
      </c>
      <c r="F118" s="81" t="str">
        <f>IF($B118="","",INDEX('Bảng 3'!F:F,MATCH($B118,'Bảng 3'!$A:$A,0)))</f>
        <v>KT</v>
      </c>
      <c r="G118" s="81" t="str">
        <f>IF($B118="","",INDEX('Bảng 3'!G:G,MATCH($B118,'Bảng 3'!$A:$A,0)))</f>
        <v>KSCL mô hình BIM</v>
      </c>
      <c r="H118" s="121"/>
      <c r="I118" s="135"/>
      <c r="J118" s="135">
        <f>J$3</f>
        <v>46174</v>
      </c>
      <c r="K118" s="148" t="s">
        <v>501</v>
      </c>
      <c r="L118" s="168" t="s">
        <v>501</v>
      </c>
      <c r="M118" s="135">
        <f>M$3</f>
        <v>46175</v>
      </c>
      <c r="N118" s="148" t="s">
        <v>501</v>
      </c>
      <c r="O118" s="137" t="s">
        <v>501</v>
      </c>
      <c r="P118" s="135">
        <f>P$3</f>
        <v>46176</v>
      </c>
      <c r="Q118" s="136" t="s">
        <v>501</v>
      </c>
      <c r="R118" s="137" t="s">
        <v>501</v>
      </c>
      <c r="S118" s="135">
        <f>S$3</f>
        <v>46177</v>
      </c>
      <c r="T118" s="136" t="s">
        <v>501</v>
      </c>
      <c r="U118" s="137" t="s">
        <v>501</v>
      </c>
      <c r="V118" s="135">
        <f>V$3</f>
        <v>46178</v>
      </c>
      <c r="W118" s="136" t="s">
        <v>501</v>
      </c>
      <c r="X118" s="137" t="s">
        <v>501</v>
      </c>
      <c r="Y118" s="135">
        <f>Y$3</f>
        <v>46179</v>
      </c>
      <c r="Z118" s="136" t="s">
        <v>501</v>
      </c>
      <c r="AA118" s="137" t="s">
        <v>501</v>
      </c>
      <c r="AB118" s="135"/>
      <c r="AC118" s="135">
        <f>AC$3</f>
        <v>46181</v>
      </c>
      <c r="AD118" s="136" t="s">
        <v>501</v>
      </c>
      <c r="AE118" s="137" t="s">
        <v>501</v>
      </c>
      <c r="AF118" s="135">
        <f>AF$3</f>
        <v>46182</v>
      </c>
      <c r="AG118" s="136" t="s">
        <v>501</v>
      </c>
      <c r="AH118" s="137" t="s">
        <v>501</v>
      </c>
      <c r="AI118" s="135">
        <f>AI$3</f>
        <v>46183</v>
      </c>
      <c r="AJ118" s="136" t="s">
        <v>501</v>
      </c>
      <c r="AK118" s="137" t="s">
        <v>501</v>
      </c>
      <c r="AL118" s="135">
        <f>AL$3</f>
        <v>46184</v>
      </c>
      <c r="AM118" s="136" t="s">
        <v>501</v>
      </c>
      <c r="AN118" s="137" t="s">
        <v>501</v>
      </c>
      <c r="AO118" s="135">
        <f>AO$3</f>
        <v>46185</v>
      </c>
      <c r="AP118" s="136" t="s">
        <v>501</v>
      </c>
      <c r="AQ118" s="137" t="s">
        <v>501</v>
      </c>
      <c r="AR118" s="135">
        <f>AR$3</f>
        <v>46186</v>
      </c>
      <c r="AS118" s="136" t="s">
        <v>501</v>
      </c>
      <c r="AT118" s="137" t="s">
        <v>501</v>
      </c>
      <c r="AU118" s="135"/>
      <c r="AV118" s="135">
        <f>AV$3</f>
        <v>46188</v>
      </c>
      <c r="AW118" s="148" t="s">
        <v>501</v>
      </c>
      <c r="AX118" s="137" t="s">
        <v>501</v>
      </c>
      <c r="AY118" s="135">
        <f>AY$3</f>
        <v>46189</v>
      </c>
      <c r="AZ118" s="136" t="s">
        <v>501</v>
      </c>
      <c r="BA118" s="137" t="s">
        <v>501</v>
      </c>
      <c r="BB118" s="135">
        <f>BB$3</f>
        <v>46190</v>
      </c>
      <c r="BC118" s="136" t="s">
        <v>501</v>
      </c>
      <c r="BD118" s="137" t="s">
        <v>501</v>
      </c>
      <c r="BE118" s="135">
        <f>BE$3</f>
        <v>46191</v>
      </c>
      <c r="BF118" s="136" t="s">
        <v>501</v>
      </c>
      <c r="BG118" s="137" t="s">
        <v>501</v>
      </c>
      <c r="BH118" s="135">
        <f>BH$3</f>
        <v>46192</v>
      </c>
      <c r="BI118" s="136" t="s">
        <v>501</v>
      </c>
      <c r="BJ118" s="137" t="s">
        <v>501</v>
      </c>
      <c r="BK118" s="135">
        <f>BK$3</f>
        <v>46193</v>
      </c>
      <c r="BL118" s="136" t="s">
        <v>501</v>
      </c>
      <c r="BM118" s="137" t="s">
        <v>501</v>
      </c>
      <c r="BN118" s="135"/>
      <c r="BO118" s="135">
        <f>BO$3</f>
        <v>46195</v>
      </c>
      <c r="BP118" s="136" t="s">
        <v>501</v>
      </c>
      <c r="BQ118" s="137" t="s">
        <v>501</v>
      </c>
      <c r="BR118" s="135">
        <f>BR$3</f>
        <v>46196</v>
      </c>
      <c r="BS118" s="136" t="s">
        <v>501</v>
      </c>
      <c r="BT118" s="137" t="s">
        <v>501</v>
      </c>
      <c r="BU118" s="135">
        <f>BU$3</f>
        <v>46197</v>
      </c>
      <c r="BV118" s="136" t="s">
        <v>501</v>
      </c>
      <c r="BW118" s="137" t="s">
        <v>501</v>
      </c>
      <c r="BX118" s="135">
        <f>BX$3</f>
        <v>46198</v>
      </c>
      <c r="BY118" s="136" t="s">
        <v>501</v>
      </c>
      <c r="BZ118" s="137" t="s">
        <v>501</v>
      </c>
      <c r="CA118" s="135">
        <f>CA$3</f>
        <v>46199</v>
      </c>
      <c r="CB118" s="136" t="s">
        <v>501</v>
      </c>
      <c r="CC118" s="137" t="s">
        <v>501</v>
      </c>
      <c r="CD118" s="135">
        <f>CD$3</f>
        <v>46200</v>
      </c>
      <c r="CE118" s="136" t="s">
        <v>501</v>
      </c>
      <c r="CF118" s="137" t="s">
        <v>501</v>
      </c>
      <c r="CG118" s="135"/>
      <c r="CH118" s="135">
        <f>CH$3</f>
        <v>46202</v>
      </c>
      <c r="CI118" s="148" t="s">
        <v>501</v>
      </c>
      <c r="CJ118" s="137" t="s">
        <v>501</v>
      </c>
      <c r="CK118" s="135">
        <f>CK$3</f>
        <v>46203</v>
      </c>
      <c r="CL118" s="136" t="s">
        <v>501</v>
      </c>
      <c r="CM118" s="137" t="s">
        <v>501</v>
      </c>
      <c r="CN118" s="135">
        <f>CN$3</f>
        <v>46204</v>
      </c>
      <c r="CO118" s="136" t="s">
        <v>501</v>
      </c>
      <c r="CP118" s="137" t="s">
        <v>501</v>
      </c>
      <c r="CQ118" s="135">
        <f>CQ$3</f>
        <v>46205</v>
      </c>
      <c r="CR118" s="136" t="s">
        <v>501</v>
      </c>
      <c r="CS118" s="137" t="s">
        <v>501</v>
      </c>
      <c r="CT118" s="135">
        <f>CT$3</f>
        <v>46206</v>
      </c>
      <c r="CU118" s="136" t="s">
        <v>501</v>
      </c>
      <c r="CV118" s="137" t="s">
        <v>501</v>
      </c>
      <c r="CW118" s="135">
        <f>CW$3</f>
        <v>46207</v>
      </c>
      <c r="CX118" s="136" t="s">
        <v>501</v>
      </c>
      <c r="CY118" s="137" t="s">
        <v>501</v>
      </c>
      <c r="CZ118" s="135"/>
      <c r="DA118" s="135">
        <f>DA$3</f>
        <v>46209</v>
      </c>
      <c r="DB118" s="136" t="s">
        <v>501</v>
      </c>
      <c r="DC118" s="137" t="s">
        <v>501</v>
      </c>
      <c r="DD118" s="135">
        <f>DD$3</f>
        <v>46210</v>
      </c>
      <c r="DE118" s="136" t="s">
        <v>501</v>
      </c>
      <c r="DF118" s="137" t="s">
        <v>501</v>
      </c>
      <c r="DG118" s="135">
        <f>DG$3</f>
        <v>46211</v>
      </c>
      <c r="DH118" s="136" t="s">
        <v>501</v>
      </c>
      <c r="DI118" s="137" t="s">
        <v>501</v>
      </c>
      <c r="DJ118" s="135">
        <f>DJ$3</f>
        <v>46212</v>
      </c>
      <c r="DK118" s="136" t="s">
        <v>501</v>
      </c>
      <c r="DL118" s="137" t="s">
        <v>501</v>
      </c>
      <c r="DM118" s="135">
        <f>DM$3</f>
        <v>46213</v>
      </c>
      <c r="DN118" s="136" t="s">
        <v>501</v>
      </c>
      <c r="DO118" s="137" t="s">
        <v>501</v>
      </c>
      <c r="DP118" s="135">
        <f>DP$3</f>
        <v>46214</v>
      </c>
      <c r="DQ118" s="136" t="s">
        <v>501</v>
      </c>
      <c r="DR118" s="137" t="s">
        <v>501</v>
      </c>
    </row>
    <row r="119" spans="1:122" outlineLevel="1">
      <c r="A119" s="122" t="str">
        <f>$A$113</f>
        <v>Vũ Thị Thêu</v>
      </c>
      <c r="B119" s="123" t="str">
        <f>'Bảng 3'!A58</f>
        <v>3.B.HNO.GL.VUNI.201</v>
      </c>
      <c r="C119" s="81" t="str">
        <f>IF($B119="","",INDEX('Bảng 3'!C:C,MATCH($B119,'Bảng 3'!$A:$A,0)))</f>
        <v>Quản lý BIM</v>
      </c>
      <c r="D119" s="81" t="str">
        <f>IF($B119="","",INDEX('Bảng 3'!D:D,MATCH($B119,'Bảng 3'!$A:$A,0)))</f>
        <v>B.HNO.GL.VUNI</v>
      </c>
      <c r="E119" s="81" t="str">
        <f>IF($B119="","",INDEX('Bảng 3'!E:E,MATCH($B119,'Bảng 3'!$A:$A,0)))</f>
        <v>Trường Vinuni  - Tòa M</v>
      </c>
      <c r="F119" s="81" t="str">
        <f>IF($B119="","",INDEX('Bảng 3'!F:F,MATCH($B119,'Bảng 3'!$A:$A,0)))</f>
        <v>KC</v>
      </c>
      <c r="G119" s="81" t="str">
        <f>IF($B119="","",INDEX('Bảng 3'!G:G,MATCH($B119,'Bảng 3'!$A:$A,0)))</f>
        <v>KSCL mô hình BIM</v>
      </c>
      <c r="H119" s="121"/>
      <c r="I119" s="135"/>
      <c r="J119" s="135">
        <f>J$3</f>
        <v>46174</v>
      </c>
      <c r="K119" s="148" t="s">
        <v>501</v>
      </c>
      <c r="L119" s="168" t="s">
        <v>501</v>
      </c>
      <c r="M119" s="135">
        <f>M$3</f>
        <v>46175</v>
      </c>
      <c r="N119" s="148" t="s">
        <v>501</v>
      </c>
      <c r="O119" s="137" t="s">
        <v>501</v>
      </c>
      <c r="P119" s="135">
        <f>P$3</f>
        <v>46176</v>
      </c>
      <c r="Q119" s="136" t="s">
        <v>501</v>
      </c>
      <c r="R119" s="137" t="s">
        <v>501</v>
      </c>
      <c r="S119" s="135">
        <f>S$3</f>
        <v>46177</v>
      </c>
      <c r="T119" s="136" t="s">
        <v>501</v>
      </c>
      <c r="U119" s="137" t="s">
        <v>501</v>
      </c>
      <c r="V119" s="135">
        <f>V$3</f>
        <v>46178</v>
      </c>
      <c r="W119" s="136" t="s">
        <v>501</v>
      </c>
      <c r="X119" s="137" t="s">
        <v>501</v>
      </c>
      <c r="Y119" s="135">
        <f>Y$3</f>
        <v>46179</v>
      </c>
      <c r="Z119" s="136" t="s">
        <v>501</v>
      </c>
      <c r="AA119" s="137" t="s">
        <v>501</v>
      </c>
      <c r="AB119" s="135"/>
      <c r="AC119" s="135">
        <f>AC$3</f>
        <v>46181</v>
      </c>
      <c r="AD119" s="136" t="s">
        <v>501</v>
      </c>
      <c r="AE119" s="137" t="s">
        <v>501</v>
      </c>
      <c r="AF119" s="135">
        <f>AF$3</f>
        <v>46182</v>
      </c>
      <c r="AG119" s="136" t="s">
        <v>501</v>
      </c>
      <c r="AH119" s="137" t="s">
        <v>501</v>
      </c>
      <c r="AI119" s="135">
        <f>AI$3</f>
        <v>46183</v>
      </c>
      <c r="AJ119" s="136" t="s">
        <v>501</v>
      </c>
      <c r="AK119" s="137" t="s">
        <v>501</v>
      </c>
      <c r="AL119" s="135">
        <f>AL$3</f>
        <v>46184</v>
      </c>
      <c r="AM119" s="136" t="s">
        <v>501</v>
      </c>
      <c r="AN119" s="137" t="s">
        <v>501</v>
      </c>
      <c r="AO119" s="135">
        <f>AO$3</f>
        <v>46185</v>
      </c>
      <c r="AP119" s="136" t="s">
        <v>501</v>
      </c>
      <c r="AQ119" s="137" t="s">
        <v>501</v>
      </c>
      <c r="AR119" s="135">
        <f>AR$3</f>
        <v>46186</v>
      </c>
      <c r="AS119" s="136" t="s">
        <v>501</v>
      </c>
      <c r="AT119" s="137" t="s">
        <v>501</v>
      </c>
      <c r="AU119" s="135"/>
      <c r="AV119" s="135">
        <f>AV$3</f>
        <v>46188</v>
      </c>
      <c r="AW119" s="148" t="s">
        <v>501</v>
      </c>
      <c r="AX119" s="137" t="s">
        <v>501</v>
      </c>
      <c r="AY119" s="135">
        <f>AY$3</f>
        <v>46189</v>
      </c>
      <c r="AZ119" s="136" t="s">
        <v>501</v>
      </c>
      <c r="BA119" s="137" t="s">
        <v>501</v>
      </c>
      <c r="BB119" s="135">
        <f>BB$3</f>
        <v>46190</v>
      </c>
      <c r="BC119" s="136" t="s">
        <v>501</v>
      </c>
      <c r="BD119" s="137" t="s">
        <v>501</v>
      </c>
      <c r="BE119" s="135">
        <f>BE$3</f>
        <v>46191</v>
      </c>
      <c r="BF119" s="136" t="s">
        <v>501</v>
      </c>
      <c r="BG119" s="137" t="s">
        <v>501</v>
      </c>
      <c r="BH119" s="135">
        <f>BH$3</f>
        <v>46192</v>
      </c>
      <c r="BI119" s="136" t="s">
        <v>501</v>
      </c>
      <c r="BJ119" s="137" t="s">
        <v>501</v>
      </c>
      <c r="BK119" s="135">
        <f>BK$3</f>
        <v>46193</v>
      </c>
      <c r="BL119" s="136" t="s">
        <v>501</v>
      </c>
      <c r="BM119" s="137" t="s">
        <v>501</v>
      </c>
      <c r="BN119" s="135"/>
      <c r="BO119" s="135">
        <f>BO$3</f>
        <v>46195</v>
      </c>
      <c r="BP119" s="136" t="s">
        <v>501</v>
      </c>
      <c r="BQ119" s="137" t="s">
        <v>501</v>
      </c>
      <c r="BR119" s="135">
        <f>BR$3</f>
        <v>46196</v>
      </c>
      <c r="BS119" s="136" t="s">
        <v>501</v>
      </c>
      <c r="BT119" s="137" t="s">
        <v>501</v>
      </c>
      <c r="BU119" s="135">
        <f>BU$3</f>
        <v>46197</v>
      </c>
      <c r="BV119" s="136" t="s">
        <v>501</v>
      </c>
      <c r="BW119" s="137" t="s">
        <v>501</v>
      </c>
      <c r="BX119" s="135">
        <f>BX$3</f>
        <v>46198</v>
      </c>
      <c r="BY119" s="136" t="s">
        <v>501</v>
      </c>
      <c r="BZ119" s="137" t="s">
        <v>501</v>
      </c>
      <c r="CA119" s="135">
        <f>CA$3</f>
        <v>46199</v>
      </c>
      <c r="CB119" s="136" t="s">
        <v>501</v>
      </c>
      <c r="CC119" s="137" t="s">
        <v>501</v>
      </c>
      <c r="CD119" s="135">
        <f>CD$3</f>
        <v>46200</v>
      </c>
      <c r="CE119" s="136" t="s">
        <v>501</v>
      </c>
      <c r="CF119" s="137" t="s">
        <v>501</v>
      </c>
      <c r="CG119" s="135"/>
      <c r="CH119" s="135">
        <f>CH$3</f>
        <v>46202</v>
      </c>
      <c r="CI119" s="148" t="s">
        <v>501</v>
      </c>
      <c r="CJ119" s="137" t="s">
        <v>501</v>
      </c>
      <c r="CK119" s="135">
        <f>CK$3</f>
        <v>46203</v>
      </c>
      <c r="CL119" s="136" t="s">
        <v>501</v>
      </c>
      <c r="CM119" s="137" t="s">
        <v>501</v>
      </c>
      <c r="CN119" s="135">
        <f>CN$3</f>
        <v>46204</v>
      </c>
      <c r="CO119" s="136" t="s">
        <v>501</v>
      </c>
      <c r="CP119" s="137" t="s">
        <v>501</v>
      </c>
      <c r="CQ119" s="135">
        <f>CQ$3</f>
        <v>46205</v>
      </c>
      <c r="CR119" s="136" t="s">
        <v>501</v>
      </c>
      <c r="CS119" s="137" t="s">
        <v>501</v>
      </c>
      <c r="CT119" s="135">
        <f>CT$3</f>
        <v>46206</v>
      </c>
      <c r="CU119" s="136" t="s">
        <v>501</v>
      </c>
      <c r="CV119" s="137" t="s">
        <v>501</v>
      </c>
      <c r="CW119" s="135">
        <f>CW$3</f>
        <v>46207</v>
      </c>
      <c r="CX119" s="136" t="s">
        <v>501</v>
      </c>
      <c r="CY119" s="137" t="s">
        <v>501</v>
      </c>
      <c r="CZ119" s="135"/>
      <c r="DA119" s="135">
        <f>DA$3</f>
        <v>46209</v>
      </c>
      <c r="DB119" s="136" t="s">
        <v>501</v>
      </c>
      <c r="DC119" s="137" t="s">
        <v>501</v>
      </c>
      <c r="DD119" s="135">
        <f>DD$3</f>
        <v>46210</v>
      </c>
      <c r="DE119" s="136" t="s">
        <v>501</v>
      </c>
      <c r="DF119" s="137" t="s">
        <v>501</v>
      </c>
      <c r="DG119" s="135">
        <f>DG$3</f>
        <v>46211</v>
      </c>
      <c r="DH119" s="136" t="s">
        <v>501</v>
      </c>
      <c r="DI119" s="137" t="s">
        <v>501</v>
      </c>
      <c r="DJ119" s="135">
        <f>DJ$3</f>
        <v>46212</v>
      </c>
      <c r="DK119" s="136" t="s">
        <v>501</v>
      </c>
      <c r="DL119" s="137" t="s">
        <v>501</v>
      </c>
      <c r="DM119" s="135">
        <f>DM$3</f>
        <v>46213</v>
      </c>
      <c r="DN119" s="136" t="s">
        <v>501</v>
      </c>
      <c r="DO119" s="137" t="s">
        <v>501</v>
      </c>
      <c r="DP119" s="135">
        <f>DP$3</f>
        <v>46214</v>
      </c>
      <c r="DQ119" s="136" t="s">
        <v>501</v>
      </c>
      <c r="DR119" s="137" t="s">
        <v>501</v>
      </c>
    </row>
    <row r="120" spans="1:122" outlineLevel="1">
      <c r="A120" s="122" t="str">
        <f>$A$113</f>
        <v>Vũ Thị Thêu</v>
      </c>
      <c r="B120" s="123" t="str">
        <f>'Bảng 3'!A64</f>
        <v>3.B.HNO.GL.VUNI.102</v>
      </c>
      <c r="C120" s="81" t="str">
        <f>IF($B120="","",INDEX('Bảng 3'!C:C,MATCH($B120,'Bảng 3'!$A:$A,0)))</f>
        <v>Quản lý BIM</v>
      </c>
      <c r="D120" s="81" t="str">
        <f>IF($B120="","",INDEX('Bảng 3'!D:D,MATCH($B120,'Bảng 3'!$A:$A,0)))</f>
        <v>B.HNO.GL.VUNI</v>
      </c>
      <c r="E120" s="81" t="str">
        <f>IF($B120="","",INDEX('Bảng 3'!E:E,MATCH($B120,'Bảng 3'!$A:$A,0)))</f>
        <v>Trường Vinuni  - Tòa P</v>
      </c>
      <c r="F120" s="81" t="str">
        <f>IF($B120="","",INDEX('Bảng 3'!F:F,MATCH($B120,'Bảng 3'!$A:$A,0)))</f>
        <v>KT</v>
      </c>
      <c r="G120" s="81" t="str">
        <f>IF($B120="","",INDEX('Bảng 3'!G:G,MATCH($B120,'Bảng 3'!$A:$A,0)))</f>
        <v>KSCL mô hình BIM</v>
      </c>
      <c r="H120" s="121"/>
      <c r="I120" s="135"/>
      <c r="J120" s="135">
        <f>J$3</f>
        <v>46174</v>
      </c>
      <c r="K120" s="148" t="s">
        <v>501</v>
      </c>
      <c r="L120" s="168" t="s">
        <v>501</v>
      </c>
      <c r="M120" s="135">
        <f>M$3</f>
        <v>46175</v>
      </c>
      <c r="N120" s="148" t="s">
        <v>501</v>
      </c>
      <c r="O120" s="137" t="s">
        <v>501</v>
      </c>
      <c r="P120" s="135">
        <f>P$3</f>
        <v>46176</v>
      </c>
      <c r="Q120" s="136" t="s">
        <v>501</v>
      </c>
      <c r="R120" s="137" t="s">
        <v>501</v>
      </c>
      <c r="S120" s="135">
        <f>S$3</f>
        <v>46177</v>
      </c>
      <c r="T120" s="136" t="s">
        <v>501</v>
      </c>
      <c r="U120" s="137" t="s">
        <v>501</v>
      </c>
      <c r="V120" s="135">
        <f>V$3</f>
        <v>46178</v>
      </c>
      <c r="W120" s="136" t="s">
        <v>501</v>
      </c>
      <c r="X120" s="137" t="s">
        <v>501</v>
      </c>
      <c r="Y120" s="135">
        <f>Y$3</f>
        <v>46179</v>
      </c>
      <c r="Z120" s="136" t="s">
        <v>501</v>
      </c>
      <c r="AA120" s="137" t="s">
        <v>501</v>
      </c>
      <c r="AB120" s="135"/>
      <c r="AC120" s="135">
        <f>AC$3</f>
        <v>46181</v>
      </c>
      <c r="AD120" s="136" t="s">
        <v>501</v>
      </c>
      <c r="AE120" s="137" t="s">
        <v>501</v>
      </c>
      <c r="AF120" s="135">
        <f>AF$3</f>
        <v>46182</v>
      </c>
      <c r="AG120" s="136" t="s">
        <v>501</v>
      </c>
      <c r="AH120" s="137" t="s">
        <v>501</v>
      </c>
      <c r="AI120" s="135">
        <f>AI$3</f>
        <v>46183</v>
      </c>
      <c r="AJ120" s="136" t="s">
        <v>501</v>
      </c>
      <c r="AK120" s="137" t="s">
        <v>501</v>
      </c>
      <c r="AL120" s="135">
        <f>AL$3</f>
        <v>46184</v>
      </c>
      <c r="AM120" s="136" t="s">
        <v>501</v>
      </c>
      <c r="AN120" s="137" t="s">
        <v>501</v>
      </c>
      <c r="AO120" s="135">
        <f>AO$3</f>
        <v>46185</v>
      </c>
      <c r="AP120" s="136" t="s">
        <v>501</v>
      </c>
      <c r="AQ120" s="137" t="s">
        <v>501</v>
      </c>
      <c r="AR120" s="135">
        <f>AR$3</f>
        <v>46186</v>
      </c>
      <c r="AS120" s="136" t="s">
        <v>501</v>
      </c>
      <c r="AT120" s="137" t="s">
        <v>501</v>
      </c>
      <c r="AU120" s="135"/>
      <c r="AV120" s="135">
        <f>AV$3</f>
        <v>46188</v>
      </c>
      <c r="AW120" s="148" t="s">
        <v>501</v>
      </c>
      <c r="AX120" s="137" t="s">
        <v>501</v>
      </c>
      <c r="AY120" s="135">
        <f>AY$3</f>
        <v>46189</v>
      </c>
      <c r="AZ120" s="136" t="s">
        <v>501</v>
      </c>
      <c r="BA120" s="137" t="s">
        <v>501</v>
      </c>
      <c r="BB120" s="135">
        <f>BB$3</f>
        <v>46190</v>
      </c>
      <c r="BC120" s="136" t="s">
        <v>501</v>
      </c>
      <c r="BD120" s="137" t="s">
        <v>501</v>
      </c>
      <c r="BE120" s="135">
        <f>BE$3</f>
        <v>46191</v>
      </c>
      <c r="BF120" s="136" t="s">
        <v>501</v>
      </c>
      <c r="BG120" s="137" t="s">
        <v>501</v>
      </c>
      <c r="BH120" s="135">
        <f>BH$3</f>
        <v>46192</v>
      </c>
      <c r="BI120" s="136" t="s">
        <v>501</v>
      </c>
      <c r="BJ120" s="137" t="s">
        <v>501</v>
      </c>
      <c r="BK120" s="135">
        <f>BK$3</f>
        <v>46193</v>
      </c>
      <c r="BL120" s="136" t="s">
        <v>501</v>
      </c>
      <c r="BM120" s="137" t="s">
        <v>501</v>
      </c>
      <c r="BN120" s="135"/>
      <c r="BO120" s="135">
        <f>BO$3</f>
        <v>46195</v>
      </c>
      <c r="BP120" s="136" t="s">
        <v>501</v>
      </c>
      <c r="BQ120" s="137" t="s">
        <v>501</v>
      </c>
      <c r="BR120" s="135">
        <f>BR$3</f>
        <v>46196</v>
      </c>
      <c r="BS120" s="136" t="s">
        <v>501</v>
      </c>
      <c r="BT120" s="137" t="s">
        <v>501</v>
      </c>
      <c r="BU120" s="135">
        <f>BU$3</f>
        <v>46197</v>
      </c>
      <c r="BV120" s="136" t="s">
        <v>501</v>
      </c>
      <c r="BW120" s="137" t="s">
        <v>501</v>
      </c>
      <c r="BX120" s="135">
        <f>BX$3</f>
        <v>46198</v>
      </c>
      <c r="BY120" s="136" t="s">
        <v>501</v>
      </c>
      <c r="BZ120" s="137" t="s">
        <v>501</v>
      </c>
      <c r="CA120" s="135">
        <f>CA$3</f>
        <v>46199</v>
      </c>
      <c r="CB120" s="136" t="s">
        <v>501</v>
      </c>
      <c r="CC120" s="137" t="s">
        <v>501</v>
      </c>
      <c r="CD120" s="135">
        <f>CD$3</f>
        <v>46200</v>
      </c>
      <c r="CE120" s="136" t="s">
        <v>501</v>
      </c>
      <c r="CF120" s="137" t="s">
        <v>501</v>
      </c>
      <c r="CG120" s="135"/>
      <c r="CH120" s="135">
        <f>CH$3</f>
        <v>46202</v>
      </c>
      <c r="CI120" s="148" t="s">
        <v>501</v>
      </c>
      <c r="CJ120" s="137" t="s">
        <v>501</v>
      </c>
      <c r="CK120" s="135">
        <f>CK$3</f>
        <v>46203</v>
      </c>
      <c r="CL120" s="136" t="s">
        <v>501</v>
      </c>
      <c r="CM120" s="137" t="s">
        <v>501</v>
      </c>
      <c r="CN120" s="135">
        <f>CN$3</f>
        <v>46204</v>
      </c>
      <c r="CO120" s="136" t="s">
        <v>501</v>
      </c>
      <c r="CP120" s="137" t="s">
        <v>501</v>
      </c>
      <c r="CQ120" s="135">
        <f>CQ$3</f>
        <v>46205</v>
      </c>
      <c r="CR120" s="136" t="s">
        <v>501</v>
      </c>
      <c r="CS120" s="137" t="s">
        <v>501</v>
      </c>
      <c r="CT120" s="135">
        <f>CT$3</f>
        <v>46206</v>
      </c>
      <c r="CU120" s="136" t="s">
        <v>501</v>
      </c>
      <c r="CV120" s="137" t="s">
        <v>501</v>
      </c>
      <c r="CW120" s="135">
        <f>CW$3</f>
        <v>46207</v>
      </c>
      <c r="CX120" s="136" t="s">
        <v>501</v>
      </c>
      <c r="CY120" s="137" t="s">
        <v>501</v>
      </c>
      <c r="CZ120" s="135"/>
      <c r="DA120" s="135">
        <f>DA$3</f>
        <v>46209</v>
      </c>
      <c r="DB120" s="136" t="s">
        <v>501</v>
      </c>
      <c r="DC120" s="137" t="s">
        <v>501</v>
      </c>
      <c r="DD120" s="135">
        <f>DD$3</f>
        <v>46210</v>
      </c>
      <c r="DE120" s="136" t="s">
        <v>501</v>
      </c>
      <c r="DF120" s="137" t="s">
        <v>501</v>
      </c>
      <c r="DG120" s="135">
        <f>DG$3</f>
        <v>46211</v>
      </c>
      <c r="DH120" s="136" t="s">
        <v>501</v>
      </c>
      <c r="DI120" s="137" t="s">
        <v>501</v>
      </c>
      <c r="DJ120" s="135">
        <f>DJ$3</f>
        <v>46212</v>
      </c>
      <c r="DK120" s="136" t="s">
        <v>501</v>
      </c>
      <c r="DL120" s="137" t="s">
        <v>501</v>
      </c>
      <c r="DM120" s="135">
        <f>DM$3</f>
        <v>46213</v>
      </c>
      <c r="DN120" s="136" t="s">
        <v>501</v>
      </c>
      <c r="DO120" s="137" t="s">
        <v>501</v>
      </c>
      <c r="DP120" s="135">
        <f>DP$3</f>
        <v>46214</v>
      </c>
      <c r="DQ120" s="136" t="s">
        <v>501</v>
      </c>
      <c r="DR120" s="137" t="s">
        <v>501</v>
      </c>
    </row>
    <row r="121" spans="1:122" outlineLevel="1">
      <c r="A121" s="122" t="str">
        <f>$A$113</f>
        <v>Vũ Thị Thêu</v>
      </c>
      <c r="B121" s="123" t="str">
        <f>'Bảng 3'!A65</f>
        <v>3.B.HNO.GL.VUNI.202</v>
      </c>
      <c r="C121" s="81" t="str">
        <f>IF($B121="","",INDEX('Bảng 3'!C:C,MATCH($B121,'Bảng 3'!$A:$A,0)))</f>
        <v>Quản lý BIM</v>
      </c>
      <c r="D121" s="81" t="str">
        <f>IF($B121="","",INDEX('Bảng 3'!D:D,MATCH($B121,'Bảng 3'!$A:$A,0)))</f>
        <v>B.HNO.GL.VUNI</v>
      </c>
      <c r="E121" s="81" t="str">
        <f>IF($B121="","",INDEX('Bảng 3'!E:E,MATCH($B121,'Bảng 3'!$A:$A,0)))</f>
        <v>Trường Vinuni  - Tòa P</v>
      </c>
      <c r="F121" s="81" t="str">
        <f>IF($B121="","",INDEX('Bảng 3'!F:F,MATCH($B121,'Bảng 3'!$A:$A,0)))</f>
        <v>KC</v>
      </c>
      <c r="G121" s="81" t="str">
        <f>IF($B121="","",INDEX('Bảng 3'!G:G,MATCH($B121,'Bảng 3'!$A:$A,0)))</f>
        <v>KSCL mô hình BIM</v>
      </c>
      <c r="H121" s="121"/>
      <c r="I121" s="135"/>
      <c r="J121" s="135">
        <f>J$3</f>
        <v>46174</v>
      </c>
      <c r="K121" s="148" t="s">
        <v>501</v>
      </c>
      <c r="L121" s="168" t="s">
        <v>501</v>
      </c>
      <c r="M121" s="135">
        <f>M$3</f>
        <v>46175</v>
      </c>
      <c r="N121" s="148" t="s">
        <v>501</v>
      </c>
      <c r="O121" s="137" t="s">
        <v>501</v>
      </c>
      <c r="P121" s="135">
        <f>P$3</f>
        <v>46176</v>
      </c>
      <c r="Q121" s="136" t="s">
        <v>501</v>
      </c>
      <c r="R121" s="137" t="s">
        <v>501</v>
      </c>
      <c r="S121" s="135">
        <f>S$3</f>
        <v>46177</v>
      </c>
      <c r="T121" s="136" t="s">
        <v>501</v>
      </c>
      <c r="U121" s="137" t="s">
        <v>501</v>
      </c>
      <c r="V121" s="135">
        <f>V$3</f>
        <v>46178</v>
      </c>
      <c r="W121" s="136" t="s">
        <v>501</v>
      </c>
      <c r="X121" s="137" t="s">
        <v>501</v>
      </c>
      <c r="Y121" s="135">
        <f>Y$3</f>
        <v>46179</v>
      </c>
      <c r="Z121" s="136" t="s">
        <v>501</v>
      </c>
      <c r="AA121" s="137" t="s">
        <v>501</v>
      </c>
      <c r="AB121" s="135"/>
      <c r="AC121" s="135">
        <f>AC$3</f>
        <v>46181</v>
      </c>
      <c r="AD121" s="136" t="s">
        <v>501</v>
      </c>
      <c r="AE121" s="137" t="s">
        <v>501</v>
      </c>
      <c r="AF121" s="135">
        <f>AF$3</f>
        <v>46182</v>
      </c>
      <c r="AG121" s="136" t="s">
        <v>501</v>
      </c>
      <c r="AH121" s="137" t="s">
        <v>501</v>
      </c>
      <c r="AI121" s="135">
        <f>AI$3</f>
        <v>46183</v>
      </c>
      <c r="AJ121" s="136" t="s">
        <v>501</v>
      </c>
      <c r="AK121" s="137" t="s">
        <v>501</v>
      </c>
      <c r="AL121" s="135">
        <f>AL$3</f>
        <v>46184</v>
      </c>
      <c r="AM121" s="136" t="s">
        <v>501</v>
      </c>
      <c r="AN121" s="137" t="s">
        <v>501</v>
      </c>
      <c r="AO121" s="135">
        <f>AO$3</f>
        <v>46185</v>
      </c>
      <c r="AP121" s="136" t="s">
        <v>501</v>
      </c>
      <c r="AQ121" s="137" t="s">
        <v>501</v>
      </c>
      <c r="AR121" s="135">
        <f>AR$3</f>
        <v>46186</v>
      </c>
      <c r="AS121" s="136" t="s">
        <v>501</v>
      </c>
      <c r="AT121" s="137" t="s">
        <v>501</v>
      </c>
      <c r="AU121" s="135"/>
      <c r="AV121" s="135">
        <f>AV$3</f>
        <v>46188</v>
      </c>
      <c r="AW121" s="148" t="s">
        <v>501</v>
      </c>
      <c r="AX121" s="137" t="s">
        <v>501</v>
      </c>
      <c r="AY121" s="135">
        <f>AY$3</f>
        <v>46189</v>
      </c>
      <c r="AZ121" s="136" t="s">
        <v>501</v>
      </c>
      <c r="BA121" s="137" t="s">
        <v>501</v>
      </c>
      <c r="BB121" s="135">
        <f>BB$3</f>
        <v>46190</v>
      </c>
      <c r="BC121" s="136" t="s">
        <v>501</v>
      </c>
      <c r="BD121" s="137" t="s">
        <v>501</v>
      </c>
      <c r="BE121" s="135">
        <f>BE$3</f>
        <v>46191</v>
      </c>
      <c r="BF121" s="136" t="s">
        <v>501</v>
      </c>
      <c r="BG121" s="137" t="s">
        <v>501</v>
      </c>
      <c r="BH121" s="135">
        <f>BH$3</f>
        <v>46192</v>
      </c>
      <c r="BI121" s="136" t="s">
        <v>501</v>
      </c>
      <c r="BJ121" s="137" t="s">
        <v>501</v>
      </c>
      <c r="BK121" s="135">
        <f>BK$3</f>
        <v>46193</v>
      </c>
      <c r="BL121" s="136" t="s">
        <v>501</v>
      </c>
      <c r="BM121" s="137" t="s">
        <v>501</v>
      </c>
      <c r="BN121" s="135"/>
      <c r="BO121" s="135">
        <f>BO$3</f>
        <v>46195</v>
      </c>
      <c r="BP121" s="136" t="s">
        <v>501</v>
      </c>
      <c r="BQ121" s="137" t="s">
        <v>501</v>
      </c>
      <c r="BR121" s="135">
        <f>BR$3</f>
        <v>46196</v>
      </c>
      <c r="BS121" s="136" t="s">
        <v>501</v>
      </c>
      <c r="BT121" s="137" t="s">
        <v>501</v>
      </c>
      <c r="BU121" s="135">
        <f>BU$3</f>
        <v>46197</v>
      </c>
      <c r="BV121" s="136" t="s">
        <v>501</v>
      </c>
      <c r="BW121" s="137" t="s">
        <v>501</v>
      </c>
      <c r="BX121" s="135">
        <f>BX$3</f>
        <v>46198</v>
      </c>
      <c r="BY121" s="136" t="s">
        <v>501</v>
      </c>
      <c r="BZ121" s="137" t="s">
        <v>501</v>
      </c>
      <c r="CA121" s="135">
        <f>CA$3</f>
        <v>46199</v>
      </c>
      <c r="CB121" s="136" t="s">
        <v>501</v>
      </c>
      <c r="CC121" s="137" t="s">
        <v>501</v>
      </c>
      <c r="CD121" s="135">
        <f>CD$3</f>
        <v>46200</v>
      </c>
      <c r="CE121" s="136" t="s">
        <v>501</v>
      </c>
      <c r="CF121" s="137" t="s">
        <v>501</v>
      </c>
      <c r="CG121" s="135"/>
      <c r="CH121" s="135">
        <f>CH$3</f>
        <v>46202</v>
      </c>
      <c r="CI121" s="148" t="s">
        <v>501</v>
      </c>
      <c r="CJ121" s="137" t="s">
        <v>501</v>
      </c>
      <c r="CK121" s="135">
        <f>CK$3</f>
        <v>46203</v>
      </c>
      <c r="CL121" s="136" t="s">
        <v>501</v>
      </c>
      <c r="CM121" s="137" t="s">
        <v>501</v>
      </c>
      <c r="CN121" s="135">
        <f>CN$3</f>
        <v>46204</v>
      </c>
      <c r="CO121" s="136" t="s">
        <v>501</v>
      </c>
      <c r="CP121" s="137" t="s">
        <v>501</v>
      </c>
      <c r="CQ121" s="135">
        <f>CQ$3</f>
        <v>46205</v>
      </c>
      <c r="CR121" s="136" t="s">
        <v>501</v>
      </c>
      <c r="CS121" s="137" t="s">
        <v>501</v>
      </c>
      <c r="CT121" s="135">
        <f>CT$3</f>
        <v>46206</v>
      </c>
      <c r="CU121" s="136" t="s">
        <v>501</v>
      </c>
      <c r="CV121" s="137" t="s">
        <v>501</v>
      </c>
      <c r="CW121" s="135">
        <f>CW$3</f>
        <v>46207</v>
      </c>
      <c r="CX121" s="136" t="s">
        <v>501</v>
      </c>
      <c r="CY121" s="137" t="s">
        <v>501</v>
      </c>
      <c r="CZ121" s="135"/>
      <c r="DA121" s="135">
        <f>DA$3</f>
        <v>46209</v>
      </c>
      <c r="DB121" s="136" t="s">
        <v>501</v>
      </c>
      <c r="DC121" s="137" t="s">
        <v>501</v>
      </c>
      <c r="DD121" s="135">
        <f>DD$3</f>
        <v>46210</v>
      </c>
      <c r="DE121" s="136" t="s">
        <v>501</v>
      </c>
      <c r="DF121" s="137" t="s">
        <v>501</v>
      </c>
      <c r="DG121" s="135">
        <f>DG$3</f>
        <v>46211</v>
      </c>
      <c r="DH121" s="136" t="s">
        <v>501</v>
      </c>
      <c r="DI121" s="137" t="s">
        <v>501</v>
      </c>
      <c r="DJ121" s="135">
        <f>DJ$3</f>
        <v>46212</v>
      </c>
      <c r="DK121" s="136" t="s">
        <v>501</v>
      </c>
      <c r="DL121" s="137" t="s">
        <v>501</v>
      </c>
      <c r="DM121" s="135">
        <f>DM$3</f>
        <v>46213</v>
      </c>
      <c r="DN121" s="136" t="s">
        <v>501</v>
      </c>
      <c r="DO121" s="137" t="s">
        <v>501</v>
      </c>
      <c r="DP121" s="135">
        <f>DP$3</f>
        <v>46214</v>
      </c>
      <c r="DQ121" s="136" t="s">
        <v>501</v>
      </c>
      <c r="DR121" s="137" t="s">
        <v>501</v>
      </c>
    </row>
    <row r="122" spans="1:122" outlineLevel="1">
      <c r="A122" s="122" t="str">
        <f>$A$113</f>
        <v>Vũ Thị Thêu</v>
      </c>
      <c r="B122" s="123" t="str">
        <f>'Bảng 3'!A71</f>
        <v>3.B.HNO.GL.VUNI.103</v>
      </c>
      <c r="C122" s="81" t="str">
        <f>IF($B122="","",INDEX('Bảng 3'!C:C,MATCH($B122,'Bảng 3'!$A:$A,0)))</f>
        <v>Quản lý BIM</v>
      </c>
      <c r="D122" s="81" t="str">
        <f>IF($B122="","",INDEX('Bảng 3'!D:D,MATCH($B122,'Bảng 3'!$A:$A,0)))</f>
        <v>B.HNO.GL.VUNI</v>
      </c>
      <c r="E122" s="81" t="str">
        <f>IF($B122="","",INDEX('Bảng 3'!E:E,MATCH($B122,'Bảng 3'!$A:$A,0)))</f>
        <v>Trường Vinuni  - Tòa Q, R, S</v>
      </c>
      <c r="F122" s="81" t="str">
        <f>IF($B122="","",INDEX('Bảng 3'!F:F,MATCH($B122,'Bảng 3'!$A:$A,0)))</f>
        <v>KT</v>
      </c>
      <c r="G122" s="81" t="str">
        <f>IF($B122="","",INDEX('Bảng 3'!G:G,MATCH($B122,'Bảng 3'!$A:$A,0)))</f>
        <v>KSCL mô hình BIM</v>
      </c>
      <c r="H122" s="121"/>
      <c r="I122" s="135"/>
      <c r="J122" s="135">
        <f>J$3</f>
        <v>46174</v>
      </c>
      <c r="K122" s="148" t="s">
        <v>651</v>
      </c>
      <c r="L122" s="168">
        <v>0.5</v>
      </c>
      <c r="M122" s="135">
        <f>M$3</f>
        <v>46175</v>
      </c>
      <c r="N122" s="148" t="s">
        <v>501</v>
      </c>
      <c r="O122" s="137" t="s">
        <v>501</v>
      </c>
      <c r="P122" s="135">
        <f>P$3</f>
        <v>46176</v>
      </c>
      <c r="Q122" s="136" t="s">
        <v>501</v>
      </c>
      <c r="R122" s="137" t="s">
        <v>501</v>
      </c>
      <c r="S122" s="135">
        <f>S$3</f>
        <v>46177</v>
      </c>
      <c r="T122" s="136" t="s">
        <v>501</v>
      </c>
      <c r="U122" s="137" t="s">
        <v>501</v>
      </c>
      <c r="V122" s="135">
        <f>V$3</f>
        <v>46178</v>
      </c>
      <c r="W122" s="136" t="s">
        <v>501</v>
      </c>
      <c r="X122" s="137" t="s">
        <v>501</v>
      </c>
      <c r="Y122" s="135">
        <f>Y$3</f>
        <v>46179</v>
      </c>
      <c r="Z122" s="136" t="s">
        <v>501</v>
      </c>
      <c r="AA122" s="137" t="s">
        <v>501</v>
      </c>
      <c r="AB122" s="135"/>
      <c r="AC122" s="135">
        <f>AC$3</f>
        <v>46181</v>
      </c>
      <c r="AD122" s="136" t="s">
        <v>501</v>
      </c>
      <c r="AE122" s="137" t="s">
        <v>501</v>
      </c>
      <c r="AF122" s="135">
        <f>AF$3</f>
        <v>46182</v>
      </c>
      <c r="AG122" s="136" t="s">
        <v>501</v>
      </c>
      <c r="AH122" s="137" t="s">
        <v>501</v>
      </c>
      <c r="AI122" s="135">
        <f>AI$3</f>
        <v>46183</v>
      </c>
      <c r="AJ122" s="136" t="s">
        <v>501</v>
      </c>
      <c r="AK122" s="137" t="s">
        <v>501</v>
      </c>
      <c r="AL122" s="135">
        <f>AL$3</f>
        <v>46184</v>
      </c>
      <c r="AM122" s="136" t="s">
        <v>501</v>
      </c>
      <c r="AN122" s="137" t="s">
        <v>501</v>
      </c>
      <c r="AO122" s="135">
        <f>AO$3</f>
        <v>46185</v>
      </c>
      <c r="AP122" s="136" t="s">
        <v>501</v>
      </c>
      <c r="AQ122" s="137" t="s">
        <v>501</v>
      </c>
      <c r="AR122" s="135">
        <f>AR$3</f>
        <v>46186</v>
      </c>
      <c r="AS122" s="136" t="s">
        <v>501</v>
      </c>
      <c r="AT122" s="137" t="s">
        <v>501</v>
      </c>
      <c r="AU122" s="135"/>
      <c r="AV122" s="135">
        <f>AV$3</f>
        <v>46188</v>
      </c>
      <c r="AW122" s="148" t="s">
        <v>501</v>
      </c>
      <c r="AX122" s="137" t="s">
        <v>501</v>
      </c>
      <c r="AY122" s="135">
        <f>AY$3</f>
        <v>46189</v>
      </c>
      <c r="AZ122" s="136" t="s">
        <v>501</v>
      </c>
      <c r="BA122" s="137" t="s">
        <v>501</v>
      </c>
      <c r="BB122" s="135">
        <f>BB$3</f>
        <v>46190</v>
      </c>
      <c r="BC122" s="136" t="s">
        <v>501</v>
      </c>
      <c r="BD122" s="137" t="s">
        <v>501</v>
      </c>
      <c r="BE122" s="135">
        <f>BE$3</f>
        <v>46191</v>
      </c>
      <c r="BF122" s="136" t="s">
        <v>501</v>
      </c>
      <c r="BG122" s="137" t="s">
        <v>501</v>
      </c>
      <c r="BH122" s="135">
        <f>BH$3</f>
        <v>46192</v>
      </c>
      <c r="BI122" s="136" t="s">
        <v>501</v>
      </c>
      <c r="BJ122" s="137" t="s">
        <v>501</v>
      </c>
      <c r="BK122" s="135">
        <f>BK$3</f>
        <v>46193</v>
      </c>
      <c r="BL122" s="136" t="s">
        <v>501</v>
      </c>
      <c r="BM122" s="137" t="s">
        <v>501</v>
      </c>
      <c r="BN122" s="135"/>
      <c r="BO122" s="135">
        <f>BO$3</f>
        <v>46195</v>
      </c>
      <c r="BP122" s="136" t="s">
        <v>501</v>
      </c>
      <c r="BQ122" s="137" t="s">
        <v>501</v>
      </c>
      <c r="BR122" s="135">
        <f>BR$3</f>
        <v>46196</v>
      </c>
      <c r="BS122" s="136" t="s">
        <v>501</v>
      </c>
      <c r="BT122" s="137" t="s">
        <v>501</v>
      </c>
      <c r="BU122" s="135">
        <f>BU$3</f>
        <v>46197</v>
      </c>
      <c r="BV122" s="136" t="s">
        <v>501</v>
      </c>
      <c r="BW122" s="137" t="s">
        <v>501</v>
      </c>
      <c r="BX122" s="135">
        <f>BX$3</f>
        <v>46198</v>
      </c>
      <c r="BY122" s="136" t="s">
        <v>501</v>
      </c>
      <c r="BZ122" s="137" t="s">
        <v>501</v>
      </c>
      <c r="CA122" s="135">
        <f>CA$3</f>
        <v>46199</v>
      </c>
      <c r="CB122" s="136" t="s">
        <v>501</v>
      </c>
      <c r="CC122" s="137" t="s">
        <v>501</v>
      </c>
      <c r="CD122" s="135">
        <f>CD$3</f>
        <v>46200</v>
      </c>
      <c r="CE122" s="136" t="s">
        <v>501</v>
      </c>
      <c r="CF122" s="137" t="s">
        <v>501</v>
      </c>
      <c r="CG122" s="135"/>
      <c r="CH122" s="135">
        <f>CH$3</f>
        <v>46202</v>
      </c>
      <c r="CI122" s="148" t="s">
        <v>501</v>
      </c>
      <c r="CJ122" s="137" t="s">
        <v>501</v>
      </c>
      <c r="CK122" s="135">
        <f>CK$3</f>
        <v>46203</v>
      </c>
      <c r="CL122" s="136" t="s">
        <v>501</v>
      </c>
      <c r="CM122" s="137" t="s">
        <v>501</v>
      </c>
      <c r="CN122" s="135">
        <f>CN$3</f>
        <v>46204</v>
      </c>
      <c r="CO122" s="136" t="s">
        <v>501</v>
      </c>
      <c r="CP122" s="137" t="s">
        <v>501</v>
      </c>
      <c r="CQ122" s="135">
        <f>CQ$3</f>
        <v>46205</v>
      </c>
      <c r="CR122" s="136" t="s">
        <v>501</v>
      </c>
      <c r="CS122" s="137" t="s">
        <v>501</v>
      </c>
      <c r="CT122" s="135">
        <f>CT$3</f>
        <v>46206</v>
      </c>
      <c r="CU122" s="136" t="s">
        <v>501</v>
      </c>
      <c r="CV122" s="137" t="s">
        <v>501</v>
      </c>
      <c r="CW122" s="135">
        <f>CW$3</f>
        <v>46207</v>
      </c>
      <c r="CX122" s="136" t="s">
        <v>501</v>
      </c>
      <c r="CY122" s="137" t="s">
        <v>501</v>
      </c>
      <c r="CZ122" s="135"/>
      <c r="DA122" s="135">
        <f>DA$3</f>
        <v>46209</v>
      </c>
      <c r="DB122" s="136" t="s">
        <v>501</v>
      </c>
      <c r="DC122" s="137" t="s">
        <v>501</v>
      </c>
      <c r="DD122" s="135">
        <f>DD$3</f>
        <v>46210</v>
      </c>
      <c r="DE122" s="136" t="s">
        <v>501</v>
      </c>
      <c r="DF122" s="137" t="s">
        <v>501</v>
      </c>
      <c r="DG122" s="135">
        <f>DG$3</f>
        <v>46211</v>
      </c>
      <c r="DH122" s="136" t="s">
        <v>501</v>
      </c>
      <c r="DI122" s="137" t="s">
        <v>501</v>
      </c>
      <c r="DJ122" s="135">
        <f>DJ$3</f>
        <v>46212</v>
      </c>
      <c r="DK122" s="136" t="s">
        <v>501</v>
      </c>
      <c r="DL122" s="137" t="s">
        <v>501</v>
      </c>
      <c r="DM122" s="135">
        <f>DM$3</f>
        <v>46213</v>
      </c>
      <c r="DN122" s="136" t="s">
        <v>501</v>
      </c>
      <c r="DO122" s="137" t="s">
        <v>501</v>
      </c>
      <c r="DP122" s="135">
        <f>DP$3</f>
        <v>46214</v>
      </c>
      <c r="DQ122" s="136" t="s">
        <v>501</v>
      </c>
      <c r="DR122" s="137" t="s">
        <v>501</v>
      </c>
    </row>
    <row r="123" spans="1:122" outlineLevel="1">
      <c r="A123" s="122" t="str">
        <f>$A$113</f>
        <v>Vũ Thị Thêu</v>
      </c>
      <c r="B123" s="123" t="str">
        <f>'Bảng 3'!A72</f>
        <v>3.B.HNO.GL.VUNI.203</v>
      </c>
      <c r="C123" s="81" t="str">
        <f>IF($B123="","",INDEX('Bảng 3'!C:C,MATCH($B123,'Bảng 3'!$A:$A,0)))</f>
        <v>Quản lý BIM</v>
      </c>
      <c r="D123" s="81" t="str">
        <f>IF($B123="","",INDEX('Bảng 3'!D:D,MATCH($B123,'Bảng 3'!$A:$A,0)))</f>
        <v>B.HNO.GL.VUNI</v>
      </c>
      <c r="E123" s="81" t="str">
        <f>IF($B123="","",INDEX('Bảng 3'!E:E,MATCH($B123,'Bảng 3'!$A:$A,0)))</f>
        <v>Trường Vinuni  - Tòa Q, R, S</v>
      </c>
      <c r="F123" s="81" t="str">
        <f>IF($B123="","",INDEX('Bảng 3'!F:F,MATCH($B123,'Bảng 3'!$A:$A,0)))</f>
        <v>KC</v>
      </c>
      <c r="G123" s="81" t="str">
        <f>IF($B123="","",INDEX('Bảng 3'!G:G,MATCH($B123,'Bảng 3'!$A:$A,0)))</f>
        <v>KSCL mô hình BIM</v>
      </c>
      <c r="H123" s="121"/>
      <c r="I123" s="135"/>
      <c r="J123" s="135">
        <f>J$3</f>
        <v>46174</v>
      </c>
      <c r="K123" s="148"/>
      <c r="L123" s="168"/>
      <c r="M123" s="135">
        <f>M$3</f>
        <v>46175</v>
      </c>
      <c r="N123" s="148" t="s">
        <v>501</v>
      </c>
      <c r="O123" s="137" t="s">
        <v>501</v>
      </c>
      <c r="P123" s="135">
        <f>P$3</f>
        <v>46176</v>
      </c>
      <c r="Q123" s="136" t="s">
        <v>501</v>
      </c>
      <c r="R123" s="137" t="s">
        <v>501</v>
      </c>
      <c r="S123" s="135">
        <f>S$3</f>
        <v>46177</v>
      </c>
      <c r="T123" s="136" t="s">
        <v>501</v>
      </c>
      <c r="U123" s="137" t="s">
        <v>501</v>
      </c>
      <c r="V123" s="135">
        <f>V$3</f>
        <v>46178</v>
      </c>
      <c r="W123" s="136" t="s">
        <v>501</v>
      </c>
      <c r="X123" s="137" t="s">
        <v>501</v>
      </c>
      <c r="Y123" s="135">
        <f>Y$3</f>
        <v>46179</v>
      </c>
      <c r="Z123" s="136" t="s">
        <v>501</v>
      </c>
      <c r="AA123" s="137" t="s">
        <v>501</v>
      </c>
      <c r="AB123" s="135"/>
      <c r="AC123" s="135">
        <f>AC$3</f>
        <v>46181</v>
      </c>
      <c r="AD123" s="136" t="s">
        <v>501</v>
      </c>
      <c r="AE123" s="137" t="s">
        <v>501</v>
      </c>
      <c r="AF123" s="135">
        <f>AF$3</f>
        <v>46182</v>
      </c>
      <c r="AG123" s="136" t="s">
        <v>501</v>
      </c>
      <c r="AH123" s="137" t="s">
        <v>501</v>
      </c>
      <c r="AI123" s="135">
        <f>AI$3</f>
        <v>46183</v>
      </c>
      <c r="AJ123" s="136" t="s">
        <v>501</v>
      </c>
      <c r="AK123" s="137" t="s">
        <v>501</v>
      </c>
      <c r="AL123" s="135">
        <f>AL$3</f>
        <v>46184</v>
      </c>
      <c r="AM123" s="136" t="s">
        <v>501</v>
      </c>
      <c r="AN123" s="137" t="s">
        <v>501</v>
      </c>
      <c r="AO123" s="135">
        <f>AO$3</f>
        <v>46185</v>
      </c>
      <c r="AP123" s="136" t="s">
        <v>501</v>
      </c>
      <c r="AQ123" s="137" t="s">
        <v>501</v>
      </c>
      <c r="AR123" s="135">
        <f>AR$3</f>
        <v>46186</v>
      </c>
      <c r="AS123" s="136" t="s">
        <v>501</v>
      </c>
      <c r="AT123" s="137" t="s">
        <v>501</v>
      </c>
      <c r="AU123" s="135"/>
      <c r="AV123" s="135">
        <f>AV$3</f>
        <v>46188</v>
      </c>
      <c r="AW123" s="148" t="s">
        <v>501</v>
      </c>
      <c r="AX123" s="137" t="s">
        <v>501</v>
      </c>
      <c r="AY123" s="135">
        <f>AY$3</f>
        <v>46189</v>
      </c>
      <c r="AZ123" s="136" t="s">
        <v>501</v>
      </c>
      <c r="BA123" s="137" t="s">
        <v>501</v>
      </c>
      <c r="BB123" s="135">
        <f>BB$3</f>
        <v>46190</v>
      </c>
      <c r="BC123" s="136" t="s">
        <v>501</v>
      </c>
      <c r="BD123" s="137" t="s">
        <v>501</v>
      </c>
      <c r="BE123" s="135">
        <f>BE$3</f>
        <v>46191</v>
      </c>
      <c r="BF123" s="136" t="s">
        <v>501</v>
      </c>
      <c r="BG123" s="137" t="s">
        <v>501</v>
      </c>
      <c r="BH123" s="135">
        <f>BH$3</f>
        <v>46192</v>
      </c>
      <c r="BI123" s="136" t="s">
        <v>501</v>
      </c>
      <c r="BJ123" s="137" t="s">
        <v>501</v>
      </c>
      <c r="BK123" s="135">
        <f>BK$3</f>
        <v>46193</v>
      </c>
      <c r="BL123" s="136" t="s">
        <v>501</v>
      </c>
      <c r="BM123" s="137" t="s">
        <v>501</v>
      </c>
      <c r="BN123" s="135"/>
      <c r="BO123" s="135">
        <f>BO$3</f>
        <v>46195</v>
      </c>
      <c r="BP123" s="136" t="s">
        <v>501</v>
      </c>
      <c r="BQ123" s="137" t="s">
        <v>501</v>
      </c>
      <c r="BR123" s="135">
        <f>BR$3</f>
        <v>46196</v>
      </c>
      <c r="BS123" s="136" t="s">
        <v>501</v>
      </c>
      <c r="BT123" s="137" t="s">
        <v>501</v>
      </c>
      <c r="BU123" s="135">
        <f>BU$3</f>
        <v>46197</v>
      </c>
      <c r="BV123" s="136" t="s">
        <v>501</v>
      </c>
      <c r="BW123" s="137" t="s">
        <v>501</v>
      </c>
      <c r="BX123" s="135">
        <f>BX$3</f>
        <v>46198</v>
      </c>
      <c r="BY123" s="136" t="s">
        <v>501</v>
      </c>
      <c r="BZ123" s="137" t="s">
        <v>501</v>
      </c>
      <c r="CA123" s="135">
        <f>CA$3</f>
        <v>46199</v>
      </c>
      <c r="CB123" s="136" t="s">
        <v>501</v>
      </c>
      <c r="CC123" s="137" t="s">
        <v>501</v>
      </c>
      <c r="CD123" s="135">
        <f>CD$3</f>
        <v>46200</v>
      </c>
      <c r="CE123" s="136" t="s">
        <v>501</v>
      </c>
      <c r="CF123" s="137" t="s">
        <v>501</v>
      </c>
      <c r="CG123" s="135"/>
      <c r="CH123" s="135">
        <f>CH$3</f>
        <v>46202</v>
      </c>
      <c r="CI123" s="148" t="s">
        <v>501</v>
      </c>
      <c r="CJ123" s="137" t="s">
        <v>501</v>
      </c>
      <c r="CK123" s="135">
        <f>CK$3</f>
        <v>46203</v>
      </c>
      <c r="CL123" s="136" t="s">
        <v>501</v>
      </c>
      <c r="CM123" s="137" t="s">
        <v>501</v>
      </c>
      <c r="CN123" s="135">
        <f>CN$3</f>
        <v>46204</v>
      </c>
      <c r="CO123" s="136" t="s">
        <v>501</v>
      </c>
      <c r="CP123" s="137" t="s">
        <v>501</v>
      </c>
      <c r="CQ123" s="135">
        <f>CQ$3</f>
        <v>46205</v>
      </c>
      <c r="CR123" s="136" t="s">
        <v>501</v>
      </c>
      <c r="CS123" s="137" t="s">
        <v>501</v>
      </c>
      <c r="CT123" s="135">
        <f>CT$3</f>
        <v>46206</v>
      </c>
      <c r="CU123" s="136" t="s">
        <v>501</v>
      </c>
      <c r="CV123" s="137" t="s">
        <v>501</v>
      </c>
      <c r="CW123" s="135">
        <f>CW$3</f>
        <v>46207</v>
      </c>
      <c r="CX123" s="136" t="s">
        <v>501</v>
      </c>
      <c r="CY123" s="137" t="s">
        <v>501</v>
      </c>
      <c r="CZ123" s="135"/>
      <c r="DA123" s="135">
        <f>DA$3</f>
        <v>46209</v>
      </c>
      <c r="DB123" s="136" t="s">
        <v>501</v>
      </c>
      <c r="DC123" s="137" t="s">
        <v>501</v>
      </c>
      <c r="DD123" s="135">
        <f>DD$3</f>
        <v>46210</v>
      </c>
      <c r="DE123" s="136" t="s">
        <v>501</v>
      </c>
      <c r="DF123" s="137" t="s">
        <v>501</v>
      </c>
      <c r="DG123" s="135">
        <f>DG$3</f>
        <v>46211</v>
      </c>
      <c r="DH123" s="136" t="s">
        <v>501</v>
      </c>
      <c r="DI123" s="137" t="s">
        <v>501</v>
      </c>
      <c r="DJ123" s="135">
        <f>DJ$3</f>
        <v>46212</v>
      </c>
      <c r="DK123" s="136" t="s">
        <v>501</v>
      </c>
      <c r="DL123" s="137" t="s">
        <v>501</v>
      </c>
      <c r="DM123" s="135">
        <f>DM$3</f>
        <v>46213</v>
      </c>
      <c r="DN123" s="136" t="s">
        <v>501</v>
      </c>
      <c r="DO123" s="137" t="s">
        <v>501</v>
      </c>
      <c r="DP123" s="135">
        <f>DP$3</f>
        <v>46214</v>
      </c>
      <c r="DQ123" s="136" t="s">
        <v>501</v>
      </c>
      <c r="DR123" s="137" t="s">
        <v>501</v>
      </c>
    </row>
    <row r="124" spans="1:122" outlineLevel="1">
      <c r="A124" s="122" t="str">
        <f>$A$113</f>
        <v>Vũ Thị Thêu</v>
      </c>
      <c r="B124" s="123" t="str">
        <f>'Bảng 3'!A78</f>
        <v>3.B.HNO.GL.VUNI.104</v>
      </c>
      <c r="C124" s="81" t="str">
        <f>IF($B124="","",INDEX('Bảng 3'!C:C,MATCH($B124,'Bảng 3'!$A:$A,0)))</f>
        <v>Quản lý BIM</v>
      </c>
      <c r="D124" s="81" t="str">
        <f>IF($B124="","",INDEX('Bảng 3'!D:D,MATCH($B124,'Bảng 3'!$A:$A,0)))</f>
        <v>B.HNO.GL.VUNI</v>
      </c>
      <c r="E124" s="81" t="str">
        <f>IF($B124="","",INDEX('Bảng 3'!E:E,MATCH($B124,'Bảng 3'!$A:$A,0)))</f>
        <v>Trường Vinuni  - Tòa T (KTX)</v>
      </c>
      <c r="F124" s="81" t="str">
        <f>IF($B124="","",INDEX('Bảng 3'!F:F,MATCH($B124,'Bảng 3'!$A:$A,0)))</f>
        <v>KT</v>
      </c>
      <c r="G124" s="81" t="str">
        <f>IF($B124="","",INDEX('Bảng 3'!G:G,MATCH($B124,'Bảng 3'!$A:$A,0)))</f>
        <v>KSCL mô hình BIM</v>
      </c>
      <c r="H124" s="121"/>
      <c r="I124" s="135"/>
      <c r="J124" s="135">
        <f>J$3</f>
        <v>46174</v>
      </c>
      <c r="K124" s="148" t="s">
        <v>501</v>
      </c>
      <c r="L124" s="168" t="s">
        <v>501</v>
      </c>
      <c r="M124" s="135">
        <f>M$3</f>
        <v>46175</v>
      </c>
      <c r="N124" s="148" t="s">
        <v>501</v>
      </c>
      <c r="O124" s="137" t="s">
        <v>501</v>
      </c>
      <c r="P124" s="135">
        <f>P$3</f>
        <v>46176</v>
      </c>
      <c r="Q124" s="136" t="s">
        <v>501</v>
      </c>
      <c r="R124" s="137" t="s">
        <v>501</v>
      </c>
      <c r="S124" s="135">
        <f>S$3</f>
        <v>46177</v>
      </c>
      <c r="T124" s="136" t="s">
        <v>501</v>
      </c>
      <c r="U124" s="137" t="s">
        <v>501</v>
      </c>
      <c r="V124" s="135">
        <f>V$3</f>
        <v>46178</v>
      </c>
      <c r="W124" s="136" t="s">
        <v>501</v>
      </c>
      <c r="X124" s="137" t="s">
        <v>501</v>
      </c>
      <c r="Y124" s="135">
        <f>Y$3</f>
        <v>46179</v>
      </c>
      <c r="Z124" s="136" t="s">
        <v>501</v>
      </c>
      <c r="AA124" s="137" t="s">
        <v>501</v>
      </c>
      <c r="AB124" s="135"/>
      <c r="AC124" s="135">
        <f>AC$3</f>
        <v>46181</v>
      </c>
      <c r="AD124" s="136" t="s">
        <v>501</v>
      </c>
      <c r="AE124" s="137" t="s">
        <v>501</v>
      </c>
      <c r="AF124" s="135">
        <f>AF$3</f>
        <v>46182</v>
      </c>
      <c r="AG124" s="136" t="s">
        <v>501</v>
      </c>
      <c r="AH124" s="137" t="s">
        <v>501</v>
      </c>
      <c r="AI124" s="135">
        <f>AI$3</f>
        <v>46183</v>
      </c>
      <c r="AJ124" s="136" t="s">
        <v>501</v>
      </c>
      <c r="AK124" s="137" t="s">
        <v>501</v>
      </c>
      <c r="AL124" s="135">
        <f>AL$3</f>
        <v>46184</v>
      </c>
      <c r="AM124" s="136" t="s">
        <v>501</v>
      </c>
      <c r="AN124" s="137" t="s">
        <v>501</v>
      </c>
      <c r="AO124" s="135">
        <f>AO$3</f>
        <v>46185</v>
      </c>
      <c r="AP124" s="136" t="s">
        <v>501</v>
      </c>
      <c r="AQ124" s="137" t="s">
        <v>501</v>
      </c>
      <c r="AR124" s="135">
        <f>AR$3</f>
        <v>46186</v>
      </c>
      <c r="AS124" s="136" t="s">
        <v>501</v>
      </c>
      <c r="AT124" s="137" t="s">
        <v>501</v>
      </c>
      <c r="AU124" s="135"/>
      <c r="AV124" s="135">
        <f>AV$3</f>
        <v>46188</v>
      </c>
      <c r="AW124" s="148" t="s">
        <v>501</v>
      </c>
      <c r="AX124" s="137" t="s">
        <v>501</v>
      </c>
      <c r="AY124" s="135">
        <f>AY$3</f>
        <v>46189</v>
      </c>
      <c r="AZ124" s="136" t="s">
        <v>501</v>
      </c>
      <c r="BA124" s="137" t="s">
        <v>501</v>
      </c>
      <c r="BB124" s="135">
        <f>BB$3</f>
        <v>46190</v>
      </c>
      <c r="BC124" s="136" t="s">
        <v>501</v>
      </c>
      <c r="BD124" s="137" t="s">
        <v>501</v>
      </c>
      <c r="BE124" s="135">
        <f>BE$3</f>
        <v>46191</v>
      </c>
      <c r="BF124" s="136" t="s">
        <v>501</v>
      </c>
      <c r="BG124" s="137" t="s">
        <v>501</v>
      </c>
      <c r="BH124" s="135">
        <f>BH$3</f>
        <v>46192</v>
      </c>
      <c r="BI124" s="136" t="s">
        <v>501</v>
      </c>
      <c r="BJ124" s="137" t="s">
        <v>501</v>
      </c>
      <c r="BK124" s="135">
        <f>BK$3</f>
        <v>46193</v>
      </c>
      <c r="BL124" s="136" t="s">
        <v>501</v>
      </c>
      <c r="BM124" s="137" t="s">
        <v>501</v>
      </c>
      <c r="BN124" s="135"/>
      <c r="BO124" s="135">
        <f>BO$3</f>
        <v>46195</v>
      </c>
      <c r="BP124" s="136" t="s">
        <v>501</v>
      </c>
      <c r="BQ124" s="137" t="s">
        <v>501</v>
      </c>
      <c r="BR124" s="135">
        <f>BR$3</f>
        <v>46196</v>
      </c>
      <c r="BS124" s="136" t="s">
        <v>501</v>
      </c>
      <c r="BT124" s="137" t="s">
        <v>501</v>
      </c>
      <c r="BU124" s="135">
        <f>BU$3</f>
        <v>46197</v>
      </c>
      <c r="BV124" s="136" t="s">
        <v>501</v>
      </c>
      <c r="BW124" s="137" t="s">
        <v>501</v>
      </c>
      <c r="BX124" s="135">
        <f>BX$3</f>
        <v>46198</v>
      </c>
      <c r="BY124" s="136" t="s">
        <v>501</v>
      </c>
      <c r="BZ124" s="137" t="s">
        <v>501</v>
      </c>
      <c r="CA124" s="135">
        <f>CA$3</f>
        <v>46199</v>
      </c>
      <c r="CB124" s="136" t="s">
        <v>501</v>
      </c>
      <c r="CC124" s="137" t="s">
        <v>501</v>
      </c>
      <c r="CD124" s="135">
        <f>CD$3</f>
        <v>46200</v>
      </c>
      <c r="CE124" s="136" t="s">
        <v>501</v>
      </c>
      <c r="CF124" s="137" t="s">
        <v>501</v>
      </c>
      <c r="CG124" s="135"/>
      <c r="CH124" s="135">
        <f>CH$3</f>
        <v>46202</v>
      </c>
      <c r="CI124" s="148" t="s">
        <v>501</v>
      </c>
      <c r="CJ124" s="137" t="s">
        <v>501</v>
      </c>
      <c r="CK124" s="135">
        <f>CK$3</f>
        <v>46203</v>
      </c>
      <c r="CL124" s="136" t="s">
        <v>501</v>
      </c>
      <c r="CM124" s="137" t="s">
        <v>501</v>
      </c>
      <c r="CN124" s="135">
        <f>CN$3</f>
        <v>46204</v>
      </c>
      <c r="CO124" s="136" t="s">
        <v>501</v>
      </c>
      <c r="CP124" s="137" t="s">
        <v>501</v>
      </c>
      <c r="CQ124" s="135">
        <f>CQ$3</f>
        <v>46205</v>
      </c>
      <c r="CR124" s="136" t="s">
        <v>501</v>
      </c>
      <c r="CS124" s="137" t="s">
        <v>501</v>
      </c>
      <c r="CT124" s="135">
        <f>CT$3</f>
        <v>46206</v>
      </c>
      <c r="CU124" s="136" t="s">
        <v>501</v>
      </c>
      <c r="CV124" s="137" t="s">
        <v>501</v>
      </c>
      <c r="CW124" s="135">
        <f>CW$3</f>
        <v>46207</v>
      </c>
      <c r="CX124" s="136" t="s">
        <v>501</v>
      </c>
      <c r="CY124" s="137" t="s">
        <v>501</v>
      </c>
      <c r="CZ124" s="135"/>
      <c r="DA124" s="135">
        <f>DA$3</f>
        <v>46209</v>
      </c>
      <c r="DB124" s="136" t="s">
        <v>501</v>
      </c>
      <c r="DC124" s="137" t="s">
        <v>501</v>
      </c>
      <c r="DD124" s="135">
        <f>DD$3</f>
        <v>46210</v>
      </c>
      <c r="DE124" s="136" t="s">
        <v>501</v>
      </c>
      <c r="DF124" s="137" t="s">
        <v>501</v>
      </c>
      <c r="DG124" s="135">
        <f>DG$3</f>
        <v>46211</v>
      </c>
      <c r="DH124" s="136" t="s">
        <v>501</v>
      </c>
      <c r="DI124" s="137" t="s">
        <v>501</v>
      </c>
      <c r="DJ124" s="135">
        <f>DJ$3</f>
        <v>46212</v>
      </c>
      <c r="DK124" s="136" t="s">
        <v>501</v>
      </c>
      <c r="DL124" s="137" t="s">
        <v>501</v>
      </c>
      <c r="DM124" s="135">
        <f>DM$3</f>
        <v>46213</v>
      </c>
      <c r="DN124" s="136" t="s">
        <v>501</v>
      </c>
      <c r="DO124" s="137" t="s">
        <v>501</v>
      </c>
      <c r="DP124" s="135">
        <f>DP$3</f>
        <v>46214</v>
      </c>
      <c r="DQ124" s="136" t="s">
        <v>501</v>
      </c>
      <c r="DR124" s="137" t="s">
        <v>501</v>
      </c>
    </row>
    <row r="125" spans="1:122" outlineLevel="1">
      <c r="A125" s="122" t="str">
        <f>$A$113</f>
        <v>Vũ Thị Thêu</v>
      </c>
      <c r="B125" s="123" t="str">
        <f>'Bảng 3'!A79</f>
        <v>3.B.HNO.GL.VUNI.204</v>
      </c>
      <c r="C125" s="81" t="str">
        <f>IF($B125="","",INDEX('Bảng 3'!C:C,MATCH($B125,'Bảng 3'!$A:$A,0)))</f>
        <v>Quản lý BIM</v>
      </c>
      <c r="D125" s="81" t="str">
        <f>IF($B125="","",INDEX('Bảng 3'!D:D,MATCH($B125,'Bảng 3'!$A:$A,0)))</f>
        <v>B.HNO.GL.VUNI</v>
      </c>
      <c r="E125" s="81" t="str">
        <f>IF($B125="","",INDEX('Bảng 3'!E:E,MATCH($B125,'Bảng 3'!$A:$A,0)))</f>
        <v>Trường Vinuni  - Tòa T (KTX)</v>
      </c>
      <c r="F125" s="81" t="str">
        <f>IF($B125="","",INDEX('Bảng 3'!F:F,MATCH($B125,'Bảng 3'!$A:$A,0)))</f>
        <v>KC</v>
      </c>
      <c r="G125" s="81" t="str">
        <f>IF($B125="","",INDEX('Bảng 3'!G:G,MATCH($B125,'Bảng 3'!$A:$A,0)))</f>
        <v>KSCL mô hình BIM</v>
      </c>
      <c r="H125" s="121"/>
      <c r="I125" s="135"/>
      <c r="J125" s="135">
        <f>J$3</f>
        <v>46174</v>
      </c>
      <c r="K125" s="148" t="s">
        <v>501</v>
      </c>
      <c r="L125" s="168" t="s">
        <v>501</v>
      </c>
      <c r="M125" s="135">
        <f>M$3</f>
        <v>46175</v>
      </c>
      <c r="N125" s="148" t="s">
        <v>501</v>
      </c>
      <c r="O125" s="137" t="s">
        <v>501</v>
      </c>
      <c r="P125" s="135">
        <f>P$3</f>
        <v>46176</v>
      </c>
      <c r="Q125" s="136" t="s">
        <v>501</v>
      </c>
      <c r="R125" s="137" t="s">
        <v>501</v>
      </c>
      <c r="S125" s="135">
        <f>S$3</f>
        <v>46177</v>
      </c>
      <c r="T125" s="136" t="s">
        <v>501</v>
      </c>
      <c r="U125" s="137" t="s">
        <v>501</v>
      </c>
      <c r="V125" s="135">
        <f>V$3</f>
        <v>46178</v>
      </c>
      <c r="W125" s="136" t="s">
        <v>501</v>
      </c>
      <c r="X125" s="137" t="s">
        <v>501</v>
      </c>
      <c r="Y125" s="135">
        <f>Y$3</f>
        <v>46179</v>
      </c>
      <c r="Z125" s="136" t="s">
        <v>501</v>
      </c>
      <c r="AA125" s="137" t="s">
        <v>501</v>
      </c>
      <c r="AB125" s="135"/>
      <c r="AC125" s="135">
        <f>AC$3</f>
        <v>46181</v>
      </c>
      <c r="AD125" s="136" t="s">
        <v>501</v>
      </c>
      <c r="AE125" s="137" t="s">
        <v>501</v>
      </c>
      <c r="AF125" s="135">
        <f>AF$3</f>
        <v>46182</v>
      </c>
      <c r="AG125" s="136" t="s">
        <v>501</v>
      </c>
      <c r="AH125" s="137" t="s">
        <v>501</v>
      </c>
      <c r="AI125" s="135">
        <f>AI$3</f>
        <v>46183</v>
      </c>
      <c r="AJ125" s="136" t="s">
        <v>501</v>
      </c>
      <c r="AK125" s="137" t="s">
        <v>501</v>
      </c>
      <c r="AL125" s="135">
        <f>AL$3</f>
        <v>46184</v>
      </c>
      <c r="AM125" s="136" t="s">
        <v>501</v>
      </c>
      <c r="AN125" s="137" t="s">
        <v>501</v>
      </c>
      <c r="AO125" s="135">
        <f>AO$3</f>
        <v>46185</v>
      </c>
      <c r="AP125" s="136" t="s">
        <v>501</v>
      </c>
      <c r="AQ125" s="137" t="s">
        <v>501</v>
      </c>
      <c r="AR125" s="135">
        <f>AR$3</f>
        <v>46186</v>
      </c>
      <c r="AS125" s="136" t="s">
        <v>501</v>
      </c>
      <c r="AT125" s="137" t="s">
        <v>501</v>
      </c>
      <c r="AU125" s="135"/>
      <c r="AV125" s="135">
        <f>AV$3</f>
        <v>46188</v>
      </c>
      <c r="AW125" s="148" t="s">
        <v>501</v>
      </c>
      <c r="AX125" s="137" t="s">
        <v>501</v>
      </c>
      <c r="AY125" s="135">
        <f>AY$3</f>
        <v>46189</v>
      </c>
      <c r="AZ125" s="136" t="s">
        <v>501</v>
      </c>
      <c r="BA125" s="137" t="s">
        <v>501</v>
      </c>
      <c r="BB125" s="135">
        <f>BB$3</f>
        <v>46190</v>
      </c>
      <c r="BC125" s="136" t="s">
        <v>501</v>
      </c>
      <c r="BD125" s="137" t="s">
        <v>501</v>
      </c>
      <c r="BE125" s="135">
        <f>BE$3</f>
        <v>46191</v>
      </c>
      <c r="BF125" s="136" t="s">
        <v>501</v>
      </c>
      <c r="BG125" s="137" t="s">
        <v>501</v>
      </c>
      <c r="BH125" s="135">
        <f>BH$3</f>
        <v>46192</v>
      </c>
      <c r="BI125" s="136" t="s">
        <v>501</v>
      </c>
      <c r="BJ125" s="137" t="s">
        <v>501</v>
      </c>
      <c r="BK125" s="135">
        <f>BK$3</f>
        <v>46193</v>
      </c>
      <c r="BL125" s="136" t="s">
        <v>501</v>
      </c>
      <c r="BM125" s="137" t="s">
        <v>501</v>
      </c>
      <c r="BN125" s="135"/>
      <c r="BO125" s="135">
        <f>BO$3</f>
        <v>46195</v>
      </c>
      <c r="BP125" s="136" t="s">
        <v>501</v>
      </c>
      <c r="BQ125" s="137" t="s">
        <v>501</v>
      </c>
      <c r="BR125" s="135">
        <f>BR$3</f>
        <v>46196</v>
      </c>
      <c r="BS125" s="136" t="s">
        <v>501</v>
      </c>
      <c r="BT125" s="137" t="s">
        <v>501</v>
      </c>
      <c r="BU125" s="135">
        <f>BU$3</f>
        <v>46197</v>
      </c>
      <c r="BV125" s="136" t="s">
        <v>501</v>
      </c>
      <c r="BW125" s="137" t="s">
        <v>501</v>
      </c>
      <c r="BX125" s="135">
        <f>BX$3</f>
        <v>46198</v>
      </c>
      <c r="BY125" s="136" t="s">
        <v>501</v>
      </c>
      <c r="BZ125" s="137" t="s">
        <v>501</v>
      </c>
      <c r="CA125" s="135">
        <f>CA$3</f>
        <v>46199</v>
      </c>
      <c r="CB125" s="136" t="s">
        <v>501</v>
      </c>
      <c r="CC125" s="137" t="s">
        <v>501</v>
      </c>
      <c r="CD125" s="135">
        <f>CD$3</f>
        <v>46200</v>
      </c>
      <c r="CE125" s="136" t="s">
        <v>501</v>
      </c>
      <c r="CF125" s="137" t="s">
        <v>501</v>
      </c>
      <c r="CG125" s="135"/>
      <c r="CH125" s="135">
        <f>CH$3</f>
        <v>46202</v>
      </c>
      <c r="CI125" s="148" t="s">
        <v>501</v>
      </c>
      <c r="CJ125" s="137" t="s">
        <v>501</v>
      </c>
      <c r="CK125" s="135">
        <f>CK$3</f>
        <v>46203</v>
      </c>
      <c r="CL125" s="136" t="s">
        <v>501</v>
      </c>
      <c r="CM125" s="137" t="s">
        <v>501</v>
      </c>
      <c r="CN125" s="135">
        <f>CN$3</f>
        <v>46204</v>
      </c>
      <c r="CO125" s="136" t="s">
        <v>501</v>
      </c>
      <c r="CP125" s="137" t="s">
        <v>501</v>
      </c>
      <c r="CQ125" s="135">
        <f>CQ$3</f>
        <v>46205</v>
      </c>
      <c r="CR125" s="136" t="s">
        <v>501</v>
      </c>
      <c r="CS125" s="137" t="s">
        <v>501</v>
      </c>
      <c r="CT125" s="135">
        <f>CT$3</f>
        <v>46206</v>
      </c>
      <c r="CU125" s="136" t="s">
        <v>501</v>
      </c>
      <c r="CV125" s="137" t="s">
        <v>501</v>
      </c>
      <c r="CW125" s="135">
        <f>CW$3</f>
        <v>46207</v>
      </c>
      <c r="CX125" s="136" t="s">
        <v>501</v>
      </c>
      <c r="CY125" s="137" t="s">
        <v>501</v>
      </c>
      <c r="CZ125" s="135"/>
      <c r="DA125" s="135">
        <f>DA$3</f>
        <v>46209</v>
      </c>
      <c r="DB125" s="136" t="s">
        <v>501</v>
      </c>
      <c r="DC125" s="137" t="s">
        <v>501</v>
      </c>
      <c r="DD125" s="135">
        <f>DD$3</f>
        <v>46210</v>
      </c>
      <c r="DE125" s="136" t="s">
        <v>501</v>
      </c>
      <c r="DF125" s="137" t="s">
        <v>501</v>
      </c>
      <c r="DG125" s="135">
        <f>DG$3</f>
        <v>46211</v>
      </c>
      <c r="DH125" s="136" t="s">
        <v>501</v>
      </c>
      <c r="DI125" s="137" t="s">
        <v>501</v>
      </c>
      <c r="DJ125" s="135">
        <f>DJ$3</f>
        <v>46212</v>
      </c>
      <c r="DK125" s="136" t="s">
        <v>501</v>
      </c>
      <c r="DL125" s="137" t="s">
        <v>501</v>
      </c>
      <c r="DM125" s="135">
        <f>DM$3</f>
        <v>46213</v>
      </c>
      <c r="DN125" s="136" t="s">
        <v>501</v>
      </c>
      <c r="DO125" s="137" t="s">
        <v>501</v>
      </c>
      <c r="DP125" s="135">
        <f>DP$3</f>
        <v>46214</v>
      </c>
      <c r="DQ125" s="136" t="s">
        <v>501</v>
      </c>
      <c r="DR125" s="137" t="s">
        <v>501</v>
      </c>
    </row>
    <row r="126" spans="1:122" outlineLevel="1">
      <c r="A126" s="122" t="str">
        <f>$A$113</f>
        <v>Vũ Thị Thêu</v>
      </c>
      <c r="B126" s="123" t="str">
        <f>'Bảng 3'!A80</f>
        <v>3.B.HNO.GL.VUNI.105</v>
      </c>
      <c r="C126" s="81" t="str">
        <f>IF($B126="","",INDEX('Bảng 3'!C:C,MATCH($B126,'Bảng 3'!$A:$A,0)))</f>
        <v>Quản lý BIM</v>
      </c>
      <c r="D126" s="81" t="str">
        <f>IF($B126="","",INDEX('Bảng 3'!D:D,MATCH($B126,'Bảng 3'!$A:$A,0)))</f>
        <v>B.HNO.GL.VUNI</v>
      </c>
      <c r="E126" s="81" t="str">
        <f>IF($B126="","",INDEX('Bảng 3'!E:E,MATCH($B126,'Bảng 3'!$A:$A,0)))</f>
        <v>Trường Vinuni  - Tòa U (KTX)</v>
      </c>
      <c r="F126" s="81" t="str">
        <f>IF($B126="","",INDEX('Bảng 3'!F:F,MATCH($B126,'Bảng 3'!$A:$A,0)))</f>
        <v>KT</v>
      </c>
      <c r="G126" s="81" t="str">
        <f>IF($B126="","",INDEX('Bảng 3'!G:G,MATCH($B126,'Bảng 3'!$A:$A,0)))</f>
        <v>KSCL mô hình BIM</v>
      </c>
      <c r="H126" s="121"/>
      <c r="I126" s="135"/>
      <c r="J126" s="135">
        <f>J$3</f>
        <v>46174</v>
      </c>
      <c r="K126" s="148" t="s">
        <v>501</v>
      </c>
      <c r="L126" s="168" t="s">
        <v>501</v>
      </c>
      <c r="M126" s="135">
        <f>M$3</f>
        <v>46175</v>
      </c>
      <c r="N126" s="148" t="s">
        <v>501</v>
      </c>
      <c r="O126" s="137" t="s">
        <v>501</v>
      </c>
      <c r="P126" s="135">
        <f>P$3</f>
        <v>46176</v>
      </c>
      <c r="Q126" s="136" t="s">
        <v>501</v>
      </c>
      <c r="R126" s="137" t="s">
        <v>501</v>
      </c>
      <c r="S126" s="135">
        <f>S$3</f>
        <v>46177</v>
      </c>
      <c r="T126" s="136" t="s">
        <v>501</v>
      </c>
      <c r="U126" s="137" t="s">
        <v>501</v>
      </c>
      <c r="V126" s="135">
        <f>V$3</f>
        <v>46178</v>
      </c>
      <c r="W126" s="136" t="s">
        <v>501</v>
      </c>
      <c r="X126" s="137" t="s">
        <v>501</v>
      </c>
      <c r="Y126" s="135">
        <f>Y$3</f>
        <v>46179</v>
      </c>
      <c r="Z126" s="136" t="s">
        <v>501</v>
      </c>
      <c r="AA126" s="137" t="s">
        <v>501</v>
      </c>
      <c r="AB126" s="135"/>
      <c r="AC126" s="135">
        <f>AC$3</f>
        <v>46181</v>
      </c>
      <c r="AD126" s="136" t="s">
        <v>501</v>
      </c>
      <c r="AE126" s="137" t="s">
        <v>501</v>
      </c>
      <c r="AF126" s="135">
        <f>AF$3</f>
        <v>46182</v>
      </c>
      <c r="AG126" s="136" t="s">
        <v>501</v>
      </c>
      <c r="AH126" s="137" t="s">
        <v>501</v>
      </c>
      <c r="AI126" s="135">
        <f>AI$3</f>
        <v>46183</v>
      </c>
      <c r="AJ126" s="136" t="s">
        <v>501</v>
      </c>
      <c r="AK126" s="137" t="s">
        <v>501</v>
      </c>
      <c r="AL126" s="135">
        <f>AL$3</f>
        <v>46184</v>
      </c>
      <c r="AM126" s="136" t="s">
        <v>501</v>
      </c>
      <c r="AN126" s="137" t="s">
        <v>501</v>
      </c>
      <c r="AO126" s="135">
        <f>AO$3</f>
        <v>46185</v>
      </c>
      <c r="AP126" s="136" t="s">
        <v>501</v>
      </c>
      <c r="AQ126" s="137" t="s">
        <v>501</v>
      </c>
      <c r="AR126" s="135">
        <f>AR$3</f>
        <v>46186</v>
      </c>
      <c r="AS126" s="136" t="s">
        <v>501</v>
      </c>
      <c r="AT126" s="137" t="s">
        <v>501</v>
      </c>
      <c r="AU126" s="135"/>
      <c r="AV126" s="135">
        <f>AV$3</f>
        <v>46188</v>
      </c>
      <c r="AW126" s="148" t="s">
        <v>501</v>
      </c>
      <c r="AX126" s="137" t="s">
        <v>501</v>
      </c>
      <c r="AY126" s="135">
        <f>AY$3</f>
        <v>46189</v>
      </c>
      <c r="AZ126" s="136" t="s">
        <v>501</v>
      </c>
      <c r="BA126" s="137" t="s">
        <v>501</v>
      </c>
      <c r="BB126" s="135">
        <f>BB$3</f>
        <v>46190</v>
      </c>
      <c r="BC126" s="136" t="s">
        <v>501</v>
      </c>
      <c r="BD126" s="137" t="s">
        <v>501</v>
      </c>
      <c r="BE126" s="135">
        <f>BE$3</f>
        <v>46191</v>
      </c>
      <c r="BF126" s="136" t="s">
        <v>501</v>
      </c>
      <c r="BG126" s="137" t="s">
        <v>501</v>
      </c>
      <c r="BH126" s="135">
        <f>BH$3</f>
        <v>46192</v>
      </c>
      <c r="BI126" s="136" t="s">
        <v>501</v>
      </c>
      <c r="BJ126" s="137" t="s">
        <v>501</v>
      </c>
      <c r="BK126" s="135">
        <f>BK$3</f>
        <v>46193</v>
      </c>
      <c r="BL126" s="136" t="s">
        <v>501</v>
      </c>
      <c r="BM126" s="137" t="s">
        <v>501</v>
      </c>
      <c r="BN126" s="135"/>
      <c r="BO126" s="135">
        <f>BO$3</f>
        <v>46195</v>
      </c>
      <c r="BP126" s="136" t="s">
        <v>501</v>
      </c>
      <c r="BQ126" s="137" t="s">
        <v>501</v>
      </c>
      <c r="BR126" s="135">
        <f>BR$3</f>
        <v>46196</v>
      </c>
      <c r="BS126" s="136" t="s">
        <v>501</v>
      </c>
      <c r="BT126" s="137" t="s">
        <v>501</v>
      </c>
      <c r="BU126" s="135">
        <f>BU$3</f>
        <v>46197</v>
      </c>
      <c r="BV126" s="136" t="s">
        <v>501</v>
      </c>
      <c r="BW126" s="137" t="s">
        <v>501</v>
      </c>
      <c r="BX126" s="135">
        <f>BX$3</f>
        <v>46198</v>
      </c>
      <c r="BY126" s="136" t="s">
        <v>501</v>
      </c>
      <c r="BZ126" s="137" t="s">
        <v>501</v>
      </c>
      <c r="CA126" s="135">
        <f>CA$3</f>
        <v>46199</v>
      </c>
      <c r="CB126" s="136" t="s">
        <v>501</v>
      </c>
      <c r="CC126" s="137" t="s">
        <v>501</v>
      </c>
      <c r="CD126" s="135">
        <f>CD$3</f>
        <v>46200</v>
      </c>
      <c r="CE126" s="136" t="s">
        <v>501</v>
      </c>
      <c r="CF126" s="137" t="s">
        <v>501</v>
      </c>
      <c r="CG126" s="135"/>
      <c r="CH126" s="135">
        <f>CH$3</f>
        <v>46202</v>
      </c>
      <c r="CI126" s="148" t="s">
        <v>501</v>
      </c>
      <c r="CJ126" s="137" t="s">
        <v>501</v>
      </c>
      <c r="CK126" s="135">
        <f>CK$3</f>
        <v>46203</v>
      </c>
      <c r="CL126" s="136" t="s">
        <v>501</v>
      </c>
      <c r="CM126" s="137" t="s">
        <v>501</v>
      </c>
      <c r="CN126" s="135">
        <f>CN$3</f>
        <v>46204</v>
      </c>
      <c r="CO126" s="136" t="s">
        <v>501</v>
      </c>
      <c r="CP126" s="137" t="s">
        <v>501</v>
      </c>
      <c r="CQ126" s="135">
        <f>CQ$3</f>
        <v>46205</v>
      </c>
      <c r="CR126" s="136" t="s">
        <v>501</v>
      </c>
      <c r="CS126" s="137" t="s">
        <v>501</v>
      </c>
      <c r="CT126" s="135">
        <f>CT$3</f>
        <v>46206</v>
      </c>
      <c r="CU126" s="136" t="s">
        <v>501</v>
      </c>
      <c r="CV126" s="137" t="s">
        <v>501</v>
      </c>
      <c r="CW126" s="135">
        <f>CW$3</f>
        <v>46207</v>
      </c>
      <c r="CX126" s="136" t="s">
        <v>501</v>
      </c>
      <c r="CY126" s="137" t="s">
        <v>501</v>
      </c>
      <c r="CZ126" s="135"/>
      <c r="DA126" s="135">
        <f>DA$3</f>
        <v>46209</v>
      </c>
      <c r="DB126" s="136" t="s">
        <v>501</v>
      </c>
      <c r="DC126" s="137" t="s">
        <v>501</v>
      </c>
      <c r="DD126" s="135">
        <f>DD$3</f>
        <v>46210</v>
      </c>
      <c r="DE126" s="136" t="s">
        <v>501</v>
      </c>
      <c r="DF126" s="137" t="s">
        <v>501</v>
      </c>
      <c r="DG126" s="135">
        <f>DG$3</f>
        <v>46211</v>
      </c>
      <c r="DH126" s="136" t="s">
        <v>501</v>
      </c>
      <c r="DI126" s="137" t="s">
        <v>501</v>
      </c>
      <c r="DJ126" s="135">
        <f>DJ$3</f>
        <v>46212</v>
      </c>
      <c r="DK126" s="136" t="s">
        <v>501</v>
      </c>
      <c r="DL126" s="137" t="s">
        <v>501</v>
      </c>
      <c r="DM126" s="135">
        <f>DM$3</f>
        <v>46213</v>
      </c>
      <c r="DN126" s="136" t="s">
        <v>501</v>
      </c>
      <c r="DO126" s="137" t="s">
        <v>501</v>
      </c>
      <c r="DP126" s="135">
        <f>DP$3</f>
        <v>46214</v>
      </c>
      <c r="DQ126" s="136" t="s">
        <v>501</v>
      </c>
      <c r="DR126" s="137" t="s">
        <v>501</v>
      </c>
    </row>
    <row r="127" spans="1:122" outlineLevel="1">
      <c r="A127" s="122" t="str">
        <f>$A$113</f>
        <v>Vũ Thị Thêu</v>
      </c>
      <c r="B127" s="123" t="str">
        <f>'Bảng 3'!A81</f>
        <v>3.B.HNO.GL.VUNI.205</v>
      </c>
      <c r="C127" s="81" t="str">
        <f>IF($B127="","",INDEX('Bảng 3'!C:C,MATCH($B127,'Bảng 3'!$A:$A,0)))</f>
        <v>Quản lý BIM</v>
      </c>
      <c r="D127" s="81" t="str">
        <f>IF($B127="","",INDEX('Bảng 3'!D:D,MATCH($B127,'Bảng 3'!$A:$A,0)))</f>
        <v>B.HNO.GL.VUNI</v>
      </c>
      <c r="E127" s="81" t="str">
        <f>IF($B127="","",INDEX('Bảng 3'!E:E,MATCH($B127,'Bảng 3'!$A:$A,0)))</f>
        <v>Trường Vinuni  - Tòa U (KTX)</v>
      </c>
      <c r="F127" s="81" t="str">
        <f>IF($B127="","",INDEX('Bảng 3'!F:F,MATCH($B127,'Bảng 3'!$A:$A,0)))</f>
        <v>KC</v>
      </c>
      <c r="G127" s="81" t="str">
        <f>IF($B127="","",INDEX('Bảng 3'!G:G,MATCH($B127,'Bảng 3'!$A:$A,0)))</f>
        <v>KSCL mô hình BIM</v>
      </c>
      <c r="H127" s="121"/>
      <c r="I127" s="135"/>
      <c r="J127" s="135">
        <f>J$3</f>
        <v>46174</v>
      </c>
      <c r="K127" s="148" t="s">
        <v>501</v>
      </c>
      <c r="L127" s="168" t="s">
        <v>501</v>
      </c>
      <c r="M127" s="135">
        <f>M$3</f>
        <v>46175</v>
      </c>
      <c r="N127" s="148" t="s">
        <v>501</v>
      </c>
      <c r="O127" s="137" t="s">
        <v>501</v>
      </c>
      <c r="P127" s="135">
        <f>P$3</f>
        <v>46176</v>
      </c>
      <c r="Q127" s="136" t="s">
        <v>501</v>
      </c>
      <c r="R127" s="137" t="s">
        <v>501</v>
      </c>
      <c r="S127" s="135">
        <f>S$3</f>
        <v>46177</v>
      </c>
      <c r="T127" s="136" t="s">
        <v>501</v>
      </c>
      <c r="U127" s="137" t="s">
        <v>501</v>
      </c>
      <c r="V127" s="135">
        <f>V$3</f>
        <v>46178</v>
      </c>
      <c r="W127" s="136" t="s">
        <v>501</v>
      </c>
      <c r="X127" s="137" t="s">
        <v>501</v>
      </c>
      <c r="Y127" s="135">
        <f>Y$3</f>
        <v>46179</v>
      </c>
      <c r="Z127" s="136" t="s">
        <v>501</v>
      </c>
      <c r="AA127" s="137" t="s">
        <v>501</v>
      </c>
      <c r="AB127" s="135"/>
      <c r="AC127" s="135">
        <f>AC$3</f>
        <v>46181</v>
      </c>
      <c r="AD127" s="136" t="s">
        <v>501</v>
      </c>
      <c r="AE127" s="137" t="s">
        <v>501</v>
      </c>
      <c r="AF127" s="135">
        <f>AF$3</f>
        <v>46182</v>
      </c>
      <c r="AG127" s="136" t="s">
        <v>501</v>
      </c>
      <c r="AH127" s="137" t="s">
        <v>501</v>
      </c>
      <c r="AI127" s="135">
        <f>AI$3</f>
        <v>46183</v>
      </c>
      <c r="AJ127" s="136" t="s">
        <v>501</v>
      </c>
      <c r="AK127" s="137" t="s">
        <v>501</v>
      </c>
      <c r="AL127" s="135">
        <f>AL$3</f>
        <v>46184</v>
      </c>
      <c r="AM127" s="136" t="s">
        <v>501</v>
      </c>
      <c r="AN127" s="137" t="s">
        <v>501</v>
      </c>
      <c r="AO127" s="135">
        <f>AO$3</f>
        <v>46185</v>
      </c>
      <c r="AP127" s="136" t="s">
        <v>501</v>
      </c>
      <c r="AQ127" s="137" t="s">
        <v>501</v>
      </c>
      <c r="AR127" s="135">
        <f>AR$3</f>
        <v>46186</v>
      </c>
      <c r="AS127" s="136" t="s">
        <v>501</v>
      </c>
      <c r="AT127" s="137" t="s">
        <v>501</v>
      </c>
      <c r="AU127" s="135"/>
      <c r="AV127" s="135">
        <f>AV$3</f>
        <v>46188</v>
      </c>
      <c r="AW127" s="148" t="s">
        <v>501</v>
      </c>
      <c r="AX127" s="137" t="s">
        <v>501</v>
      </c>
      <c r="AY127" s="135">
        <f>AY$3</f>
        <v>46189</v>
      </c>
      <c r="AZ127" s="136" t="s">
        <v>501</v>
      </c>
      <c r="BA127" s="137" t="s">
        <v>501</v>
      </c>
      <c r="BB127" s="135">
        <f>BB$3</f>
        <v>46190</v>
      </c>
      <c r="BC127" s="136" t="s">
        <v>501</v>
      </c>
      <c r="BD127" s="137" t="s">
        <v>501</v>
      </c>
      <c r="BE127" s="135">
        <f>BE$3</f>
        <v>46191</v>
      </c>
      <c r="BF127" s="136" t="s">
        <v>501</v>
      </c>
      <c r="BG127" s="137" t="s">
        <v>501</v>
      </c>
      <c r="BH127" s="135">
        <f>BH$3</f>
        <v>46192</v>
      </c>
      <c r="BI127" s="136" t="s">
        <v>501</v>
      </c>
      <c r="BJ127" s="137" t="s">
        <v>501</v>
      </c>
      <c r="BK127" s="135">
        <f>BK$3</f>
        <v>46193</v>
      </c>
      <c r="BL127" s="136" t="s">
        <v>501</v>
      </c>
      <c r="BM127" s="137" t="s">
        <v>501</v>
      </c>
      <c r="BN127" s="135"/>
      <c r="BO127" s="135">
        <f>BO$3</f>
        <v>46195</v>
      </c>
      <c r="BP127" s="136" t="s">
        <v>501</v>
      </c>
      <c r="BQ127" s="137" t="s">
        <v>501</v>
      </c>
      <c r="BR127" s="135">
        <f>BR$3</f>
        <v>46196</v>
      </c>
      <c r="BS127" s="136" t="s">
        <v>501</v>
      </c>
      <c r="BT127" s="137" t="s">
        <v>501</v>
      </c>
      <c r="BU127" s="135">
        <f>BU$3</f>
        <v>46197</v>
      </c>
      <c r="BV127" s="136" t="s">
        <v>501</v>
      </c>
      <c r="BW127" s="137" t="s">
        <v>501</v>
      </c>
      <c r="BX127" s="135">
        <f>BX$3</f>
        <v>46198</v>
      </c>
      <c r="BY127" s="136" t="s">
        <v>501</v>
      </c>
      <c r="BZ127" s="137" t="s">
        <v>501</v>
      </c>
      <c r="CA127" s="135">
        <f>CA$3</f>
        <v>46199</v>
      </c>
      <c r="CB127" s="136" t="s">
        <v>501</v>
      </c>
      <c r="CC127" s="137" t="s">
        <v>501</v>
      </c>
      <c r="CD127" s="135">
        <f>CD$3</f>
        <v>46200</v>
      </c>
      <c r="CE127" s="136" t="s">
        <v>501</v>
      </c>
      <c r="CF127" s="137" t="s">
        <v>501</v>
      </c>
      <c r="CG127" s="135"/>
      <c r="CH127" s="135">
        <f>CH$3</f>
        <v>46202</v>
      </c>
      <c r="CI127" s="148" t="s">
        <v>501</v>
      </c>
      <c r="CJ127" s="137" t="s">
        <v>501</v>
      </c>
      <c r="CK127" s="135">
        <f>CK$3</f>
        <v>46203</v>
      </c>
      <c r="CL127" s="136" t="s">
        <v>501</v>
      </c>
      <c r="CM127" s="137" t="s">
        <v>501</v>
      </c>
      <c r="CN127" s="135">
        <f>CN$3</f>
        <v>46204</v>
      </c>
      <c r="CO127" s="136" t="s">
        <v>501</v>
      </c>
      <c r="CP127" s="137" t="s">
        <v>501</v>
      </c>
      <c r="CQ127" s="135">
        <f>CQ$3</f>
        <v>46205</v>
      </c>
      <c r="CR127" s="136" t="s">
        <v>501</v>
      </c>
      <c r="CS127" s="137" t="s">
        <v>501</v>
      </c>
      <c r="CT127" s="135">
        <f>CT$3</f>
        <v>46206</v>
      </c>
      <c r="CU127" s="136" t="s">
        <v>501</v>
      </c>
      <c r="CV127" s="137" t="s">
        <v>501</v>
      </c>
      <c r="CW127" s="135">
        <f>CW$3</f>
        <v>46207</v>
      </c>
      <c r="CX127" s="136" t="s">
        <v>501</v>
      </c>
      <c r="CY127" s="137" t="s">
        <v>501</v>
      </c>
      <c r="CZ127" s="135"/>
      <c r="DA127" s="135">
        <f>DA$3</f>
        <v>46209</v>
      </c>
      <c r="DB127" s="136" t="s">
        <v>501</v>
      </c>
      <c r="DC127" s="137" t="s">
        <v>501</v>
      </c>
      <c r="DD127" s="135">
        <f>DD$3</f>
        <v>46210</v>
      </c>
      <c r="DE127" s="136" t="s">
        <v>501</v>
      </c>
      <c r="DF127" s="137" t="s">
        <v>501</v>
      </c>
      <c r="DG127" s="135">
        <f>DG$3</f>
        <v>46211</v>
      </c>
      <c r="DH127" s="136" t="s">
        <v>501</v>
      </c>
      <c r="DI127" s="137" t="s">
        <v>501</v>
      </c>
      <c r="DJ127" s="135">
        <f>DJ$3</f>
        <v>46212</v>
      </c>
      <c r="DK127" s="136" t="s">
        <v>501</v>
      </c>
      <c r="DL127" s="137" t="s">
        <v>501</v>
      </c>
      <c r="DM127" s="135">
        <f>DM$3</f>
        <v>46213</v>
      </c>
      <c r="DN127" s="136" t="s">
        <v>501</v>
      </c>
      <c r="DO127" s="137" t="s">
        <v>501</v>
      </c>
      <c r="DP127" s="135">
        <f>DP$3</f>
        <v>46214</v>
      </c>
      <c r="DQ127" s="136" t="s">
        <v>501</v>
      </c>
      <c r="DR127" s="137" t="s">
        <v>501</v>
      </c>
    </row>
    <row r="128" spans="1:122" outlineLevel="1">
      <c r="A128" s="122" t="str">
        <f>$A$113</f>
        <v>Vũ Thị Thêu</v>
      </c>
      <c r="B128" s="123" t="str">
        <f>'Bảng 3'!A119</f>
        <v>3.B.HYE.NOXHHY.CT.103</v>
      </c>
      <c r="C128" s="81" t="str">
        <f>IF($B128="","",INDEX('Bảng 3'!C:C,MATCH($B128,'Bảng 3'!$A:$A,0)))</f>
        <v>Quản lý BIM</v>
      </c>
      <c r="D128" s="81" t="str">
        <f>IF($B128="","",INDEX('Bảng 3'!D:D,MATCH($B128,'Bảng 3'!$A:$A,0)))</f>
        <v>B.HYE.NOXHHY.CT</v>
      </c>
      <c r="E128" s="81" t="str">
        <f>IF($B128="","",INDEX('Bảng 3'!E:E,MATCH($B128,'Bảng 3'!$A:$A,0)))</f>
        <v>NOXH03 (05 tòa)</v>
      </c>
      <c r="F128" s="81" t="str">
        <f>IF($B128="","",INDEX('Bảng 3'!F:F,MATCH($B128,'Bảng 3'!$A:$A,0)))</f>
        <v>KT</v>
      </c>
      <c r="G128" s="81" t="str">
        <f>IF($B128="","",INDEX('Bảng 3'!G:G,MATCH($B128,'Bảng 3'!$A:$A,0)))</f>
        <v>KSCL mô hình BIM</v>
      </c>
      <c r="H128" s="121"/>
      <c r="I128" s="135"/>
      <c r="J128" s="135">
        <f>J$3</f>
        <v>46174</v>
      </c>
      <c r="K128" s="148" t="s">
        <v>501</v>
      </c>
      <c r="L128" s="168" t="s">
        <v>501</v>
      </c>
      <c r="M128" s="135">
        <f>M$3</f>
        <v>46175</v>
      </c>
      <c r="N128" s="148" t="s">
        <v>501</v>
      </c>
      <c r="O128" s="137" t="s">
        <v>501</v>
      </c>
      <c r="P128" s="135">
        <f>P$3</f>
        <v>46176</v>
      </c>
      <c r="Q128" s="136" t="s">
        <v>501</v>
      </c>
      <c r="R128" s="137" t="s">
        <v>501</v>
      </c>
      <c r="S128" s="135">
        <f>S$3</f>
        <v>46177</v>
      </c>
      <c r="T128" s="136" t="s">
        <v>501</v>
      </c>
      <c r="U128" s="137" t="s">
        <v>501</v>
      </c>
      <c r="V128" s="135">
        <f>V$3</f>
        <v>46178</v>
      </c>
      <c r="W128" s="136" t="s">
        <v>501</v>
      </c>
      <c r="X128" s="137" t="s">
        <v>501</v>
      </c>
      <c r="Y128" s="135">
        <f>Y$3</f>
        <v>46179</v>
      </c>
      <c r="Z128" s="136" t="s">
        <v>501</v>
      </c>
      <c r="AA128" s="137" t="s">
        <v>501</v>
      </c>
      <c r="AB128" s="135"/>
      <c r="AC128" s="135">
        <f>AC$3</f>
        <v>46181</v>
      </c>
      <c r="AD128" s="136" t="s">
        <v>501</v>
      </c>
      <c r="AE128" s="137" t="s">
        <v>501</v>
      </c>
      <c r="AF128" s="135">
        <f>AF$3</f>
        <v>46182</v>
      </c>
      <c r="AG128" s="136" t="s">
        <v>501</v>
      </c>
      <c r="AH128" s="137" t="s">
        <v>501</v>
      </c>
      <c r="AI128" s="135">
        <f>AI$3</f>
        <v>46183</v>
      </c>
      <c r="AJ128" s="136" t="s">
        <v>501</v>
      </c>
      <c r="AK128" s="137" t="s">
        <v>501</v>
      </c>
      <c r="AL128" s="135">
        <f>AL$3</f>
        <v>46184</v>
      </c>
      <c r="AM128" s="136" t="s">
        <v>501</v>
      </c>
      <c r="AN128" s="137" t="s">
        <v>501</v>
      </c>
      <c r="AO128" s="135">
        <f>AO$3</f>
        <v>46185</v>
      </c>
      <c r="AP128" s="136" t="s">
        <v>501</v>
      </c>
      <c r="AQ128" s="137" t="s">
        <v>501</v>
      </c>
      <c r="AR128" s="135">
        <f>AR$3</f>
        <v>46186</v>
      </c>
      <c r="AS128" s="136" t="s">
        <v>501</v>
      </c>
      <c r="AT128" s="137" t="s">
        <v>501</v>
      </c>
      <c r="AU128" s="135"/>
      <c r="AV128" s="135">
        <f>AV$3</f>
        <v>46188</v>
      </c>
      <c r="AW128" s="148" t="s">
        <v>501</v>
      </c>
      <c r="AX128" s="137" t="s">
        <v>501</v>
      </c>
      <c r="AY128" s="135">
        <f>AY$3</f>
        <v>46189</v>
      </c>
      <c r="AZ128" s="136" t="s">
        <v>501</v>
      </c>
      <c r="BA128" s="137" t="s">
        <v>501</v>
      </c>
      <c r="BB128" s="135">
        <f>BB$3</f>
        <v>46190</v>
      </c>
      <c r="BC128" s="136" t="s">
        <v>501</v>
      </c>
      <c r="BD128" s="137" t="s">
        <v>501</v>
      </c>
      <c r="BE128" s="135">
        <f>BE$3</f>
        <v>46191</v>
      </c>
      <c r="BF128" s="136" t="s">
        <v>501</v>
      </c>
      <c r="BG128" s="137" t="s">
        <v>501</v>
      </c>
      <c r="BH128" s="135">
        <f>BH$3</f>
        <v>46192</v>
      </c>
      <c r="BI128" s="136" t="s">
        <v>501</v>
      </c>
      <c r="BJ128" s="137" t="s">
        <v>501</v>
      </c>
      <c r="BK128" s="135">
        <f>BK$3</f>
        <v>46193</v>
      </c>
      <c r="BL128" s="136" t="s">
        <v>501</v>
      </c>
      <c r="BM128" s="137" t="s">
        <v>501</v>
      </c>
      <c r="BN128" s="135"/>
      <c r="BO128" s="135">
        <f>BO$3</f>
        <v>46195</v>
      </c>
      <c r="BP128" s="136" t="s">
        <v>501</v>
      </c>
      <c r="BQ128" s="137" t="s">
        <v>501</v>
      </c>
      <c r="BR128" s="135">
        <f>BR$3</f>
        <v>46196</v>
      </c>
      <c r="BS128" s="136" t="s">
        <v>501</v>
      </c>
      <c r="BT128" s="137" t="s">
        <v>501</v>
      </c>
      <c r="BU128" s="135">
        <f>BU$3</f>
        <v>46197</v>
      </c>
      <c r="BV128" s="136" t="s">
        <v>501</v>
      </c>
      <c r="BW128" s="137" t="s">
        <v>501</v>
      </c>
      <c r="BX128" s="135">
        <f>BX$3</f>
        <v>46198</v>
      </c>
      <c r="BY128" s="136" t="s">
        <v>501</v>
      </c>
      <c r="BZ128" s="137" t="s">
        <v>501</v>
      </c>
      <c r="CA128" s="135">
        <f>CA$3</f>
        <v>46199</v>
      </c>
      <c r="CB128" s="136" t="s">
        <v>501</v>
      </c>
      <c r="CC128" s="137" t="s">
        <v>501</v>
      </c>
      <c r="CD128" s="135">
        <f>CD$3</f>
        <v>46200</v>
      </c>
      <c r="CE128" s="136" t="s">
        <v>501</v>
      </c>
      <c r="CF128" s="137" t="s">
        <v>501</v>
      </c>
      <c r="CG128" s="135"/>
      <c r="CH128" s="135">
        <f>CH$3</f>
        <v>46202</v>
      </c>
      <c r="CI128" s="148" t="s">
        <v>501</v>
      </c>
      <c r="CJ128" s="137" t="s">
        <v>501</v>
      </c>
      <c r="CK128" s="135">
        <f>CK$3</f>
        <v>46203</v>
      </c>
      <c r="CL128" s="136" t="s">
        <v>501</v>
      </c>
      <c r="CM128" s="137" t="s">
        <v>501</v>
      </c>
      <c r="CN128" s="135">
        <f>CN$3</f>
        <v>46204</v>
      </c>
      <c r="CO128" s="136" t="s">
        <v>501</v>
      </c>
      <c r="CP128" s="137" t="s">
        <v>501</v>
      </c>
      <c r="CQ128" s="135">
        <f>CQ$3</f>
        <v>46205</v>
      </c>
      <c r="CR128" s="136" t="s">
        <v>501</v>
      </c>
      <c r="CS128" s="137" t="s">
        <v>501</v>
      </c>
      <c r="CT128" s="135">
        <f>CT$3</f>
        <v>46206</v>
      </c>
      <c r="CU128" s="136" t="s">
        <v>501</v>
      </c>
      <c r="CV128" s="137" t="s">
        <v>501</v>
      </c>
      <c r="CW128" s="135">
        <f>CW$3</f>
        <v>46207</v>
      </c>
      <c r="CX128" s="136" t="s">
        <v>501</v>
      </c>
      <c r="CY128" s="137" t="s">
        <v>501</v>
      </c>
      <c r="CZ128" s="135"/>
      <c r="DA128" s="135">
        <f>DA$3</f>
        <v>46209</v>
      </c>
      <c r="DB128" s="136" t="s">
        <v>501</v>
      </c>
      <c r="DC128" s="137" t="s">
        <v>501</v>
      </c>
      <c r="DD128" s="135">
        <f>DD$3</f>
        <v>46210</v>
      </c>
      <c r="DE128" s="136" t="s">
        <v>501</v>
      </c>
      <c r="DF128" s="137" t="s">
        <v>501</v>
      </c>
      <c r="DG128" s="135">
        <f>DG$3</f>
        <v>46211</v>
      </c>
      <c r="DH128" s="136" t="s">
        <v>501</v>
      </c>
      <c r="DI128" s="137" t="s">
        <v>501</v>
      </c>
      <c r="DJ128" s="135">
        <f>DJ$3</f>
        <v>46212</v>
      </c>
      <c r="DK128" s="136" t="s">
        <v>501</v>
      </c>
      <c r="DL128" s="137" t="s">
        <v>501</v>
      </c>
      <c r="DM128" s="135">
        <f>DM$3</f>
        <v>46213</v>
      </c>
      <c r="DN128" s="136" t="s">
        <v>501</v>
      </c>
      <c r="DO128" s="137" t="s">
        <v>501</v>
      </c>
      <c r="DP128" s="135">
        <f>DP$3</f>
        <v>46214</v>
      </c>
      <c r="DQ128" s="136" t="s">
        <v>501</v>
      </c>
      <c r="DR128" s="137" t="s">
        <v>501</v>
      </c>
    </row>
    <row r="129" spans="1:122" outlineLevel="1">
      <c r="A129" s="122" t="str">
        <f>$A$113</f>
        <v>Vũ Thị Thêu</v>
      </c>
      <c r="B129" s="123" t="str">
        <f>'Bảng 3'!A120</f>
        <v>3.B.HYE.NOXHHY.CT.203</v>
      </c>
      <c r="C129" s="81" t="str">
        <f>IF($B129="","",INDEX('Bảng 3'!C:C,MATCH($B129,'Bảng 3'!$A:$A,0)))</f>
        <v>Quản lý BIM</v>
      </c>
      <c r="D129" s="81" t="str">
        <f>IF($B129="","",INDEX('Bảng 3'!D:D,MATCH($B129,'Bảng 3'!$A:$A,0)))</f>
        <v>B.HYE.NOXHHY.CT</v>
      </c>
      <c r="E129" s="81" t="str">
        <f>IF($B129="","",INDEX('Bảng 3'!E:E,MATCH($B129,'Bảng 3'!$A:$A,0)))</f>
        <v>NOXH03 (05 tòa)</v>
      </c>
      <c r="F129" s="81" t="str">
        <f>IF($B129="","",INDEX('Bảng 3'!F:F,MATCH($B129,'Bảng 3'!$A:$A,0)))</f>
        <v>KC</v>
      </c>
      <c r="G129" s="81" t="str">
        <f>IF($B129="","",INDEX('Bảng 3'!G:G,MATCH($B129,'Bảng 3'!$A:$A,0)))</f>
        <v>KSCL mô hình BIM</v>
      </c>
      <c r="H129" s="121"/>
      <c r="I129" s="135"/>
      <c r="J129" s="135">
        <f>J$3</f>
        <v>46174</v>
      </c>
      <c r="K129" s="148" t="s">
        <v>501</v>
      </c>
      <c r="L129" s="168" t="s">
        <v>501</v>
      </c>
      <c r="M129" s="135">
        <f>M$3</f>
        <v>46175</v>
      </c>
      <c r="N129" s="148" t="s">
        <v>501</v>
      </c>
      <c r="O129" s="137" t="s">
        <v>501</v>
      </c>
      <c r="P129" s="135">
        <f>P$3</f>
        <v>46176</v>
      </c>
      <c r="Q129" s="136" t="s">
        <v>501</v>
      </c>
      <c r="R129" s="137" t="s">
        <v>501</v>
      </c>
      <c r="S129" s="135">
        <f>S$3</f>
        <v>46177</v>
      </c>
      <c r="T129" s="136" t="s">
        <v>501</v>
      </c>
      <c r="U129" s="137" t="s">
        <v>501</v>
      </c>
      <c r="V129" s="135">
        <f>V$3</f>
        <v>46178</v>
      </c>
      <c r="W129" s="136" t="s">
        <v>501</v>
      </c>
      <c r="X129" s="137" t="s">
        <v>501</v>
      </c>
      <c r="Y129" s="135">
        <f>Y$3</f>
        <v>46179</v>
      </c>
      <c r="Z129" s="136" t="s">
        <v>501</v>
      </c>
      <c r="AA129" s="137" t="s">
        <v>501</v>
      </c>
      <c r="AB129" s="135"/>
      <c r="AC129" s="135">
        <f>AC$3</f>
        <v>46181</v>
      </c>
      <c r="AD129" s="136" t="s">
        <v>501</v>
      </c>
      <c r="AE129" s="137" t="s">
        <v>501</v>
      </c>
      <c r="AF129" s="135">
        <f>AF$3</f>
        <v>46182</v>
      </c>
      <c r="AG129" s="136" t="s">
        <v>501</v>
      </c>
      <c r="AH129" s="137" t="s">
        <v>501</v>
      </c>
      <c r="AI129" s="135">
        <f>AI$3</f>
        <v>46183</v>
      </c>
      <c r="AJ129" s="136" t="s">
        <v>501</v>
      </c>
      <c r="AK129" s="137" t="s">
        <v>501</v>
      </c>
      <c r="AL129" s="135">
        <f>AL$3</f>
        <v>46184</v>
      </c>
      <c r="AM129" s="136" t="s">
        <v>501</v>
      </c>
      <c r="AN129" s="137" t="s">
        <v>501</v>
      </c>
      <c r="AO129" s="135">
        <f>AO$3</f>
        <v>46185</v>
      </c>
      <c r="AP129" s="136" t="s">
        <v>501</v>
      </c>
      <c r="AQ129" s="137" t="s">
        <v>501</v>
      </c>
      <c r="AR129" s="135">
        <f>AR$3</f>
        <v>46186</v>
      </c>
      <c r="AS129" s="136" t="s">
        <v>501</v>
      </c>
      <c r="AT129" s="137" t="s">
        <v>501</v>
      </c>
      <c r="AU129" s="135"/>
      <c r="AV129" s="135">
        <f>AV$3</f>
        <v>46188</v>
      </c>
      <c r="AW129" s="148" t="s">
        <v>501</v>
      </c>
      <c r="AX129" s="137" t="s">
        <v>501</v>
      </c>
      <c r="AY129" s="135">
        <f>AY$3</f>
        <v>46189</v>
      </c>
      <c r="AZ129" s="136" t="s">
        <v>501</v>
      </c>
      <c r="BA129" s="137" t="s">
        <v>501</v>
      </c>
      <c r="BB129" s="135">
        <f>BB$3</f>
        <v>46190</v>
      </c>
      <c r="BC129" s="136" t="s">
        <v>501</v>
      </c>
      <c r="BD129" s="137" t="s">
        <v>501</v>
      </c>
      <c r="BE129" s="135">
        <f>BE$3</f>
        <v>46191</v>
      </c>
      <c r="BF129" s="136" t="s">
        <v>501</v>
      </c>
      <c r="BG129" s="137" t="s">
        <v>501</v>
      </c>
      <c r="BH129" s="135">
        <f>BH$3</f>
        <v>46192</v>
      </c>
      <c r="BI129" s="136" t="s">
        <v>501</v>
      </c>
      <c r="BJ129" s="137" t="s">
        <v>501</v>
      </c>
      <c r="BK129" s="135">
        <f>BK$3</f>
        <v>46193</v>
      </c>
      <c r="BL129" s="136" t="s">
        <v>501</v>
      </c>
      <c r="BM129" s="137" t="s">
        <v>501</v>
      </c>
      <c r="BN129" s="135"/>
      <c r="BO129" s="135">
        <f>BO$3</f>
        <v>46195</v>
      </c>
      <c r="BP129" s="136" t="s">
        <v>501</v>
      </c>
      <c r="BQ129" s="137" t="s">
        <v>501</v>
      </c>
      <c r="BR129" s="135">
        <f>BR$3</f>
        <v>46196</v>
      </c>
      <c r="BS129" s="136" t="s">
        <v>501</v>
      </c>
      <c r="BT129" s="137" t="s">
        <v>501</v>
      </c>
      <c r="BU129" s="135">
        <f>BU$3</f>
        <v>46197</v>
      </c>
      <c r="BV129" s="136" t="s">
        <v>501</v>
      </c>
      <c r="BW129" s="137" t="s">
        <v>501</v>
      </c>
      <c r="BX129" s="135">
        <f>BX$3</f>
        <v>46198</v>
      </c>
      <c r="BY129" s="136" t="s">
        <v>501</v>
      </c>
      <c r="BZ129" s="137" t="s">
        <v>501</v>
      </c>
      <c r="CA129" s="135">
        <f>CA$3</f>
        <v>46199</v>
      </c>
      <c r="CB129" s="136" t="s">
        <v>501</v>
      </c>
      <c r="CC129" s="137" t="s">
        <v>501</v>
      </c>
      <c r="CD129" s="135">
        <f>CD$3</f>
        <v>46200</v>
      </c>
      <c r="CE129" s="136" t="s">
        <v>501</v>
      </c>
      <c r="CF129" s="137" t="s">
        <v>501</v>
      </c>
      <c r="CG129" s="135"/>
      <c r="CH129" s="135">
        <f>CH$3</f>
        <v>46202</v>
      </c>
      <c r="CI129" s="148" t="s">
        <v>501</v>
      </c>
      <c r="CJ129" s="137" t="s">
        <v>501</v>
      </c>
      <c r="CK129" s="135">
        <f>CK$3</f>
        <v>46203</v>
      </c>
      <c r="CL129" s="136" t="s">
        <v>501</v>
      </c>
      <c r="CM129" s="137" t="s">
        <v>501</v>
      </c>
      <c r="CN129" s="135">
        <f>CN$3</f>
        <v>46204</v>
      </c>
      <c r="CO129" s="136" t="s">
        <v>501</v>
      </c>
      <c r="CP129" s="137" t="s">
        <v>501</v>
      </c>
      <c r="CQ129" s="135">
        <f>CQ$3</f>
        <v>46205</v>
      </c>
      <c r="CR129" s="136" t="s">
        <v>501</v>
      </c>
      <c r="CS129" s="137" t="s">
        <v>501</v>
      </c>
      <c r="CT129" s="135">
        <f>CT$3</f>
        <v>46206</v>
      </c>
      <c r="CU129" s="136" t="s">
        <v>501</v>
      </c>
      <c r="CV129" s="137" t="s">
        <v>501</v>
      </c>
      <c r="CW129" s="135">
        <f>CW$3</f>
        <v>46207</v>
      </c>
      <c r="CX129" s="136" t="s">
        <v>501</v>
      </c>
      <c r="CY129" s="137" t="s">
        <v>501</v>
      </c>
      <c r="CZ129" s="135"/>
      <c r="DA129" s="135">
        <f>DA$3</f>
        <v>46209</v>
      </c>
      <c r="DB129" s="136" t="s">
        <v>501</v>
      </c>
      <c r="DC129" s="137" t="s">
        <v>501</v>
      </c>
      <c r="DD129" s="135">
        <f>DD$3</f>
        <v>46210</v>
      </c>
      <c r="DE129" s="136" t="s">
        <v>501</v>
      </c>
      <c r="DF129" s="137" t="s">
        <v>501</v>
      </c>
      <c r="DG129" s="135">
        <f>DG$3</f>
        <v>46211</v>
      </c>
      <c r="DH129" s="136" t="s">
        <v>501</v>
      </c>
      <c r="DI129" s="137" t="s">
        <v>501</v>
      </c>
      <c r="DJ129" s="135">
        <f>DJ$3</f>
        <v>46212</v>
      </c>
      <c r="DK129" s="136" t="s">
        <v>501</v>
      </c>
      <c r="DL129" s="137" t="s">
        <v>501</v>
      </c>
      <c r="DM129" s="135">
        <f>DM$3</f>
        <v>46213</v>
      </c>
      <c r="DN129" s="136" t="s">
        <v>501</v>
      </c>
      <c r="DO129" s="137" t="s">
        <v>501</v>
      </c>
      <c r="DP129" s="135">
        <f>DP$3</f>
        <v>46214</v>
      </c>
      <c r="DQ129" s="136" t="s">
        <v>501</v>
      </c>
      <c r="DR129" s="137" t="s">
        <v>501</v>
      </c>
    </row>
    <row r="130" spans="1:122" outlineLevel="1">
      <c r="A130" s="122" t="str">
        <f>$A$113</f>
        <v>Vũ Thị Thêu</v>
      </c>
      <c r="B130" s="123" t="str">
        <f>'Bảng 3'!A126</f>
        <v>3.B.HYE.NOXHHY.CT.104</v>
      </c>
      <c r="C130" s="81" t="str">
        <f>IF($B130="","",INDEX('Bảng 3'!C:C,MATCH($B130,'Bảng 3'!$A:$A,0)))</f>
        <v>Quản lý BIM</v>
      </c>
      <c r="D130" s="81" t="str">
        <f>IF($B130="","",INDEX('Bảng 3'!D:D,MATCH($B130,'Bảng 3'!$A:$A,0)))</f>
        <v>B.HYE.NOXHHY.CT</v>
      </c>
      <c r="E130" s="81" t="str">
        <f>IF($B130="","",INDEX('Bảng 3'!E:E,MATCH($B130,'Bảng 3'!$A:$A,0)))</f>
        <v>NOXH04 (07 tòa)</v>
      </c>
      <c r="F130" s="81" t="str">
        <f>IF($B130="","",INDEX('Bảng 3'!F:F,MATCH($B130,'Bảng 3'!$A:$A,0)))</f>
        <v>KT</v>
      </c>
      <c r="G130" s="81" t="str">
        <f>IF($B130="","",INDEX('Bảng 3'!G:G,MATCH($B130,'Bảng 3'!$A:$A,0)))</f>
        <v>KSCL mô hình BIM</v>
      </c>
      <c r="H130" s="121"/>
      <c r="I130" s="135"/>
      <c r="J130" s="135">
        <f>J$3</f>
        <v>46174</v>
      </c>
      <c r="K130" s="148" t="s">
        <v>652</v>
      </c>
      <c r="L130" s="168">
        <v>6</v>
      </c>
      <c r="M130" s="135">
        <f>M$3</f>
        <v>46175</v>
      </c>
      <c r="N130" s="148" t="s">
        <v>501</v>
      </c>
      <c r="O130" s="137" t="s">
        <v>501</v>
      </c>
      <c r="P130" s="135">
        <f>P$3</f>
        <v>46176</v>
      </c>
      <c r="Q130" s="136" t="s">
        <v>501</v>
      </c>
      <c r="R130" s="137" t="s">
        <v>501</v>
      </c>
      <c r="S130" s="135">
        <f>S$3</f>
        <v>46177</v>
      </c>
      <c r="T130" s="136" t="s">
        <v>501</v>
      </c>
      <c r="U130" s="137" t="s">
        <v>501</v>
      </c>
      <c r="V130" s="135">
        <f>V$3</f>
        <v>46178</v>
      </c>
      <c r="W130" s="136" t="s">
        <v>501</v>
      </c>
      <c r="X130" s="137" t="s">
        <v>501</v>
      </c>
      <c r="Y130" s="135">
        <f>Y$3</f>
        <v>46179</v>
      </c>
      <c r="Z130" s="136" t="s">
        <v>501</v>
      </c>
      <c r="AA130" s="137" t="s">
        <v>501</v>
      </c>
      <c r="AB130" s="135"/>
      <c r="AC130" s="135">
        <f>AC$3</f>
        <v>46181</v>
      </c>
      <c r="AD130" s="136" t="s">
        <v>501</v>
      </c>
      <c r="AE130" s="137" t="s">
        <v>501</v>
      </c>
      <c r="AF130" s="135">
        <f>AF$3</f>
        <v>46182</v>
      </c>
      <c r="AG130" s="136" t="s">
        <v>501</v>
      </c>
      <c r="AH130" s="137" t="s">
        <v>501</v>
      </c>
      <c r="AI130" s="135">
        <f>AI$3</f>
        <v>46183</v>
      </c>
      <c r="AJ130" s="136" t="s">
        <v>501</v>
      </c>
      <c r="AK130" s="137" t="s">
        <v>501</v>
      </c>
      <c r="AL130" s="135">
        <f>AL$3</f>
        <v>46184</v>
      </c>
      <c r="AM130" s="136" t="s">
        <v>501</v>
      </c>
      <c r="AN130" s="137" t="s">
        <v>501</v>
      </c>
      <c r="AO130" s="135">
        <f>AO$3</f>
        <v>46185</v>
      </c>
      <c r="AP130" s="136" t="s">
        <v>501</v>
      </c>
      <c r="AQ130" s="137" t="s">
        <v>501</v>
      </c>
      <c r="AR130" s="135">
        <f>AR$3</f>
        <v>46186</v>
      </c>
      <c r="AS130" s="136" t="s">
        <v>501</v>
      </c>
      <c r="AT130" s="137" t="s">
        <v>501</v>
      </c>
      <c r="AU130" s="135"/>
      <c r="AV130" s="135">
        <f>AV$3</f>
        <v>46188</v>
      </c>
      <c r="AW130" s="148" t="s">
        <v>501</v>
      </c>
      <c r="AX130" s="137" t="s">
        <v>501</v>
      </c>
      <c r="AY130" s="135">
        <f>AY$3</f>
        <v>46189</v>
      </c>
      <c r="AZ130" s="136" t="s">
        <v>501</v>
      </c>
      <c r="BA130" s="137" t="s">
        <v>501</v>
      </c>
      <c r="BB130" s="135">
        <f>BB$3</f>
        <v>46190</v>
      </c>
      <c r="BC130" s="136" t="s">
        <v>501</v>
      </c>
      <c r="BD130" s="137" t="s">
        <v>501</v>
      </c>
      <c r="BE130" s="135">
        <f>BE$3</f>
        <v>46191</v>
      </c>
      <c r="BF130" s="136" t="s">
        <v>501</v>
      </c>
      <c r="BG130" s="137" t="s">
        <v>501</v>
      </c>
      <c r="BH130" s="135">
        <f>BH$3</f>
        <v>46192</v>
      </c>
      <c r="BI130" s="136" t="s">
        <v>501</v>
      </c>
      <c r="BJ130" s="137" t="s">
        <v>501</v>
      </c>
      <c r="BK130" s="135">
        <f>BK$3</f>
        <v>46193</v>
      </c>
      <c r="BL130" s="136" t="s">
        <v>501</v>
      </c>
      <c r="BM130" s="137" t="s">
        <v>501</v>
      </c>
      <c r="BN130" s="135"/>
      <c r="BO130" s="135">
        <f>BO$3</f>
        <v>46195</v>
      </c>
      <c r="BP130" s="136" t="s">
        <v>501</v>
      </c>
      <c r="BQ130" s="137" t="s">
        <v>501</v>
      </c>
      <c r="BR130" s="135">
        <f>BR$3</f>
        <v>46196</v>
      </c>
      <c r="BS130" s="136" t="s">
        <v>501</v>
      </c>
      <c r="BT130" s="137" t="s">
        <v>501</v>
      </c>
      <c r="BU130" s="135">
        <f>BU$3</f>
        <v>46197</v>
      </c>
      <c r="BV130" s="136" t="s">
        <v>501</v>
      </c>
      <c r="BW130" s="137" t="s">
        <v>501</v>
      </c>
      <c r="BX130" s="135">
        <f>BX$3</f>
        <v>46198</v>
      </c>
      <c r="BY130" s="136" t="s">
        <v>501</v>
      </c>
      <c r="BZ130" s="137" t="s">
        <v>501</v>
      </c>
      <c r="CA130" s="135">
        <f>CA$3</f>
        <v>46199</v>
      </c>
      <c r="CB130" s="136" t="s">
        <v>501</v>
      </c>
      <c r="CC130" s="137" t="s">
        <v>501</v>
      </c>
      <c r="CD130" s="135">
        <f>CD$3</f>
        <v>46200</v>
      </c>
      <c r="CE130" s="136" t="s">
        <v>501</v>
      </c>
      <c r="CF130" s="137" t="s">
        <v>501</v>
      </c>
      <c r="CG130" s="135"/>
      <c r="CH130" s="135">
        <f>CH$3</f>
        <v>46202</v>
      </c>
      <c r="CI130" s="148" t="s">
        <v>501</v>
      </c>
      <c r="CJ130" s="137" t="s">
        <v>501</v>
      </c>
      <c r="CK130" s="135">
        <f>CK$3</f>
        <v>46203</v>
      </c>
      <c r="CL130" s="136" t="s">
        <v>501</v>
      </c>
      <c r="CM130" s="137" t="s">
        <v>501</v>
      </c>
      <c r="CN130" s="135">
        <f>CN$3</f>
        <v>46204</v>
      </c>
      <c r="CO130" s="136" t="s">
        <v>501</v>
      </c>
      <c r="CP130" s="137" t="s">
        <v>501</v>
      </c>
      <c r="CQ130" s="135">
        <f>CQ$3</f>
        <v>46205</v>
      </c>
      <c r="CR130" s="136" t="s">
        <v>501</v>
      </c>
      <c r="CS130" s="137" t="s">
        <v>501</v>
      </c>
      <c r="CT130" s="135">
        <f>CT$3</f>
        <v>46206</v>
      </c>
      <c r="CU130" s="136" t="s">
        <v>501</v>
      </c>
      <c r="CV130" s="137" t="s">
        <v>501</v>
      </c>
      <c r="CW130" s="135">
        <f>CW$3</f>
        <v>46207</v>
      </c>
      <c r="CX130" s="136" t="s">
        <v>501</v>
      </c>
      <c r="CY130" s="137" t="s">
        <v>501</v>
      </c>
      <c r="CZ130" s="135"/>
      <c r="DA130" s="135">
        <f>DA$3</f>
        <v>46209</v>
      </c>
      <c r="DB130" s="136" t="s">
        <v>501</v>
      </c>
      <c r="DC130" s="137" t="s">
        <v>501</v>
      </c>
      <c r="DD130" s="135">
        <f>DD$3</f>
        <v>46210</v>
      </c>
      <c r="DE130" s="136" t="s">
        <v>501</v>
      </c>
      <c r="DF130" s="137" t="s">
        <v>501</v>
      </c>
      <c r="DG130" s="135">
        <f>DG$3</f>
        <v>46211</v>
      </c>
      <c r="DH130" s="136" t="s">
        <v>501</v>
      </c>
      <c r="DI130" s="137" t="s">
        <v>501</v>
      </c>
      <c r="DJ130" s="135">
        <f>DJ$3</f>
        <v>46212</v>
      </c>
      <c r="DK130" s="136" t="s">
        <v>501</v>
      </c>
      <c r="DL130" s="137" t="s">
        <v>501</v>
      </c>
      <c r="DM130" s="135">
        <f>DM$3</f>
        <v>46213</v>
      </c>
      <c r="DN130" s="136" t="s">
        <v>501</v>
      </c>
      <c r="DO130" s="137" t="s">
        <v>501</v>
      </c>
      <c r="DP130" s="135">
        <f>DP$3</f>
        <v>46214</v>
      </c>
      <c r="DQ130" s="136" t="s">
        <v>501</v>
      </c>
      <c r="DR130" s="137" t="s">
        <v>501</v>
      </c>
    </row>
    <row r="131" spans="1:122" outlineLevel="1">
      <c r="A131" s="122" t="str">
        <f>$A$113</f>
        <v>Vũ Thị Thêu</v>
      </c>
      <c r="B131" s="123" t="str">
        <f>'Bảng 3'!A127</f>
        <v>3.B.HYE.NOXHHY.CT.204</v>
      </c>
      <c r="C131" s="81" t="str">
        <f>IF($B131="","",INDEX('Bảng 3'!C:C,MATCH($B131,'Bảng 3'!$A:$A,0)))</f>
        <v>Quản lý BIM</v>
      </c>
      <c r="D131" s="81" t="str">
        <f>IF($B131="","",INDEX('Bảng 3'!D:D,MATCH($B131,'Bảng 3'!$A:$A,0)))</f>
        <v>B.HYE.NOXHHY.CT</v>
      </c>
      <c r="E131" s="81" t="str">
        <f>IF($B131="","",INDEX('Bảng 3'!E:E,MATCH($B131,'Bảng 3'!$A:$A,0)))</f>
        <v>NOXH04 (07 tòa)</v>
      </c>
      <c r="F131" s="81" t="str">
        <f>IF($B131="","",INDEX('Bảng 3'!F:F,MATCH($B131,'Bảng 3'!$A:$A,0)))</f>
        <v>KC</v>
      </c>
      <c r="G131" s="81" t="str">
        <f>IF($B131="","",INDEX('Bảng 3'!G:G,MATCH($B131,'Bảng 3'!$A:$A,0)))</f>
        <v>KSCL mô hình BIM</v>
      </c>
      <c r="H131" s="121"/>
      <c r="I131" s="135"/>
      <c r="J131" s="135">
        <f>J$3</f>
        <v>46174</v>
      </c>
      <c r="K131" s="148" t="s">
        <v>653</v>
      </c>
      <c r="L131" s="168">
        <v>2</v>
      </c>
      <c r="M131" s="135">
        <f>M$3</f>
        <v>46175</v>
      </c>
      <c r="N131" s="148" t="s">
        <v>501</v>
      </c>
      <c r="O131" s="137" t="s">
        <v>501</v>
      </c>
      <c r="P131" s="135">
        <f>P$3</f>
        <v>46176</v>
      </c>
      <c r="Q131" s="136" t="s">
        <v>501</v>
      </c>
      <c r="R131" s="137" t="s">
        <v>501</v>
      </c>
      <c r="S131" s="135">
        <f>S$3</f>
        <v>46177</v>
      </c>
      <c r="T131" s="136" t="s">
        <v>501</v>
      </c>
      <c r="U131" s="137" t="s">
        <v>501</v>
      </c>
      <c r="V131" s="135">
        <f>V$3</f>
        <v>46178</v>
      </c>
      <c r="W131" s="136" t="s">
        <v>501</v>
      </c>
      <c r="X131" s="137" t="s">
        <v>501</v>
      </c>
      <c r="Y131" s="135">
        <f>Y$3</f>
        <v>46179</v>
      </c>
      <c r="Z131" s="136" t="s">
        <v>501</v>
      </c>
      <c r="AA131" s="137" t="s">
        <v>501</v>
      </c>
      <c r="AB131" s="135"/>
      <c r="AC131" s="135">
        <f>AC$3</f>
        <v>46181</v>
      </c>
      <c r="AD131" s="136" t="s">
        <v>501</v>
      </c>
      <c r="AE131" s="137" t="s">
        <v>501</v>
      </c>
      <c r="AF131" s="135">
        <f>AF$3</f>
        <v>46182</v>
      </c>
      <c r="AG131" s="136" t="s">
        <v>501</v>
      </c>
      <c r="AH131" s="137" t="s">
        <v>501</v>
      </c>
      <c r="AI131" s="135">
        <f>AI$3</f>
        <v>46183</v>
      </c>
      <c r="AJ131" s="136" t="s">
        <v>501</v>
      </c>
      <c r="AK131" s="137" t="s">
        <v>501</v>
      </c>
      <c r="AL131" s="135">
        <f>AL$3</f>
        <v>46184</v>
      </c>
      <c r="AM131" s="136" t="s">
        <v>501</v>
      </c>
      <c r="AN131" s="137" t="s">
        <v>501</v>
      </c>
      <c r="AO131" s="135">
        <f>AO$3</f>
        <v>46185</v>
      </c>
      <c r="AP131" s="136" t="s">
        <v>501</v>
      </c>
      <c r="AQ131" s="137" t="s">
        <v>501</v>
      </c>
      <c r="AR131" s="135">
        <f>AR$3</f>
        <v>46186</v>
      </c>
      <c r="AS131" s="136" t="s">
        <v>501</v>
      </c>
      <c r="AT131" s="137" t="s">
        <v>501</v>
      </c>
      <c r="AU131" s="135"/>
      <c r="AV131" s="135">
        <f>AV$3</f>
        <v>46188</v>
      </c>
      <c r="AW131" s="148" t="s">
        <v>501</v>
      </c>
      <c r="AX131" s="137" t="s">
        <v>501</v>
      </c>
      <c r="AY131" s="135">
        <f>AY$3</f>
        <v>46189</v>
      </c>
      <c r="AZ131" s="136" t="s">
        <v>501</v>
      </c>
      <c r="BA131" s="137" t="s">
        <v>501</v>
      </c>
      <c r="BB131" s="135">
        <f>BB$3</f>
        <v>46190</v>
      </c>
      <c r="BC131" s="136" t="s">
        <v>501</v>
      </c>
      <c r="BD131" s="137" t="s">
        <v>501</v>
      </c>
      <c r="BE131" s="135">
        <f>BE$3</f>
        <v>46191</v>
      </c>
      <c r="BF131" s="136" t="s">
        <v>501</v>
      </c>
      <c r="BG131" s="137" t="s">
        <v>501</v>
      </c>
      <c r="BH131" s="135">
        <f>BH$3</f>
        <v>46192</v>
      </c>
      <c r="BI131" s="136" t="s">
        <v>501</v>
      </c>
      <c r="BJ131" s="137" t="s">
        <v>501</v>
      </c>
      <c r="BK131" s="135">
        <f>BK$3</f>
        <v>46193</v>
      </c>
      <c r="BL131" s="136" t="s">
        <v>501</v>
      </c>
      <c r="BM131" s="137" t="s">
        <v>501</v>
      </c>
      <c r="BN131" s="135"/>
      <c r="BO131" s="135">
        <f>BO$3</f>
        <v>46195</v>
      </c>
      <c r="BP131" s="136" t="s">
        <v>501</v>
      </c>
      <c r="BQ131" s="137" t="s">
        <v>501</v>
      </c>
      <c r="BR131" s="135">
        <f>BR$3</f>
        <v>46196</v>
      </c>
      <c r="BS131" s="136" t="s">
        <v>501</v>
      </c>
      <c r="BT131" s="137" t="s">
        <v>501</v>
      </c>
      <c r="BU131" s="135">
        <f>BU$3</f>
        <v>46197</v>
      </c>
      <c r="BV131" s="136" t="s">
        <v>501</v>
      </c>
      <c r="BW131" s="137" t="s">
        <v>501</v>
      </c>
      <c r="BX131" s="135">
        <f>BX$3</f>
        <v>46198</v>
      </c>
      <c r="BY131" s="136" t="s">
        <v>501</v>
      </c>
      <c r="BZ131" s="137" t="s">
        <v>501</v>
      </c>
      <c r="CA131" s="135">
        <f>CA$3</f>
        <v>46199</v>
      </c>
      <c r="CB131" s="136" t="s">
        <v>501</v>
      </c>
      <c r="CC131" s="137" t="s">
        <v>501</v>
      </c>
      <c r="CD131" s="135">
        <f>CD$3</f>
        <v>46200</v>
      </c>
      <c r="CE131" s="136" t="s">
        <v>501</v>
      </c>
      <c r="CF131" s="137" t="s">
        <v>501</v>
      </c>
      <c r="CG131" s="135"/>
      <c r="CH131" s="135">
        <f>CH$3</f>
        <v>46202</v>
      </c>
      <c r="CI131" s="148" t="s">
        <v>501</v>
      </c>
      <c r="CJ131" s="137" t="s">
        <v>501</v>
      </c>
      <c r="CK131" s="135">
        <f>CK$3</f>
        <v>46203</v>
      </c>
      <c r="CL131" s="136" t="s">
        <v>501</v>
      </c>
      <c r="CM131" s="137" t="s">
        <v>501</v>
      </c>
      <c r="CN131" s="135">
        <f>CN$3</f>
        <v>46204</v>
      </c>
      <c r="CO131" s="136" t="s">
        <v>501</v>
      </c>
      <c r="CP131" s="137" t="s">
        <v>501</v>
      </c>
      <c r="CQ131" s="135">
        <f>CQ$3</f>
        <v>46205</v>
      </c>
      <c r="CR131" s="136" t="s">
        <v>501</v>
      </c>
      <c r="CS131" s="137" t="s">
        <v>501</v>
      </c>
      <c r="CT131" s="135">
        <f>CT$3</f>
        <v>46206</v>
      </c>
      <c r="CU131" s="136" t="s">
        <v>501</v>
      </c>
      <c r="CV131" s="137" t="s">
        <v>501</v>
      </c>
      <c r="CW131" s="135">
        <f>CW$3</f>
        <v>46207</v>
      </c>
      <c r="CX131" s="136" t="s">
        <v>501</v>
      </c>
      <c r="CY131" s="137" t="s">
        <v>501</v>
      </c>
      <c r="CZ131" s="135"/>
      <c r="DA131" s="135">
        <f>DA$3</f>
        <v>46209</v>
      </c>
      <c r="DB131" s="136" t="s">
        <v>501</v>
      </c>
      <c r="DC131" s="137" t="s">
        <v>501</v>
      </c>
      <c r="DD131" s="135">
        <f>DD$3</f>
        <v>46210</v>
      </c>
      <c r="DE131" s="136" t="s">
        <v>501</v>
      </c>
      <c r="DF131" s="137" t="s">
        <v>501</v>
      </c>
      <c r="DG131" s="135">
        <f>DG$3</f>
        <v>46211</v>
      </c>
      <c r="DH131" s="136" t="s">
        <v>501</v>
      </c>
      <c r="DI131" s="137" t="s">
        <v>501</v>
      </c>
      <c r="DJ131" s="135">
        <f>DJ$3</f>
        <v>46212</v>
      </c>
      <c r="DK131" s="136" t="s">
        <v>501</v>
      </c>
      <c r="DL131" s="137" t="s">
        <v>501</v>
      </c>
      <c r="DM131" s="135">
        <f>DM$3</f>
        <v>46213</v>
      </c>
      <c r="DN131" s="136" t="s">
        <v>501</v>
      </c>
      <c r="DO131" s="137" t="s">
        <v>501</v>
      </c>
      <c r="DP131" s="135">
        <f>DP$3</f>
        <v>46214</v>
      </c>
      <c r="DQ131" s="136" t="s">
        <v>501</v>
      </c>
      <c r="DR131" s="137" t="s">
        <v>501</v>
      </c>
    </row>
    <row r="132" spans="1:122" outlineLevel="1">
      <c r="A132" s="122" t="str">
        <f>$A$113</f>
        <v>Vũ Thị Thêu</v>
      </c>
      <c r="B132" s="123" t="str">
        <f>'Bảng 3'!A190</f>
        <v>3.B.QNI.HLXHL.VSC.101</v>
      </c>
      <c r="C132" s="81" t="str">
        <f>IF($B132="","",INDEX('Bảng 3'!C:C,MATCH($B132,'Bảng 3'!$A:$A,0)))</f>
        <v>Quản lý BIM</v>
      </c>
      <c r="D132" s="81" t="str">
        <f>IF($B132="","",INDEX('Bảng 3'!D:D,MATCH($B132,'Bảng 3'!$A:$A,0)))</f>
        <v>B.QNI.HLXHL.VSC</v>
      </c>
      <c r="E132" s="81" t="str">
        <f>IF($B132="","",INDEX('Bảng 3'!E:E,MATCH($B132,'Bảng 3'!$A:$A,0)))</f>
        <v>Trường học các lô đất A2-MG-06, A2-TH-05, A2-CS-04</v>
      </c>
      <c r="F132" s="81" t="str">
        <f>IF($B132="","",INDEX('Bảng 3'!F:F,MATCH($B132,'Bảng 3'!$A:$A,0)))</f>
        <v>KT</v>
      </c>
      <c r="G132" s="81" t="str">
        <f>IF($B132="","",INDEX('Bảng 3'!G:G,MATCH($B132,'Bảng 3'!$A:$A,0)))</f>
        <v>KSCL mô hình BIM</v>
      </c>
      <c r="H132" s="121"/>
      <c r="I132" s="135"/>
      <c r="J132" s="135">
        <f>J$3</f>
        <v>46174</v>
      </c>
      <c r="K132" s="148" t="s">
        <v>501</v>
      </c>
      <c r="L132" s="168" t="s">
        <v>501</v>
      </c>
      <c r="M132" s="135">
        <f>M$3</f>
        <v>46175</v>
      </c>
      <c r="N132" s="148" t="s">
        <v>501</v>
      </c>
      <c r="O132" s="137" t="s">
        <v>501</v>
      </c>
      <c r="P132" s="135">
        <f>P$3</f>
        <v>46176</v>
      </c>
      <c r="Q132" s="136" t="s">
        <v>501</v>
      </c>
      <c r="R132" s="137" t="s">
        <v>501</v>
      </c>
      <c r="S132" s="135">
        <f>S$3</f>
        <v>46177</v>
      </c>
      <c r="T132" s="136" t="s">
        <v>501</v>
      </c>
      <c r="U132" s="137" t="s">
        <v>501</v>
      </c>
      <c r="V132" s="135">
        <f>V$3</f>
        <v>46178</v>
      </c>
      <c r="W132" s="136" t="s">
        <v>501</v>
      </c>
      <c r="X132" s="137" t="s">
        <v>501</v>
      </c>
      <c r="Y132" s="135">
        <f>Y$3</f>
        <v>46179</v>
      </c>
      <c r="Z132" s="136" t="s">
        <v>501</v>
      </c>
      <c r="AA132" s="137" t="s">
        <v>501</v>
      </c>
      <c r="AB132" s="135"/>
      <c r="AC132" s="135">
        <f>AC$3</f>
        <v>46181</v>
      </c>
      <c r="AD132" s="136" t="s">
        <v>501</v>
      </c>
      <c r="AE132" s="137" t="s">
        <v>501</v>
      </c>
      <c r="AF132" s="135">
        <f>AF$3</f>
        <v>46182</v>
      </c>
      <c r="AG132" s="136" t="s">
        <v>501</v>
      </c>
      <c r="AH132" s="137" t="s">
        <v>501</v>
      </c>
      <c r="AI132" s="135">
        <f>AI$3</f>
        <v>46183</v>
      </c>
      <c r="AJ132" s="136" t="s">
        <v>501</v>
      </c>
      <c r="AK132" s="137" t="s">
        <v>501</v>
      </c>
      <c r="AL132" s="135">
        <f>AL$3</f>
        <v>46184</v>
      </c>
      <c r="AM132" s="136" t="s">
        <v>501</v>
      </c>
      <c r="AN132" s="137" t="s">
        <v>501</v>
      </c>
      <c r="AO132" s="135">
        <f>AO$3</f>
        <v>46185</v>
      </c>
      <c r="AP132" s="136" t="s">
        <v>501</v>
      </c>
      <c r="AQ132" s="137" t="s">
        <v>501</v>
      </c>
      <c r="AR132" s="135">
        <f>AR$3</f>
        <v>46186</v>
      </c>
      <c r="AS132" s="136" t="s">
        <v>501</v>
      </c>
      <c r="AT132" s="137" t="s">
        <v>501</v>
      </c>
      <c r="AU132" s="135"/>
      <c r="AV132" s="135">
        <f>AV$3</f>
        <v>46188</v>
      </c>
      <c r="AW132" s="148" t="s">
        <v>501</v>
      </c>
      <c r="AX132" s="137" t="s">
        <v>501</v>
      </c>
      <c r="AY132" s="135">
        <f>AY$3</f>
        <v>46189</v>
      </c>
      <c r="AZ132" s="136" t="s">
        <v>501</v>
      </c>
      <c r="BA132" s="137" t="s">
        <v>501</v>
      </c>
      <c r="BB132" s="135">
        <f>BB$3</f>
        <v>46190</v>
      </c>
      <c r="BC132" s="136" t="s">
        <v>501</v>
      </c>
      <c r="BD132" s="137" t="s">
        <v>501</v>
      </c>
      <c r="BE132" s="135">
        <f>BE$3</f>
        <v>46191</v>
      </c>
      <c r="BF132" s="136" t="s">
        <v>501</v>
      </c>
      <c r="BG132" s="137" t="s">
        <v>501</v>
      </c>
      <c r="BH132" s="135">
        <f>BH$3</f>
        <v>46192</v>
      </c>
      <c r="BI132" s="136" t="s">
        <v>501</v>
      </c>
      <c r="BJ132" s="137" t="s">
        <v>501</v>
      </c>
      <c r="BK132" s="135">
        <f>BK$3</f>
        <v>46193</v>
      </c>
      <c r="BL132" s="136" t="s">
        <v>501</v>
      </c>
      <c r="BM132" s="137" t="s">
        <v>501</v>
      </c>
      <c r="BN132" s="135"/>
      <c r="BO132" s="135">
        <f>BO$3</f>
        <v>46195</v>
      </c>
      <c r="BP132" s="136" t="s">
        <v>501</v>
      </c>
      <c r="BQ132" s="137" t="s">
        <v>501</v>
      </c>
      <c r="BR132" s="135">
        <f>BR$3</f>
        <v>46196</v>
      </c>
      <c r="BS132" s="136" t="s">
        <v>501</v>
      </c>
      <c r="BT132" s="137" t="s">
        <v>501</v>
      </c>
      <c r="BU132" s="135">
        <f>BU$3</f>
        <v>46197</v>
      </c>
      <c r="BV132" s="136" t="s">
        <v>501</v>
      </c>
      <c r="BW132" s="137" t="s">
        <v>501</v>
      </c>
      <c r="BX132" s="135">
        <f>BX$3</f>
        <v>46198</v>
      </c>
      <c r="BY132" s="136" t="s">
        <v>501</v>
      </c>
      <c r="BZ132" s="137" t="s">
        <v>501</v>
      </c>
      <c r="CA132" s="135">
        <f>CA$3</f>
        <v>46199</v>
      </c>
      <c r="CB132" s="136" t="s">
        <v>501</v>
      </c>
      <c r="CC132" s="137" t="s">
        <v>501</v>
      </c>
      <c r="CD132" s="135">
        <f>CD$3</f>
        <v>46200</v>
      </c>
      <c r="CE132" s="136" t="s">
        <v>501</v>
      </c>
      <c r="CF132" s="137" t="s">
        <v>501</v>
      </c>
      <c r="CG132" s="135"/>
      <c r="CH132" s="135">
        <f>CH$3</f>
        <v>46202</v>
      </c>
      <c r="CI132" s="148" t="s">
        <v>501</v>
      </c>
      <c r="CJ132" s="137" t="s">
        <v>501</v>
      </c>
      <c r="CK132" s="135">
        <f>CK$3</f>
        <v>46203</v>
      </c>
      <c r="CL132" s="136" t="s">
        <v>501</v>
      </c>
      <c r="CM132" s="137" t="s">
        <v>501</v>
      </c>
      <c r="CN132" s="135">
        <f>CN$3</f>
        <v>46204</v>
      </c>
      <c r="CO132" s="136" t="s">
        <v>501</v>
      </c>
      <c r="CP132" s="137" t="s">
        <v>501</v>
      </c>
      <c r="CQ132" s="135">
        <f>CQ$3</f>
        <v>46205</v>
      </c>
      <c r="CR132" s="136" t="s">
        <v>501</v>
      </c>
      <c r="CS132" s="137" t="s">
        <v>501</v>
      </c>
      <c r="CT132" s="135">
        <f>CT$3</f>
        <v>46206</v>
      </c>
      <c r="CU132" s="136" t="s">
        <v>501</v>
      </c>
      <c r="CV132" s="137" t="s">
        <v>501</v>
      </c>
      <c r="CW132" s="135">
        <f>CW$3</f>
        <v>46207</v>
      </c>
      <c r="CX132" s="136" t="s">
        <v>501</v>
      </c>
      <c r="CY132" s="137" t="s">
        <v>501</v>
      </c>
      <c r="CZ132" s="135"/>
      <c r="DA132" s="135">
        <f>DA$3</f>
        <v>46209</v>
      </c>
      <c r="DB132" s="136" t="s">
        <v>501</v>
      </c>
      <c r="DC132" s="137" t="s">
        <v>501</v>
      </c>
      <c r="DD132" s="135">
        <f>DD$3</f>
        <v>46210</v>
      </c>
      <c r="DE132" s="136" t="s">
        <v>501</v>
      </c>
      <c r="DF132" s="137" t="s">
        <v>501</v>
      </c>
      <c r="DG132" s="135">
        <f>DG$3</f>
        <v>46211</v>
      </c>
      <c r="DH132" s="136" t="s">
        <v>501</v>
      </c>
      <c r="DI132" s="137" t="s">
        <v>501</v>
      </c>
      <c r="DJ132" s="135">
        <f>DJ$3</f>
        <v>46212</v>
      </c>
      <c r="DK132" s="136" t="s">
        <v>501</v>
      </c>
      <c r="DL132" s="137" t="s">
        <v>501</v>
      </c>
      <c r="DM132" s="135">
        <f>DM$3</f>
        <v>46213</v>
      </c>
      <c r="DN132" s="136" t="s">
        <v>501</v>
      </c>
      <c r="DO132" s="137" t="s">
        <v>501</v>
      </c>
      <c r="DP132" s="135">
        <f>DP$3</f>
        <v>46214</v>
      </c>
      <c r="DQ132" s="136" t="s">
        <v>501</v>
      </c>
      <c r="DR132" s="137" t="s">
        <v>501</v>
      </c>
    </row>
    <row r="133" spans="1:122" outlineLevel="1">
      <c r="A133" s="122" t="str">
        <f>$A$113</f>
        <v>Vũ Thị Thêu</v>
      </c>
      <c r="B133" s="123" t="str">
        <f>'Bảng 3'!A191</f>
        <v>3.B.QNI.HLXHL.VSC.201</v>
      </c>
      <c r="C133" s="81" t="str">
        <f>IF($B133="","",INDEX('Bảng 3'!C:C,MATCH($B133,'Bảng 3'!$A:$A,0)))</f>
        <v>Quản lý BIM</v>
      </c>
      <c r="D133" s="81" t="str">
        <f>IF($B133="","",INDEX('Bảng 3'!D:D,MATCH($B133,'Bảng 3'!$A:$A,0)))</f>
        <v>B.QNI.HLXHL.VSC</v>
      </c>
      <c r="E133" s="81" t="str">
        <f>IF($B133="","",INDEX('Bảng 3'!E:E,MATCH($B133,'Bảng 3'!$A:$A,0)))</f>
        <v>Trường học các lô đất A2-MG-06, A2-TH-05, A2-CS-04</v>
      </c>
      <c r="F133" s="81" t="str">
        <f>IF($B133="","",INDEX('Bảng 3'!F:F,MATCH($B133,'Bảng 3'!$A:$A,0)))</f>
        <v>KC</v>
      </c>
      <c r="G133" s="81" t="str">
        <f>IF($B133="","",INDEX('Bảng 3'!G:G,MATCH($B133,'Bảng 3'!$A:$A,0)))</f>
        <v>KSCL mô hình BIM</v>
      </c>
      <c r="H133" s="121"/>
      <c r="I133" s="135"/>
      <c r="J133" s="135">
        <f>J$3</f>
        <v>46174</v>
      </c>
      <c r="K133" s="148" t="s">
        <v>501</v>
      </c>
      <c r="L133" s="168" t="s">
        <v>501</v>
      </c>
      <c r="M133" s="135">
        <f>M$3</f>
        <v>46175</v>
      </c>
      <c r="N133" s="148" t="s">
        <v>501</v>
      </c>
      <c r="O133" s="137" t="s">
        <v>501</v>
      </c>
      <c r="P133" s="135">
        <f>P$3</f>
        <v>46176</v>
      </c>
      <c r="Q133" s="136" t="s">
        <v>501</v>
      </c>
      <c r="R133" s="137" t="s">
        <v>501</v>
      </c>
      <c r="S133" s="135">
        <f>S$3</f>
        <v>46177</v>
      </c>
      <c r="T133" s="136" t="s">
        <v>501</v>
      </c>
      <c r="U133" s="137" t="s">
        <v>501</v>
      </c>
      <c r="V133" s="135">
        <f>V$3</f>
        <v>46178</v>
      </c>
      <c r="W133" s="136" t="s">
        <v>501</v>
      </c>
      <c r="X133" s="137" t="s">
        <v>501</v>
      </c>
      <c r="Y133" s="135">
        <f>Y$3</f>
        <v>46179</v>
      </c>
      <c r="Z133" s="136" t="s">
        <v>501</v>
      </c>
      <c r="AA133" s="137" t="s">
        <v>501</v>
      </c>
      <c r="AB133" s="135"/>
      <c r="AC133" s="135">
        <f>AC$3</f>
        <v>46181</v>
      </c>
      <c r="AD133" s="136" t="s">
        <v>501</v>
      </c>
      <c r="AE133" s="137" t="s">
        <v>501</v>
      </c>
      <c r="AF133" s="135">
        <f>AF$3</f>
        <v>46182</v>
      </c>
      <c r="AG133" s="136" t="s">
        <v>501</v>
      </c>
      <c r="AH133" s="137" t="s">
        <v>501</v>
      </c>
      <c r="AI133" s="135">
        <f>AI$3</f>
        <v>46183</v>
      </c>
      <c r="AJ133" s="136" t="s">
        <v>501</v>
      </c>
      <c r="AK133" s="137" t="s">
        <v>501</v>
      </c>
      <c r="AL133" s="135">
        <f>AL$3</f>
        <v>46184</v>
      </c>
      <c r="AM133" s="136" t="s">
        <v>501</v>
      </c>
      <c r="AN133" s="137" t="s">
        <v>501</v>
      </c>
      <c r="AO133" s="135">
        <f>AO$3</f>
        <v>46185</v>
      </c>
      <c r="AP133" s="136" t="s">
        <v>501</v>
      </c>
      <c r="AQ133" s="137" t="s">
        <v>501</v>
      </c>
      <c r="AR133" s="135">
        <f>AR$3</f>
        <v>46186</v>
      </c>
      <c r="AS133" s="136" t="s">
        <v>501</v>
      </c>
      <c r="AT133" s="137" t="s">
        <v>501</v>
      </c>
      <c r="AU133" s="135"/>
      <c r="AV133" s="135">
        <f>AV$3</f>
        <v>46188</v>
      </c>
      <c r="AW133" s="148" t="s">
        <v>501</v>
      </c>
      <c r="AX133" s="137" t="s">
        <v>501</v>
      </c>
      <c r="AY133" s="135">
        <f>AY$3</f>
        <v>46189</v>
      </c>
      <c r="AZ133" s="136" t="s">
        <v>501</v>
      </c>
      <c r="BA133" s="137" t="s">
        <v>501</v>
      </c>
      <c r="BB133" s="135">
        <f>BB$3</f>
        <v>46190</v>
      </c>
      <c r="BC133" s="136" t="s">
        <v>501</v>
      </c>
      <c r="BD133" s="137" t="s">
        <v>501</v>
      </c>
      <c r="BE133" s="135">
        <f>BE$3</f>
        <v>46191</v>
      </c>
      <c r="BF133" s="136" t="s">
        <v>501</v>
      </c>
      <c r="BG133" s="137" t="s">
        <v>501</v>
      </c>
      <c r="BH133" s="135">
        <f>BH$3</f>
        <v>46192</v>
      </c>
      <c r="BI133" s="136" t="s">
        <v>501</v>
      </c>
      <c r="BJ133" s="137" t="s">
        <v>501</v>
      </c>
      <c r="BK133" s="135">
        <f>BK$3</f>
        <v>46193</v>
      </c>
      <c r="BL133" s="136" t="s">
        <v>501</v>
      </c>
      <c r="BM133" s="137" t="s">
        <v>501</v>
      </c>
      <c r="BN133" s="135"/>
      <c r="BO133" s="135">
        <f>BO$3</f>
        <v>46195</v>
      </c>
      <c r="BP133" s="136" t="s">
        <v>501</v>
      </c>
      <c r="BQ133" s="137" t="s">
        <v>501</v>
      </c>
      <c r="BR133" s="135">
        <f>BR$3</f>
        <v>46196</v>
      </c>
      <c r="BS133" s="136" t="s">
        <v>501</v>
      </c>
      <c r="BT133" s="137" t="s">
        <v>501</v>
      </c>
      <c r="BU133" s="135">
        <f>BU$3</f>
        <v>46197</v>
      </c>
      <c r="BV133" s="136" t="s">
        <v>501</v>
      </c>
      <c r="BW133" s="137" t="s">
        <v>501</v>
      </c>
      <c r="BX133" s="135">
        <f>BX$3</f>
        <v>46198</v>
      </c>
      <c r="BY133" s="136" t="s">
        <v>501</v>
      </c>
      <c r="BZ133" s="137" t="s">
        <v>501</v>
      </c>
      <c r="CA133" s="135">
        <f>CA$3</f>
        <v>46199</v>
      </c>
      <c r="CB133" s="136" t="s">
        <v>501</v>
      </c>
      <c r="CC133" s="137" t="s">
        <v>501</v>
      </c>
      <c r="CD133" s="135">
        <f>CD$3</f>
        <v>46200</v>
      </c>
      <c r="CE133" s="136" t="s">
        <v>501</v>
      </c>
      <c r="CF133" s="137" t="s">
        <v>501</v>
      </c>
      <c r="CG133" s="135"/>
      <c r="CH133" s="135">
        <f>CH$3</f>
        <v>46202</v>
      </c>
      <c r="CI133" s="148" t="s">
        <v>501</v>
      </c>
      <c r="CJ133" s="137" t="s">
        <v>501</v>
      </c>
      <c r="CK133" s="135">
        <f>CK$3</f>
        <v>46203</v>
      </c>
      <c r="CL133" s="136" t="s">
        <v>501</v>
      </c>
      <c r="CM133" s="137" t="s">
        <v>501</v>
      </c>
      <c r="CN133" s="135">
        <f>CN$3</f>
        <v>46204</v>
      </c>
      <c r="CO133" s="136" t="s">
        <v>501</v>
      </c>
      <c r="CP133" s="137" t="s">
        <v>501</v>
      </c>
      <c r="CQ133" s="135">
        <f>CQ$3</f>
        <v>46205</v>
      </c>
      <c r="CR133" s="136" t="s">
        <v>501</v>
      </c>
      <c r="CS133" s="137" t="s">
        <v>501</v>
      </c>
      <c r="CT133" s="135">
        <f>CT$3</f>
        <v>46206</v>
      </c>
      <c r="CU133" s="136" t="s">
        <v>501</v>
      </c>
      <c r="CV133" s="137" t="s">
        <v>501</v>
      </c>
      <c r="CW133" s="135">
        <f>CW$3</f>
        <v>46207</v>
      </c>
      <c r="CX133" s="136" t="s">
        <v>501</v>
      </c>
      <c r="CY133" s="137" t="s">
        <v>501</v>
      </c>
      <c r="CZ133" s="135"/>
      <c r="DA133" s="135">
        <f>DA$3</f>
        <v>46209</v>
      </c>
      <c r="DB133" s="136" t="s">
        <v>501</v>
      </c>
      <c r="DC133" s="137" t="s">
        <v>501</v>
      </c>
      <c r="DD133" s="135">
        <f>DD$3</f>
        <v>46210</v>
      </c>
      <c r="DE133" s="136" t="s">
        <v>501</v>
      </c>
      <c r="DF133" s="137" t="s">
        <v>501</v>
      </c>
      <c r="DG133" s="135">
        <f>DG$3</f>
        <v>46211</v>
      </c>
      <c r="DH133" s="136" t="s">
        <v>501</v>
      </c>
      <c r="DI133" s="137" t="s">
        <v>501</v>
      </c>
      <c r="DJ133" s="135">
        <f>DJ$3</f>
        <v>46212</v>
      </c>
      <c r="DK133" s="136" t="s">
        <v>501</v>
      </c>
      <c r="DL133" s="137" t="s">
        <v>501</v>
      </c>
      <c r="DM133" s="135">
        <f>DM$3</f>
        <v>46213</v>
      </c>
      <c r="DN133" s="136" t="s">
        <v>501</v>
      </c>
      <c r="DO133" s="137" t="s">
        <v>501</v>
      </c>
      <c r="DP133" s="135">
        <f>DP$3</f>
        <v>46214</v>
      </c>
      <c r="DQ133" s="136" t="s">
        <v>501</v>
      </c>
      <c r="DR133" s="137" t="s">
        <v>501</v>
      </c>
    </row>
    <row r="134" spans="1:122" outlineLevel="1">
      <c r="A134" s="122" t="str">
        <f>$A$113</f>
        <v>Vũ Thị Thêu</v>
      </c>
      <c r="B134" s="123" t="str">
        <f>'Bảng 3'!A237</f>
        <v>3.N.HCM.CGIO.KS.101</v>
      </c>
      <c r="C134" s="81" t="str">
        <f>IF($B134="","",INDEX('Bảng 3'!C:C,MATCH($B134,'Bảng 3'!$A:$A,0)))</f>
        <v>Quản lý BIM</v>
      </c>
      <c r="D134" s="81" t="str">
        <f>IF($B134="","",INDEX('Bảng 3'!D:D,MATCH($B134,'Bảng 3'!$A:$A,0)))</f>
        <v>N.HCM.CGIO.KS</v>
      </c>
      <c r="E134" s="81" t="str">
        <f>IF($B134="","",INDEX('Bảng 3'!E:E,MATCH($B134,'Bảng 3'!$A:$A,0)))</f>
        <v>Khách sạn Grand Hyatt - A3.24.04</v>
      </c>
      <c r="F134" s="81" t="str">
        <f>IF($B134="","",INDEX('Bảng 3'!F:F,MATCH($B134,'Bảng 3'!$A:$A,0)))</f>
        <v>KT</v>
      </c>
      <c r="G134" s="81" t="str">
        <f>IF($B134="","",INDEX('Bảng 3'!G:G,MATCH($B134,'Bảng 3'!$A:$A,0)))</f>
        <v>Tạo lập mô hình BIM</v>
      </c>
      <c r="H134" s="121"/>
      <c r="I134" s="135"/>
      <c r="J134" s="135">
        <f>J$3</f>
        <v>46174</v>
      </c>
      <c r="K134" s="148" t="s">
        <v>501</v>
      </c>
      <c r="L134" s="168" t="s">
        <v>501</v>
      </c>
      <c r="M134" s="135">
        <f>M$3</f>
        <v>46175</v>
      </c>
      <c r="N134" s="148" t="s">
        <v>501</v>
      </c>
      <c r="O134" s="137" t="s">
        <v>501</v>
      </c>
      <c r="P134" s="135">
        <f>P$3</f>
        <v>46176</v>
      </c>
      <c r="Q134" s="136" t="s">
        <v>501</v>
      </c>
      <c r="R134" s="137" t="s">
        <v>501</v>
      </c>
      <c r="S134" s="135">
        <f>S$3</f>
        <v>46177</v>
      </c>
      <c r="T134" s="136" t="s">
        <v>501</v>
      </c>
      <c r="U134" s="137" t="s">
        <v>501</v>
      </c>
      <c r="V134" s="135">
        <f>V$3</f>
        <v>46178</v>
      </c>
      <c r="W134" s="136" t="s">
        <v>501</v>
      </c>
      <c r="X134" s="137" t="s">
        <v>501</v>
      </c>
      <c r="Y134" s="135">
        <f>Y$3</f>
        <v>46179</v>
      </c>
      <c r="Z134" s="136" t="s">
        <v>501</v>
      </c>
      <c r="AA134" s="137" t="s">
        <v>501</v>
      </c>
      <c r="AB134" s="135"/>
      <c r="AC134" s="135">
        <f>AC$3</f>
        <v>46181</v>
      </c>
      <c r="AD134" s="136" t="s">
        <v>501</v>
      </c>
      <c r="AE134" s="137" t="s">
        <v>501</v>
      </c>
      <c r="AF134" s="135">
        <f>AF$3</f>
        <v>46182</v>
      </c>
      <c r="AG134" s="136" t="s">
        <v>501</v>
      </c>
      <c r="AH134" s="137" t="s">
        <v>501</v>
      </c>
      <c r="AI134" s="135">
        <f>AI$3</f>
        <v>46183</v>
      </c>
      <c r="AJ134" s="136" t="s">
        <v>501</v>
      </c>
      <c r="AK134" s="137" t="s">
        <v>501</v>
      </c>
      <c r="AL134" s="135">
        <f>AL$3</f>
        <v>46184</v>
      </c>
      <c r="AM134" s="136" t="s">
        <v>501</v>
      </c>
      <c r="AN134" s="137" t="s">
        <v>501</v>
      </c>
      <c r="AO134" s="135">
        <f>AO$3</f>
        <v>46185</v>
      </c>
      <c r="AP134" s="136" t="s">
        <v>501</v>
      </c>
      <c r="AQ134" s="137" t="s">
        <v>501</v>
      </c>
      <c r="AR134" s="135">
        <f>AR$3</f>
        <v>46186</v>
      </c>
      <c r="AS134" s="136" t="s">
        <v>501</v>
      </c>
      <c r="AT134" s="137" t="s">
        <v>501</v>
      </c>
      <c r="AU134" s="135"/>
      <c r="AV134" s="135">
        <f>AV$3</f>
        <v>46188</v>
      </c>
      <c r="AW134" s="148" t="s">
        <v>501</v>
      </c>
      <c r="AX134" s="137" t="s">
        <v>501</v>
      </c>
      <c r="AY134" s="135">
        <f>AY$3</f>
        <v>46189</v>
      </c>
      <c r="AZ134" s="136" t="s">
        <v>501</v>
      </c>
      <c r="BA134" s="137" t="s">
        <v>501</v>
      </c>
      <c r="BB134" s="135">
        <f>BB$3</f>
        <v>46190</v>
      </c>
      <c r="BC134" s="136" t="s">
        <v>501</v>
      </c>
      <c r="BD134" s="137" t="s">
        <v>501</v>
      </c>
      <c r="BE134" s="135">
        <f>BE$3</f>
        <v>46191</v>
      </c>
      <c r="BF134" s="136" t="s">
        <v>501</v>
      </c>
      <c r="BG134" s="137" t="s">
        <v>501</v>
      </c>
      <c r="BH134" s="135">
        <f>BH$3</f>
        <v>46192</v>
      </c>
      <c r="BI134" s="136" t="s">
        <v>501</v>
      </c>
      <c r="BJ134" s="137" t="s">
        <v>501</v>
      </c>
      <c r="BK134" s="135">
        <f>BK$3</f>
        <v>46193</v>
      </c>
      <c r="BL134" s="136" t="s">
        <v>501</v>
      </c>
      <c r="BM134" s="137" t="s">
        <v>501</v>
      </c>
      <c r="BN134" s="135"/>
      <c r="BO134" s="135">
        <f>BO$3</f>
        <v>46195</v>
      </c>
      <c r="BP134" s="136" t="s">
        <v>501</v>
      </c>
      <c r="BQ134" s="137" t="s">
        <v>501</v>
      </c>
      <c r="BR134" s="135">
        <f>BR$3</f>
        <v>46196</v>
      </c>
      <c r="BS134" s="136" t="s">
        <v>501</v>
      </c>
      <c r="BT134" s="137" t="s">
        <v>501</v>
      </c>
      <c r="BU134" s="135">
        <f>BU$3</f>
        <v>46197</v>
      </c>
      <c r="BV134" s="136" t="s">
        <v>501</v>
      </c>
      <c r="BW134" s="137" t="s">
        <v>501</v>
      </c>
      <c r="BX134" s="135">
        <f>BX$3</f>
        <v>46198</v>
      </c>
      <c r="BY134" s="136" t="s">
        <v>501</v>
      </c>
      <c r="BZ134" s="137" t="s">
        <v>501</v>
      </c>
      <c r="CA134" s="135">
        <f>CA$3</f>
        <v>46199</v>
      </c>
      <c r="CB134" s="136" t="s">
        <v>501</v>
      </c>
      <c r="CC134" s="137" t="s">
        <v>501</v>
      </c>
      <c r="CD134" s="135">
        <f>CD$3</f>
        <v>46200</v>
      </c>
      <c r="CE134" s="136" t="s">
        <v>501</v>
      </c>
      <c r="CF134" s="137" t="s">
        <v>501</v>
      </c>
      <c r="CG134" s="135"/>
      <c r="CH134" s="135">
        <f>CH$3</f>
        <v>46202</v>
      </c>
      <c r="CI134" s="148" t="s">
        <v>501</v>
      </c>
      <c r="CJ134" s="137" t="s">
        <v>501</v>
      </c>
      <c r="CK134" s="135">
        <f>CK$3</f>
        <v>46203</v>
      </c>
      <c r="CL134" s="136" t="s">
        <v>501</v>
      </c>
      <c r="CM134" s="137" t="s">
        <v>501</v>
      </c>
      <c r="CN134" s="135">
        <f>CN$3</f>
        <v>46204</v>
      </c>
      <c r="CO134" s="136" t="s">
        <v>501</v>
      </c>
      <c r="CP134" s="137" t="s">
        <v>501</v>
      </c>
      <c r="CQ134" s="135">
        <f>CQ$3</f>
        <v>46205</v>
      </c>
      <c r="CR134" s="136" t="s">
        <v>501</v>
      </c>
      <c r="CS134" s="137" t="s">
        <v>501</v>
      </c>
      <c r="CT134" s="135">
        <f>CT$3</f>
        <v>46206</v>
      </c>
      <c r="CU134" s="136" t="s">
        <v>501</v>
      </c>
      <c r="CV134" s="137" t="s">
        <v>501</v>
      </c>
      <c r="CW134" s="135">
        <f>CW$3</f>
        <v>46207</v>
      </c>
      <c r="CX134" s="136" t="s">
        <v>501</v>
      </c>
      <c r="CY134" s="137" t="s">
        <v>501</v>
      </c>
      <c r="CZ134" s="135"/>
      <c r="DA134" s="135">
        <f>DA$3</f>
        <v>46209</v>
      </c>
      <c r="DB134" s="136" t="s">
        <v>501</v>
      </c>
      <c r="DC134" s="137" t="s">
        <v>501</v>
      </c>
      <c r="DD134" s="135">
        <f>DD$3</f>
        <v>46210</v>
      </c>
      <c r="DE134" s="136" t="s">
        <v>501</v>
      </c>
      <c r="DF134" s="137" t="s">
        <v>501</v>
      </c>
      <c r="DG134" s="135">
        <f>DG$3</f>
        <v>46211</v>
      </c>
      <c r="DH134" s="136" t="s">
        <v>501</v>
      </c>
      <c r="DI134" s="137" t="s">
        <v>501</v>
      </c>
      <c r="DJ134" s="135">
        <f>DJ$3</f>
        <v>46212</v>
      </c>
      <c r="DK134" s="136" t="s">
        <v>501</v>
      </c>
      <c r="DL134" s="137" t="s">
        <v>501</v>
      </c>
      <c r="DM134" s="135">
        <f>DM$3</f>
        <v>46213</v>
      </c>
      <c r="DN134" s="136" t="s">
        <v>501</v>
      </c>
      <c r="DO134" s="137" t="s">
        <v>501</v>
      </c>
      <c r="DP134" s="135">
        <f>DP$3</f>
        <v>46214</v>
      </c>
      <c r="DQ134" s="136" t="s">
        <v>501</v>
      </c>
      <c r="DR134" s="137" t="s">
        <v>501</v>
      </c>
    </row>
    <row r="135" spans="1:122" outlineLevel="1">
      <c r="A135" s="122" t="str">
        <f>$A$113</f>
        <v>Vũ Thị Thêu</v>
      </c>
      <c r="B135" s="123" t="str">
        <f>'Bảng 3'!A238</f>
        <v>3.N.HCM.CGIO.KS.201</v>
      </c>
      <c r="C135" s="81" t="str">
        <f>IF($B135="","",INDEX('Bảng 3'!C:C,MATCH($B135,'Bảng 3'!$A:$A,0)))</f>
        <v>Quản lý BIM</v>
      </c>
      <c r="D135" s="81" t="str">
        <f>IF($B135="","",INDEX('Bảng 3'!D:D,MATCH($B135,'Bảng 3'!$A:$A,0)))</f>
        <v>N.HCM.CGIO.KS</v>
      </c>
      <c r="E135" s="81" t="str">
        <f>IF($B135="","",INDEX('Bảng 3'!E:E,MATCH($B135,'Bảng 3'!$A:$A,0)))</f>
        <v>Khách sạn Grand Hyatt - A3.24.04</v>
      </c>
      <c r="F135" s="81" t="str">
        <f>IF($B135="","",INDEX('Bảng 3'!F:F,MATCH($B135,'Bảng 3'!$A:$A,0)))</f>
        <v>KC</v>
      </c>
      <c r="G135" s="81" t="str">
        <f>IF($B135="","",INDEX('Bảng 3'!G:G,MATCH($B135,'Bảng 3'!$A:$A,0)))</f>
        <v>Tạo lập mô hình BIM</v>
      </c>
      <c r="H135" s="121"/>
      <c r="I135" s="135"/>
      <c r="J135" s="135">
        <f>J$3</f>
        <v>46174</v>
      </c>
      <c r="K135" s="148" t="s">
        <v>501</v>
      </c>
      <c r="L135" s="168" t="s">
        <v>501</v>
      </c>
      <c r="M135" s="135">
        <f>M$3</f>
        <v>46175</v>
      </c>
      <c r="N135" s="148" t="s">
        <v>501</v>
      </c>
      <c r="O135" s="137" t="s">
        <v>501</v>
      </c>
      <c r="P135" s="135">
        <f>P$3</f>
        <v>46176</v>
      </c>
      <c r="Q135" s="136" t="s">
        <v>501</v>
      </c>
      <c r="R135" s="137" t="s">
        <v>501</v>
      </c>
      <c r="S135" s="135">
        <f>S$3</f>
        <v>46177</v>
      </c>
      <c r="T135" s="136" t="s">
        <v>501</v>
      </c>
      <c r="U135" s="137" t="s">
        <v>501</v>
      </c>
      <c r="V135" s="135">
        <f>V$3</f>
        <v>46178</v>
      </c>
      <c r="W135" s="136" t="s">
        <v>501</v>
      </c>
      <c r="X135" s="137" t="s">
        <v>501</v>
      </c>
      <c r="Y135" s="135">
        <f>Y$3</f>
        <v>46179</v>
      </c>
      <c r="Z135" s="136" t="s">
        <v>501</v>
      </c>
      <c r="AA135" s="137" t="s">
        <v>501</v>
      </c>
      <c r="AB135" s="135"/>
      <c r="AC135" s="135">
        <f>AC$3</f>
        <v>46181</v>
      </c>
      <c r="AD135" s="136" t="s">
        <v>501</v>
      </c>
      <c r="AE135" s="137" t="s">
        <v>501</v>
      </c>
      <c r="AF135" s="135">
        <f>AF$3</f>
        <v>46182</v>
      </c>
      <c r="AG135" s="136" t="s">
        <v>501</v>
      </c>
      <c r="AH135" s="137" t="s">
        <v>501</v>
      </c>
      <c r="AI135" s="135">
        <f>AI$3</f>
        <v>46183</v>
      </c>
      <c r="AJ135" s="136" t="s">
        <v>501</v>
      </c>
      <c r="AK135" s="137" t="s">
        <v>501</v>
      </c>
      <c r="AL135" s="135">
        <f>AL$3</f>
        <v>46184</v>
      </c>
      <c r="AM135" s="136" t="s">
        <v>501</v>
      </c>
      <c r="AN135" s="137" t="s">
        <v>501</v>
      </c>
      <c r="AO135" s="135">
        <f>AO$3</f>
        <v>46185</v>
      </c>
      <c r="AP135" s="136" t="s">
        <v>501</v>
      </c>
      <c r="AQ135" s="137" t="s">
        <v>501</v>
      </c>
      <c r="AR135" s="135">
        <f>AR$3</f>
        <v>46186</v>
      </c>
      <c r="AS135" s="136" t="s">
        <v>501</v>
      </c>
      <c r="AT135" s="137" t="s">
        <v>501</v>
      </c>
      <c r="AU135" s="135"/>
      <c r="AV135" s="135">
        <f>AV$3</f>
        <v>46188</v>
      </c>
      <c r="AW135" s="148" t="s">
        <v>501</v>
      </c>
      <c r="AX135" s="137" t="s">
        <v>501</v>
      </c>
      <c r="AY135" s="135">
        <f>AY$3</f>
        <v>46189</v>
      </c>
      <c r="AZ135" s="136" t="s">
        <v>501</v>
      </c>
      <c r="BA135" s="137" t="s">
        <v>501</v>
      </c>
      <c r="BB135" s="135">
        <f>BB$3</f>
        <v>46190</v>
      </c>
      <c r="BC135" s="136" t="s">
        <v>501</v>
      </c>
      <c r="BD135" s="137" t="s">
        <v>501</v>
      </c>
      <c r="BE135" s="135">
        <f>BE$3</f>
        <v>46191</v>
      </c>
      <c r="BF135" s="136" t="s">
        <v>501</v>
      </c>
      <c r="BG135" s="137" t="s">
        <v>501</v>
      </c>
      <c r="BH135" s="135">
        <f>BH$3</f>
        <v>46192</v>
      </c>
      <c r="BI135" s="136" t="s">
        <v>501</v>
      </c>
      <c r="BJ135" s="137" t="s">
        <v>501</v>
      </c>
      <c r="BK135" s="135">
        <f>BK$3</f>
        <v>46193</v>
      </c>
      <c r="BL135" s="136" t="s">
        <v>501</v>
      </c>
      <c r="BM135" s="137" t="s">
        <v>501</v>
      </c>
      <c r="BN135" s="135"/>
      <c r="BO135" s="135">
        <f>BO$3</f>
        <v>46195</v>
      </c>
      <c r="BP135" s="136" t="s">
        <v>501</v>
      </c>
      <c r="BQ135" s="137" t="s">
        <v>501</v>
      </c>
      <c r="BR135" s="135">
        <f>BR$3</f>
        <v>46196</v>
      </c>
      <c r="BS135" s="136" t="s">
        <v>501</v>
      </c>
      <c r="BT135" s="137" t="s">
        <v>501</v>
      </c>
      <c r="BU135" s="135">
        <f>BU$3</f>
        <v>46197</v>
      </c>
      <c r="BV135" s="136" t="s">
        <v>501</v>
      </c>
      <c r="BW135" s="137" t="s">
        <v>501</v>
      </c>
      <c r="BX135" s="135">
        <f>BX$3</f>
        <v>46198</v>
      </c>
      <c r="BY135" s="136" t="s">
        <v>501</v>
      </c>
      <c r="BZ135" s="137" t="s">
        <v>501</v>
      </c>
      <c r="CA135" s="135">
        <f>CA$3</f>
        <v>46199</v>
      </c>
      <c r="CB135" s="136" t="s">
        <v>501</v>
      </c>
      <c r="CC135" s="137" t="s">
        <v>501</v>
      </c>
      <c r="CD135" s="135">
        <f>CD$3</f>
        <v>46200</v>
      </c>
      <c r="CE135" s="136" t="s">
        <v>501</v>
      </c>
      <c r="CF135" s="137" t="s">
        <v>501</v>
      </c>
      <c r="CG135" s="135"/>
      <c r="CH135" s="135">
        <f>CH$3</f>
        <v>46202</v>
      </c>
      <c r="CI135" s="148" t="s">
        <v>501</v>
      </c>
      <c r="CJ135" s="137" t="s">
        <v>501</v>
      </c>
      <c r="CK135" s="135">
        <f>CK$3</f>
        <v>46203</v>
      </c>
      <c r="CL135" s="136" t="s">
        <v>501</v>
      </c>
      <c r="CM135" s="137" t="s">
        <v>501</v>
      </c>
      <c r="CN135" s="135">
        <f>CN$3</f>
        <v>46204</v>
      </c>
      <c r="CO135" s="136" t="s">
        <v>501</v>
      </c>
      <c r="CP135" s="137" t="s">
        <v>501</v>
      </c>
      <c r="CQ135" s="135">
        <f>CQ$3</f>
        <v>46205</v>
      </c>
      <c r="CR135" s="136" t="s">
        <v>501</v>
      </c>
      <c r="CS135" s="137" t="s">
        <v>501</v>
      </c>
      <c r="CT135" s="135">
        <f>CT$3</f>
        <v>46206</v>
      </c>
      <c r="CU135" s="136" t="s">
        <v>501</v>
      </c>
      <c r="CV135" s="137" t="s">
        <v>501</v>
      </c>
      <c r="CW135" s="135">
        <f>CW$3</f>
        <v>46207</v>
      </c>
      <c r="CX135" s="136" t="s">
        <v>501</v>
      </c>
      <c r="CY135" s="137" t="s">
        <v>501</v>
      </c>
      <c r="CZ135" s="135"/>
      <c r="DA135" s="135">
        <f>DA$3</f>
        <v>46209</v>
      </c>
      <c r="DB135" s="136" t="s">
        <v>501</v>
      </c>
      <c r="DC135" s="137" t="s">
        <v>501</v>
      </c>
      <c r="DD135" s="135">
        <f>DD$3</f>
        <v>46210</v>
      </c>
      <c r="DE135" s="136" t="s">
        <v>501</v>
      </c>
      <c r="DF135" s="137" t="s">
        <v>501</v>
      </c>
      <c r="DG135" s="135">
        <f>DG$3</f>
        <v>46211</v>
      </c>
      <c r="DH135" s="136" t="s">
        <v>501</v>
      </c>
      <c r="DI135" s="137" t="s">
        <v>501</v>
      </c>
      <c r="DJ135" s="135">
        <f>DJ$3</f>
        <v>46212</v>
      </c>
      <c r="DK135" s="136" t="s">
        <v>501</v>
      </c>
      <c r="DL135" s="137" t="s">
        <v>501</v>
      </c>
      <c r="DM135" s="135">
        <f>DM$3</f>
        <v>46213</v>
      </c>
      <c r="DN135" s="136" t="s">
        <v>501</v>
      </c>
      <c r="DO135" s="137" t="s">
        <v>501</v>
      </c>
      <c r="DP135" s="135">
        <f>DP$3</f>
        <v>46214</v>
      </c>
      <c r="DQ135" s="136" t="s">
        <v>501</v>
      </c>
      <c r="DR135" s="137" t="s">
        <v>501</v>
      </c>
    </row>
    <row r="136" spans="1:122" outlineLevel="1">
      <c r="A136" s="122" t="str">
        <f>$A$113</f>
        <v>Vũ Thị Thêu</v>
      </c>
      <c r="B136" s="123" t="str">
        <f>'Bảng 3'!A251</f>
        <v>3.N.HCM.CGIO.KS.103</v>
      </c>
      <c r="C136" s="81" t="str">
        <f>IF($B136="","",INDEX('Bảng 3'!C:C,MATCH($B136,'Bảng 3'!$A:$A,0)))</f>
        <v>Quản lý BIM</v>
      </c>
      <c r="D136" s="81" t="str">
        <f>IF($B136="","",INDEX('Bảng 3'!D:D,MATCH($B136,'Bảng 3'!$A:$A,0)))</f>
        <v>N.HCM.CGIO.KS</v>
      </c>
      <c r="E136" s="81" t="str">
        <f>IF($B136="","",INDEX('Bảng 3'!E:E,MATCH($B136,'Bảng 3'!$A:$A,0)))</f>
        <v xml:space="preserve">Khách sạn Ritz Carlton - B5-06-10,11 </v>
      </c>
      <c r="F136" s="81" t="str">
        <f>IF($B136="","",INDEX('Bảng 3'!F:F,MATCH($B136,'Bảng 3'!$A:$A,0)))</f>
        <v>KT</v>
      </c>
      <c r="G136" s="81" t="str">
        <f>IF($B136="","",INDEX('Bảng 3'!G:G,MATCH($B136,'Bảng 3'!$A:$A,0)))</f>
        <v>Tạo lập mô hình BIM</v>
      </c>
      <c r="H136" s="121"/>
      <c r="I136" s="135"/>
      <c r="J136" s="135">
        <f>J$3</f>
        <v>46174</v>
      </c>
      <c r="K136" s="148" t="s">
        <v>501</v>
      </c>
      <c r="L136" s="168" t="s">
        <v>501</v>
      </c>
      <c r="M136" s="135">
        <f>M$3</f>
        <v>46175</v>
      </c>
      <c r="N136" s="148" t="s">
        <v>501</v>
      </c>
      <c r="O136" s="137" t="s">
        <v>501</v>
      </c>
      <c r="P136" s="135">
        <f>P$3</f>
        <v>46176</v>
      </c>
      <c r="Q136" s="136" t="s">
        <v>501</v>
      </c>
      <c r="R136" s="137" t="s">
        <v>501</v>
      </c>
      <c r="S136" s="135">
        <f>S$3</f>
        <v>46177</v>
      </c>
      <c r="T136" s="136" t="s">
        <v>501</v>
      </c>
      <c r="U136" s="137" t="s">
        <v>501</v>
      </c>
      <c r="V136" s="135">
        <f>V$3</f>
        <v>46178</v>
      </c>
      <c r="W136" s="136" t="s">
        <v>501</v>
      </c>
      <c r="X136" s="137" t="s">
        <v>501</v>
      </c>
      <c r="Y136" s="135">
        <f>Y$3</f>
        <v>46179</v>
      </c>
      <c r="Z136" s="136" t="s">
        <v>501</v>
      </c>
      <c r="AA136" s="137" t="s">
        <v>501</v>
      </c>
      <c r="AB136" s="135"/>
      <c r="AC136" s="135">
        <f>AC$3</f>
        <v>46181</v>
      </c>
      <c r="AD136" s="136" t="s">
        <v>501</v>
      </c>
      <c r="AE136" s="137" t="s">
        <v>501</v>
      </c>
      <c r="AF136" s="135">
        <f>AF$3</f>
        <v>46182</v>
      </c>
      <c r="AG136" s="136" t="s">
        <v>501</v>
      </c>
      <c r="AH136" s="137" t="s">
        <v>501</v>
      </c>
      <c r="AI136" s="135">
        <f>AI$3</f>
        <v>46183</v>
      </c>
      <c r="AJ136" s="136" t="s">
        <v>501</v>
      </c>
      <c r="AK136" s="137" t="s">
        <v>501</v>
      </c>
      <c r="AL136" s="135">
        <f>AL$3</f>
        <v>46184</v>
      </c>
      <c r="AM136" s="136" t="s">
        <v>501</v>
      </c>
      <c r="AN136" s="137" t="s">
        <v>501</v>
      </c>
      <c r="AO136" s="135">
        <f>AO$3</f>
        <v>46185</v>
      </c>
      <c r="AP136" s="136" t="s">
        <v>501</v>
      </c>
      <c r="AQ136" s="137" t="s">
        <v>501</v>
      </c>
      <c r="AR136" s="135">
        <f>AR$3</f>
        <v>46186</v>
      </c>
      <c r="AS136" s="136" t="s">
        <v>501</v>
      </c>
      <c r="AT136" s="137" t="s">
        <v>501</v>
      </c>
      <c r="AU136" s="135"/>
      <c r="AV136" s="135">
        <f>AV$3</f>
        <v>46188</v>
      </c>
      <c r="AW136" s="148" t="s">
        <v>501</v>
      </c>
      <c r="AX136" s="137" t="s">
        <v>501</v>
      </c>
      <c r="AY136" s="135">
        <f>AY$3</f>
        <v>46189</v>
      </c>
      <c r="AZ136" s="136" t="s">
        <v>501</v>
      </c>
      <c r="BA136" s="137" t="s">
        <v>501</v>
      </c>
      <c r="BB136" s="135">
        <f>BB$3</f>
        <v>46190</v>
      </c>
      <c r="BC136" s="136" t="s">
        <v>501</v>
      </c>
      <c r="BD136" s="137" t="s">
        <v>501</v>
      </c>
      <c r="BE136" s="135">
        <f>BE$3</f>
        <v>46191</v>
      </c>
      <c r="BF136" s="136" t="s">
        <v>501</v>
      </c>
      <c r="BG136" s="137" t="s">
        <v>501</v>
      </c>
      <c r="BH136" s="135">
        <f>BH$3</f>
        <v>46192</v>
      </c>
      <c r="BI136" s="136" t="s">
        <v>501</v>
      </c>
      <c r="BJ136" s="137" t="s">
        <v>501</v>
      </c>
      <c r="BK136" s="135">
        <f>BK$3</f>
        <v>46193</v>
      </c>
      <c r="BL136" s="136" t="s">
        <v>501</v>
      </c>
      <c r="BM136" s="137" t="s">
        <v>501</v>
      </c>
      <c r="BN136" s="135"/>
      <c r="BO136" s="135">
        <f>BO$3</f>
        <v>46195</v>
      </c>
      <c r="BP136" s="136" t="s">
        <v>501</v>
      </c>
      <c r="BQ136" s="137" t="s">
        <v>501</v>
      </c>
      <c r="BR136" s="135">
        <f>BR$3</f>
        <v>46196</v>
      </c>
      <c r="BS136" s="136" t="s">
        <v>501</v>
      </c>
      <c r="BT136" s="137" t="s">
        <v>501</v>
      </c>
      <c r="BU136" s="135">
        <f>BU$3</f>
        <v>46197</v>
      </c>
      <c r="BV136" s="136" t="s">
        <v>501</v>
      </c>
      <c r="BW136" s="137" t="s">
        <v>501</v>
      </c>
      <c r="BX136" s="135">
        <f>BX$3</f>
        <v>46198</v>
      </c>
      <c r="BY136" s="136" t="s">
        <v>501</v>
      </c>
      <c r="BZ136" s="137" t="s">
        <v>501</v>
      </c>
      <c r="CA136" s="135">
        <f>CA$3</f>
        <v>46199</v>
      </c>
      <c r="CB136" s="136" t="s">
        <v>501</v>
      </c>
      <c r="CC136" s="137" t="s">
        <v>501</v>
      </c>
      <c r="CD136" s="135">
        <f>CD$3</f>
        <v>46200</v>
      </c>
      <c r="CE136" s="136" t="s">
        <v>501</v>
      </c>
      <c r="CF136" s="137" t="s">
        <v>501</v>
      </c>
      <c r="CG136" s="135"/>
      <c r="CH136" s="135">
        <f>CH$3</f>
        <v>46202</v>
      </c>
      <c r="CI136" s="148" t="s">
        <v>501</v>
      </c>
      <c r="CJ136" s="137" t="s">
        <v>501</v>
      </c>
      <c r="CK136" s="135">
        <f>CK$3</f>
        <v>46203</v>
      </c>
      <c r="CL136" s="136" t="s">
        <v>501</v>
      </c>
      <c r="CM136" s="137" t="s">
        <v>501</v>
      </c>
      <c r="CN136" s="135">
        <f>CN$3</f>
        <v>46204</v>
      </c>
      <c r="CO136" s="136" t="s">
        <v>501</v>
      </c>
      <c r="CP136" s="137" t="s">
        <v>501</v>
      </c>
      <c r="CQ136" s="135">
        <f>CQ$3</f>
        <v>46205</v>
      </c>
      <c r="CR136" s="136" t="s">
        <v>501</v>
      </c>
      <c r="CS136" s="137" t="s">
        <v>501</v>
      </c>
      <c r="CT136" s="135">
        <f>CT$3</f>
        <v>46206</v>
      </c>
      <c r="CU136" s="136" t="s">
        <v>501</v>
      </c>
      <c r="CV136" s="137" t="s">
        <v>501</v>
      </c>
      <c r="CW136" s="135">
        <f>CW$3</f>
        <v>46207</v>
      </c>
      <c r="CX136" s="136" t="s">
        <v>501</v>
      </c>
      <c r="CY136" s="137" t="s">
        <v>501</v>
      </c>
      <c r="CZ136" s="135"/>
      <c r="DA136" s="135">
        <f>DA$3</f>
        <v>46209</v>
      </c>
      <c r="DB136" s="136" t="s">
        <v>501</v>
      </c>
      <c r="DC136" s="137" t="s">
        <v>501</v>
      </c>
      <c r="DD136" s="135">
        <f>DD$3</f>
        <v>46210</v>
      </c>
      <c r="DE136" s="136" t="s">
        <v>501</v>
      </c>
      <c r="DF136" s="137" t="s">
        <v>501</v>
      </c>
      <c r="DG136" s="135">
        <f>DG$3</f>
        <v>46211</v>
      </c>
      <c r="DH136" s="136" t="s">
        <v>501</v>
      </c>
      <c r="DI136" s="137" t="s">
        <v>501</v>
      </c>
      <c r="DJ136" s="135">
        <f>DJ$3</f>
        <v>46212</v>
      </c>
      <c r="DK136" s="136" t="s">
        <v>501</v>
      </c>
      <c r="DL136" s="137" t="s">
        <v>501</v>
      </c>
      <c r="DM136" s="135">
        <f>DM$3</f>
        <v>46213</v>
      </c>
      <c r="DN136" s="136" t="s">
        <v>501</v>
      </c>
      <c r="DO136" s="137" t="s">
        <v>501</v>
      </c>
      <c r="DP136" s="135">
        <f>DP$3</f>
        <v>46214</v>
      </c>
      <c r="DQ136" s="136" t="s">
        <v>501</v>
      </c>
      <c r="DR136" s="137" t="s">
        <v>501</v>
      </c>
    </row>
    <row r="137" spans="1:122" outlineLevel="1">
      <c r="A137" s="122" t="str">
        <f>$A$113</f>
        <v>Vũ Thị Thêu</v>
      </c>
      <c r="B137" s="123" t="str">
        <f>'Bảng 3'!A252</f>
        <v>3.N.HCM.CGIO.KS.203</v>
      </c>
      <c r="C137" s="81" t="str">
        <f>IF($B137="","",INDEX('Bảng 3'!C:C,MATCH($B137,'Bảng 3'!$A:$A,0)))</f>
        <v>Quản lý BIM</v>
      </c>
      <c r="D137" s="81" t="str">
        <f>IF($B137="","",INDEX('Bảng 3'!D:D,MATCH($B137,'Bảng 3'!$A:$A,0)))</f>
        <v>N.HCM.CGIO.KS</v>
      </c>
      <c r="E137" s="81" t="str">
        <f>IF($B137="","",INDEX('Bảng 3'!E:E,MATCH($B137,'Bảng 3'!$A:$A,0)))</f>
        <v xml:space="preserve">Khách sạn Ritz Carlton - B5-06-10,11 </v>
      </c>
      <c r="F137" s="81" t="str">
        <f>IF($B137="","",INDEX('Bảng 3'!F:F,MATCH($B137,'Bảng 3'!$A:$A,0)))</f>
        <v>KC</v>
      </c>
      <c r="G137" s="81" t="str">
        <f>IF($B137="","",INDEX('Bảng 3'!G:G,MATCH($B137,'Bảng 3'!$A:$A,0)))</f>
        <v>Tạo lập mô hình BIM</v>
      </c>
      <c r="H137" s="121"/>
      <c r="I137" s="135"/>
      <c r="J137" s="135">
        <f>J$3</f>
        <v>46174</v>
      </c>
      <c r="K137" s="148" t="s">
        <v>501</v>
      </c>
      <c r="L137" s="168" t="s">
        <v>501</v>
      </c>
      <c r="M137" s="135">
        <f>M$3</f>
        <v>46175</v>
      </c>
      <c r="N137" s="148" t="s">
        <v>501</v>
      </c>
      <c r="O137" s="137" t="s">
        <v>501</v>
      </c>
      <c r="P137" s="135">
        <f>P$3</f>
        <v>46176</v>
      </c>
      <c r="Q137" s="136" t="s">
        <v>501</v>
      </c>
      <c r="R137" s="137" t="s">
        <v>501</v>
      </c>
      <c r="S137" s="135">
        <f>S$3</f>
        <v>46177</v>
      </c>
      <c r="T137" s="136" t="s">
        <v>501</v>
      </c>
      <c r="U137" s="137" t="s">
        <v>501</v>
      </c>
      <c r="V137" s="135">
        <f>V$3</f>
        <v>46178</v>
      </c>
      <c r="W137" s="136" t="s">
        <v>501</v>
      </c>
      <c r="X137" s="137" t="s">
        <v>501</v>
      </c>
      <c r="Y137" s="135">
        <f>Y$3</f>
        <v>46179</v>
      </c>
      <c r="Z137" s="136" t="s">
        <v>501</v>
      </c>
      <c r="AA137" s="137" t="s">
        <v>501</v>
      </c>
      <c r="AB137" s="135"/>
      <c r="AC137" s="135">
        <f>AC$3</f>
        <v>46181</v>
      </c>
      <c r="AD137" s="136" t="s">
        <v>501</v>
      </c>
      <c r="AE137" s="137" t="s">
        <v>501</v>
      </c>
      <c r="AF137" s="135">
        <f>AF$3</f>
        <v>46182</v>
      </c>
      <c r="AG137" s="136" t="s">
        <v>501</v>
      </c>
      <c r="AH137" s="137" t="s">
        <v>501</v>
      </c>
      <c r="AI137" s="135">
        <f>AI$3</f>
        <v>46183</v>
      </c>
      <c r="AJ137" s="136" t="s">
        <v>501</v>
      </c>
      <c r="AK137" s="137" t="s">
        <v>501</v>
      </c>
      <c r="AL137" s="135">
        <f>AL$3</f>
        <v>46184</v>
      </c>
      <c r="AM137" s="136" t="s">
        <v>501</v>
      </c>
      <c r="AN137" s="137" t="s">
        <v>501</v>
      </c>
      <c r="AO137" s="135">
        <f>AO$3</f>
        <v>46185</v>
      </c>
      <c r="AP137" s="136" t="s">
        <v>501</v>
      </c>
      <c r="AQ137" s="137" t="s">
        <v>501</v>
      </c>
      <c r="AR137" s="135">
        <f>AR$3</f>
        <v>46186</v>
      </c>
      <c r="AS137" s="136" t="s">
        <v>501</v>
      </c>
      <c r="AT137" s="137" t="s">
        <v>501</v>
      </c>
      <c r="AU137" s="135"/>
      <c r="AV137" s="135">
        <f>AV$3</f>
        <v>46188</v>
      </c>
      <c r="AW137" s="148" t="s">
        <v>501</v>
      </c>
      <c r="AX137" s="137" t="s">
        <v>501</v>
      </c>
      <c r="AY137" s="135">
        <f>AY$3</f>
        <v>46189</v>
      </c>
      <c r="AZ137" s="136" t="s">
        <v>501</v>
      </c>
      <c r="BA137" s="137" t="s">
        <v>501</v>
      </c>
      <c r="BB137" s="135">
        <f>BB$3</f>
        <v>46190</v>
      </c>
      <c r="BC137" s="136" t="s">
        <v>501</v>
      </c>
      <c r="BD137" s="137" t="s">
        <v>501</v>
      </c>
      <c r="BE137" s="135">
        <f>BE$3</f>
        <v>46191</v>
      </c>
      <c r="BF137" s="136" t="s">
        <v>501</v>
      </c>
      <c r="BG137" s="137" t="s">
        <v>501</v>
      </c>
      <c r="BH137" s="135">
        <f>BH$3</f>
        <v>46192</v>
      </c>
      <c r="BI137" s="136" t="s">
        <v>501</v>
      </c>
      <c r="BJ137" s="137" t="s">
        <v>501</v>
      </c>
      <c r="BK137" s="135">
        <f>BK$3</f>
        <v>46193</v>
      </c>
      <c r="BL137" s="136" t="s">
        <v>501</v>
      </c>
      <c r="BM137" s="137" t="s">
        <v>501</v>
      </c>
      <c r="BN137" s="135"/>
      <c r="BO137" s="135">
        <f>BO$3</f>
        <v>46195</v>
      </c>
      <c r="BP137" s="136" t="s">
        <v>501</v>
      </c>
      <c r="BQ137" s="137" t="s">
        <v>501</v>
      </c>
      <c r="BR137" s="135">
        <f>BR$3</f>
        <v>46196</v>
      </c>
      <c r="BS137" s="136" t="s">
        <v>501</v>
      </c>
      <c r="BT137" s="137" t="s">
        <v>501</v>
      </c>
      <c r="BU137" s="135">
        <f>BU$3</f>
        <v>46197</v>
      </c>
      <c r="BV137" s="136" t="s">
        <v>501</v>
      </c>
      <c r="BW137" s="137" t="s">
        <v>501</v>
      </c>
      <c r="BX137" s="135">
        <f>BX$3</f>
        <v>46198</v>
      </c>
      <c r="BY137" s="136" t="s">
        <v>501</v>
      </c>
      <c r="BZ137" s="137" t="s">
        <v>501</v>
      </c>
      <c r="CA137" s="135">
        <f>CA$3</f>
        <v>46199</v>
      </c>
      <c r="CB137" s="136" t="s">
        <v>501</v>
      </c>
      <c r="CC137" s="137" t="s">
        <v>501</v>
      </c>
      <c r="CD137" s="135">
        <f>CD$3</f>
        <v>46200</v>
      </c>
      <c r="CE137" s="136" t="s">
        <v>501</v>
      </c>
      <c r="CF137" s="137" t="s">
        <v>501</v>
      </c>
      <c r="CG137" s="135"/>
      <c r="CH137" s="135">
        <f>CH$3</f>
        <v>46202</v>
      </c>
      <c r="CI137" s="148" t="s">
        <v>501</v>
      </c>
      <c r="CJ137" s="137" t="s">
        <v>501</v>
      </c>
      <c r="CK137" s="135">
        <f>CK$3</f>
        <v>46203</v>
      </c>
      <c r="CL137" s="136" t="s">
        <v>501</v>
      </c>
      <c r="CM137" s="137" t="s">
        <v>501</v>
      </c>
      <c r="CN137" s="135">
        <f>CN$3</f>
        <v>46204</v>
      </c>
      <c r="CO137" s="136" t="s">
        <v>501</v>
      </c>
      <c r="CP137" s="137" t="s">
        <v>501</v>
      </c>
      <c r="CQ137" s="135">
        <f>CQ$3</f>
        <v>46205</v>
      </c>
      <c r="CR137" s="136" t="s">
        <v>501</v>
      </c>
      <c r="CS137" s="137" t="s">
        <v>501</v>
      </c>
      <c r="CT137" s="135">
        <f>CT$3</f>
        <v>46206</v>
      </c>
      <c r="CU137" s="136" t="s">
        <v>501</v>
      </c>
      <c r="CV137" s="137" t="s">
        <v>501</v>
      </c>
      <c r="CW137" s="135">
        <f>CW$3</f>
        <v>46207</v>
      </c>
      <c r="CX137" s="136" t="s">
        <v>501</v>
      </c>
      <c r="CY137" s="137" t="s">
        <v>501</v>
      </c>
      <c r="CZ137" s="135"/>
      <c r="DA137" s="135">
        <f>DA$3</f>
        <v>46209</v>
      </c>
      <c r="DB137" s="136" t="s">
        <v>501</v>
      </c>
      <c r="DC137" s="137" t="s">
        <v>501</v>
      </c>
      <c r="DD137" s="135">
        <f>DD$3</f>
        <v>46210</v>
      </c>
      <c r="DE137" s="136" t="s">
        <v>501</v>
      </c>
      <c r="DF137" s="137" t="s">
        <v>501</v>
      </c>
      <c r="DG137" s="135">
        <f>DG$3</f>
        <v>46211</v>
      </c>
      <c r="DH137" s="136" t="s">
        <v>501</v>
      </c>
      <c r="DI137" s="137" t="s">
        <v>501</v>
      </c>
      <c r="DJ137" s="135">
        <f>DJ$3</f>
        <v>46212</v>
      </c>
      <c r="DK137" s="136" t="s">
        <v>501</v>
      </c>
      <c r="DL137" s="137" t="s">
        <v>501</v>
      </c>
      <c r="DM137" s="135">
        <f>DM$3</f>
        <v>46213</v>
      </c>
      <c r="DN137" s="136" t="s">
        <v>501</v>
      </c>
      <c r="DO137" s="137" t="s">
        <v>501</v>
      </c>
      <c r="DP137" s="135">
        <f>DP$3</f>
        <v>46214</v>
      </c>
      <c r="DQ137" s="136" t="s">
        <v>501</v>
      </c>
      <c r="DR137" s="137" t="s">
        <v>501</v>
      </c>
    </row>
    <row r="138" spans="1:122" outlineLevel="1">
      <c r="A138" s="122" t="str">
        <f>$A$113</f>
        <v>Vũ Thị Thêu</v>
      </c>
      <c r="B138" s="123" t="str">
        <f>'Bảng 3'!A267</f>
        <v>3.N.HCM.CGIO.KSMN.101</v>
      </c>
      <c r="C138" s="81" t="str">
        <f>IF($B138="","",INDEX('Bảng 3'!C:C,MATCH($B138,'Bảng 3'!$A:$A,0)))</f>
        <v>Quản lý BIM</v>
      </c>
      <c r="D138" s="81" t="str">
        <f>IF($B138="","",INDEX('Bảng 3'!D:D,MATCH($B138,'Bảng 3'!$A:$A,0)))</f>
        <v>N.HCM.CGIO.KSMN</v>
      </c>
      <c r="E138" s="81" t="str">
        <f>IF($B138="","",INDEX('Bảng 3'!E:E,MATCH($B138,'Bảng 3'!$A:$A,0)))</f>
        <v>Lô A5.01.01, mẫu M1G, M7, M8G</v>
      </c>
      <c r="F138" s="81" t="str">
        <f>IF($B138="","",INDEX('Bảng 3'!F:F,MATCH($B138,'Bảng 3'!$A:$A,0)))</f>
        <v>KT</v>
      </c>
      <c r="G138" s="81" t="str">
        <f>IF($B138="","",INDEX('Bảng 3'!G:G,MATCH($B138,'Bảng 3'!$A:$A,0)))</f>
        <v>KSCL mô hình BIM</v>
      </c>
      <c r="H138" s="121"/>
      <c r="I138" s="135"/>
      <c r="J138" s="135">
        <f>J$3</f>
        <v>46174</v>
      </c>
      <c r="K138" s="148" t="s">
        <v>501</v>
      </c>
      <c r="L138" s="168" t="s">
        <v>501</v>
      </c>
      <c r="M138" s="135">
        <f>M$3</f>
        <v>46175</v>
      </c>
      <c r="N138" s="148" t="s">
        <v>501</v>
      </c>
      <c r="O138" s="137" t="s">
        <v>501</v>
      </c>
      <c r="P138" s="135">
        <f>P$3</f>
        <v>46176</v>
      </c>
      <c r="Q138" s="136" t="s">
        <v>501</v>
      </c>
      <c r="R138" s="137" t="s">
        <v>501</v>
      </c>
      <c r="S138" s="135">
        <f>S$3</f>
        <v>46177</v>
      </c>
      <c r="T138" s="136" t="s">
        <v>501</v>
      </c>
      <c r="U138" s="137" t="s">
        <v>501</v>
      </c>
      <c r="V138" s="135">
        <f>V$3</f>
        <v>46178</v>
      </c>
      <c r="W138" s="136" t="s">
        <v>501</v>
      </c>
      <c r="X138" s="137" t="s">
        <v>501</v>
      </c>
      <c r="Y138" s="135">
        <f>Y$3</f>
        <v>46179</v>
      </c>
      <c r="Z138" s="136" t="s">
        <v>501</v>
      </c>
      <c r="AA138" s="137" t="s">
        <v>501</v>
      </c>
      <c r="AB138" s="135"/>
      <c r="AC138" s="135">
        <f>AC$3</f>
        <v>46181</v>
      </c>
      <c r="AD138" s="136" t="s">
        <v>501</v>
      </c>
      <c r="AE138" s="137" t="s">
        <v>501</v>
      </c>
      <c r="AF138" s="135">
        <f>AF$3</f>
        <v>46182</v>
      </c>
      <c r="AG138" s="136" t="s">
        <v>501</v>
      </c>
      <c r="AH138" s="137" t="s">
        <v>501</v>
      </c>
      <c r="AI138" s="135">
        <f>AI$3</f>
        <v>46183</v>
      </c>
      <c r="AJ138" s="136" t="s">
        <v>501</v>
      </c>
      <c r="AK138" s="137" t="s">
        <v>501</v>
      </c>
      <c r="AL138" s="135">
        <f>AL$3</f>
        <v>46184</v>
      </c>
      <c r="AM138" s="136" t="s">
        <v>501</v>
      </c>
      <c r="AN138" s="137" t="s">
        <v>501</v>
      </c>
      <c r="AO138" s="135">
        <f>AO$3</f>
        <v>46185</v>
      </c>
      <c r="AP138" s="136" t="s">
        <v>501</v>
      </c>
      <c r="AQ138" s="137" t="s">
        <v>501</v>
      </c>
      <c r="AR138" s="135">
        <f>AR$3</f>
        <v>46186</v>
      </c>
      <c r="AS138" s="136" t="s">
        <v>501</v>
      </c>
      <c r="AT138" s="137" t="s">
        <v>501</v>
      </c>
      <c r="AU138" s="135"/>
      <c r="AV138" s="135">
        <f>AV$3</f>
        <v>46188</v>
      </c>
      <c r="AW138" s="148" t="s">
        <v>501</v>
      </c>
      <c r="AX138" s="137" t="s">
        <v>501</v>
      </c>
      <c r="AY138" s="135">
        <f>AY$3</f>
        <v>46189</v>
      </c>
      <c r="AZ138" s="136" t="s">
        <v>501</v>
      </c>
      <c r="BA138" s="137" t="s">
        <v>501</v>
      </c>
      <c r="BB138" s="135">
        <f>BB$3</f>
        <v>46190</v>
      </c>
      <c r="BC138" s="136" t="s">
        <v>501</v>
      </c>
      <c r="BD138" s="137" t="s">
        <v>501</v>
      </c>
      <c r="BE138" s="135">
        <f>BE$3</f>
        <v>46191</v>
      </c>
      <c r="BF138" s="136" t="s">
        <v>501</v>
      </c>
      <c r="BG138" s="137" t="s">
        <v>501</v>
      </c>
      <c r="BH138" s="135">
        <f>BH$3</f>
        <v>46192</v>
      </c>
      <c r="BI138" s="136" t="s">
        <v>501</v>
      </c>
      <c r="BJ138" s="137" t="s">
        <v>501</v>
      </c>
      <c r="BK138" s="135">
        <f>BK$3</f>
        <v>46193</v>
      </c>
      <c r="BL138" s="136" t="s">
        <v>501</v>
      </c>
      <c r="BM138" s="137" t="s">
        <v>501</v>
      </c>
      <c r="BN138" s="135"/>
      <c r="BO138" s="135">
        <f>BO$3</f>
        <v>46195</v>
      </c>
      <c r="BP138" s="136" t="s">
        <v>501</v>
      </c>
      <c r="BQ138" s="137" t="s">
        <v>501</v>
      </c>
      <c r="BR138" s="135">
        <f>BR$3</f>
        <v>46196</v>
      </c>
      <c r="BS138" s="136" t="s">
        <v>501</v>
      </c>
      <c r="BT138" s="137" t="s">
        <v>501</v>
      </c>
      <c r="BU138" s="135">
        <f>BU$3</f>
        <v>46197</v>
      </c>
      <c r="BV138" s="136" t="s">
        <v>501</v>
      </c>
      <c r="BW138" s="137" t="s">
        <v>501</v>
      </c>
      <c r="BX138" s="135">
        <f>BX$3</f>
        <v>46198</v>
      </c>
      <c r="BY138" s="136" t="s">
        <v>501</v>
      </c>
      <c r="BZ138" s="137" t="s">
        <v>501</v>
      </c>
      <c r="CA138" s="135">
        <f>CA$3</f>
        <v>46199</v>
      </c>
      <c r="CB138" s="136" t="s">
        <v>501</v>
      </c>
      <c r="CC138" s="137" t="s">
        <v>501</v>
      </c>
      <c r="CD138" s="135">
        <f>CD$3</f>
        <v>46200</v>
      </c>
      <c r="CE138" s="136" t="s">
        <v>501</v>
      </c>
      <c r="CF138" s="137" t="s">
        <v>501</v>
      </c>
      <c r="CG138" s="135"/>
      <c r="CH138" s="135">
        <f>CH$3</f>
        <v>46202</v>
      </c>
      <c r="CI138" s="148" t="s">
        <v>501</v>
      </c>
      <c r="CJ138" s="137" t="s">
        <v>501</v>
      </c>
      <c r="CK138" s="135">
        <f>CK$3</f>
        <v>46203</v>
      </c>
      <c r="CL138" s="136" t="s">
        <v>501</v>
      </c>
      <c r="CM138" s="137" t="s">
        <v>501</v>
      </c>
      <c r="CN138" s="135">
        <f>CN$3</f>
        <v>46204</v>
      </c>
      <c r="CO138" s="136" t="s">
        <v>501</v>
      </c>
      <c r="CP138" s="137" t="s">
        <v>501</v>
      </c>
      <c r="CQ138" s="135">
        <f>CQ$3</f>
        <v>46205</v>
      </c>
      <c r="CR138" s="136" t="s">
        <v>501</v>
      </c>
      <c r="CS138" s="137" t="s">
        <v>501</v>
      </c>
      <c r="CT138" s="135">
        <f>CT$3</f>
        <v>46206</v>
      </c>
      <c r="CU138" s="136" t="s">
        <v>501</v>
      </c>
      <c r="CV138" s="137" t="s">
        <v>501</v>
      </c>
      <c r="CW138" s="135">
        <f>CW$3</f>
        <v>46207</v>
      </c>
      <c r="CX138" s="136" t="s">
        <v>501</v>
      </c>
      <c r="CY138" s="137" t="s">
        <v>501</v>
      </c>
      <c r="CZ138" s="135"/>
      <c r="DA138" s="135">
        <f>DA$3</f>
        <v>46209</v>
      </c>
      <c r="DB138" s="136" t="s">
        <v>501</v>
      </c>
      <c r="DC138" s="137" t="s">
        <v>501</v>
      </c>
      <c r="DD138" s="135">
        <f>DD$3</f>
        <v>46210</v>
      </c>
      <c r="DE138" s="136" t="s">
        <v>501</v>
      </c>
      <c r="DF138" s="137" t="s">
        <v>501</v>
      </c>
      <c r="DG138" s="135">
        <f>DG$3</f>
        <v>46211</v>
      </c>
      <c r="DH138" s="136" t="s">
        <v>501</v>
      </c>
      <c r="DI138" s="137" t="s">
        <v>501</v>
      </c>
      <c r="DJ138" s="135">
        <f>DJ$3</f>
        <v>46212</v>
      </c>
      <c r="DK138" s="136" t="s">
        <v>501</v>
      </c>
      <c r="DL138" s="137" t="s">
        <v>501</v>
      </c>
      <c r="DM138" s="135">
        <f>DM$3</f>
        <v>46213</v>
      </c>
      <c r="DN138" s="136" t="s">
        <v>501</v>
      </c>
      <c r="DO138" s="137" t="s">
        <v>501</v>
      </c>
      <c r="DP138" s="135">
        <f>DP$3</f>
        <v>46214</v>
      </c>
      <c r="DQ138" s="136" t="s">
        <v>501</v>
      </c>
      <c r="DR138" s="137" t="s">
        <v>501</v>
      </c>
    </row>
    <row r="139" spans="1:122" outlineLevel="1">
      <c r="A139" s="122" t="str">
        <f>$A$113</f>
        <v>Vũ Thị Thêu</v>
      </c>
      <c r="B139" s="123" t="str">
        <f>'Bảng 3'!A269</f>
        <v>3.N.HCM.CGIO.KSMN.201</v>
      </c>
      <c r="C139" s="81" t="str">
        <f>IF($B139="","",INDEX('Bảng 3'!C:C,MATCH($B139,'Bảng 3'!$A:$A,0)))</f>
        <v>Quản lý BIM</v>
      </c>
      <c r="D139" s="81" t="str">
        <f>IF($B139="","",INDEX('Bảng 3'!D:D,MATCH($B139,'Bảng 3'!$A:$A,0)))</f>
        <v>N.HCM.CGIO.KSMN</v>
      </c>
      <c r="E139" s="81" t="str">
        <f>IF($B139="","",INDEX('Bảng 3'!E:E,MATCH($B139,'Bảng 3'!$A:$A,0)))</f>
        <v>Lô A5.01.01, mẫu M1G, M7, M8G</v>
      </c>
      <c r="F139" s="81" t="str">
        <f>IF($B139="","",INDEX('Bảng 3'!F:F,MATCH($B139,'Bảng 3'!$A:$A,0)))</f>
        <v>KC</v>
      </c>
      <c r="G139" s="81" t="str">
        <f>IF($B139="","",INDEX('Bảng 3'!G:G,MATCH($B139,'Bảng 3'!$A:$A,0)))</f>
        <v>KSCL mô hình BIM</v>
      </c>
      <c r="H139" s="121"/>
      <c r="I139" s="135"/>
      <c r="J139" s="135">
        <f>J$3</f>
        <v>46174</v>
      </c>
      <c r="K139" s="148" t="s">
        <v>501</v>
      </c>
      <c r="L139" s="168" t="s">
        <v>501</v>
      </c>
      <c r="M139" s="135">
        <f>M$3</f>
        <v>46175</v>
      </c>
      <c r="N139" s="148" t="s">
        <v>501</v>
      </c>
      <c r="O139" s="137" t="s">
        <v>501</v>
      </c>
      <c r="P139" s="135">
        <f>P$3</f>
        <v>46176</v>
      </c>
      <c r="Q139" s="136" t="s">
        <v>501</v>
      </c>
      <c r="R139" s="137" t="s">
        <v>501</v>
      </c>
      <c r="S139" s="135">
        <f>S$3</f>
        <v>46177</v>
      </c>
      <c r="T139" s="136" t="s">
        <v>501</v>
      </c>
      <c r="U139" s="137" t="s">
        <v>501</v>
      </c>
      <c r="V139" s="135">
        <f>V$3</f>
        <v>46178</v>
      </c>
      <c r="W139" s="136" t="s">
        <v>501</v>
      </c>
      <c r="X139" s="137" t="s">
        <v>501</v>
      </c>
      <c r="Y139" s="135">
        <f>Y$3</f>
        <v>46179</v>
      </c>
      <c r="Z139" s="136" t="s">
        <v>501</v>
      </c>
      <c r="AA139" s="137" t="s">
        <v>501</v>
      </c>
      <c r="AB139" s="135"/>
      <c r="AC139" s="135">
        <f>AC$3</f>
        <v>46181</v>
      </c>
      <c r="AD139" s="136" t="s">
        <v>501</v>
      </c>
      <c r="AE139" s="137" t="s">
        <v>501</v>
      </c>
      <c r="AF139" s="135">
        <f>AF$3</f>
        <v>46182</v>
      </c>
      <c r="AG139" s="136" t="s">
        <v>501</v>
      </c>
      <c r="AH139" s="137" t="s">
        <v>501</v>
      </c>
      <c r="AI139" s="135">
        <f>AI$3</f>
        <v>46183</v>
      </c>
      <c r="AJ139" s="136" t="s">
        <v>501</v>
      </c>
      <c r="AK139" s="137" t="s">
        <v>501</v>
      </c>
      <c r="AL139" s="135">
        <f>AL$3</f>
        <v>46184</v>
      </c>
      <c r="AM139" s="136" t="s">
        <v>501</v>
      </c>
      <c r="AN139" s="137" t="s">
        <v>501</v>
      </c>
      <c r="AO139" s="135">
        <f>AO$3</f>
        <v>46185</v>
      </c>
      <c r="AP139" s="136" t="s">
        <v>501</v>
      </c>
      <c r="AQ139" s="137" t="s">
        <v>501</v>
      </c>
      <c r="AR139" s="135">
        <f>AR$3</f>
        <v>46186</v>
      </c>
      <c r="AS139" s="136" t="s">
        <v>501</v>
      </c>
      <c r="AT139" s="137" t="s">
        <v>501</v>
      </c>
      <c r="AU139" s="135"/>
      <c r="AV139" s="135">
        <f>AV$3</f>
        <v>46188</v>
      </c>
      <c r="AW139" s="148" t="s">
        <v>501</v>
      </c>
      <c r="AX139" s="137" t="s">
        <v>501</v>
      </c>
      <c r="AY139" s="135">
        <f>AY$3</f>
        <v>46189</v>
      </c>
      <c r="AZ139" s="136" t="s">
        <v>501</v>
      </c>
      <c r="BA139" s="137" t="s">
        <v>501</v>
      </c>
      <c r="BB139" s="135">
        <f>BB$3</f>
        <v>46190</v>
      </c>
      <c r="BC139" s="136" t="s">
        <v>501</v>
      </c>
      <c r="BD139" s="137" t="s">
        <v>501</v>
      </c>
      <c r="BE139" s="135">
        <f>BE$3</f>
        <v>46191</v>
      </c>
      <c r="BF139" s="136" t="s">
        <v>501</v>
      </c>
      <c r="BG139" s="137" t="s">
        <v>501</v>
      </c>
      <c r="BH139" s="135">
        <f>BH$3</f>
        <v>46192</v>
      </c>
      <c r="BI139" s="136" t="s">
        <v>501</v>
      </c>
      <c r="BJ139" s="137" t="s">
        <v>501</v>
      </c>
      <c r="BK139" s="135">
        <f>BK$3</f>
        <v>46193</v>
      </c>
      <c r="BL139" s="136" t="s">
        <v>501</v>
      </c>
      <c r="BM139" s="137" t="s">
        <v>501</v>
      </c>
      <c r="BN139" s="135"/>
      <c r="BO139" s="135">
        <f>BO$3</f>
        <v>46195</v>
      </c>
      <c r="BP139" s="136" t="s">
        <v>501</v>
      </c>
      <c r="BQ139" s="137" t="s">
        <v>501</v>
      </c>
      <c r="BR139" s="135">
        <f>BR$3</f>
        <v>46196</v>
      </c>
      <c r="BS139" s="136" t="s">
        <v>501</v>
      </c>
      <c r="BT139" s="137" t="s">
        <v>501</v>
      </c>
      <c r="BU139" s="135">
        <f>BU$3</f>
        <v>46197</v>
      </c>
      <c r="BV139" s="136" t="s">
        <v>501</v>
      </c>
      <c r="BW139" s="137" t="s">
        <v>501</v>
      </c>
      <c r="BX139" s="135">
        <f>BX$3</f>
        <v>46198</v>
      </c>
      <c r="BY139" s="136" t="s">
        <v>501</v>
      </c>
      <c r="BZ139" s="137" t="s">
        <v>501</v>
      </c>
      <c r="CA139" s="135">
        <f>CA$3</f>
        <v>46199</v>
      </c>
      <c r="CB139" s="136" t="s">
        <v>501</v>
      </c>
      <c r="CC139" s="137" t="s">
        <v>501</v>
      </c>
      <c r="CD139" s="135">
        <f>CD$3</f>
        <v>46200</v>
      </c>
      <c r="CE139" s="136" t="s">
        <v>501</v>
      </c>
      <c r="CF139" s="137" t="s">
        <v>501</v>
      </c>
      <c r="CG139" s="135"/>
      <c r="CH139" s="135">
        <f>CH$3</f>
        <v>46202</v>
      </c>
      <c r="CI139" s="148" t="s">
        <v>501</v>
      </c>
      <c r="CJ139" s="137" t="s">
        <v>501</v>
      </c>
      <c r="CK139" s="135">
        <f>CK$3</f>
        <v>46203</v>
      </c>
      <c r="CL139" s="136" t="s">
        <v>501</v>
      </c>
      <c r="CM139" s="137" t="s">
        <v>501</v>
      </c>
      <c r="CN139" s="135">
        <f>CN$3</f>
        <v>46204</v>
      </c>
      <c r="CO139" s="136" t="s">
        <v>501</v>
      </c>
      <c r="CP139" s="137" t="s">
        <v>501</v>
      </c>
      <c r="CQ139" s="135">
        <f>CQ$3</f>
        <v>46205</v>
      </c>
      <c r="CR139" s="136" t="s">
        <v>501</v>
      </c>
      <c r="CS139" s="137" t="s">
        <v>501</v>
      </c>
      <c r="CT139" s="135">
        <f>CT$3</f>
        <v>46206</v>
      </c>
      <c r="CU139" s="136" t="s">
        <v>501</v>
      </c>
      <c r="CV139" s="137" t="s">
        <v>501</v>
      </c>
      <c r="CW139" s="135">
        <f>CW$3</f>
        <v>46207</v>
      </c>
      <c r="CX139" s="136" t="s">
        <v>501</v>
      </c>
      <c r="CY139" s="137" t="s">
        <v>501</v>
      </c>
      <c r="CZ139" s="135"/>
      <c r="DA139" s="135">
        <f>DA$3</f>
        <v>46209</v>
      </c>
      <c r="DB139" s="136" t="s">
        <v>501</v>
      </c>
      <c r="DC139" s="137" t="s">
        <v>501</v>
      </c>
      <c r="DD139" s="135">
        <f>DD$3</f>
        <v>46210</v>
      </c>
      <c r="DE139" s="136" t="s">
        <v>501</v>
      </c>
      <c r="DF139" s="137" t="s">
        <v>501</v>
      </c>
      <c r="DG139" s="135">
        <f>DG$3</f>
        <v>46211</v>
      </c>
      <c r="DH139" s="136" t="s">
        <v>501</v>
      </c>
      <c r="DI139" s="137" t="s">
        <v>501</v>
      </c>
      <c r="DJ139" s="135">
        <f>DJ$3</f>
        <v>46212</v>
      </c>
      <c r="DK139" s="136" t="s">
        <v>501</v>
      </c>
      <c r="DL139" s="137" t="s">
        <v>501</v>
      </c>
      <c r="DM139" s="135">
        <f>DM$3</f>
        <v>46213</v>
      </c>
      <c r="DN139" s="136" t="s">
        <v>501</v>
      </c>
      <c r="DO139" s="137" t="s">
        <v>501</v>
      </c>
      <c r="DP139" s="135">
        <f>DP$3</f>
        <v>46214</v>
      </c>
      <c r="DQ139" s="136" t="s">
        <v>501</v>
      </c>
      <c r="DR139" s="137" t="s">
        <v>501</v>
      </c>
    </row>
    <row r="140" spans="1:122" outlineLevel="1">
      <c r="A140" s="122" t="str">
        <f>$A$113</f>
        <v>Vũ Thị Thêu</v>
      </c>
      <c r="B140" s="123" t="str">
        <f>'Bảng 3'!A275</f>
        <v>3.N.HCM.CGIO.KSMN.103</v>
      </c>
      <c r="C140" s="81" t="str">
        <f>IF($B140="","",INDEX('Bảng 3'!C:C,MATCH($B140,'Bảng 3'!$A:$A,0)))</f>
        <v>Quản lý BIM</v>
      </c>
      <c r="D140" s="81" t="str">
        <f>IF($B140="","",INDEX('Bảng 3'!D:D,MATCH($B140,'Bảng 3'!$A:$A,0)))</f>
        <v>N.HCM.CGIO.KSMN</v>
      </c>
      <c r="E140" s="81" t="str">
        <f>IF($B140="","",INDEX('Bảng 3'!E:E,MATCH($B140,'Bảng 3'!$A:$A,0)))</f>
        <v>Lô A5.01.02, mẫu M4G, M9, M9G</v>
      </c>
      <c r="F140" s="81" t="str">
        <f>IF($B140="","",INDEX('Bảng 3'!F:F,MATCH($B140,'Bảng 3'!$A:$A,0)))</f>
        <v>KT</v>
      </c>
      <c r="G140" s="81" t="str">
        <f>IF($B140="","",INDEX('Bảng 3'!G:G,MATCH($B140,'Bảng 3'!$A:$A,0)))</f>
        <v>KSCL mô hình BIM</v>
      </c>
      <c r="H140" s="121"/>
      <c r="I140" s="135"/>
      <c r="J140" s="135">
        <f>J$3</f>
        <v>46174</v>
      </c>
      <c r="K140" s="148" t="s">
        <v>501</v>
      </c>
      <c r="L140" s="168" t="s">
        <v>501</v>
      </c>
      <c r="M140" s="135">
        <f>M$3</f>
        <v>46175</v>
      </c>
      <c r="N140" s="148" t="s">
        <v>501</v>
      </c>
      <c r="O140" s="137" t="s">
        <v>501</v>
      </c>
      <c r="P140" s="135">
        <f>P$3</f>
        <v>46176</v>
      </c>
      <c r="Q140" s="136" t="s">
        <v>501</v>
      </c>
      <c r="R140" s="137" t="s">
        <v>501</v>
      </c>
      <c r="S140" s="135">
        <f>S$3</f>
        <v>46177</v>
      </c>
      <c r="T140" s="136" t="s">
        <v>501</v>
      </c>
      <c r="U140" s="137" t="s">
        <v>501</v>
      </c>
      <c r="V140" s="135">
        <f>V$3</f>
        <v>46178</v>
      </c>
      <c r="W140" s="136" t="s">
        <v>501</v>
      </c>
      <c r="X140" s="137" t="s">
        <v>501</v>
      </c>
      <c r="Y140" s="135">
        <f>Y$3</f>
        <v>46179</v>
      </c>
      <c r="Z140" s="136" t="s">
        <v>501</v>
      </c>
      <c r="AA140" s="137" t="s">
        <v>501</v>
      </c>
      <c r="AB140" s="135"/>
      <c r="AC140" s="135">
        <f>AC$3</f>
        <v>46181</v>
      </c>
      <c r="AD140" s="136" t="s">
        <v>501</v>
      </c>
      <c r="AE140" s="137" t="s">
        <v>501</v>
      </c>
      <c r="AF140" s="135">
        <f>AF$3</f>
        <v>46182</v>
      </c>
      <c r="AG140" s="136" t="s">
        <v>501</v>
      </c>
      <c r="AH140" s="137" t="s">
        <v>501</v>
      </c>
      <c r="AI140" s="135">
        <f>AI$3</f>
        <v>46183</v>
      </c>
      <c r="AJ140" s="136" t="s">
        <v>501</v>
      </c>
      <c r="AK140" s="137" t="s">
        <v>501</v>
      </c>
      <c r="AL140" s="135">
        <f>AL$3</f>
        <v>46184</v>
      </c>
      <c r="AM140" s="136" t="s">
        <v>501</v>
      </c>
      <c r="AN140" s="137" t="s">
        <v>501</v>
      </c>
      <c r="AO140" s="135">
        <f>AO$3</f>
        <v>46185</v>
      </c>
      <c r="AP140" s="136" t="s">
        <v>501</v>
      </c>
      <c r="AQ140" s="137" t="s">
        <v>501</v>
      </c>
      <c r="AR140" s="135">
        <f>AR$3</f>
        <v>46186</v>
      </c>
      <c r="AS140" s="136" t="s">
        <v>501</v>
      </c>
      <c r="AT140" s="137" t="s">
        <v>501</v>
      </c>
      <c r="AU140" s="135"/>
      <c r="AV140" s="135">
        <f>AV$3</f>
        <v>46188</v>
      </c>
      <c r="AW140" s="148" t="s">
        <v>501</v>
      </c>
      <c r="AX140" s="137" t="s">
        <v>501</v>
      </c>
      <c r="AY140" s="135">
        <f>AY$3</f>
        <v>46189</v>
      </c>
      <c r="AZ140" s="136" t="s">
        <v>501</v>
      </c>
      <c r="BA140" s="137" t="s">
        <v>501</v>
      </c>
      <c r="BB140" s="135">
        <f>BB$3</f>
        <v>46190</v>
      </c>
      <c r="BC140" s="136" t="s">
        <v>501</v>
      </c>
      <c r="BD140" s="137" t="s">
        <v>501</v>
      </c>
      <c r="BE140" s="135">
        <f>BE$3</f>
        <v>46191</v>
      </c>
      <c r="BF140" s="136" t="s">
        <v>501</v>
      </c>
      <c r="BG140" s="137" t="s">
        <v>501</v>
      </c>
      <c r="BH140" s="135">
        <f>BH$3</f>
        <v>46192</v>
      </c>
      <c r="BI140" s="136" t="s">
        <v>501</v>
      </c>
      <c r="BJ140" s="137" t="s">
        <v>501</v>
      </c>
      <c r="BK140" s="135">
        <f>BK$3</f>
        <v>46193</v>
      </c>
      <c r="BL140" s="136" t="s">
        <v>501</v>
      </c>
      <c r="BM140" s="137" t="s">
        <v>501</v>
      </c>
      <c r="BN140" s="135"/>
      <c r="BO140" s="135">
        <f>BO$3</f>
        <v>46195</v>
      </c>
      <c r="BP140" s="136" t="s">
        <v>501</v>
      </c>
      <c r="BQ140" s="137" t="s">
        <v>501</v>
      </c>
      <c r="BR140" s="135">
        <f>BR$3</f>
        <v>46196</v>
      </c>
      <c r="BS140" s="136" t="s">
        <v>501</v>
      </c>
      <c r="BT140" s="137" t="s">
        <v>501</v>
      </c>
      <c r="BU140" s="135">
        <f>BU$3</f>
        <v>46197</v>
      </c>
      <c r="BV140" s="136" t="s">
        <v>501</v>
      </c>
      <c r="BW140" s="137" t="s">
        <v>501</v>
      </c>
      <c r="BX140" s="135">
        <f>BX$3</f>
        <v>46198</v>
      </c>
      <c r="BY140" s="136" t="s">
        <v>501</v>
      </c>
      <c r="BZ140" s="137" t="s">
        <v>501</v>
      </c>
      <c r="CA140" s="135">
        <f>CA$3</f>
        <v>46199</v>
      </c>
      <c r="CB140" s="136" t="s">
        <v>501</v>
      </c>
      <c r="CC140" s="137" t="s">
        <v>501</v>
      </c>
      <c r="CD140" s="135">
        <f>CD$3</f>
        <v>46200</v>
      </c>
      <c r="CE140" s="136" t="s">
        <v>501</v>
      </c>
      <c r="CF140" s="137" t="s">
        <v>501</v>
      </c>
      <c r="CG140" s="135"/>
      <c r="CH140" s="135">
        <f>CH$3</f>
        <v>46202</v>
      </c>
      <c r="CI140" s="148" t="s">
        <v>501</v>
      </c>
      <c r="CJ140" s="137" t="s">
        <v>501</v>
      </c>
      <c r="CK140" s="135">
        <f>CK$3</f>
        <v>46203</v>
      </c>
      <c r="CL140" s="136" t="s">
        <v>501</v>
      </c>
      <c r="CM140" s="137" t="s">
        <v>501</v>
      </c>
      <c r="CN140" s="135">
        <f>CN$3</f>
        <v>46204</v>
      </c>
      <c r="CO140" s="136" t="s">
        <v>501</v>
      </c>
      <c r="CP140" s="137" t="s">
        <v>501</v>
      </c>
      <c r="CQ140" s="135">
        <f>CQ$3</f>
        <v>46205</v>
      </c>
      <c r="CR140" s="136" t="s">
        <v>501</v>
      </c>
      <c r="CS140" s="137" t="s">
        <v>501</v>
      </c>
      <c r="CT140" s="135">
        <f>CT$3</f>
        <v>46206</v>
      </c>
      <c r="CU140" s="136" t="s">
        <v>501</v>
      </c>
      <c r="CV140" s="137" t="s">
        <v>501</v>
      </c>
      <c r="CW140" s="135">
        <f>CW$3</f>
        <v>46207</v>
      </c>
      <c r="CX140" s="136" t="s">
        <v>501</v>
      </c>
      <c r="CY140" s="137" t="s">
        <v>501</v>
      </c>
      <c r="CZ140" s="135"/>
      <c r="DA140" s="135">
        <f>DA$3</f>
        <v>46209</v>
      </c>
      <c r="DB140" s="136" t="s">
        <v>501</v>
      </c>
      <c r="DC140" s="137" t="s">
        <v>501</v>
      </c>
      <c r="DD140" s="135">
        <f>DD$3</f>
        <v>46210</v>
      </c>
      <c r="DE140" s="136" t="s">
        <v>501</v>
      </c>
      <c r="DF140" s="137" t="s">
        <v>501</v>
      </c>
      <c r="DG140" s="135">
        <f>DG$3</f>
        <v>46211</v>
      </c>
      <c r="DH140" s="136" t="s">
        <v>501</v>
      </c>
      <c r="DI140" s="137" t="s">
        <v>501</v>
      </c>
      <c r="DJ140" s="135">
        <f>DJ$3</f>
        <v>46212</v>
      </c>
      <c r="DK140" s="136" t="s">
        <v>501</v>
      </c>
      <c r="DL140" s="137" t="s">
        <v>501</v>
      </c>
      <c r="DM140" s="135">
        <f>DM$3</f>
        <v>46213</v>
      </c>
      <c r="DN140" s="136" t="s">
        <v>501</v>
      </c>
      <c r="DO140" s="137" t="s">
        <v>501</v>
      </c>
      <c r="DP140" s="135">
        <f>DP$3</f>
        <v>46214</v>
      </c>
      <c r="DQ140" s="136" t="s">
        <v>501</v>
      </c>
      <c r="DR140" s="137" t="s">
        <v>501</v>
      </c>
    </row>
    <row r="141" spans="1:122" outlineLevel="1">
      <c r="A141" s="122" t="str">
        <f>$A$113</f>
        <v>Vũ Thị Thêu</v>
      </c>
      <c r="B141" s="123" t="str">
        <f>'Bảng 3'!A277</f>
        <v>3.N.HCM.CGIO.KSMN.202</v>
      </c>
      <c r="C141" s="81" t="str">
        <f>IF($B141="","",INDEX('Bảng 3'!C:C,MATCH($B141,'Bảng 3'!$A:$A,0)))</f>
        <v>Quản lý BIM</v>
      </c>
      <c r="D141" s="81" t="str">
        <f>IF($B141="","",INDEX('Bảng 3'!D:D,MATCH($B141,'Bảng 3'!$A:$A,0)))</f>
        <v>N.HCM.CGIO.KSMN</v>
      </c>
      <c r="E141" s="81" t="str">
        <f>IF($B141="","",INDEX('Bảng 3'!E:E,MATCH($B141,'Bảng 3'!$A:$A,0)))</f>
        <v>Lô A5.01.02, mẫu M4G, M9, M9G</v>
      </c>
      <c r="F141" s="81" t="str">
        <f>IF($B141="","",INDEX('Bảng 3'!F:F,MATCH($B141,'Bảng 3'!$A:$A,0)))</f>
        <v>KC</v>
      </c>
      <c r="G141" s="81" t="str">
        <f>IF($B141="","",INDEX('Bảng 3'!G:G,MATCH($B141,'Bảng 3'!$A:$A,0)))</f>
        <v>KSCL mô hình BIM</v>
      </c>
      <c r="H141" s="121"/>
      <c r="I141" s="135"/>
      <c r="J141" s="135">
        <f>J$3</f>
        <v>46174</v>
      </c>
      <c r="K141" s="148" t="s">
        <v>501</v>
      </c>
      <c r="L141" s="168" t="s">
        <v>501</v>
      </c>
      <c r="M141" s="135">
        <f>M$3</f>
        <v>46175</v>
      </c>
      <c r="N141" s="148" t="s">
        <v>501</v>
      </c>
      <c r="O141" s="137" t="s">
        <v>501</v>
      </c>
      <c r="P141" s="135">
        <f>P$3</f>
        <v>46176</v>
      </c>
      <c r="Q141" s="136" t="s">
        <v>501</v>
      </c>
      <c r="R141" s="137" t="s">
        <v>501</v>
      </c>
      <c r="S141" s="135">
        <f>S$3</f>
        <v>46177</v>
      </c>
      <c r="T141" s="136" t="s">
        <v>501</v>
      </c>
      <c r="U141" s="137" t="s">
        <v>501</v>
      </c>
      <c r="V141" s="135">
        <f>V$3</f>
        <v>46178</v>
      </c>
      <c r="W141" s="136" t="s">
        <v>501</v>
      </c>
      <c r="X141" s="137" t="s">
        <v>501</v>
      </c>
      <c r="Y141" s="135">
        <f>Y$3</f>
        <v>46179</v>
      </c>
      <c r="Z141" s="136" t="s">
        <v>501</v>
      </c>
      <c r="AA141" s="137" t="s">
        <v>501</v>
      </c>
      <c r="AB141" s="135"/>
      <c r="AC141" s="135">
        <f>AC$3</f>
        <v>46181</v>
      </c>
      <c r="AD141" s="136" t="s">
        <v>501</v>
      </c>
      <c r="AE141" s="137" t="s">
        <v>501</v>
      </c>
      <c r="AF141" s="135">
        <f>AF$3</f>
        <v>46182</v>
      </c>
      <c r="AG141" s="136" t="s">
        <v>501</v>
      </c>
      <c r="AH141" s="137" t="s">
        <v>501</v>
      </c>
      <c r="AI141" s="135">
        <f>AI$3</f>
        <v>46183</v>
      </c>
      <c r="AJ141" s="136" t="s">
        <v>501</v>
      </c>
      <c r="AK141" s="137" t="s">
        <v>501</v>
      </c>
      <c r="AL141" s="135">
        <f>AL$3</f>
        <v>46184</v>
      </c>
      <c r="AM141" s="136" t="s">
        <v>501</v>
      </c>
      <c r="AN141" s="137" t="s">
        <v>501</v>
      </c>
      <c r="AO141" s="135">
        <f>AO$3</f>
        <v>46185</v>
      </c>
      <c r="AP141" s="136" t="s">
        <v>501</v>
      </c>
      <c r="AQ141" s="137" t="s">
        <v>501</v>
      </c>
      <c r="AR141" s="135">
        <f>AR$3</f>
        <v>46186</v>
      </c>
      <c r="AS141" s="136" t="s">
        <v>501</v>
      </c>
      <c r="AT141" s="137" t="s">
        <v>501</v>
      </c>
      <c r="AU141" s="135"/>
      <c r="AV141" s="135">
        <f>AV$3</f>
        <v>46188</v>
      </c>
      <c r="AW141" s="148" t="s">
        <v>501</v>
      </c>
      <c r="AX141" s="137" t="s">
        <v>501</v>
      </c>
      <c r="AY141" s="135">
        <f>AY$3</f>
        <v>46189</v>
      </c>
      <c r="AZ141" s="136" t="s">
        <v>501</v>
      </c>
      <c r="BA141" s="137" t="s">
        <v>501</v>
      </c>
      <c r="BB141" s="135">
        <f>BB$3</f>
        <v>46190</v>
      </c>
      <c r="BC141" s="136" t="s">
        <v>501</v>
      </c>
      <c r="BD141" s="137" t="s">
        <v>501</v>
      </c>
      <c r="BE141" s="135">
        <f>BE$3</f>
        <v>46191</v>
      </c>
      <c r="BF141" s="136" t="s">
        <v>501</v>
      </c>
      <c r="BG141" s="137" t="s">
        <v>501</v>
      </c>
      <c r="BH141" s="135">
        <f>BH$3</f>
        <v>46192</v>
      </c>
      <c r="BI141" s="136" t="s">
        <v>501</v>
      </c>
      <c r="BJ141" s="137" t="s">
        <v>501</v>
      </c>
      <c r="BK141" s="135">
        <f>BK$3</f>
        <v>46193</v>
      </c>
      <c r="BL141" s="136" t="s">
        <v>501</v>
      </c>
      <c r="BM141" s="137" t="s">
        <v>501</v>
      </c>
      <c r="BN141" s="135"/>
      <c r="BO141" s="135">
        <f>BO$3</f>
        <v>46195</v>
      </c>
      <c r="BP141" s="136" t="s">
        <v>501</v>
      </c>
      <c r="BQ141" s="137" t="s">
        <v>501</v>
      </c>
      <c r="BR141" s="135">
        <f>BR$3</f>
        <v>46196</v>
      </c>
      <c r="BS141" s="136" t="s">
        <v>501</v>
      </c>
      <c r="BT141" s="137" t="s">
        <v>501</v>
      </c>
      <c r="BU141" s="135">
        <f>BU$3</f>
        <v>46197</v>
      </c>
      <c r="BV141" s="136" t="s">
        <v>501</v>
      </c>
      <c r="BW141" s="137" t="s">
        <v>501</v>
      </c>
      <c r="BX141" s="135">
        <f>BX$3</f>
        <v>46198</v>
      </c>
      <c r="BY141" s="136" t="s">
        <v>501</v>
      </c>
      <c r="BZ141" s="137" t="s">
        <v>501</v>
      </c>
      <c r="CA141" s="135">
        <f>CA$3</f>
        <v>46199</v>
      </c>
      <c r="CB141" s="136" t="s">
        <v>501</v>
      </c>
      <c r="CC141" s="137" t="s">
        <v>501</v>
      </c>
      <c r="CD141" s="135">
        <f>CD$3</f>
        <v>46200</v>
      </c>
      <c r="CE141" s="136" t="s">
        <v>501</v>
      </c>
      <c r="CF141" s="137" t="s">
        <v>501</v>
      </c>
      <c r="CG141" s="135"/>
      <c r="CH141" s="135">
        <f>CH$3</f>
        <v>46202</v>
      </c>
      <c r="CI141" s="148" t="s">
        <v>501</v>
      </c>
      <c r="CJ141" s="137" t="s">
        <v>501</v>
      </c>
      <c r="CK141" s="135">
        <f>CK$3</f>
        <v>46203</v>
      </c>
      <c r="CL141" s="136" t="s">
        <v>501</v>
      </c>
      <c r="CM141" s="137" t="s">
        <v>501</v>
      </c>
      <c r="CN141" s="135">
        <f>CN$3</f>
        <v>46204</v>
      </c>
      <c r="CO141" s="136" t="s">
        <v>501</v>
      </c>
      <c r="CP141" s="137" t="s">
        <v>501</v>
      </c>
      <c r="CQ141" s="135">
        <f>CQ$3</f>
        <v>46205</v>
      </c>
      <c r="CR141" s="136" t="s">
        <v>501</v>
      </c>
      <c r="CS141" s="137" t="s">
        <v>501</v>
      </c>
      <c r="CT141" s="135">
        <f>CT$3</f>
        <v>46206</v>
      </c>
      <c r="CU141" s="136" t="s">
        <v>501</v>
      </c>
      <c r="CV141" s="137" t="s">
        <v>501</v>
      </c>
      <c r="CW141" s="135">
        <f>CW$3</f>
        <v>46207</v>
      </c>
      <c r="CX141" s="136" t="s">
        <v>501</v>
      </c>
      <c r="CY141" s="137" t="s">
        <v>501</v>
      </c>
      <c r="CZ141" s="135"/>
      <c r="DA141" s="135">
        <f>DA$3</f>
        <v>46209</v>
      </c>
      <c r="DB141" s="136" t="s">
        <v>501</v>
      </c>
      <c r="DC141" s="137" t="s">
        <v>501</v>
      </c>
      <c r="DD141" s="135">
        <f>DD$3</f>
        <v>46210</v>
      </c>
      <c r="DE141" s="136" t="s">
        <v>501</v>
      </c>
      <c r="DF141" s="137" t="s">
        <v>501</v>
      </c>
      <c r="DG141" s="135">
        <f>DG$3</f>
        <v>46211</v>
      </c>
      <c r="DH141" s="136" t="s">
        <v>501</v>
      </c>
      <c r="DI141" s="137" t="s">
        <v>501</v>
      </c>
      <c r="DJ141" s="135">
        <f>DJ$3</f>
        <v>46212</v>
      </c>
      <c r="DK141" s="136" t="s">
        <v>501</v>
      </c>
      <c r="DL141" s="137" t="s">
        <v>501</v>
      </c>
      <c r="DM141" s="135">
        <f>DM$3</f>
        <v>46213</v>
      </c>
      <c r="DN141" s="136" t="s">
        <v>501</v>
      </c>
      <c r="DO141" s="137" t="s">
        <v>501</v>
      </c>
      <c r="DP141" s="135">
        <f>DP$3</f>
        <v>46214</v>
      </c>
      <c r="DQ141" s="136" t="s">
        <v>501</v>
      </c>
      <c r="DR141" s="137" t="s">
        <v>501</v>
      </c>
    </row>
    <row r="142" spans="1:122" outlineLevel="1">
      <c r="A142" s="122" t="str">
        <f>$A$113</f>
        <v>Vũ Thị Thêu</v>
      </c>
      <c r="B142" s="123" t="str">
        <f>'Bảng 3'!A355</f>
        <v>3.T.DAN.LVDN.KS.101</v>
      </c>
      <c r="C142" s="81" t="str">
        <f>IF($B142="","",INDEX('Bảng 3'!C:C,MATCH($B142,'Bảng 3'!$A:$A,0)))</f>
        <v>Quản lý BIM</v>
      </c>
      <c r="D142" s="81" t="str">
        <f>IF($B142="","",INDEX('Bảng 3'!D:D,MATCH($B142,'Bảng 3'!$A:$A,0)))</f>
        <v>T.DAN.LVDN.KS</v>
      </c>
      <c r="E142" s="81" t="str">
        <f>IF($B142="","",INDEX('Bảng 3'!E:E,MATCH($B142,'Bảng 3'!$A:$A,0)))</f>
        <v>KS JW Marriott- Làng Vân (Cao 9 tầng)</v>
      </c>
      <c r="F142" s="81" t="str">
        <f>IF($B142="","",INDEX('Bảng 3'!F:F,MATCH($B142,'Bảng 3'!$A:$A,0)))</f>
        <v>KT</v>
      </c>
      <c r="G142" s="81" t="str">
        <f>IF($B142="","",INDEX('Bảng 3'!G:G,MATCH($B142,'Bảng 3'!$A:$A,0)))</f>
        <v>Tạo lập mô hình BIM</v>
      </c>
      <c r="H142" s="121"/>
      <c r="I142" s="135"/>
      <c r="J142" s="135">
        <f>J$3</f>
        <v>46174</v>
      </c>
      <c r="K142" s="148" t="s">
        <v>501</v>
      </c>
      <c r="L142" s="168" t="s">
        <v>501</v>
      </c>
      <c r="M142" s="135">
        <f>M$3</f>
        <v>46175</v>
      </c>
      <c r="N142" s="148" t="s">
        <v>501</v>
      </c>
      <c r="O142" s="137" t="s">
        <v>501</v>
      </c>
      <c r="P142" s="135">
        <f>P$3</f>
        <v>46176</v>
      </c>
      <c r="Q142" s="136" t="s">
        <v>501</v>
      </c>
      <c r="R142" s="137" t="s">
        <v>501</v>
      </c>
      <c r="S142" s="135">
        <f>S$3</f>
        <v>46177</v>
      </c>
      <c r="T142" s="136" t="s">
        <v>501</v>
      </c>
      <c r="U142" s="137" t="s">
        <v>501</v>
      </c>
      <c r="V142" s="135">
        <f>V$3</f>
        <v>46178</v>
      </c>
      <c r="W142" s="136" t="s">
        <v>501</v>
      </c>
      <c r="X142" s="137" t="s">
        <v>501</v>
      </c>
      <c r="Y142" s="135">
        <f>Y$3</f>
        <v>46179</v>
      </c>
      <c r="Z142" s="136" t="s">
        <v>501</v>
      </c>
      <c r="AA142" s="137" t="s">
        <v>501</v>
      </c>
      <c r="AB142" s="135"/>
      <c r="AC142" s="135">
        <f>AC$3</f>
        <v>46181</v>
      </c>
      <c r="AD142" s="136" t="s">
        <v>501</v>
      </c>
      <c r="AE142" s="137" t="s">
        <v>501</v>
      </c>
      <c r="AF142" s="135">
        <f>AF$3</f>
        <v>46182</v>
      </c>
      <c r="AG142" s="136" t="s">
        <v>501</v>
      </c>
      <c r="AH142" s="137" t="s">
        <v>501</v>
      </c>
      <c r="AI142" s="135">
        <f>AI$3</f>
        <v>46183</v>
      </c>
      <c r="AJ142" s="136" t="s">
        <v>501</v>
      </c>
      <c r="AK142" s="137" t="s">
        <v>501</v>
      </c>
      <c r="AL142" s="135">
        <f>AL$3</f>
        <v>46184</v>
      </c>
      <c r="AM142" s="136" t="s">
        <v>501</v>
      </c>
      <c r="AN142" s="137" t="s">
        <v>501</v>
      </c>
      <c r="AO142" s="135">
        <f>AO$3</f>
        <v>46185</v>
      </c>
      <c r="AP142" s="136" t="s">
        <v>501</v>
      </c>
      <c r="AQ142" s="137" t="s">
        <v>501</v>
      </c>
      <c r="AR142" s="135">
        <f>AR$3</f>
        <v>46186</v>
      </c>
      <c r="AS142" s="136" t="s">
        <v>501</v>
      </c>
      <c r="AT142" s="137" t="s">
        <v>501</v>
      </c>
      <c r="AU142" s="135"/>
      <c r="AV142" s="135">
        <f>AV$3</f>
        <v>46188</v>
      </c>
      <c r="AW142" s="148" t="s">
        <v>501</v>
      </c>
      <c r="AX142" s="137" t="s">
        <v>501</v>
      </c>
      <c r="AY142" s="135">
        <f>AY$3</f>
        <v>46189</v>
      </c>
      <c r="AZ142" s="136" t="s">
        <v>501</v>
      </c>
      <c r="BA142" s="137" t="s">
        <v>501</v>
      </c>
      <c r="BB142" s="135">
        <f>BB$3</f>
        <v>46190</v>
      </c>
      <c r="BC142" s="136" t="s">
        <v>501</v>
      </c>
      <c r="BD142" s="137" t="s">
        <v>501</v>
      </c>
      <c r="BE142" s="135">
        <f>BE$3</f>
        <v>46191</v>
      </c>
      <c r="BF142" s="136" t="s">
        <v>501</v>
      </c>
      <c r="BG142" s="137" t="s">
        <v>501</v>
      </c>
      <c r="BH142" s="135">
        <f>BH$3</f>
        <v>46192</v>
      </c>
      <c r="BI142" s="136" t="s">
        <v>501</v>
      </c>
      <c r="BJ142" s="137" t="s">
        <v>501</v>
      </c>
      <c r="BK142" s="135">
        <f>BK$3</f>
        <v>46193</v>
      </c>
      <c r="BL142" s="136" t="s">
        <v>501</v>
      </c>
      <c r="BM142" s="137" t="s">
        <v>501</v>
      </c>
      <c r="BN142" s="135"/>
      <c r="BO142" s="135">
        <f>BO$3</f>
        <v>46195</v>
      </c>
      <c r="BP142" s="136" t="s">
        <v>501</v>
      </c>
      <c r="BQ142" s="137" t="s">
        <v>501</v>
      </c>
      <c r="BR142" s="135">
        <f>BR$3</f>
        <v>46196</v>
      </c>
      <c r="BS142" s="136" t="s">
        <v>501</v>
      </c>
      <c r="BT142" s="137" t="s">
        <v>501</v>
      </c>
      <c r="BU142" s="135">
        <f>BU$3</f>
        <v>46197</v>
      </c>
      <c r="BV142" s="136" t="s">
        <v>501</v>
      </c>
      <c r="BW142" s="137" t="s">
        <v>501</v>
      </c>
      <c r="BX142" s="135">
        <f>BX$3</f>
        <v>46198</v>
      </c>
      <c r="BY142" s="136" t="s">
        <v>501</v>
      </c>
      <c r="BZ142" s="137" t="s">
        <v>501</v>
      </c>
      <c r="CA142" s="135">
        <f>CA$3</f>
        <v>46199</v>
      </c>
      <c r="CB142" s="136" t="s">
        <v>501</v>
      </c>
      <c r="CC142" s="137" t="s">
        <v>501</v>
      </c>
      <c r="CD142" s="135">
        <f>CD$3</f>
        <v>46200</v>
      </c>
      <c r="CE142" s="136" t="s">
        <v>501</v>
      </c>
      <c r="CF142" s="137" t="s">
        <v>501</v>
      </c>
      <c r="CG142" s="135"/>
      <c r="CH142" s="135">
        <f>CH$3</f>
        <v>46202</v>
      </c>
      <c r="CI142" s="148" t="s">
        <v>501</v>
      </c>
      <c r="CJ142" s="137" t="s">
        <v>501</v>
      </c>
      <c r="CK142" s="135">
        <f>CK$3</f>
        <v>46203</v>
      </c>
      <c r="CL142" s="136" t="s">
        <v>501</v>
      </c>
      <c r="CM142" s="137" t="s">
        <v>501</v>
      </c>
      <c r="CN142" s="135">
        <f>CN$3</f>
        <v>46204</v>
      </c>
      <c r="CO142" s="136" t="s">
        <v>501</v>
      </c>
      <c r="CP142" s="137" t="s">
        <v>501</v>
      </c>
      <c r="CQ142" s="135">
        <f>CQ$3</f>
        <v>46205</v>
      </c>
      <c r="CR142" s="136" t="s">
        <v>501</v>
      </c>
      <c r="CS142" s="137" t="s">
        <v>501</v>
      </c>
      <c r="CT142" s="135">
        <f>CT$3</f>
        <v>46206</v>
      </c>
      <c r="CU142" s="136" t="s">
        <v>501</v>
      </c>
      <c r="CV142" s="137" t="s">
        <v>501</v>
      </c>
      <c r="CW142" s="135">
        <f>CW$3</f>
        <v>46207</v>
      </c>
      <c r="CX142" s="136" t="s">
        <v>501</v>
      </c>
      <c r="CY142" s="137" t="s">
        <v>501</v>
      </c>
      <c r="CZ142" s="135"/>
      <c r="DA142" s="135">
        <f>DA$3</f>
        <v>46209</v>
      </c>
      <c r="DB142" s="136" t="s">
        <v>501</v>
      </c>
      <c r="DC142" s="137" t="s">
        <v>501</v>
      </c>
      <c r="DD142" s="135">
        <f>DD$3</f>
        <v>46210</v>
      </c>
      <c r="DE142" s="136" t="s">
        <v>501</v>
      </c>
      <c r="DF142" s="137" t="s">
        <v>501</v>
      </c>
      <c r="DG142" s="135">
        <f>DG$3</f>
        <v>46211</v>
      </c>
      <c r="DH142" s="136" t="s">
        <v>501</v>
      </c>
      <c r="DI142" s="137" t="s">
        <v>501</v>
      </c>
      <c r="DJ142" s="135">
        <f>DJ$3</f>
        <v>46212</v>
      </c>
      <c r="DK142" s="136" t="s">
        <v>501</v>
      </c>
      <c r="DL142" s="137" t="s">
        <v>501</v>
      </c>
      <c r="DM142" s="135">
        <f>DM$3</f>
        <v>46213</v>
      </c>
      <c r="DN142" s="136" t="s">
        <v>501</v>
      </c>
      <c r="DO142" s="137" t="s">
        <v>501</v>
      </c>
      <c r="DP142" s="135">
        <f>DP$3</f>
        <v>46214</v>
      </c>
      <c r="DQ142" s="136" t="s">
        <v>501</v>
      </c>
      <c r="DR142" s="137" t="s">
        <v>501</v>
      </c>
    </row>
    <row r="143" spans="1:122" outlineLevel="1">
      <c r="A143" s="122" t="str">
        <f>$A$113</f>
        <v>Vũ Thị Thêu</v>
      </c>
      <c r="B143" s="123" t="str">
        <f>'Bảng 3'!A356</f>
        <v>3.T.DAN.LVDN.KS.201</v>
      </c>
      <c r="C143" s="81" t="str">
        <f>IF($B143="","",INDEX('Bảng 3'!C:C,MATCH($B143,'Bảng 3'!$A:$A,0)))</f>
        <v>Quản lý BIM</v>
      </c>
      <c r="D143" s="81" t="str">
        <f>IF($B143="","",INDEX('Bảng 3'!D:D,MATCH($B143,'Bảng 3'!$A:$A,0)))</f>
        <v>T.DAN.LVDN.KS</v>
      </c>
      <c r="E143" s="81" t="str">
        <f>IF($B143="","",INDEX('Bảng 3'!E:E,MATCH($B143,'Bảng 3'!$A:$A,0)))</f>
        <v>KS JW Marriott- Làng Vân (Cao 9 tầng)</v>
      </c>
      <c r="F143" s="81" t="str">
        <f>IF($B143="","",INDEX('Bảng 3'!F:F,MATCH($B143,'Bảng 3'!$A:$A,0)))</f>
        <v>KC</v>
      </c>
      <c r="G143" s="81" t="str">
        <f>IF($B143="","",INDEX('Bảng 3'!G:G,MATCH($B143,'Bảng 3'!$A:$A,0)))</f>
        <v>Tạo lập mô hình BIM</v>
      </c>
      <c r="H143" s="121"/>
      <c r="I143" s="135"/>
      <c r="J143" s="135">
        <f>J$3</f>
        <v>46174</v>
      </c>
      <c r="K143" s="148" t="s">
        <v>501</v>
      </c>
      <c r="L143" s="168" t="s">
        <v>501</v>
      </c>
      <c r="M143" s="135">
        <f>M$3</f>
        <v>46175</v>
      </c>
      <c r="N143" s="148" t="s">
        <v>501</v>
      </c>
      <c r="O143" s="137" t="s">
        <v>501</v>
      </c>
      <c r="P143" s="135">
        <f>P$3</f>
        <v>46176</v>
      </c>
      <c r="Q143" s="136" t="s">
        <v>501</v>
      </c>
      <c r="R143" s="137" t="s">
        <v>501</v>
      </c>
      <c r="S143" s="135">
        <f>S$3</f>
        <v>46177</v>
      </c>
      <c r="T143" s="136" t="s">
        <v>501</v>
      </c>
      <c r="U143" s="137" t="s">
        <v>501</v>
      </c>
      <c r="V143" s="135">
        <f>V$3</f>
        <v>46178</v>
      </c>
      <c r="W143" s="136" t="s">
        <v>501</v>
      </c>
      <c r="X143" s="137" t="s">
        <v>501</v>
      </c>
      <c r="Y143" s="135">
        <f>Y$3</f>
        <v>46179</v>
      </c>
      <c r="Z143" s="136" t="s">
        <v>501</v>
      </c>
      <c r="AA143" s="137" t="s">
        <v>501</v>
      </c>
      <c r="AB143" s="135"/>
      <c r="AC143" s="135">
        <f>AC$3</f>
        <v>46181</v>
      </c>
      <c r="AD143" s="136" t="s">
        <v>501</v>
      </c>
      <c r="AE143" s="137" t="s">
        <v>501</v>
      </c>
      <c r="AF143" s="135">
        <f>AF$3</f>
        <v>46182</v>
      </c>
      <c r="AG143" s="136" t="s">
        <v>501</v>
      </c>
      <c r="AH143" s="137" t="s">
        <v>501</v>
      </c>
      <c r="AI143" s="135">
        <f>AI$3</f>
        <v>46183</v>
      </c>
      <c r="AJ143" s="136" t="s">
        <v>501</v>
      </c>
      <c r="AK143" s="137" t="s">
        <v>501</v>
      </c>
      <c r="AL143" s="135">
        <f>AL$3</f>
        <v>46184</v>
      </c>
      <c r="AM143" s="136" t="s">
        <v>501</v>
      </c>
      <c r="AN143" s="137" t="s">
        <v>501</v>
      </c>
      <c r="AO143" s="135">
        <f>AO$3</f>
        <v>46185</v>
      </c>
      <c r="AP143" s="136" t="s">
        <v>501</v>
      </c>
      <c r="AQ143" s="137" t="s">
        <v>501</v>
      </c>
      <c r="AR143" s="135">
        <f>AR$3</f>
        <v>46186</v>
      </c>
      <c r="AS143" s="136" t="s">
        <v>501</v>
      </c>
      <c r="AT143" s="137" t="s">
        <v>501</v>
      </c>
      <c r="AU143" s="135"/>
      <c r="AV143" s="135">
        <f>AV$3</f>
        <v>46188</v>
      </c>
      <c r="AW143" s="148" t="s">
        <v>501</v>
      </c>
      <c r="AX143" s="137" t="s">
        <v>501</v>
      </c>
      <c r="AY143" s="135">
        <f>AY$3</f>
        <v>46189</v>
      </c>
      <c r="AZ143" s="136" t="s">
        <v>501</v>
      </c>
      <c r="BA143" s="137" t="s">
        <v>501</v>
      </c>
      <c r="BB143" s="135">
        <f>BB$3</f>
        <v>46190</v>
      </c>
      <c r="BC143" s="136" t="s">
        <v>501</v>
      </c>
      <c r="BD143" s="137" t="s">
        <v>501</v>
      </c>
      <c r="BE143" s="135">
        <f>BE$3</f>
        <v>46191</v>
      </c>
      <c r="BF143" s="136" t="s">
        <v>501</v>
      </c>
      <c r="BG143" s="137" t="s">
        <v>501</v>
      </c>
      <c r="BH143" s="135">
        <f>BH$3</f>
        <v>46192</v>
      </c>
      <c r="BI143" s="136" t="s">
        <v>501</v>
      </c>
      <c r="BJ143" s="137" t="s">
        <v>501</v>
      </c>
      <c r="BK143" s="135">
        <f>BK$3</f>
        <v>46193</v>
      </c>
      <c r="BL143" s="136" t="s">
        <v>501</v>
      </c>
      <c r="BM143" s="137" t="s">
        <v>501</v>
      </c>
      <c r="BN143" s="135"/>
      <c r="BO143" s="135">
        <f>BO$3</f>
        <v>46195</v>
      </c>
      <c r="BP143" s="136" t="s">
        <v>501</v>
      </c>
      <c r="BQ143" s="137" t="s">
        <v>501</v>
      </c>
      <c r="BR143" s="135">
        <f>BR$3</f>
        <v>46196</v>
      </c>
      <c r="BS143" s="136" t="s">
        <v>501</v>
      </c>
      <c r="BT143" s="137" t="s">
        <v>501</v>
      </c>
      <c r="BU143" s="135">
        <f>BU$3</f>
        <v>46197</v>
      </c>
      <c r="BV143" s="136" t="s">
        <v>501</v>
      </c>
      <c r="BW143" s="137" t="s">
        <v>501</v>
      </c>
      <c r="BX143" s="135">
        <f>BX$3</f>
        <v>46198</v>
      </c>
      <c r="BY143" s="136" t="s">
        <v>501</v>
      </c>
      <c r="BZ143" s="137" t="s">
        <v>501</v>
      </c>
      <c r="CA143" s="135">
        <f>CA$3</f>
        <v>46199</v>
      </c>
      <c r="CB143" s="136" t="s">
        <v>501</v>
      </c>
      <c r="CC143" s="137" t="s">
        <v>501</v>
      </c>
      <c r="CD143" s="135">
        <f>CD$3</f>
        <v>46200</v>
      </c>
      <c r="CE143" s="136" t="s">
        <v>501</v>
      </c>
      <c r="CF143" s="137" t="s">
        <v>501</v>
      </c>
      <c r="CG143" s="135"/>
      <c r="CH143" s="135">
        <f>CH$3</f>
        <v>46202</v>
      </c>
      <c r="CI143" s="148" t="s">
        <v>501</v>
      </c>
      <c r="CJ143" s="137" t="s">
        <v>501</v>
      </c>
      <c r="CK143" s="135">
        <f>CK$3</f>
        <v>46203</v>
      </c>
      <c r="CL143" s="136" t="s">
        <v>501</v>
      </c>
      <c r="CM143" s="137" t="s">
        <v>501</v>
      </c>
      <c r="CN143" s="135">
        <f>CN$3</f>
        <v>46204</v>
      </c>
      <c r="CO143" s="136" t="s">
        <v>501</v>
      </c>
      <c r="CP143" s="137" t="s">
        <v>501</v>
      </c>
      <c r="CQ143" s="135">
        <f>CQ$3</f>
        <v>46205</v>
      </c>
      <c r="CR143" s="136" t="s">
        <v>501</v>
      </c>
      <c r="CS143" s="137" t="s">
        <v>501</v>
      </c>
      <c r="CT143" s="135">
        <f>CT$3</f>
        <v>46206</v>
      </c>
      <c r="CU143" s="136" t="s">
        <v>501</v>
      </c>
      <c r="CV143" s="137" t="s">
        <v>501</v>
      </c>
      <c r="CW143" s="135">
        <f>CW$3</f>
        <v>46207</v>
      </c>
      <c r="CX143" s="136" t="s">
        <v>501</v>
      </c>
      <c r="CY143" s="137" t="s">
        <v>501</v>
      </c>
      <c r="CZ143" s="135"/>
      <c r="DA143" s="135">
        <f>DA$3</f>
        <v>46209</v>
      </c>
      <c r="DB143" s="136" t="s">
        <v>501</v>
      </c>
      <c r="DC143" s="137" t="s">
        <v>501</v>
      </c>
      <c r="DD143" s="135">
        <f>DD$3</f>
        <v>46210</v>
      </c>
      <c r="DE143" s="136" t="s">
        <v>501</v>
      </c>
      <c r="DF143" s="137" t="s">
        <v>501</v>
      </c>
      <c r="DG143" s="135">
        <f>DG$3</f>
        <v>46211</v>
      </c>
      <c r="DH143" s="136" t="s">
        <v>501</v>
      </c>
      <c r="DI143" s="137" t="s">
        <v>501</v>
      </c>
      <c r="DJ143" s="135">
        <f>DJ$3</f>
        <v>46212</v>
      </c>
      <c r="DK143" s="136" t="s">
        <v>501</v>
      </c>
      <c r="DL143" s="137" t="s">
        <v>501</v>
      </c>
      <c r="DM143" s="135">
        <f>DM$3</f>
        <v>46213</v>
      </c>
      <c r="DN143" s="136" t="s">
        <v>501</v>
      </c>
      <c r="DO143" s="137" t="s">
        <v>501</v>
      </c>
      <c r="DP143" s="135">
        <f>DP$3</f>
        <v>46214</v>
      </c>
      <c r="DQ143" s="136" t="s">
        <v>501</v>
      </c>
      <c r="DR143" s="137" t="s">
        <v>501</v>
      </c>
    </row>
    <row r="144" spans="1:122" outlineLevel="1">
      <c r="A144" s="122" t="str">
        <f>$A$113</f>
        <v>Vũ Thị Thêu</v>
      </c>
      <c r="B144" s="123" t="str">
        <f>'Bảng 3'!A373</f>
        <v>3.T.KHO.VPNT.KSMN.103</v>
      </c>
      <c r="C144" s="81" t="str">
        <f>IF($B144="","",INDEX('Bảng 3'!C:C,MATCH($B144,'Bảng 3'!$A:$A,0)))</f>
        <v>Quản lý BIM</v>
      </c>
      <c r="D144" s="81" t="str">
        <f>IF($B144="","",INDEX('Bảng 3'!D:D,MATCH($B144,'Bảng 3'!$A:$A,0)))</f>
        <v>T.KHO.VPNT.KSMN</v>
      </c>
      <c r="E144" s="81" t="str">
        <f>IF($B144="","",INDEX('Bảng 3'!E:E,MATCH($B144,'Bảng 3'!$A:$A,0)))</f>
        <v>Mẫu M2</v>
      </c>
      <c r="F144" s="81" t="str">
        <f>IF($B144="","",INDEX('Bảng 3'!F:F,MATCH($B144,'Bảng 3'!$A:$A,0)))</f>
        <v>KT</v>
      </c>
      <c r="G144" s="81" t="str">
        <f>IF($B144="","",INDEX('Bảng 3'!G:G,MATCH($B144,'Bảng 3'!$A:$A,0)))</f>
        <v>KSCL mô hình BIM</v>
      </c>
      <c r="H144" s="121"/>
      <c r="I144" s="135"/>
      <c r="J144" s="135">
        <f>J$3</f>
        <v>46174</v>
      </c>
      <c r="K144" s="148" t="s">
        <v>501</v>
      </c>
      <c r="L144" s="168" t="s">
        <v>501</v>
      </c>
      <c r="M144" s="135">
        <f>M$3</f>
        <v>46175</v>
      </c>
      <c r="N144" s="148" t="s">
        <v>501</v>
      </c>
      <c r="O144" s="137" t="s">
        <v>501</v>
      </c>
      <c r="P144" s="135">
        <f>P$3</f>
        <v>46176</v>
      </c>
      <c r="Q144" s="136" t="s">
        <v>501</v>
      </c>
      <c r="R144" s="137" t="s">
        <v>501</v>
      </c>
      <c r="S144" s="135">
        <f>S$3</f>
        <v>46177</v>
      </c>
      <c r="T144" s="136" t="s">
        <v>501</v>
      </c>
      <c r="U144" s="137" t="s">
        <v>501</v>
      </c>
      <c r="V144" s="135">
        <f>V$3</f>
        <v>46178</v>
      </c>
      <c r="W144" s="136" t="s">
        <v>501</v>
      </c>
      <c r="X144" s="137" t="s">
        <v>501</v>
      </c>
      <c r="Y144" s="135">
        <f>Y$3</f>
        <v>46179</v>
      </c>
      <c r="Z144" s="136" t="s">
        <v>501</v>
      </c>
      <c r="AA144" s="137" t="s">
        <v>501</v>
      </c>
      <c r="AB144" s="135"/>
      <c r="AC144" s="135">
        <f>AC$3</f>
        <v>46181</v>
      </c>
      <c r="AD144" s="136" t="s">
        <v>501</v>
      </c>
      <c r="AE144" s="137" t="s">
        <v>501</v>
      </c>
      <c r="AF144" s="135">
        <f>AF$3</f>
        <v>46182</v>
      </c>
      <c r="AG144" s="136" t="s">
        <v>501</v>
      </c>
      <c r="AH144" s="137" t="s">
        <v>501</v>
      </c>
      <c r="AI144" s="135">
        <f>AI$3</f>
        <v>46183</v>
      </c>
      <c r="AJ144" s="136" t="s">
        <v>501</v>
      </c>
      <c r="AK144" s="137" t="s">
        <v>501</v>
      </c>
      <c r="AL144" s="135">
        <f>AL$3</f>
        <v>46184</v>
      </c>
      <c r="AM144" s="136" t="s">
        <v>501</v>
      </c>
      <c r="AN144" s="137" t="s">
        <v>501</v>
      </c>
      <c r="AO144" s="135">
        <f>AO$3</f>
        <v>46185</v>
      </c>
      <c r="AP144" s="136" t="s">
        <v>501</v>
      </c>
      <c r="AQ144" s="137" t="s">
        <v>501</v>
      </c>
      <c r="AR144" s="135">
        <f>AR$3</f>
        <v>46186</v>
      </c>
      <c r="AS144" s="136" t="s">
        <v>501</v>
      </c>
      <c r="AT144" s="137" t="s">
        <v>501</v>
      </c>
      <c r="AU144" s="135"/>
      <c r="AV144" s="135">
        <f>AV$3</f>
        <v>46188</v>
      </c>
      <c r="AW144" s="148" t="s">
        <v>501</v>
      </c>
      <c r="AX144" s="137" t="s">
        <v>501</v>
      </c>
      <c r="AY144" s="135">
        <f>AY$3</f>
        <v>46189</v>
      </c>
      <c r="AZ144" s="136" t="s">
        <v>501</v>
      </c>
      <c r="BA144" s="137" t="s">
        <v>501</v>
      </c>
      <c r="BB144" s="135">
        <f>BB$3</f>
        <v>46190</v>
      </c>
      <c r="BC144" s="136" t="s">
        <v>501</v>
      </c>
      <c r="BD144" s="137" t="s">
        <v>501</v>
      </c>
      <c r="BE144" s="135">
        <f>BE$3</f>
        <v>46191</v>
      </c>
      <c r="BF144" s="136" t="s">
        <v>501</v>
      </c>
      <c r="BG144" s="137" t="s">
        <v>501</v>
      </c>
      <c r="BH144" s="135">
        <f>BH$3</f>
        <v>46192</v>
      </c>
      <c r="BI144" s="136" t="s">
        <v>501</v>
      </c>
      <c r="BJ144" s="137" t="s">
        <v>501</v>
      </c>
      <c r="BK144" s="135">
        <f>BK$3</f>
        <v>46193</v>
      </c>
      <c r="BL144" s="136" t="s">
        <v>501</v>
      </c>
      <c r="BM144" s="137" t="s">
        <v>501</v>
      </c>
      <c r="BN144" s="135"/>
      <c r="BO144" s="135">
        <f>BO$3</f>
        <v>46195</v>
      </c>
      <c r="BP144" s="136" t="s">
        <v>501</v>
      </c>
      <c r="BQ144" s="137" t="s">
        <v>501</v>
      </c>
      <c r="BR144" s="135">
        <f>BR$3</f>
        <v>46196</v>
      </c>
      <c r="BS144" s="136" t="s">
        <v>501</v>
      </c>
      <c r="BT144" s="137" t="s">
        <v>501</v>
      </c>
      <c r="BU144" s="135">
        <f>BU$3</f>
        <v>46197</v>
      </c>
      <c r="BV144" s="136" t="s">
        <v>501</v>
      </c>
      <c r="BW144" s="137" t="s">
        <v>501</v>
      </c>
      <c r="BX144" s="135">
        <f>BX$3</f>
        <v>46198</v>
      </c>
      <c r="BY144" s="136" t="s">
        <v>501</v>
      </c>
      <c r="BZ144" s="137" t="s">
        <v>501</v>
      </c>
      <c r="CA144" s="135">
        <f>CA$3</f>
        <v>46199</v>
      </c>
      <c r="CB144" s="136" t="s">
        <v>501</v>
      </c>
      <c r="CC144" s="137" t="s">
        <v>501</v>
      </c>
      <c r="CD144" s="135">
        <f>CD$3</f>
        <v>46200</v>
      </c>
      <c r="CE144" s="136" t="s">
        <v>501</v>
      </c>
      <c r="CF144" s="137" t="s">
        <v>501</v>
      </c>
      <c r="CG144" s="135"/>
      <c r="CH144" s="135">
        <f>CH$3</f>
        <v>46202</v>
      </c>
      <c r="CI144" s="148" t="s">
        <v>501</v>
      </c>
      <c r="CJ144" s="137" t="s">
        <v>501</v>
      </c>
      <c r="CK144" s="135">
        <f>CK$3</f>
        <v>46203</v>
      </c>
      <c r="CL144" s="136" t="s">
        <v>501</v>
      </c>
      <c r="CM144" s="137" t="s">
        <v>501</v>
      </c>
      <c r="CN144" s="135">
        <f>CN$3</f>
        <v>46204</v>
      </c>
      <c r="CO144" s="136" t="s">
        <v>501</v>
      </c>
      <c r="CP144" s="137" t="s">
        <v>501</v>
      </c>
      <c r="CQ144" s="135">
        <f>CQ$3</f>
        <v>46205</v>
      </c>
      <c r="CR144" s="136" t="s">
        <v>501</v>
      </c>
      <c r="CS144" s="137" t="s">
        <v>501</v>
      </c>
      <c r="CT144" s="135">
        <f>CT$3</f>
        <v>46206</v>
      </c>
      <c r="CU144" s="136" t="s">
        <v>501</v>
      </c>
      <c r="CV144" s="137" t="s">
        <v>501</v>
      </c>
      <c r="CW144" s="135">
        <f>CW$3</f>
        <v>46207</v>
      </c>
      <c r="CX144" s="136" t="s">
        <v>501</v>
      </c>
      <c r="CY144" s="137" t="s">
        <v>501</v>
      </c>
      <c r="CZ144" s="135"/>
      <c r="DA144" s="135">
        <f>DA$3</f>
        <v>46209</v>
      </c>
      <c r="DB144" s="136" t="s">
        <v>501</v>
      </c>
      <c r="DC144" s="137" t="s">
        <v>501</v>
      </c>
      <c r="DD144" s="135">
        <f>DD$3</f>
        <v>46210</v>
      </c>
      <c r="DE144" s="136" t="s">
        <v>501</v>
      </c>
      <c r="DF144" s="137" t="s">
        <v>501</v>
      </c>
      <c r="DG144" s="135">
        <f>DG$3</f>
        <v>46211</v>
      </c>
      <c r="DH144" s="136" t="s">
        <v>501</v>
      </c>
      <c r="DI144" s="137" t="s">
        <v>501</v>
      </c>
      <c r="DJ144" s="135">
        <f>DJ$3</f>
        <v>46212</v>
      </c>
      <c r="DK144" s="136" t="s">
        <v>501</v>
      </c>
      <c r="DL144" s="137" t="s">
        <v>501</v>
      </c>
      <c r="DM144" s="135">
        <f>DM$3</f>
        <v>46213</v>
      </c>
      <c r="DN144" s="136" t="s">
        <v>501</v>
      </c>
      <c r="DO144" s="137" t="s">
        <v>501</v>
      </c>
      <c r="DP144" s="135">
        <f>DP$3</f>
        <v>46214</v>
      </c>
      <c r="DQ144" s="136" t="s">
        <v>501</v>
      </c>
      <c r="DR144" s="137" t="s">
        <v>501</v>
      </c>
    </row>
    <row r="145" spans="1:122" outlineLevel="1">
      <c r="A145" s="122" t="str">
        <f>$A$113</f>
        <v>Vũ Thị Thêu</v>
      </c>
      <c r="B145" s="123" t="str">
        <f>'Bảng 3'!A375</f>
        <v>3.T.KHO.VPNT.KSMN.202</v>
      </c>
      <c r="C145" s="81" t="str">
        <f>IF($B145="","",INDEX('Bảng 3'!C:C,MATCH($B145,'Bảng 3'!$A:$A,0)))</f>
        <v>Quản lý BIM</v>
      </c>
      <c r="D145" s="81" t="str">
        <f>IF($B145="","",INDEX('Bảng 3'!D:D,MATCH($B145,'Bảng 3'!$A:$A,0)))</f>
        <v>T.KHO.VPNT.KSMN</v>
      </c>
      <c r="E145" s="81" t="str">
        <f>IF($B145="","",INDEX('Bảng 3'!E:E,MATCH($B145,'Bảng 3'!$A:$A,0)))</f>
        <v>Mẫu M2</v>
      </c>
      <c r="F145" s="81" t="str">
        <f>IF($B145="","",INDEX('Bảng 3'!F:F,MATCH($B145,'Bảng 3'!$A:$A,0)))</f>
        <v>KC</v>
      </c>
      <c r="G145" s="81" t="str">
        <f>IF($B145="","",INDEX('Bảng 3'!G:G,MATCH($B145,'Bảng 3'!$A:$A,0)))</f>
        <v>KSCL mô hình BIM</v>
      </c>
      <c r="H145" s="121"/>
      <c r="I145" s="135"/>
      <c r="J145" s="135">
        <f>J$3</f>
        <v>46174</v>
      </c>
      <c r="K145" s="148" t="s">
        <v>501</v>
      </c>
      <c r="L145" s="168" t="s">
        <v>501</v>
      </c>
      <c r="M145" s="135">
        <f>M$3</f>
        <v>46175</v>
      </c>
      <c r="N145" s="148" t="s">
        <v>501</v>
      </c>
      <c r="O145" s="137" t="s">
        <v>501</v>
      </c>
      <c r="P145" s="135">
        <f>P$3</f>
        <v>46176</v>
      </c>
      <c r="Q145" s="136" t="s">
        <v>501</v>
      </c>
      <c r="R145" s="137" t="s">
        <v>501</v>
      </c>
      <c r="S145" s="135">
        <f>S$3</f>
        <v>46177</v>
      </c>
      <c r="T145" s="136" t="s">
        <v>501</v>
      </c>
      <c r="U145" s="137" t="s">
        <v>501</v>
      </c>
      <c r="V145" s="135">
        <f>V$3</f>
        <v>46178</v>
      </c>
      <c r="W145" s="136" t="s">
        <v>501</v>
      </c>
      <c r="X145" s="137" t="s">
        <v>501</v>
      </c>
      <c r="Y145" s="135">
        <f>Y$3</f>
        <v>46179</v>
      </c>
      <c r="Z145" s="136" t="s">
        <v>501</v>
      </c>
      <c r="AA145" s="137" t="s">
        <v>501</v>
      </c>
      <c r="AB145" s="135"/>
      <c r="AC145" s="135">
        <f>AC$3</f>
        <v>46181</v>
      </c>
      <c r="AD145" s="136" t="s">
        <v>501</v>
      </c>
      <c r="AE145" s="137" t="s">
        <v>501</v>
      </c>
      <c r="AF145" s="135">
        <f>AF$3</f>
        <v>46182</v>
      </c>
      <c r="AG145" s="136" t="s">
        <v>501</v>
      </c>
      <c r="AH145" s="137" t="s">
        <v>501</v>
      </c>
      <c r="AI145" s="135">
        <f>AI$3</f>
        <v>46183</v>
      </c>
      <c r="AJ145" s="136" t="s">
        <v>501</v>
      </c>
      <c r="AK145" s="137" t="s">
        <v>501</v>
      </c>
      <c r="AL145" s="135">
        <f>AL$3</f>
        <v>46184</v>
      </c>
      <c r="AM145" s="136" t="s">
        <v>501</v>
      </c>
      <c r="AN145" s="137" t="s">
        <v>501</v>
      </c>
      <c r="AO145" s="135">
        <f>AO$3</f>
        <v>46185</v>
      </c>
      <c r="AP145" s="136" t="s">
        <v>501</v>
      </c>
      <c r="AQ145" s="137" t="s">
        <v>501</v>
      </c>
      <c r="AR145" s="135">
        <f>AR$3</f>
        <v>46186</v>
      </c>
      <c r="AS145" s="136" t="s">
        <v>501</v>
      </c>
      <c r="AT145" s="137" t="s">
        <v>501</v>
      </c>
      <c r="AU145" s="135"/>
      <c r="AV145" s="135">
        <f>AV$3</f>
        <v>46188</v>
      </c>
      <c r="AW145" s="148" t="s">
        <v>501</v>
      </c>
      <c r="AX145" s="137" t="s">
        <v>501</v>
      </c>
      <c r="AY145" s="135">
        <f>AY$3</f>
        <v>46189</v>
      </c>
      <c r="AZ145" s="136" t="s">
        <v>501</v>
      </c>
      <c r="BA145" s="137" t="s">
        <v>501</v>
      </c>
      <c r="BB145" s="135">
        <f>BB$3</f>
        <v>46190</v>
      </c>
      <c r="BC145" s="136" t="s">
        <v>501</v>
      </c>
      <c r="BD145" s="137" t="s">
        <v>501</v>
      </c>
      <c r="BE145" s="135">
        <f>BE$3</f>
        <v>46191</v>
      </c>
      <c r="BF145" s="136" t="s">
        <v>501</v>
      </c>
      <c r="BG145" s="137" t="s">
        <v>501</v>
      </c>
      <c r="BH145" s="135">
        <f>BH$3</f>
        <v>46192</v>
      </c>
      <c r="BI145" s="136" t="s">
        <v>501</v>
      </c>
      <c r="BJ145" s="137" t="s">
        <v>501</v>
      </c>
      <c r="BK145" s="135">
        <f>BK$3</f>
        <v>46193</v>
      </c>
      <c r="BL145" s="136" t="s">
        <v>501</v>
      </c>
      <c r="BM145" s="137" t="s">
        <v>501</v>
      </c>
      <c r="BN145" s="135"/>
      <c r="BO145" s="135">
        <f>BO$3</f>
        <v>46195</v>
      </c>
      <c r="BP145" s="136" t="s">
        <v>501</v>
      </c>
      <c r="BQ145" s="137" t="s">
        <v>501</v>
      </c>
      <c r="BR145" s="135">
        <f>BR$3</f>
        <v>46196</v>
      </c>
      <c r="BS145" s="136" t="s">
        <v>501</v>
      </c>
      <c r="BT145" s="137" t="s">
        <v>501</v>
      </c>
      <c r="BU145" s="135">
        <f>BU$3</f>
        <v>46197</v>
      </c>
      <c r="BV145" s="136" t="s">
        <v>501</v>
      </c>
      <c r="BW145" s="137" t="s">
        <v>501</v>
      </c>
      <c r="BX145" s="135">
        <f>BX$3</f>
        <v>46198</v>
      </c>
      <c r="BY145" s="136" t="s">
        <v>501</v>
      </c>
      <c r="BZ145" s="137" t="s">
        <v>501</v>
      </c>
      <c r="CA145" s="135">
        <f>CA$3</f>
        <v>46199</v>
      </c>
      <c r="CB145" s="136" t="s">
        <v>501</v>
      </c>
      <c r="CC145" s="137" t="s">
        <v>501</v>
      </c>
      <c r="CD145" s="135">
        <f>CD$3</f>
        <v>46200</v>
      </c>
      <c r="CE145" s="136" t="s">
        <v>501</v>
      </c>
      <c r="CF145" s="137" t="s">
        <v>501</v>
      </c>
      <c r="CG145" s="135"/>
      <c r="CH145" s="135">
        <f>CH$3</f>
        <v>46202</v>
      </c>
      <c r="CI145" s="148" t="s">
        <v>501</v>
      </c>
      <c r="CJ145" s="137" t="s">
        <v>501</v>
      </c>
      <c r="CK145" s="135">
        <f>CK$3</f>
        <v>46203</v>
      </c>
      <c r="CL145" s="136" t="s">
        <v>501</v>
      </c>
      <c r="CM145" s="137" t="s">
        <v>501</v>
      </c>
      <c r="CN145" s="135">
        <f>CN$3</f>
        <v>46204</v>
      </c>
      <c r="CO145" s="136" t="s">
        <v>501</v>
      </c>
      <c r="CP145" s="137" t="s">
        <v>501</v>
      </c>
      <c r="CQ145" s="135">
        <f>CQ$3</f>
        <v>46205</v>
      </c>
      <c r="CR145" s="136" t="s">
        <v>501</v>
      </c>
      <c r="CS145" s="137" t="s">
        <v>501</v>
      </c>
      <c r="CT145" s="135">
        <f>CT$3</f>
        <v>46206</v>
      </c>
      <c r="CU145" s="136" t="s">
        <v>501</v>
      </c>
      <c r="CV145" s="137" t="s">
        <v>501</v>
      </c>
      <c r="CW145" s="135">
        <f>CW$3</f>
        <v>46207</v>
      </c>
      <c r="CX145" s="136" t="s">
        <v>501</v>
      </c>
      <c r="CY145" s="137" t="s">
        <v>501</v>
      </c>
      <c r="CZ145" s="135"/>
      <c r="DA145" s="135">
        <f>DA$3</f>
        <v>46209</v>
      </c>
      <c r="DB145" s="136" t="s">
        <v>501</v>
      </c>
      <c r="DC145" s="137" t="s">
        <v>501</v>
      </c>
      <c r="DD145" s="135">
        <f>DD$3</f>
        <v>46210</v>
      </c>
      <c r="DE145" s="136" t="s">
        <v>501</v>
      </c>
      <c r="DF145" s="137" t="s">
        <v>501</v>
      </c>
      <c r="DG145" s="135">
        <f>DG$3</f>
        <v>46211</v>
      </c>
      <c r="DH145" s="136" t="s">
        <v>501</v>
      </c>
      <c r="DI145" s="137" t="s">
        <v>501</v>
      </c>
      <c r="DJ145" s="135">
        <f>DJ$3</f>
        <v>46212</v>
      </c>
      <c r="DK145" s="136" t="s">
        <v>501</v>
      </c>
      <c r="DL145" s="137" t="s">
        <v>501</v>
      </c>
      <c r="DM145" s="135">
        <f>DM$3</f>
        <v>46213</v>
      </c>
      <c r="DN145" s="136" t="s">
        <v>501</v>
      </c>
      <c r="DO145" s="137" t="s">
        <v>501</v>
      </c>
      <c r="DP145" s="135">
        <f>DP$3</f>
        <v>46214</v>
      </c>
      <c r="DQ145" s="136" t="s">
        <v>501</v>
      </c>
      <c r="DR145" s="137" t="s">
        <v>501</v>
      </c>
    </row>
    <row r="146" spans="1:122" outlineLevel="1">
      <c r="A146" s="122" t="str">
        <f>$A$113</f>
        <v>Vũ Thị Thêu</v>
      </c>
      <c r="B146" s="82"/>
      <c r="C146" s="81" t="str">
        <f>IF($B146="","",INDEX('Bảng 3'!C:C,MATCH($B146,'Bảng 3'!$A:$A,0)))</f>
        <v/>
      </c>
      <c r="D146" s="81" t="str">
        <f>IF($B146="","",INDEX('Bảng 3'!D:D,MATCH($B146,'Bảng 3'!$A:$A,0)))</f>
        <v/>
      </c>
      <c r="E146" s="81" t="str">
        <f>IF($B146="","",INDEX('Bảng 3'!E:E,MATCH($B146,'Bảng 3'!$A:$A,0)))</f>
        <v/>
      </c>
      <c r="F146" s="81" t="str">
        <f>IF($B146="","",INDEX('Bảng 3'!F:F,MATCH($B146,'Bảng 3'!$A:$A,0)))</f>
        <v/>
      </c>
      <c r="G146" s="81" t="str">
        <f>IF($B146="","",INDEX('Bảng 3'!G:G,MATCH($B146,'Bảng 3'!$A:$A,0)))</f>
        <v/>
      </c>
      <c r="H146" s="121"/>
      <c r="I146" s="135"/>
      <c r="J146" s="135">
        <f>J$3</f>
        <v>46174</v>
      </c>
      <c r="K146" s="148" t="s">
        <v>501</v>
      </c>
      <c r="L146" s="168" t="s">
        <v>501</v>
      </c>
      <c r="M146" s="135">
        <f>M$3</f>
        <v>46175</v>
      </c>
      <c r="N146" s="148" t="s">
        <v>501</v>
      </c>
      <c r="O146" s="137" t="s">
        <v>501</v>
      </c>
      <c r="P146" s="135">
        <f>P$3</f>
        <v>46176</v>
      </c>
      <c r="Q146" s="136" t="s">
        <v>501</v>
      </c>
      <c r="R146" s="137" t="s">
        <v>501</v>
      </c>
      <c r="S146" s="135">
        <f>S$3</f>
        <v>46177</v>
      </c>
      <c r="T146" s="136" t="s">
        <v>501</v>
      </c>
      <c r="U146" s="137" t="s">
        <v>501</v>
      </c>
      <c r="V146" s="135">
        <f>V$3</f>
        <v>46178</v>
      </c>
      <c r="W146" s="136" t="s">
        <v>501</v>
      </c>
      <c r="X146" s="137" t="s">
        <v>501</v>
      </c>
      <c r="Y146" s="135">
        <f>Y$3</f>
        <v>46179</v>
      </c>
      <c r="Z146" s="136" t="s">
        <v>501</v>
      </c>
      <c r="AA146" s="137" t="s">
        <v>501</v>
      </c>
      <c r="AB146" s="135"/>
      <c r="AC146" s="135">
        <f>AC$3</f>
        <v>46181</v>
      </c>
      <c r="AD146" s="136" t="s">
        <v>501</v>
      </c>
      <c r="AE146" s="137" t="s">
        <v>501</v>
      </c>
      <c r="AF146" s="135">
        <f>AF$3</f>
        <v>46182</v>
      </c>
      <c r="AG146" s="136" t="s">
        <v>501</v>
      </c>
      <c r="AH146" s="137" t="s">
        <v>501</v>
      </c>
      <c r="AI146" s="135">
        <f>AI$3</f>
        <v>46183</v>
      </c>
      <c r="AJ146" s="136" t="s">
        <v>501</v>
      </c>
      <c r="AK146" s="137" t="s">
        <v>501</v>
      </c>
      <c r="AL146" s="135">
        <f>AL$3</f>
        <v>46184</v>
      </c>
      <c r="AM146" s="136" t="s">
        <v>501</v>
      </c>
      <c r="AN146" s="137" t="s">
        <v>501</v>
      </c>
      <c r="AO146" s="135">
        <f>AO$3</f>
        <v>46185</v>
      </c>
      <c r="AP146" s="136" t="s">
        <v>501</v>
      </c>
      <c r="AQ146" s="137" t="s">
        <v>501</v>
      </c>
      <c r="AR146" s="135">
        <f>AR$3</f>
        <v>46186</v>
      </c>
      <c r="AS146" s="136" t="s">
        <v>501</v>
      </c>
      <c r="AT146" s="137" t="s">
        <v>501</v>
      </c>
      <c r="AU146" s="135"/>
      <c r="AV146" s="135">
        <f>AV$3</f>
        <v>46188</v>
      </c>
      <c r="AW146" s="148" t="s">
        <v>501</v>
      </c>
      <c r="AX146" s="137" t="s">
        <v>501</v>
      </c>
      <c r="AY146" s="135">
        <f>AY$3</f>
        <v>46189</v>
      </c>
      <c r="AZ146" s="136" t="s">
        <v>501</v>
      </c>
      <c r="BA146" s="137" t="s">
        <v>501</v>
      </c>
      <c r="BB146" s="135">
        <f>BB$3</f>
        <v>46190</v>
      </c>
      <c r="BC146" s="136" t="s">
        <v>501</v>
      </c>
      <c r="BD146" s="137" t="s">
        <v>501</v>
      </c>
      <c r="BE146" s="135">
        <f>BE$3</f>
        <v>46191</v>
      </c>
      <c r="BF146" s="136" t="s">
        <v>501</v>
      </c>
      <c r="BG146" s="137" t="s">
        <v>501</v>
      </c>
      <c r="BH146" s="135">
        <f>BH$3</f>
        <v>46192</v>
      </c>
      <c r="BI146" s="136" t="s">
        <v>501</v>
      </c>
      <c r="BJ146" s="137" t="s">
        <v>501</v>
      </c>
      <c r="BK146" s="135">
        <f>BK$3</f>
        <v>46193</v>
      </c>
      <c r="BL146" s="136" t="s">
        <v>501</v>
      </c>
      <c r="BM146" s="137" t="s">
        <v>501</v>
      </c>
      <c r="BN146" s="135"/>
      <c r="BO146" s="135">
        <f>BO$3</f>
        <v>46195</v>
      </c>
      <c r="BP146" s="136" t="s">
        <v>501</v>
      </c>
      <c r="BQ146" s="137" t="s">
        <v>501</v>
      </c>
      <c r="BR146" s="135">
        <f>BR$3</f>
        <v>46196</v>
      </c>
      <c r="BS146" s="136" t="s">
        <v>501</v>
      </c>
      <c r="BT146" s="137" t="s">
        <v>501</v>
      </c>
      <c r="BU146" s="135">
        <f>BU$3</f>
        <v>46197</v>
      </c>
      <c r="BV146" s="136" t="s">
        <v>501</v>
      </c>
      <c r="BW146" s="137" t="s">
        <v>501</v>
      </c>
      <c r="BX146" s="135">
        <f>BX$3</f>
        <v>46198</v>
      </c>
      <c r="BY146" s="136" t="s">
        <v>501</v>
      </c>
      <c r="BZ146" s="137" t="s">
        <v>501</v>
      </c>
      <c r="CA146" s="135">
        <f>CA$3</f>
        <v>46199</v>
      </c>
      <c r="CB146" s="136" t="s">
        <v>501</v>
      </c>
      <c r="CC146" s="137" t="s">
        <v>501</v>
      </c>
      <c r="CD146" s="135">
        <f>CD$3</f>
        <v>46200</v>
      </c>
      <c r="CE146" s="136" t="s">
        <v>501</v>
      </c>
      <c r="CF146" s="137" t="s">
        <v>501</v>
      </c>
      <c r="CG146" s="135"/>
      <c r="CH146" s="135">
        <f>CH$3</f>
        <v>46202</v>
      </c>
      <c r="CI146" s="148" t="s">
        <v>501</v>
      </c>
      <c r="CJ146" s="137" t="s">
        <v>501</v>
      </c>
      <c r="CK146" s="135">
        <f>CK$3</f>
        <v>46203</v>
      </c>
      <c r="CL146" s="136" t="s">
        <v>501</v>
      </c>
      <c r="CM146" s="137" t="s">
        <v>501</v>
      </c>
      <c r="CN146" s="135">
        <f>CN$3</f>
        <v>46204</v>
      </c>
      <c r="CO146" s="136" t="s">
        <v>501</v>
      </c>
      <c r="CP146" s="137" t="s">
        <v>501</v>
      </c>
      <c r="CQ146" s="135">
        <f>CQ$3</f>
        <v>46205</v>
      </c>
      <c r="CR146" s="136" t="s">
        <v>501</v>
      </c>
      <c r="CS146" s="137" t="s">
        <v>501</v>
      </c>
      <c r="CT146" s="135">
        <f>CT$3</f>
        <v>46206</v>
      </c>
      <c r="CU146" s="136" t="s">
        <v>501</v>
      </c>
      <c r="CV146" s="137" t="s">
        <v>501</v>
      </c>
      <c r="CW146" s="135">
        <f>CW$3</f>
        <v>46207</v>
      </c>
      <c r="CX146" s="136" t="s">
        <v>501</v>
      </c>
      <c r="CY146" s="137" t="s">
        <v>501</v>
      </c>
      <c r="CZ146" s="135"/>
      <c r="DA146" s="135">
        <f>DA$3</f>
        <v>46209</v>
      </c>
      <c r="DB146" s="136" t="s">
        <v>501</v>
      </c>
      <c r="DC146" s="137" t="s">
        <v>501</v>
      </c>
      <c r="DD146" s="135">
        <f>DD$3</f>
        <v>46210</v>
      </c>
      <c r="DE146" s="136" t="s">
        <v>501</v>
      </c>
      <c r="DF146" s="137" t="s">
        <v>501</v>
      </c>
      <c r="DG146" s="135">
        <f>DG$3</f>
        <v>46211</v>
      </c>
      <c r="DH146" s="136" t="s">
        <v>501</v>
      </c>
      <c r="DI146" s="137" t="s">
        <v>501</v>
      </c>
      <c r="DJ146" s="135">
        <f>DJ$3</f>
        <v>46212</v>
      </c>
      <c r="DK146" s="136" t="s">
        <v>501</v>
      </c>
      <c r="DL146" s="137" t="s">
        <v>501</v>
      </c>
      <c r="DM146" s="135">
        <f>DM$3</f>
        <v>46213</v>
      </c>
      <c r="DN146" s="136" t="s">
        <v>501</v>
      </c>
      <c r="DO146" s="137" t="s">
        <v>501</v>
      </c>
      <c r="DP146" s="135">
        <f>DP$3</f>
        <v>46214</v>
      </c>
      <c r="DQ146" s="136" t="s">
        <v>501</v>
      </c>
      <c r="DR146" s="137" t="s">
        <v>501</v>
      </c>
    </row>
    <row r="147" spans="1:122" outlineLevel="1">
      <c r="A147" s="122" t="str">
        <f>$A$113</f>
        <v>Vũ Thị Thêu</v>
      </c>
      <c r="B147" s="82"/>
      <c r="C147" s="81" t="str">
        <f>IF($B147="","",INDEX('Bảng 3'!C:C,MATCH($B147,'Bảng 3'!$A:$A,0)))</f>
        <v/>
      </c>
      <c r="D147" s="81" t="str">
        <f>IF($B147="","",INDEX('Bảng 3'!D:D,MATCH($B147,'Bảng 3'!$A:$A,0)))</f>
        <v/>
      </c>
      <c r="E147" s="81" t="str">
        <f>IF($B147="","",INDEX('Bảng 3'!E:E,MATCH($B147,'Bảng 3'!$A:$A,0)))</f>
        <v/>
      </c>
      <c r="F147" s="81" t="str">
        <f>IF($B147="","",INDEX('Bảng 3'!F:F,MATCH($B147,'Bảng 3'!$A:$A,0)))</f>
        <v/>
      </c>
      <c r="G147" s="81" t="str">
        <f>IF($B147="","",INDEX('Bảng 3'!G:G,MATCH($B147,'Bảng 3'!$A:$A,0)))</f>
        <v/>
      </c>
      <c r="H147" s="121"/>
      <c r="I147" s="135"/>
      <c r="J147" s="135">
        <f>J$3</f>
        <v>46174</v>
      </c>
      <c r="K147" s="148" t="s">
        <v>501</v>
      </c>
      <c r="L147" s="168" t="s">
        <v>501</v>
      </c>
      <c r="M147" s="135">
        <f>M$3</f>
        <v>46175</v>
      </c>
      <c r="N147" s="148" t="s">
        <v>501</v>
      </c>
      <c r="O147" s="137" t="s">
        <v>501</v>
      </c>
      <c r="P147" s="135">
        <f>P$3</f>
        <v>46176</v>
      </c>
      <c r="Q147" s="136" t="s">
        <v>501</v>
      </c>
      <c r="R147" s="137" t="s">
        <v>501</v>
      </c>
      <c r="S147" s="135">
        <f>S$3</f>
        <v>46177</v>
      </c>
      <c r="T147" s="136" t="s">
        <v>501</v>
      </c>
      <c r="U147" s="137" t="s">
        <v>501</v>
      </c>
      <c r="V147" s="135">
        <f>V$3</f>
        <v>46178</v>
      </c>
      <c r="W147" s="136" t="s">
        <v>501</v>
      </c>
      <c r="X147" s="137" t="s">
        <v>501</v>
      </c>
      <c r="Y147" s="135">
        <f>Y$3</f>
        <v>46179</v>
      </c>
      <c r="Z147" s="136" t="s">
        <v>501</v>
      </c>
      <c r="AA147" s="137" t="s">
        <v>501</v>
      </c>
      <c r="AB147" s="135"/>
      <c r="AC147" s="135">
        <f>AC$3</f>
        <v>46181</v>
      </c>
      <c r="AD147" s="136" t="s">
        <v>501</v>
      </c>
      <c r="AE147" s="137" t="s">
        <v>501</v>
      </c>
      <c r="AF147" s="135">
        <f>AF$3</f>
        <v>46182</v>
      </c>
      <c r="AG147" s="136" t="s">
        <v>501</v>
      </c>
      <c r="AH147" s="137" t="s">
        <v>501</v>
      </c>
      <c r="AI147" s="135">
        <f>AI$3</f>
        <v>46183</v>
      </c>
      <c r="AJ147" s="136" t="s">
        <v>501</v>
      </c>
      <c r="AK147" s="137" t="s">
        <v>501</v>
      </c>
      <c r="AL147" s="135">
        <f>AL$3</f>
        <v>46184</v>
      </c>
      <c r="AM147" s="136" t="s">
        <v>501</v>
      </c>
      <c r="AN147" s="137" t="s">
        <v>501</v>
      </c>
      <c r="AO147" s="135">
        <f>AO$3</f>
        <v>46185</v>
      </c>
      <c r="AP147" s="136" t="s">
        <v>501</v>
      </c>
      <c r="AQ147" s="137" t="s">
        <v>501</v>
      </c>
      <c r="AR147" s="135">
        <f>AR$3</f>
        <v>46186</v>
      </c>
      <c r="AS147" s="136" t="s">
        <v>501</v>
      </c>
      <c r="AT147" s="137" t="s">
        <v>501</v>
      </c>
      <c r="AU147" s="135"/>
      <c r="AV147" s="135">
        <f>AV$3</f>
        <v>46188</v>
      </c>
      <c r="AW147" s="148" t="s">
        <v>501</v>
      </c>
      <c r="AX147" s="137" t="s">
        <v>501</v>
      </c>
      <c r="AY147" s="135">
        <f>AY$3</f>
        <v>46189</v>
      </c>
      <c r="AZ147" s="136" t="s">
        <v>501</v>
      </c>
      <c r="BA147" s="137" t="s">
        <v>501</v>
      </c>
      <c r="BB147" s="135">
        <f>BB$3</f>
        <v>46190</v>
      </c>
      <c r="BC147" s="136" t="s">
        <v>501</v>
      </c>
      <c r="BD147" s="137" t="s">
        <v>501</v>
      </c>
      <c r="BE147" s="135">
        <f>BE$3</f>
        <v>46191</v>
      </c>
      <c r="BF147" s="136" t="s">
        <v>501</v>
      </c>
      <c r="BG147" s="137" t="s">
        <v>501</v>
      </c>
      <c r="BH147" s="135">
        <f>BH$3</f>
        <v>46192</v>
      </c>
      <c r="BI147" s="136" t="s">
        <v>501</v>
      </c>
      <c r="BJ147" s="137" t="s">
        <v>501</v>
      </c>
      <c r="BK147" s="135">
        <f>BK$3</f>
        <v>46193</v>
      </c>
      <c r="BL147" s="136" t="s">
        <v>501</v>
      </c>
      <c r="BM147" s="137" t="s">
        <v>501</v>
      </c>
      <c r="BN147" s="135"/>
      <c r="BO147" s="135">
        <f>BO$3</f>
        <v>46195</v>
      </c>
      <c r="BP147" s="136" t="s">
        <v>501</v>
      </c>
      <c r="BQ147" s="137" t="s">
        <v>501</v>
      </c>
      <c r="BR147" s="135">
        <f>BR$3</f>
        <v>46196</v>
      </c>
      <c r="BS147" s="136" t="s">
        <v>501</v>
      </c>
      <c r="BT147" s="137" t="s">
        <v>501</v>
      </c>
      <c r="BU147" s="135">
        <f>BU$3</f>
        <v>46197</v>
      </c>
      <c r="BV147" s="136" t="s">
        <v>501</v>
      </c>
      <c r="BW147" s="137" t="s">
        <v>501</v>
      </c>
      <c r="BX147" s="135">
        <f>BX$3</f>
        <v>46198</v>
      </c>
      <c r="BY147" s="136" t="s">
        <v>501</v>
      </c>
      <c r="BZ147" s="137" t="s">
        <v>501</v>
      </c>
      <c r="CA147" s="135">
        <f>CA$3</f>
        <v>46199</v>
      </c>
      <c r="CB147" s="136" t="s">
        <v>501</v>
      </c>
      <c r="CC147" s="137" t="s">
        <v>501</v>
      </c>
      <c r="CD147" s="135">
        <f>CD$3</f>
        <v>46200</v>
      </c>
      <c r="CE147" s="136" t="s">
        <v>501</v>
      </c>
      <c r="CF147" s="137" t="s">
        <v>501</v>
      </c>
      <c r="CG147" s="135"/>
      <c r="CH147" s="135">
        <f>CH$3</f>
        <v>46202</v>
      </c>
      <c r="CI147" s="148" t="s">
        <v>501</v>
      </c>
      <c r="CJ147" s="137" t="s">
        <v>501</v>
      </c>
      <c r="CK147" s="135">
        <f>CK$3</f>
        <v>46203</v>
      </c>
      <c r="CL147" s="136" t="s">
        <v>501</v>
      </c>
      <c r="CM147" s="137" t="s">
        <v>501</v>
      </c>
      <c r="CN147" s="135">
        <f>CN$3</f>
        <v>46204</v>
      </c>
      <c r="CO147" s="136" t="s">
        <v>501</v>
      </c>
      <c r="CP147" s="137" t="s">
        <v>501</v>
      </c>
      <c r="CQ147" s="135">
        <f>CQ$3</f>
        <v>46205</v>
      </c>
      <c r="CR147" s="136" t="s">
        <v>501</v>
      </c>
      <c r="CS147" s="137" t="s">
        <v>501</v>
      </c>
      <c r="CT147" s="135">
        <f>CT$3</f>
        <v>46206</v>
      </c>
      <c r="CU147" s="136" t="s">
        <v>501</v>
      </c>
      <c r="CV147" s="137" t="s">
        <v>501</v>
      </c>
      <c r="CW147" s="135">
        <f>CW$3</f>
        <v>46207</v>
      </c>
      <c r="CX147" s="136" t="s">
        <v>501</v>
      </c>
      <c r="CY147" s="137" t="s">
        <v>501</v>
      </c>
      <c r="CZ147" s="135"/>
      <c r="DA147" s="135">
        <f>DA$3</f>
        <v>46209</v>
      </c>
      <c r="DB147" s="136" t="s">
        <v>501</v>
      </c>
      <c r="DC147" s="137" t="s">
        <v>501</v>
      </c>
      <c r="DD147" s="135">
        <f>DD$3</f>
        <v>46210</v>
      </c>
      <c r="DE147" s="136" t="s">
        <v>501</v>
      </c>
      <c r="DF147" s="137" t="s">
        <v>501</v>
      </c>
      <c r="DG147" s="135">
        <f>DG$3</f>
        <v>46211</v>
      </c>
      <c r="DH147" s="136" t="s">
        <v>501</v>
      </c>
      <c r="DI147" s="137" t="s">
        <v>501</v>
      </c>
      <c r="DJ147" s="135">
        <f>DJ$3</f>
        <v>46212</v>
      </c>
      <c r="DK147" s="136" t="s">
        <v>501</v>
      </c>
      <c r="DL147" s="137" t="s">
        <v>501</v>
      </c>
      <c r="DM147" s="135">
        <f>DM$3</f>
        <v>46213</v>
      </c>
      <c r="DN147" s="136" t="s">
        <v>501</v>
      </c>
      <c r="DO147" s="137" t="s">
        <v>501</v>
      </c>
      <c r="DP147" s="135">
        <f>DP$3</f>
        <v>46214</v>
      </c>
      <c r="DQ147" s="136" t="s">
        <v>501</v>
      </c>
      <c r="DR147" s="137" t="s">
        <v>501</v>
      </c>
    </row>
    <row r="148" spans="1:122" outlineLevel="1">
      <c r="A148" s="122" t="str">
        <f>$A$113</f>
        <v>Vũ Thị Thêu</v>
      </c>
      <c r="B148" s="82"/>
      <c r="C148" s="81" t="str">
        <f>IF($B148="","",INDEX('Bảng 3'!C:C,MATCH($B148,'Bảng 3'!$A:$A,0)))</f>
        <v/>
      </c>
      <c r="D148" s="81" t="str">
        <f>IF($B148="","",INDEX('Bảng 3'!D:D,MATCH($B148,'Bảng 3'!$A:$A,0)))</f>
        <v/>
      </c>
      <c r="E148" s="81" t="str">
        <f>IF($B148="","",INDEX('Bảng 3'!E:E,MATCH($B148,'Bảng 3'!$A:$A,0)))</f>
        <v/>
      </c>
      <c r="F148" s="81" t="str">
        <f>IF($B148="","",INDEX('Bảng 3'!F:F,MATCH($B148,'Bảng 3'!$A:$A,0)))</f>
        <v/>
      </c>
      <c r="G148" s="81" t="str">
        <f>IF($B148="","",INDEX('Bảng 3'!G:G,MATCH($B148,'Bảng 3'!$A:$A,0)))</f>
        <v/>
      </c>
      <c r="H148" s="121"/>
      <c r="I148" s="135"/>
      <c r="J148" s="135">
        <f>J$3</f>
        <v>46174</v>
      </c>
      <c r="K148" s="148" t="s">
        <v>501</v>
      </c>
      <c r="L148" s="168" t="s">
        <v>501</v>
      </c>
      <c r="M148" s="135">
        <f>M$3</f>
        <v>46175</v>
      </c>
      <c r="N148" s="148" t="s">
        <v>501</v>
      </c>
      <c r="O148" s="137" t="s">
        <v>501</v>
      </c>
      <c r="P148" s="135">
        <f>P$3</f>
        <v>46176</v>
      </c>
      <c r="Q148" s="136" t="s">
        <v>501</v>
      </c>
      <c r="R148" s="137" t="s">
        <v>501</v>
      </c>
      <c r="S148" s="135">
        <f>S$3</f>
        <v>46177</v>
      </c>
      <c r="T148" s="136" t="s">
        <v>501</v>
      </c>
      <c r="U148" s="137" t="s">
        <v>501</v>
      </c>
      <c r="V148" s="135">
        <f>V$3</f>
        <v>46178</v>
      </c>
      <c r="W148" s="136" t="s">
        <v>501</v>
      </c>
      <c r="X148" s="137" t="s">
        <v>501</v>
      </c>
      <c r="Y148" s="135">
        <f>Y$3</f>
        <v>46179</v>
      </c>
      <c r="Z148" s="136" t="s">
        <v>501</v>
      </c>
      <c r="AA148" s="137" t="s">
        <v>501</v>
      </c>
      <c r="AB148" s="135"/>
      <c r="AC148" s="135">
        <f>AC$3</f>
        <v>46181</v>
      </c>
      <c r="AD148" s="136" t="s">
        <v>501</v>
      </c>
      <c r="AE148" s="137" t="s">
        <v>501</v>
      </c>
      <c r="AF148" s="135">
        <f>AF$3</f>
        <v>46182</v>
      </c>
      <c r="AG148" s="136" t="s">
        <v>501</v>
      </c>
      <c r="AH148" s="137" t="s">
        <v>501</v>
      </c>
      <c r="AI148" s="135">
        <f>AI$3</f>
        <v>46183</v>
      </c>
      <c r="AJ148" s="136" t="s">
        <v>501</v>
      </c>
      <c r="AK148" s="137" t="s">
        <v>501</v>
      </c>
      <c r="AL148" s="135">
        <f>AL$3</f>
        <v>46184</v>
      </c>
      <c r="AM148" s="136" t="s">
        <v>501</v>
      </c>
      <c r="AN148" s="137" t="s">
        <v>501</v>
      </c>
      <c r="AO148" s="135">
        <f>AO$3</f>
        <v>46185</v>
      </c>
      <c r="AP148" s="136" t="s">
        <v>501</v>
      </c>
      <c r="AQ148" s="137" t="s">
        <v>501</v>
      </c>
      <c r="AR148" s="135">
        <f>AR$3</f>
        <v>46186</v>
      </c>
      <c r="AS148" s="136" t="s">
        <v>501</v>
      </c>
      <c r="AT148" s="137" t="s">
        <v>501</v>
      </c>
      <c r="AU148" s="135"/>
      <c r="AV148" s="135">
        <f>AV$3</f>
        <v>46188</v>
      </c>
      <c r="AW148" s="148" t="s">
        <v>501</v>
      </c>
      <c r="AX148" s="137" t="s">
        <v>501</v>
      </c>
      <c r="AY148" s="135">
        <f>AY$3</f>
        <v>46189</v>
      </c>
      <c r="AZ148" s="136" t="s">
        <v>501</v>
      </c>
      <c r="BA148" s="137" t="s">
        <v>501</v>
      </c>
      <c r="BB148" s="135">
        <f>BB$3</f>
        <v>46190</v>
      </c>
      <c r="BC148" s="136" t="s">
        <v>501</v>
      </c>
      <c r="BD148" s="137" t="s">
        <v>501</v>
      </c>
      <c r="BE148" s="135">
        <f>BE$3</f>
        <v>46191</v>
      </c>
      <c r="BF148" s="136" t="s">
        <v>501</v>
      </c>
      <c r="BG148" s="137" t="s">
        <v>501</v>
      </c>
      <c r="BH148" s="135">
        <f>BH$3</f>
        <v>46192</v>
      </c>
      <c r="BI148" s="136" t="s">
        <v>501</v>
      </c>
      <c r="BJ148" s="137" t="s">
        <v>501</v>
      </c>
      <c r="BK148" s="135">
        <f>BK$3</f>
        <v>46193</v>
      </c>
      <c r="BL148" s="136" t="s">
        <v>501</v>
      </c>
      <c r="BM148" s="137" t="s">
        <v>501</v>
      </c>
      <c r="BN148" s="135"/>
      <c r="BO148" s="135">
        <f>BO$3</f>
        <v>46195</v>
      </c>
      <c r="BP148" s="136" t="s">
        <v>501</v>
      </c>
      <c r="BQ148" s="137" t="s">
        <v>501</v>
      </c>
      <c r="BR148" s="135">
        <f>BR$3</f>
        <v>46196</v>
      </c>
      <c r="BS148" s="136" t="s">
        <v>501</v>
      </c>
      <c r="BT148" s="137" t="s">
        <v>501</v>
      </c>
      <c r="BU148" s="135">
        <f>BU$3</f>
        <v>46197</v>
      </c>
      <c r="BV148" s="136" t="s">
        <v>501</v>
      </c>
      <c r="BW148" s="137" t="s">
        <v>501</v>
      </c>
      <c r="BX148" s="135">
        <f>BX$3</f>
        <v>46198</v>
      </c>
      <c r="BY148" s="136" t="s">
        <v>501</v>
      </c>
      <c r="BZ148" s="137" t="s">
        <v>501</v>
      </c>
      <c r="CA148" s="135">
        <f>CA$3</f>
        <v>46199</v>
      </c>
      <c r="CB148" s="136" t="s">
        <v>501</v>
      </c>
      <c r="CC148" s="137" t="s">
        <v>501</v>
      </c>
      <c r="CD148" s="135">
        <f>CD$3</f>
        <v>46200</v>
      </c>
      <c r="CE148" s="136" t="s">
        <v>501</v>
      </c>
      <c r="CF148" s="137" t="s">
        <v>501</v>
      </c>
      <c r="CG148" s="135"/>
      <c r="CH148" s="135">
        <f>CH$3</f>
        <v>46202</v>
      </c>
      <c r="CI148" s="148" t="s">
        <v>501</v>
      </c>
      <c r="CJ148" s="137" t="s">
        <v>501</v>
      </c>
      <c r="CK148" s="135">
        <f>CK$3</f>
        <v>46203</v>
      </c>
      <c r="CL148" s="136" t="s">
        <v>501</v>
      </c>
      <c r="CM148" s="137" t="s">
        <v>501</v>
      </c>
      <c r="CN148" s="135">
        <f>CN$3</f>
        <v>46204</v>
      </c>
      <c r="CO148" s="136" t="s">
        <v>501</v>
      </c>
      <c r="CP148" s="137" t="s">
        <v>501</v>
      </c>
      <c r="CQ148" s="135">
        <f>CQ$3</f>
        <v>46205</v>
      </c>
      <c r="CR148" s="136" t="s">
        <v>501</v>
      </c>
      <c r="CS148" s="137" t="s">
        <v>501</v>
      </c>
      <c r="CT148" s="135">
        <f>CT$3</f>
        <v>46206</v>
      </c>
      <c r="CU148" s="136" t="s">
        <v>501</v>
      </c>
      <c r="CV148" s="137" t="s">
        <v>501</v>
      </c>
      <c r="CW148" s="135">
        <f>CW$3</f>
        <v>46207</v>
      </c>
      <c r="CX148" s="136" t="s">
        <v>501</v>
      </c>
      <c r="CY148" s="137" t="s">
        <v>501</v>
      </c>
      <c r="CZ148" s="135"/>
      <c r="DA148" s="135">
        <f>DA$3</f>
        <v>46209</v>
      </c>
      <c r="DB148" s="136" t="s">
        <v>501</v>
      </c>
      <c r="DC148" s="137" t="s">
        <v>501</v>
      </c>
      <c r="DD148" s="135">
        <f>DD$3</f>
        <v>46210</v>
      </c>
      <c r="DE148" s="136" t="s">
        <v>501</v>
      </c>
      <c r="DF148" s="137" t="s">
        <v>501</v>
      </c>
      <c r="DG148" s="135">
        <f>DG$3</f>
        <v>46211</v>
      </c>
      <c r="DH148" s="136" t="s">
        <v>501</v>
      </c>
      <c r="DI148" s="137" t="s">
        <v>501</v>
      </c>
      <c r="DJ148" s="135">
        <f>DJ$3</f>
        <v>46212</v>
      </c>
      <c r="DK148" s="136" t="s">
        <v>501</v>
      </c>
      <c r="DL148" s="137" t="s">
        <v>501</v>
      </c>
      <c r="DM148" s="135">
        <f>DM$3</f>
        <v>46213</v>
      </c>
      <c r="DN148" s="136" t="s">
        <v>501</v>
      </c>
      <c r="DO148" s="137" t="s">
        <v>501</v>
      </c>
      <c r="DP148" s="135">
        <f>DP$3</f>
        <v>46214</v>
      </c>
      <c r="DQ148" s="136" t="s">
        <v>501</v>
      </c>
      <c r="DR148" s="137" t="s">
        <v>501</v>
      </c>
    </row>
    <row r="149" spans="1:122" outlineLevel="1">
      <c r="A149" s="122" t="s">
        <v>155</v>
      </c>
      <c r="B149" s="82"/>
      <c r="C149" s="81" t="s">
        <v>38</v>
      </c>
      <c r="D149" s="81" t="s">
        <v>53</v>
      </c>
      <c r="E149" s="81" t="s">
        <v>53</v>
      </c>
      <c r="F149" s="81" t="s">
        <v>53</v>
      </c>
      <c r="G149" s="81" t="s">
        <v>53</v>
      </c>
      <c r="H149" s="121"/>
      <c r="I149" s="135"/>
      <c r="J149" s="135">
        <v>46174</v>
      </c>
      <c r="K149" s="148" t="s">
        <v>645</v>
      </c>
      <c r="L149" s="168">
        <v>0.5</v>
      </c>
      <c r="M149" s="135">
        <v>46175</v>
      </c>
      <c r="N149" s="148" t="s">
        <v>501</v>
      </c>
      <c r="O149" s="137" t="s">
        <v>501</v>
      </c>
      <c r="P149" s="135">
        <v>46176</v>
      </c>
      <c r="Q149" s="136" t="s">
        <v>501</v>
      </c>
      <c r="R149" s="137" t="s">
        <v>501</v>
      </c>
      <c r="S149" s="135">
        <v>46177</v>
      </c>
      <c r="T149" s="136" t="s">
        <v>501</v>
      </c>
      <c r="U149" s="137" t="s">
        <v>501</v>
      </c>
      <c r="V149" s="135">
        <v>46178</v>
      </c>
      <c r="W149" s="136" t="s">
        <v>501</v>
      </c>
      <c r="X149" s="137" t="s">
        <v>501</v>
      </c>
      <c r="Y149" s="135">
        <v>46179</v>
      </c>
      <c r="Z149" s="136" t="s">
        <v>501</v>
      </c>
      <c r="AA149" s="137" t="s">
        <v>501</v>
      </c>
      <c r="AB149" s="135"/>
      <c r="AC149" s="135">
        <v>46181</v>
      </c>
      <c r="AD149" s="136" t="s">
        <v>501</v>
      </c>
      <c r="AE149" s="137" t="s">
        <v>501</v>
      </c>
      <c r="AF149" s="135">
        <v>46182</v>
      </c>
      <c r="AG149" s="136" t="s">
        <v>501</v>
      </c>
      <c r="AH149" s="137" t="s">
        <v>501</v>
      </c>
      <c r="AI149" s="135">
        <v>46183</v>
      </c>
      <c r="AJ149" s="136" t="s">
        <v>501</v>
      </c>
      <c r="AK149" s="137" t="s">
        <v>501</v>
      </c>
      <c r="AL149" s="135">
        <v>46184</v>
      </c>
      <c r="AM149" s="136" t="s">
        <v>501</v>
      </c>
      <c r="AN149" s="137" t="s">
        <v>501</v>
      </c>
      <c r="AO149" s="135">
        <v>46185</v>
      </c>
      <c r="AP149" s="136" t="s">
        <v>501</v>
      </c>
      <c r="AQ149" s="137" t="s">
        <v>501</v>
      </c>
      <c r="AR149" s="135">
        <v>46186</v>
      </c>
      <c r="AS149" s="136" t="s">
        <v>501</v>
      </c>
      <c r="AT149" s="137" t="s">
        <v>501</v>
      </c>
      <c r="AU149" s="135"/>
      <c r="AV149" s="135">
        <v>46188</v>
      </c>
      <c r="AW149" s="148" t="s">
        <v>501</v>
      </c>
      <c r="AX149" s="137" t="s">
        <v>501</v>
      </c>
      <c r="AY149" s="135">
        <v>46189</v>
      </c>
      <c r="AZ149" s="136" t="s">
        <v>501</v>
      </c>
      <c r="BA149" s="137" t="s">
        <v>501</v>
      </c>
      <c r="BB149" s="135">
        <v>46190</v>
      </c>
      <c r="BC149" s="136" t="s">
        <v>501</v>
      </c>
      <c r="BD149" s="137" t="s">
        <v>501</v>
      </c>
      <c r="BE149" s="135">
        <v>46191</v>
      </c>
      <c r="BF149" s="136" t="s">
        <v>501</v>
      </c>
      <c r="BG149" s="137" t="s">
        <v>501</v>
      </c>
      <c r="BH149" s="135">
        <v>46192</v>
      </c>
      <c r="BI149" s="136" t="s">
        <v>501</v>
      </c>
      <c r="BJ149" s="137" t="s">
        <v>501</v>
      </c>
      <c r="BK149" s="135">
        <v>46193</v>
      </c>
      <c r="BL149" s="136" t="s">
        <v>501</v>
      </c>
      <c r="BM149" s="137" t="s">
        <v>501</v>
      </c>
      <c r="BN149" s="135"/>
      <c r="BO149" s="135">
        <v>46195</v>
      </c>
      <c r="BP149" s="136" t="s">
        <v>501</v>
      </c>
      <c r="BQ149" s="137" t="s">
        <v>501</v>
      </c>
      <c r="BR149" s="135">
        <v>46196</v>
      </c>
      <c r="BS149" s="136" t="s">
        <v>501</v>
      </c>
      <c r="BT149" s="137" t="s">
        <v>501</v>
      </c>
      <c r="BU149" s="135">
        <v>46197</v>
      </c>
      <c r="BV149" s="136" t="s">
        <v>501</v>
      </c>
      <c r="BW149" s="137" t="s">
        <v>501</v>
      </c>
      <c r="BX149" s="135">
        <v>46198</v>
      </c>
      <c r="BY149" s="136" t="s">
        <v>501</v>
      </c>
      <c r="BZ149" s="137" t="s">
        <v>501</v>
      </c>
      <c r="CA149" s="135">
        <v>46199</v>
      </c>
      <c r="CB149" s="136" t="s">
        <v>501</v>
      </c>
      <c r="CC149" s="137" t="s">
        <v>501</v>
      </c>
      <c r="CD149" s="135">
        <v>46200</v>
      </c>
      <c r="CE149" s="136" t="s">
        <v>501</v>
      </c>
      <c r="CF149" s="137" t="s">
        <v>501</v>
      </c>
      <c r="CG149" s="135"/>
      <c r="CH149" s="135">
        <v>46202</v>
      </c>
      <c r="CI149" s="148" t="s">
        <v>501</v>
      </c>
      <c r="CJ149" s="137" t="s">
        <v>501</v>
      </c>
      <c r="CK149" s="135">
        <v>46203</v>
      </c>
      <c r="CL149" s="136" t="s">
        <v>501</v>
      </c>
      <c r="CM149" s="137" t="s">
        <v>501</v>
      </c>
      <c r="CN149" s="135">
        <v>46204</v>
      </c>
      <c r="CO149" s="136" t="s">
        <v>501</v>
      </c>
      <c r="CP149" s="137" t="s">
        <v>501</v>
      </c>
      <c r="CQ149" s="135">
        <v>46205</v>
      </c>
      <c r="CR149" s="136" t="s">
        <v>501</v>
      </c>
      <c r="CS149" s="137" t="s">
        <v>501</v>
      </c>
      <c r="CT149" s="135">
        <v>46206</v>
      </c>
      <c r="CU149" s="136" t="s">
        <v>501</v>
      </c>
      <c r="CV149" s="137" t="s">
        <v>501</v>
      </c>
      <c r="CW149" s="135">
        <v>46207</v>
      </c>
      <c r="CX149" s="136" t="s">
        <v>501</v>
      </c>
      <c r="CY149" s="137" t="s">
        <v>501</v>
      </c>
      <c r="CZ149" s="135"/>
      <c r="DA149" s="135">
        <v>46209</v>
      </c>
      <c r="DB149" s="136" t="s">
        <v>501</v>
      </c>
      <c r="DC149" s="137" t="s">
        <v>501</v>
      </c>
      <c r="DD149" s="135">
        <v>46210</v>
      </c>
      <c r="DE149" s="136" t="s">
        <v>501</v>
      </c>
      <c r="DF149" s="137" t="s">
        <v>501</v>
      </c>
      <c r="DG149" s="135">
        <v>46211</v>
      </c>
      <c r="DH149" s="136" t="s">
        <v>501</v>
      </c>
      <c r="DI149" s="137" t="s">
        <v>501</v>
      </c>
      <c r="DJ149" s="135">
        <v>46212</v>
      </c>
      <c r="DK149" s="136" t="s">
        <v>501</v>
      </c>
      <c r="DL149" s="137" t="s">
        <v>501</v>
      </c>
      <c r="DM149" s="135">
        <v>46213</v>
      </c>
      <c r="DN149" s="136" t="s">
        <v>501</v>
      </c>
      <c r="DO149" s="137" t="s">
        <v>501</v>
      </c>
      <c r="DP149" s="135">
        <v>46214</v>
      </c>
      <c r="DQ149" s="136" t="s">
        <v>501</v>
      </c>
      <c r="DR149" s="137" t="s">
        <v>501</v>
      </c>
    </row>
    <row r="150" spans="1:122">
      <c r="A150" s="36" t="s">
        <v>35</v>
      </c>
      <c r="B150" s="28"/>
      <c r="C150" s="81" t="str">
        <f>IF($B150="","",INDEX('Bảng 3'!C:C,MATCH($B150,'Bảng 3'!$A:$A,0)))</f>
        <v/>
      </c>
      <c r="D150" s="81" t="str">
        <f>IF($B150="","",INDEX('Bảng 3'!D:D,MATCH($B150,'Bảng 3'!$A:$A,0)))</f>
        <v/>
      </c>
      <c r="E150" s="81" t="str">
        <f>IF($B150="","",INDEX('Bảng 3'!E:E,MATCH($B150,'Bảng 3'!$A:$A,0)))</f>
        <v/>
      </c>
      <c r="F150" s="81" t="str">
        <f>IF($B150="","",INDEX('Bảng 3'!F:F,MATCH($B150,'Bảng 3'!$A:$A,0)))</f>
        <v/>
      </c>
      <c r="G150" s="81" t="str">
        <f>IF($B150="","",INDEX('Bảng 3'!G:G,MATCH($B150,'Bảng 3'!$A:$A,0)))</f>
        <v/>
      </c>
      <c r="H150" s="121"/>
      <c r="I150" s="138"/>
      <c r="J150" s="138">
        <f>J$3</f>
        <v>46174</v>
      </c>
      <c r="K150" s="158" t="s">
        <v>501</v>
      </c>
      <c r="L150" s="167">
        <f>SUM(L151:L174)</f>
        <v>9.5</v>
      </c>
      <c r="M150" s="138">
        <f>M$3</f>
        <v>46175</v>
      </c>
      <c r="N150" s="147" t="s">
        <v>501</v>
      </c>
      <c r="O150" s="133">
        <f>SUM(O151:O162)</f>
        <v>9</v>
      </c>
      <c r="P150" s="138">
        <f>P$3</f>
        <v>46176</v>
      </c>
      <c r="Q150" s="132" t="s">
        <v>501</v>
      </c>
      <c r="R150" s="133">
        <f>SUM(R151:R162)</f>
        <v>0</v>
      </c>
      <c r="S150" s="138">
        <f>S$3</f>
        <v>46177</v>
      </c>
      <c r="T150" s="132" t="s">
        <v>501</v>
      </c>
      <c r="U150" s="133">
        <f>SUM(U151:U162)</f>
        <v>0</v>
      </c>
      <c r="V150" s="138">
        <f>V$3</f>
        <v>46178</v>
      </c>
      <c r="W150" s="132" t="s">
        <v>501</v>
      </c>
      <c r="X150" s="133">
        <f>SUM(X151:X162)</f>
        <v>0</v>
      </c>
      <c r="Y150" s="138">
        <f>Y$3</f>
        <v>46179</v>
      </c>
      <c r="Z150" s="132" t="s">
        <v>501</v>
      </c>
      <c r="AA150" s="133">
        <f>SUM(AA151:AA162)</f>
        <v>0</v>
      </c>
      <c r="AB150" s="138"/>
      <c r="AC150" s="138">
        <f>AC$3</f>
        <v>46181</v>
      </c>
      <c r="AD150" s="132" t="s">
        <v>501</v>
      </c>
      <c r="AE150" s="133">
        <f>SUM(AE151:AE162)</f>
        <v>0</v>
      </c>
      <c r="AF150" s="138">
        <f>AF$3</f>
        <v>46182</v>
      </c>
      <c r="AG150" s="132" t="s">
        <v>501</v>
      </c>
      <c r="AH150" s="133">
        <f>SUM(AH151:AH162)</f>
        <v>0</v>
      </c>
      <c r="AI150" s="138">
        <f>AI$3</f>
        <v>46183</v>
      </c>
      <c r="AJ150" s="132" t="s">
        <v>501</v>
      </c>
      <c r="AK150" s="133">
        <f>SUM(AK151:AK162)</f>
        <v>0</v>
      </c>
      <c r="AL150" s="138">
        <f>AL$3</f>
        <v>46184</v>
      </c>
      <c r="AM150" s="132" t="s">
        <v>501</v>
      </c>
      <c r="AN150" s="133">
        <f>SUM(AN151:AN162)</f>
        <v>0</v>
      </c>
      <c r="AO150" s="138">
        <f>AO$3</f>
        <v>46185</v>
      </c>
      <c r="AP150" s="132" t="s">
        <v>501</v>
      </c>
      <c r="AQ150" s="133">
        <f>SUM(AQ151:AQ162)</f>
        <v>0</v>
      </c>
      <c r="AR150" s="138">
        <f>AR$3</f>
        <v>46186</v>
      </c>
      <c r="AS150" s="132" t="s">
        <v>501</v>
      </c>
      <c r="AT150" s="133">
        <f>SUM(AT151:AT162)</f>
        <v>0</v>
      </c>
      <c r="AU150" s="138"/>
      <c r="AV150" s="138">
        <f>AV$3</f>
        <v>46188</v>
      </c>
      <c r="AW150" s="147" t="s">
        <v>501</v>
      </c>
      <c r="AX150" s="133">
        <f>SUM(AX151:AX162)</f>
        <v>0</v>
      </c>
      <c r="AY150" s="138">
        <f>AY$3</f>
        <v>46189</v>
      </c>
      <c r="AZ150" s="132" t="s">
        <v>501</v>
      </c>
      <c r="BA150" s="133">
        <f>SUM(BA151:BA162)</f>
        <v>0</v>
      </c>
      <c r="BB150" s="138">
        <f>BB$3</f>
        <v>46190</v>
      </c>
      <c r="BC150" s="132" t="s">
        <v>501</v>
      </c>
      <c r="BD150" s="133">
        <f>SUM(BD151:BD162)</f>
        <v>0</v>
      </c>
      <c r="BE150" s="138">
        <f>BE$3</f>
        <v>46191</v>
      </c>
      <c r="BF150" s="132" t="s">
        <v>501</v>
      </c>
      <c r="BG150" s="133">
        <f>SUM(BG151:BG162)</f>
        <v>0</v>
      </c>
      <c r="BH150" s="138">
        <f>BH$3</f>
        <v>46192</v>
      </c>
      <c r="BI150" s="132" t="s">
        <v>501</v>
      </c>
      <c r="BJ150" s="133">
        <f>SUM(BJ151:BJ162)</f>
        <v>0</v>
      </c>
      <c r="BK150" s="138">
        <f>BK$3</f>
        <v>46193</v>
      </c>
      <c r="BL150" s="132" t="s">
        <v>501</v>
      </c>
      <c r="BM150" s="133">
        <f>SUM(BM151:BM162)</f>
        <v>0</v>
      </c>
      <c r="BN150" s="138"/>
      <c r="BO150" s="138">
        <f>BO$3</f>
        <v>46195</v>
      </c>
      <c r="BP150" s="132" t="s">
        <v>501</v>
      </c>
      <c r="BQ150" s="133">
        <f>SUM(BQ151:BQ162)</f>
        <v>0</v>
      </c>
      <c r="BR150" s="138">
        <f>BR$3</f>
        <v>46196</v>
      </c>
      <c r="BS150" s="132" t="s">
        <v>501</v>
      </c>
      <c r="BT150" s="133">
        <f>SUM(BT151:BT162)</f>
        <v>0</v>
      </c>
      <c r="BU150" s="138">
        <f>BU$3</f>
        <v>46197</v>
      </c>
      <c r="BV150" s="132" t="s">
        <v>501</v>
      </c>
      <c r="BW150" s="133">
        <f>SUM(BW151:BW162)</f>
        <v>0</v>
      </c>
      <c r="BX150" s="138">
        <f>BX$3</f>
        <v>46198</v>
      </c>
      <c r="BY150" s="132" t="s">
        <v>501</v>
      </c>
      <c r="BZ150" s="133">
        <f>SUM(BZ151:BZ162)</f>
        <v>0</v>
      </c>
      <c r="CA150" s="138">
        <f>CA$3</f>
        <v>46199</v>
      </c>
      <c r="CB150" s="132" t="s">
        <v>501</v>
      </c>
      <c r="CC150" s="133">
        <f>SUM(CC151:CC162)</f>
        <v>0</v>
      </c>
      <c r="CD150" s="138">
        <f>CD$3</f>
        <v>46200</v>
      </c>
      <c r="CE150" s="132" t="s">
        <v>501</v>
      </c>
      <c r="CF150" s="133">
        <f>SUM(CF151:CF162)</f>
        <v>0</v>
      </c>
      <c r="CG150" s="138"/>
      <c r="CH150" s="138">
        <f>CH$3</f>
        <v>46202</v>
      </c>
      <c r="CI150" s="147" t="s">
        <v>501</v>
      </c>
      <c r="CJ150" s="133">
        <f>SUM(CJ151:CJ162)</f>
        <v>0</v>
      </c>
      <c r="CK150" s="138">
        <f>CK$3</f>
        <v>46203</v>
      </c>
      <c r="CL150" s="132" t="s">
        <v>501</v>
      </c>
      <c r="CM150" s="133">
        <f>SUM(CM151:CM162)</f>
        <v>0</v>
      </c>
      <c r="CN150" s="138">
        <f>CN$3</f>
        <v>46204</v>
      </c>
      <c r="CO150" s="132" t="s">
        <v>501</v>
      </c>
      <c r="CP150" s="133">
        <f>SUM(CP151:CP162)</f>
        <v>0</v>
      </c>
      <c r="CQ150" s="138">
        <f>CQ$3</f>
        <v>46205</v>
      </c>
      <c r="CR150" s="132" t="s">
        <v>501</v>
      </c>
      <c r="CS150" s="133">
        <f>SUM(CS151:CS162)</f>
        <v>0</v>
      </c>
      <c r="CT150" s="138">
        <f>CT$3</f>
        <v>46206</v>
      </c>
      <c r="CU150" s="132" t="s">
        <v>501</v>
      </c>
      <c r="CV150" s="133">
        <f>SUM(CV151:CV162)</f>
        <v>0</v>
      </c>
      <c r="CW150" s="138">
        <f>CW$3</f>
        <v>46207</v>
      </c>
      <c r="CX150" s="132" t="s">
        <v>501</v>
      </c>
      <c r="CY150" s="133">
        <f>SUM(CY151:CY162)</f>
        <v>0</v>
      </c>
      <c r="CZ150" s="138"/>
      <c r="DA150" s="138">
        <f>DA$3</f>
        <v>46209</v>
      </c>
      <c r="DB150" s="132" t="s">
        <v>501</v>
      </c>
      <c r="DC150" s="133">
        <f>SUM(DC151:DC162)</f>
        <v>0</v>
      </c>
      <c r="DD150" s="138">
        <f>DD$3</f>
        <v>46210</v>
      </c>
      <c r="DE150" s="132" t="s">
        <v>501</v>
      </c>
      <c r="DF150" s="133">
        <f>SUM(DF151:DF162)</f>
        <v>0</v>
      </c>
      <c r="DG150" s="138">
        <f>DG$3</f>
        <v>46211</v>
      </c>
      <c r="DH150" s="132" t="s">
        <v>501</v>
      </c>
      <c r="DI150" s="133">
        <f>SUM(DI151:DI162)</f>
        <v>0</v>
      </c>
      <c r="DJ150" s="138">
        <f>DJ$3</f>
        <v>46212</v>
      </c>
      <c r="DK150" s="132" t="s">
        <v>501</v>
      </c>
      <c r="DL150" s="133">
        <f>SUM(DL151:DL162)</f>
        <v>0</v>
      </c>
      <c r="DM150" s="138">
        <f>DM$3</f>
        <v>46213</v>
      </c>
      <c r="DN150" s="132" t="s">
        <v>501</v>
      </c>
      <c r="DO150" s="133">
        <f>SUM(DO151:DO162)</f>
        <v>0</v>
      </c>
      <c r="DP150" s="138">
        <f>DP$3</f>
        <v>46214</v>
      </c>
      <c r="DQ150" s="132" t="s">
        <v>501</v>
      </c>
      <c r="DR150" s="133">
        <f>SUM(DR151:DR162)</f>
        <v>0</v>
      </c>
    </row>
    <row r="151" spans="1:122" outlineLevel="1">
      <c r="A151" s="122" t="str">
        <f>$A$150</f>
        <v>Đặng Minh Quang</v>
      </c>
      <c r="B151" s="28" t="s">
        <v>615</v>
      </c>
      <c r="C151" s="81" t="str">
        <f>IF($B151="","",INDEX('Bảng 3'!C:C,MATCH($B151,'Bảng 3'!$A:$A,0)))</f>
        <v>Quản lý BIM</v>
      </c>
      <c r="D151" s="81" t="str">
        <f>IF($B151="","",INDEX('Bảng 3'!D:D,MATCH($B151,'Bảng 3'!$A:$A,0)))</f>
        <v>B.DSHNQN.DMF</v>
      </c>
      <c r="E151" s="81" t="str">
        <f>IF($B151="","",INDEX('Bảng 3'!E:E,MATCH($B151,'Bảng 3'!$A:$A,0)))</f>
        <v>Bãi đỗ tàu qua đêm Cổ Loa</v>
      </c>
      <c r="F151" s="81" t="str">
        <f>IF($B151="","",INDEX('Bảng 3'!F:F,MATCH($B151,'Bảng 3'!$A:$A,0)))</f>
        <v>KT</v>
      </c>
      <c r="G151" s="81" t="str">
        <f>IF($B151="","",INDEX('Bảng 3'!G:G,MATCH($B151,'Bảng 3'!$A:$A,0)))</f>
        <v>Tạo lập mô hình BIM</v>
      </c>
      <c r="H151" s="121"/>
      <c r="I151" s="135"/>
      <c r="J151" s="135">
        <f>J$3</f>
        <v>46174</v>
      </c>
      <c r="K151" s="148" t="s">
        <v>501</v>
      </c>
      <c r="L151" s="168" t="s">
        <v>501</v>
      </c>
      <c r="M151" s="135">
        <f>M$3</f>
        <v>46175</v>
      </c>
      <c r="N151" s="148" t="s">
        <v>501</v>
      </c>
      <c r="O151" s="137" t="s">
        <v>501</v>
      </c>
      <c r="P151" s="135">
        <f>P$3</f>
        <v>46176</v>
      </c>
      <c r="Q151" s="136" t="s">
        <v>501</v>
      </c>
      <c r="R151" s="137" t="s">
        <v>501</v>
      </c>
      <c r="S151" s="135">
        <f>S$3</f>
        <v>46177</v>
      </c>
      <c r="T151" s="136" t="s">
        <v>501</v>
      </c>
      <c r="U151" s="137" t="s">
        <v>501</v>
      </c>
      <c r="V151" s="135">
        <f>V$3</f>
        <v>46178</v>
      </c>
      <c r="W151" s="136" t="s">
        <v>501</v>
      </c>
      <c r="X151" s="137" t="s">
        <v>501</v>
      </c>
      <c r="Y151" s="135">
        <f>Y$3</f>
        <v>46179</v>
      </c>
      <c r="Z151" s="136" t="s">
        <v>501</v>
      </c>
      <c r="AA151" s="137" t="s">
        <v>501</v>
      </c>
      <c r="AB151" s="135"/>
      <c r="AC151" s="135">
        <f>AC$3</f>
        <v>46181</v>
      </c>
      <c r="AD151" s="136" t="s">
        <v>501</v>
      </c>
      <c r="AE151" s="137" t="s">
        <v>501</v>
      </c>
      <c r="AF151" s="135">
        <f>AF$3</f>
        <v>46182</v>
      </c>
      <c r="AG151" s="136" t="s">
        <v>501</v>
      </c>
      <c r="AH151" s="137" t="s">
        <v>501</v>
      </c>
      <c r="AI151" s="135">
        <f>AI$3</f>
        <v>46183</v>
      </c>
      <c r="AJ151" s="136" t="s">
        <v>501</v>
      </c>
      <c r="AK151" s="137" t="s">
        <v>501</v>
      </c>
      <c r="AL151" s="135">
        <f>AL$3</f>
        <v>46184</v>
      </c>
      <c r="AM151" s="136" t="s">
        <v>501</v>
      </c>
      <c r="AN151" s="137" t="s">
        <v>501</v>
      </c>
      <c r="AO151" s="135">
        <f>AO$3</f>
        <v>46185</v>
      </c>
      <c r="AP151" s="136" t="s">
        <v>501</v>
      </c>
      <c r="AQ151" s="137" t="s">
        <v>501</v>
      </c>
      <c r="AR151" s="135">
        <f>AR$3</f>
        <v>46186</v>
      </c>
      <c r="AS151" s="136" t="s">
        <v>501</v>
      </c>
      <c r="AT151" s="137" t="s">
        <v>501</v>
      </c>
      <c r="AU151" s="135"/>
      <c r="AV151" s="135">
        <f>AV$3</f>
        <v>46188</v>
      </c>
      <c r="AW151" s="148" t="s">
        <v>501</v>
      </c>
      <c r="AX151" s="137" t="s">
        <v>501</v>
      </c>
      <c r="AY151" s="135">
        <f>AY$3</f>
        <v>46189</v>
      </c>
      <c r="AZ151" s="136" t="s">
        <v>501</v>
      </c>
      <c r="BA151" s="137" t="s">
        <v>501</v>
      </c>
      <c r="BB151" s="135">
        <f>BB$3</f>
        <v>46190</v>
      </c>
      <c r="BC151" s="136" t="s">
        <v>501</v>
      </c>
      <c r="BD151" s="137" t="s">
        <v>501</v>
      </c>
      <c r="BE151" s="135">
        <f>BE$3</f>
        <v>46191</v>
      </c>
      <c r="BF151" s="136" t="s">
        <v>501</v>
      </c>
      <c r="BG151" s="137" t="s">
        <v>501</v>
      </c>
      <c r="BH151" s="135">
        <f>BH$3</f>
        <v>46192</v>
      </c>
      <c r="BI151" s="136" t="s">
        <v>501</v>
      </c>
      <c r="BJ151" s="137" t="s">
        <v>501</v>
      </c>
      <c r="BK151" s="135">
        <f>BK$3</f>
        <v>46193</v>
      </c>
      <c r="BL151" s="136" t="s">
        <v>501</v>
      </c>
      <c r="BM151" s="137" t="s">
        <v>501</v>
      </c>
      <c r="BN151" s="135"/>
      <c r="BO151" s="135">
        <f>BO$3</f>
        <v>46195</v>
      </c>
      <c r="BP151" s="136" t="s">
        <v>501</v>
      </c>
      <c r="BQ151" s="137" t="s">
        <v>501</v>
      </c>
      <c r="BR151" s="135">
        <f>BR$3</f>
        <v>46196</v>
      </c>
      <c r="BS151" s="136" t="s">
        <v>501</v>
      </c>
      <c r="BT151" s="137" t="s">
        <v>501</v>
      </c>
      <c r="BU151" s="135">
        <f>BU$3</f>
        <v>46197</v>
      </c>
      <c r="BV151" s="136" t="s">
        <v>501</v>
      </c>
      <c r="BW151" s="137" t="s">
        <v>501</v>
      </c>
      <c r="BX151" s="135">
        <f>BX$3</f>
        <v>46198</v>
      </c>
      <c r="BY151" s="136" t="s">
        <v>501</v>
      </c>
      <c r="BZ151" s="137" t="s">
        <v>501</v>
      </c>
      <c r="CA151" s="135">
        <f>CA$3</f>
        <v>46199</v>
      </c>
      <c r="CB151" s="136" t="s">
        <v>501</v>
      </c>
      <c r="CC151" s="137" t="s">
        <v>501</v>
      </c>
      <c r="CD151" s="135">
        <f>CD$3</f>
        <v>46200</v>
      </c>
      <c r="CE151" s="136" t="s">
        <v>501</v>
      </c>
      <c r="CF151" s="137" t="s">
        <v>501</v>
      </c>
      <c r="CG151" s="135"/>
      <c r="CH151" s="135">
        <f>CH$3</f>
        <v>46202</v>
      </c>
      <c r="CI151" s="148" t="s">
        <v>501</v>
      </c>
      <c r="CJ151" s="137" t="s">
        <v>501</v>
      </c>
      <c r="CK151" s="135">
        <f>CK$3</f>
        <v>46203</v>
      </c>
      <c r="CL151" s="136" t="s">
        <v>501</v>
      </c>
      <c r="CM151" s="137" t="s">
        <v>501</v>
      </c>
      <c r="CN151" s="135">
        <f>CN$3</f>
        <v>46204</v>
      </c>
      <c r="CO151" s="136" t="s">
        <v>501</v>
      </c>
      <c r="CP151" s="137" t="s">
        <v>501</v>
      </c>
      <c r="CQ151" s="135">
        <f>CQ$3</f>
        <v>46205</v>
      </c>
      <c r="CR151" s="136" t="s">
        <v>501</v>
      </c>
      <c r="CS151" s="137" t="s">
        <v>501</v>
      </c>
      <c r="CT151" s="135">
        <f>CT$3</f>
        <v>46206</v>
      </c>
      <c r="CU151" s="136" t="s">
        <v>501</v>
      </c>
      <c r="CV151" s="137" t="s">
        <v>501</v>
      </c>
      <c r="CW151" s="135">
        <f>CW$3</f>
        <v>46207</v>
      </c>
      <c r="CX151" s="136" t="s">
        <v>501</v>
      </c>
      <c r="CY151" s="137" t="s">
        <v>501</v>
      </c>
      <c r="CZ151" s="135"/>
      <c r="DA151" s="135">
        <f>DA$3</f>
        <v>46209</v>
      </c>
      <c r="DB151" s="136" t="s">
        <v>501</v>
      </c>
      <c r="DC151" s="137" t="s">
        <v>501</v>
      </c>
      <c r="DD151" s="135">
        <f>DD$3</f>
        <v>46210</v>
      </c>
      <c r="DE151" s="136" t="s">
        <v>501</v>
      </c>
      <c r="DF151" s="137" t="s">
        <v>501</v>
      </c>
      <c r="DG151" s="135">
        <f>DG$3</f>
        <v>46211</v>
      </c>
      <c r="DH151" s="136" t="s">
        <v>501</v>
      </c>
      <c r="DI151" s="137" t="s">
        <v>501</v>
      </c>
      <c r="DJ151" s="135">
        <f>DJ$3</f>
        <v>46212</v>
      </c>
      <c r="DK151" s="136" t="s">
        <v>501</v>
      </c>
      <c r="DL151" s="137" t="s">
        <v>501</v>
      </c>
      <c r="DM151" s="135">
        <f>DM$3</f>
        <v>46213</v>
      </c>
      <c r="DN151" s="136" t="s">
        <v>501</v>
      </c>
      <c r="DO151" s="137" t="s">
        <v>501</v>
      </c>
      <c r="DP151" s="135">
        <f>DP$3</f>
        <v>46214</v>
      </c>
      <c r="DQ151" s="136" t="s">
        <v>501</v>
      </c>
      <c r="DR151" s="137" t="s">
        <v>501</v>
      </c>
    </row>
    <row r="152" spans="1:122" outlineLevel="1">
      <c r="A152" s="122" t="str">
        <f>$A$150</f>
        <v>Đặng Minh Quang</v>
      </c>
      <c r="B152" s="123" t="s">
        <v>616</v>
      </c>
      <c r="C152" s="81" t="str">
        <f>IF($B152="","",INDEX('Bảng 3'!C:C,MATCH($B152,'Bảng 3'!$A:$A,0)))</f>
        <v>Quản lý BIM</v>
      </c>
      <c r="D152" s="81" t="str">
        <f>IF($B152="","",INDEX('Bảng 3'!D:D,MATCH($B152,'Bảng 3'!$A:$A,0)))</f>
        <v>B.DSHNQN.DMF</v>
      </c>
      <c r="E152" s="81" t="str">
        <f>IF($B152="","",INDEX('Bảng 3'!E:E,MATCH($B152,'Bảng 3'!$A:$A,0)))</f>
        <v>Bãi đỗ tàu qua đêm Cổ Loa</v>
      </c>
      <c r="F152" s="81" t="str">
        <f>IF($B152="","",INDEX('Bảng 3'!F:F,MATCH($B152,'Bảng 3'!$A:$A,0)))</f>
        <v>KC</v>
      </c>
      <c r="G152" s="81" t="str">
        <f>IF($B152="","",INDEX('Bảng 3'!G:G,MATCH($B152,'Bảng 3'!$A:$A,0)))</f>
        <v>Tạo lập mô hình BIM</v>
      </c>
      <c r="H152" s="121"/>
      <c r="I152" s="135"/>
      <c r="J152" s="135">
        <f>J$3</f>
        <v>46174</v>
      </c>
      <c r="K152" s="148" t="s">
        <v>501</v>
      </c>
      <c r="L152" s="168" t="s">
        <v>501</v>
      </c>
      <c r="M152" s="135">
        <f>M$3</f>
        <v>46175</v>
      </c>
      <c r="N152" s="148" t="s">
        <v>501</v>
      </c>
      <c r="O152" s="137" t="s">
        <v>501</v>
      </c>
      <c r="P152" s="135">
        <f>P$3</f>
        <v>46176</v>
      </c>
      <c r="Q152" s="136" t="s">
        <v>501</v>
      </c>
      <c r="R152" s="137" t="s">
        <v>501</v>
      </c>
      <c r="S152" s="135">
        <f>S$3</f>
        <v>46177</v>
      </c>
      <c r="T152" s="136" t="s">
        <v>501</v>
      </c>
      <c r="U152" s="137" t="s">
        <v>501</v>
      </c>
      <c r="V152" s="135">
        <f>V$3</f>
        <v>46178</v>
      </c>
      <c r="W152" s="136" t="s">
        <v>501</v>
      </c>
      <c r="X152" s="137" t="s">
        <v>501</v>
      </c>
      <c r="Y152" s="135">
        <f>Y$3</f>
        <v>46179</v>
      </c>
      <c r="Z152" s="136" t="s">
        <v>501</v>
      </c>
      <c r="AA152" s="137" t="s">
        <v>501</v>
      </c>
      <c r="AB152" s="135"/>
      <c r="AC152" s="135">
        <f>AC$3</f>
        <v>46181</v>
      </c>
      <c r="AD152" s="136" t="s">
        <v>501</v>
      </c>
      <c r="AE152" s="137" t="s">
        <v>501</v>
      </c>
      <c r="AF152" s="135">
        <f>AF$3</f>
        <v>46182</v>
      </c>
      <c r="AG152" s="136" t="s">
        <v>501</v>
      </c>
      <c r="AH152" s="137" t="s">
        <v>501</v>
      </c>
      <c r="AI152" s="135">
        <f>AI$3</f>
        <v>46183</v>
      </c>
      <c r="AJ152" s="136" t="s">
        <v>501</v>
      </c>
      <c r="AK152" s="137" t="s">
        <v>501</v>
      </c>
      <c r="AL152" s="135">
        <f>AL$3</f>
        <v>46184</v>
      </c>
      <c r="AM152" s="136" t="s">
        <v>501</v>
      </c>
      <c r="AN152" s="137" t="s">
        <v>501</v>
      </c>
      <c r="AO152" s="135">
        <f>AO$3</f>
        <v>46185</v>
      </c>
      <c r="AP152" s="136" t="s">
        <v>501</v>
      </c>
      <c r="AQ152" s="137" t="s">
        <v>501</v>
      </c>
      <c r="AR152" s="135">
        <f>AR$3</f>
        <v>46186</v>
      </c>
      <c r="AS152" s="136" t="s">
        <v>501</v>
      </c>
      <c r="AT152" s="137" t="s">
        <v>501</v>
      </c>
      <c r="AU152" s="135"/>
      <c r="AV152" s="135">
        <f>AV$3</f>
        <v>46188</v>
      </c>
      <c r="AW152" s="148" t="s">
        <v>501</v>
      </c>
      <c r="AX152" s="137" t="s">
        <v>501</v>
      </c>
      <c r="AY152" s="135">
        <f>AY$3</f>
        <v>46189</v>
      </c>
      <c r="AZ152" s="136" t="s">
        <v>501</v>
      </c>
      <c r="BA152" s="137" t="s">
        <v>501</v>
      </c>
      <c r="BB152" s="135">
        <f>BB$3</f>
        <v>46190</v>
      </c>
      <c r="BC152" s="136" t="s">
        <v>501</v>
      </c>
      <c r="BD152" s="137" t="s">
        <v>501</v>
      </c>
      <c r="BE152" s="135">
        <f>BE$3</f>
        <v>46191</v>
      </c>
      <c r="BF152" s="136" t="s">
        <v>501</v>
      </c>
      <c r="BG152" s="137" t="s">
        <v>501</v>
      </c>
      <c r="BH152" s="135">
        <f>BH$3</f>
        <v>46192</v>
      </c>
      <c r="BI152" s="136" t="s">
        <v>501</v>
      </c>
      <c r="BJ152" s="137" t="s">
        <v>501</v>
      </c>
      <c r="BK152" s="135">
        <f>BK$3</f>
        <v>46193</v>
      </c>
      <c r="BL152" s="136" t="s">
        <v>501</v>
      </c>
      <c r="BM152" s="137" t="s">
        <v>501</v>
      </c>
      <c r="BN152" s="135"/>
      <c r="BO152" s="135">
        <f>BO$3</f>
        <v>46195</v>
      </c>
      <c r="BP152" s="136" t="s">
        <v>501</v>
      </c>
      <c r="BQ152" s="137" t="s">
        <v>501</v>
      </c>
      <c r="BR152" s="135">
        <f>BR$3</f>
        <v>46196</v>
      </c>
      <c r="BS152" s="136" t="s">
        <v>501</v>
      </c>
      <c r="BT152" s="137" t="s">
        <v>501</v>
      </c>
      <c r="BU152" s="135">
        <f>BU$3</f>
        <v>46197</v>
      </c>
      <c r="BV152" s="136" t="s">
        <v>501</v>
      </c>
      <c r="BW152" s="137" t="s">
        <v>501</v>
      </c>
      <c r="BX152" s="135">
        <f>BX$3</f>
        <v>46198</v>
      </c>
      <c r="BY152" s="136" t="s">
        <v>501</v>
      </c>
      <c r="BZ152" s="137" t="s">
        <v>501</v>
      </c>
      <c r="CA152" s="135">
        <f>CA$3</f>
        <v>46199</v>
      </c>
      <c r="CB152" s="136" t="s">
        <v>501</v>
      </c>
      <c r="CC152" s="137" t="s">
        <v>501</v>
      </c>
      <c r="CD152" s="135">
        <f>CD$3</f>
        <v>46200</v>
      </c>
      <c r="CE152" s="136" t="s">
        <v>501</v>
      </c>
      <c r="CF152" s="137" t="s">
        <v>501</v>
      </c>
      <c r="CG152" s="135"/>
      <c r="CH152" s="135">
        <f>CH$3</f>
        <v>46202</v>
      </c>
      <c r="CI152" s="148" t="s">
        <v>501</v>
      </c>
      <c r="CJ152" s="137" t="s">
        <v>501</v>
      </c>
      <c r="CK152" s="135">
        <f>CK$3</f>
        <v>46203</v>
      </c>
      <c r="CL152" s="136" t="s">
        <v>501</v>
      </c>
      <c r="CM152" s="137" t="s">
        <v>501</v>
      </c>
      <c r="CN152" s="135">
        <f>CN$3</f>
        <v>46204</v>
      </c>
      <c r="CO152" s="136" t="s">
        <v>501</v>
      </c>
      <c r="CP152" s="137" t="s">
        <v>501</v>
      </c>
      <c r="CQ152" s="135">
        <f>CQ$3</f>
        <v>46205</v>
      </c>
      <c r="CR152" s="136" t="s">
        <v>501</v>
      </c>
      <c r="CS152" s="137" t="s">
        <v>501</v>
      </c>
      <c r="CT152" s="135">
        <f>CT$3</f>
        <v>46206</v>
      </c>
      <c r="CU152" s="136" t="s">
        <v>501</v>
      </c>
      <c r="CV152" s="137" t="s">
        <v>501</v>
      </c>
      <c r="CW152" s="135">
        <f>CW$3</f>
        <v>46207</v>
      </c>
      <c r="CX152" s="136" t="s">
        <v>501</v>
      </c>
      <c r="CY152" s="137" t="s">
        <v>501</v>
      </c>
      <c r="CZ152" s="135"/>
      <c r="DA152" s="135">
        <f>DA$3</f>
        <v>46209</v>
      </c>
      <c r="DB152" s="136" t="s">
        <v>501</v>
      </c>
      <c r="DC152" s="137" t="s">
        <v>501</v>
      </c>
      <c r="DD152" s="135">
        <f>DD$3</f>
        <v>46210</v>
      </c>
      <c r="DE152" s="136" t="s">
        <v>501</v>
      </c>
      <c r="DF152" s="137" t="s">
        <v>501</v>
      </c>
      <c r="DG152" s="135">
        <f>DG$3</f>
        <v>46211</v>
      </c>
      <c r="DH152" s="136" t="s">
        <v>501</v>
      </c>
      <c r="DI152" s="137" t="s">
        <v>501</v>
      </c>
      <c r="DJ152" s="135">
        <f>DJ$3</f>
        <v>46212</v>
      </c>
      <c r="DK152" s="136" t="s">
        <v>501</v>
      </c>
      <c r="DL152" s="137" t="s">
        <v>501</v>
      </c>
      <c r="DM152" s="135">
        <f>DM$3</f>
        <v>46213</v>
      </c>
      <c r="DN152" s="136" t="s">
        <v>501</v>
      </c>
      <c r="DO152" s="137" t="s">
        <v>501</v>
      </c>
      <c r="DP152" s="135">
        <f>DP$3</f>
        <v>46214</v>
      </c>
      <c r="DQ152" s="136" t="s">
        <v>501</v>
      </c>
      <c r="DR152" s="137" t="s">
        <v>501</v>
      </c>
    </row>
    <row r="153" spans="1:122" outlineLevel="1">
      <c r="A153" s="122" t="str">
        <f>$A$150</f>
        <v>Đặng Minh Quang</v>
      </c>
      <c r="B153" s="82" t="s">
        <v>654</v>
      </c>
      <c r="C153" s="81" t="str">
        <f>IF($B153="","",INDEX('Bảng 3'!C:C,MATCH($B153,'Bảng 3'!$A:$A,0)))</f>
        <v>Quản lý BIM</v>
      </c>
      <c r="D153" s="81" t="str">
        <f>IF($B153="","",INDEX('Bảng 3'!D:D,MATCH($B153,'Bảng 3'!$A:$A,0)))</f>
        <v>B.HNO.VHOHN.SVD</v>
      </c>
      <c r="E153" s="81" t="str">
        <f>IF($B153="","",INDEX('Bảng 3'!E:E,MATCH($B153,'Bảng 3'!$A:$A,0)))</f>
        <v>SVĐ lô đất TDTT01</v>
      </c>
      <c r="F153" s="81" t="str">
        <f>IF($B153="","",INDEX('Bảng 3'!F:F,MATCH($B153,'Bảng 3'!$A:$A,0)))</f>
        <v>KT</v>
      </c>
      <c r="G153" s="81" t="str">
        <f>IF($B153="","",INDEX('Bảng 3'!G:G,MATCH($B153,'Bảng 3'!$A:$A,0)))</f>
        <v>KSCL mô hình BIM</v>
      </c>
      <c r="H153" s="121"/>
      <c r="I153" s="135"/>
      <c r="J153" s="135">
        <f>J$3</f>
        <v>46174</v>
      </c>
      <c r="K153" s="148" t="s">
        <v>501</v>
      </c>
      <c r="L153" s="168" t="s">
        <v>501</v>
      </c>
      <c r="M153" s="135">
        <f>M$3</f>
        <v>46175</v>
      </c>
      <c r="N153" s="148" t="s">
        <v>501</v>
      </c>
      <c r="O153" s="137" t="s">
        <v>501</v>
      </c>
      <c r="P153" s="135">
        <f>P$3</f>
        <v>46176</v>
      </c>
      <c r="Q153" s="136" t="s">
        <v>501</v>
      </c>
      <c r="R153" s="137" t="s">
        <v>501</v>
      </c>
      <c r="S153" s="135">
        <f>S$3</f>
        <v>46177</v>
      </c>
      <c r="T153" s="136" t="s">
        <v>501</v>
      </c>
      <c r="U153" s="137" t="s">
        <v>501</v>
      </c>
      <c r="V153" s="135">
        <f>V$3</f>
        <v>46178</v>
      </c>
      <c r="W153" s="136" t="s">
        <v>501</v>
      </c>
      <c r="X153" s="137" t="s">
        <v>501</v>
      </c>
      <c r="Y153" s="135">
        <f>Y$3</f>
        <v>46179</v>
      </c>
      <c r="Z153" s="136" t="s">
        <v>501</v>
      </c>
      <c r="AA153" s="137" t="s">
        <v>501</v>
      </c>
      <c r="AB153" s="135"/>
      <c r="AC153" s="135">
        <f>AC$3</f>
        <v>46181</v>
      </c>
      <c r="AD153" s="136" t="s">
        <v>501</v>
      </c>
      <c r="AE153" s="137" t="s">
        <v>501</v>
      </c>
      <c r="AF153" s="135">
        <f>AF$3</f>
        <v>46182</v>
      </c>
      <c r="AG153" s="136" t="s">
        <v>501</v>
      </c>
      <c r="AH153" s="137" t="s">
        <v>501</v>
      </c>
      <c r="AI153" s="135">
        <f>AI$3</f>
        <v>46183</v>
      </c>
      <c r="AJ153" s="136" t="s">
        <v>501</v>
      </c>
      <c r="AK153" s="137" t="s">
        <v>501</v>
      </c>
      <c r="AL153" s="135">
        <f>AL$3</f>
        <v>46184</v>
      </c>
      <c r="AM153" s="136" t="s">
        <v>501</v>
      </c>
      <c r="AN153" s="137" t="s">
        <v>501</v>
      </c>
      <c r="AO153" s="135">
        <f>AO$3</f>
        <v>46185</v>
      </c>
      <c r="AP153" s="136" t="s">
        <v>501</v>
      </c>
      <c r="AQ153" s="137" t="s">
        <v>501</v>
      </c>
      <c r="AR153" s="135">
        <f>AR$3</f>
        <v>46186</v>
      </c>
      <c r="AS153" s="136" t="s">
        <v>501</v>
      </c>
      <c r="AT153" s="137" t="s">
        <v>501</v>
      </c>
      <c r="AU153" s="135"/>
      <c r="AV153" s="135">
        <f>AV$3</f>
        <v>46188</v>
      </c>
      <c r="AW153" s="148" t="s">
        <v>501</v>
      </c>
      <c r="AX153" s="137" t="s">
        <v>501</v>
      </c>
      <c r="AY153" s="135">
        <f>AY$3</f>
        <v>46189</v>
      </c>
      <c r="AZ153" s="136" t="s">
        <v>501</v>
      </c>
      <c r="BA153" s="137" t="s">
        <v>501</v>
      </c>
      <c r="BB153" s="135">
        <f>BB$3</f>
        <v>46190</v>
      </c>
      <c r="BC153" s="136" t="s">
        <v>501</v>
      </c>
      <c r="BD153" s="137" t="s">
        <v>501</v>
      </c>
      <c r="BE153" s="135">
        <f>BE$3</f>
        <v>46191</v>
      </c>
      <c r="BF153" s="136" t="s">
        <v>501</v>
      </c>
      <c r="BG153" s="137" t="s">
        <v>501</v>
      </c>
      <c r="BH153" s="135">
        <f>BH$3</f>
        <v>46192</v>
      </c>
      <c r="BI153" s="136" t="s">
        <v>501</v>
      </c>
      <c r="BJ153" s="137" t="s">
        <v>501</v>
      </c>
      <c r="BK153" s="135">
        <f>BK$3</f>
        <v>46193</v>
      </c>
      <c r="BL153" s="136" t="s">
        <v>501</v>
      </c>
      <c r="BM153" s="137" t="s">
        <v>501</v>
      </c>
      <c r="BN153" s="135"/>
      <c r="BO153" s="135">
        <f>BO$3</f>
        <v>46195</v>
      </c>
      <c r="BP153" s="136" t="s">
        <v>501</v>
      </c>
      <c r="BQ153" s="137" t="s">
        <v>501</v>
      </c>
      <c r="BR153" s="135">
        <f>BR$3</f>
        <v>46196</v>
      </c>
      <c r="BS153" s="136" t="s">
        <v>501</v>
      </c>
      <c r="BT153" s="137" t="s">
        <v>501</v>
      </c>
      <c r="BU153" s="135">
        <f>BU$3</f>
        <v>46197</v>
      </c>
      <c r="BV153" s="136" t="s">
        <v>501</v>
      </c>
      <c r="BW153" s="137" t="s">
        <v>501</v>
      </c>
      <c r="BX153" s="135">
        <f>BX$3</f>
        <v>46198</v>
      </c>
      <c r="BY153" s="136" t="s">
        <v>501</v>
      </c>
      <c r="BZ153" s="137" t="s">
        <v>501</v>
      </c>
      <c r="CA153" s="135">
        <f>CA$3</f>
        <v>46199</v>
      </c>
      <c r="CB153" s="136" t="s">
        <v>501</v>
      </c>
      <c r="CC153" s="137" t="s">
        <v>501</v>
      </c>
      <c r="CD153" s="135">
        <f>CD$3</f>
        <v>46200</v>
      </c>
      <c r="CE153" s="136" t="s">
        <v>501</v>
      </c>
      <c r="CF153" s="137" t="s">
        <v>501</v>
      </c>
      <c r="CG153" s="135"/>
      <c r="CH153" s="135">
        <f>CH$3</f>
        <v>46202</v>
      </c>
      <c r="CI153" s="148" t="s">
        <v>501</v>
      </c>
      <c r="CJ153" s="137" t="s">
        <v>501</v>
      </c>
      <c r="CK153" s="135">
        <f>CK$3</f>
        <v>46203</v>
      </c>
      <c r="CL153" s="136" t="s">
        <v>501</v>
      </c>
      <c r="CM153" s="137" t="s">
        <v>501</v>
      </c>
      <c r="CN153" s="135">
        <f>CN$3</f>
        <v>46204</v>
      </c>
      <c r="CO153" s="136" t="s">
        <v>501</v>
      </c>
      <c r="CP153" s="137" t="s">
        <v>501</v>
      </c>
      <c r="CQ153" s="135">
        <f>CQ$3</f>
        <v>46205</v>
      </c>
      <c r="CR153" s="136" t="s">
        <v>501</v>
      </c>
      <c r="CS153" s="137" t="s">
        <v>501</v>
      </c>
      <c r="CT153" s="135">
        <f>CT$3</f>
        <v>46206</v>
      </c>
      <c r="CU153" s="136" t="s">
        <v>501</v>
      </c>
      <c r="CV153" s="137" t="s">
        <v>501</v>
      </c>
      <c r="CW153" s="135">
        <f>CW$3</f>
        <v>46207</v>
      </c>
      <c r="CX153" s="136" t="s">
        <v>501</v>
      </c>
      <c r="CY153" s="137" t="s">
        <v>501</v>
      </c>
      <c r="CZ153" s="135"/>
      <c r="DA153" s="135">
        <f>DA$3</f>
        <v>46209</v>
      </c>
      <c r="DB153" s="136" t="s">
        <v>501</v>
      </c>
      <c r="DC153" s="137" t="s">
        <v>501</v>
      </c>
      <c r="DD153" s="135">
        <f>DD$3</f>
        <v>46210</v>
      </c>
      <c r="DE153" s="136" t="s">
        <v>501</v>
      </c>
      <c r="DF153" s="137" t="s">
        <v>501</v>
      </c>
      <c r="DG153" s="135">
        <f>DG$3</f>
        <v>46211</v>
      </c>
      <c r="DH153" s="136" t="s">
        <v>501</v>
      </c>
      <c r="DI153" s="137" t="s">
        <v>501</v>
      </c>
      <c r="DJ153" s="135">
        <f>DJ$3</f>
        <v>46212</v>
      </c>
      <c r="DK153" s="136" t="s">
        <v>501</v>
      </c>
      <c r="DL153" s="137" t="s">
        <v>501</v>
      </c>
      <c r="DM153" s="135">
        <f>DM$3</f>
        <v>46213</v>
      </c>
      <c r="DN153" s="136" t="s">
        <v>501</v>
      </c>
      <c r="DO153" s="137" t="s">
        <v>501</v>
      </c>
      <c r="DP153" s="135">
        <f>DP$3</f>
        <v>46214</v>
      </c>
      <c r="DQ153" s="136" t="s">
        <v>501</v>
      </c>
      <c r="DR153" s="137" t="s">
        <v>501</v>
      </c>
    </row>
    <row r="154" spans="1:122" outlineLevel="1">
      <c r="A154" s="122" t="str">
        <f>$A$150</f>
        <v>Đặng Minh Quang</v>
      </c>
      <c r="B154" s="82" t="s">
        <v>655</v>
      </c>
      <c r="C154" s="81" t="str">
        <f>IF($B154="","",INDEX('Bảng 3'!C:C,MATCH($B154,'Bảng 3'!$A:$A,0)))</f>
        <v>Quản lý BIM</v>
      </c>
      <c r="D154" s="81" t="str">
        <f>IF($B154="","",INDEX('Bảng 3'!D:D,MATCH($B154,'Bảng 3'!$A:$A,0)))</f>
        <v>B.HNO.VHOHN.SVD</v>
      </c>
      <c r="E154" s="81" t="str">
        <f>IF($B154="","",INDEX('Bảng 3'!E:E,MATCH($B154,'Bảng 3'!$A:$A,0)))</f>
        <v>SVĐ lô đất TDTT01</v>
      </c>
      <c r="F154" s="81" t="str">
        <f>IF($B154="","",INDEX('Bảng 3'!F:F,MATCH($B154,'Bảng 3'!$A:$A,0)))</f>
        <v>KC</v>
      </c>
      <c r="G154" s="81" t="str">
        <f>IF($B154="","",INDEX('Bảng 3'!G:G,MATCH($B154,'Bảng 3'!$A:$A,0)))</f>
        <v>KSCL mô hình BIM</v>
      </c>
      <c r="H154" s="121"/>
      <c r="I154" s="135"/>
      <c r="J154" s="135">
        <f>J$3</f>
        <v>46174</v>
      </c>
      <c r="K154" s="148" t="s">
        <v>501</v>
      </c>
      <c r="L154" s="168" t="s">
        <v>501</v>
      </c>
      <c r="M154" s="135">
        <f>M$3</f>
        <v>46175</v>
      </c>
      <c r="N154" s="148" t="s">
        <v>501</v>
      </c>
      <c r="O154" s="137" t="s">
        <v>501</v>
      </c>
      <c r="P154" s="135">
        <f>P$3</f>
        <v>46176</v>
      </c>
      <c r="Q154" s="136" t="s">
        <v>501</v>
      </c>
      <c r="R154" s="137" t="s">
        <v>501</v>
      </c>
      <c r="S154" s="135">
        <f>S$3</f>
        <v>46177</v>
      </c>
      <c r="T154" s="136" t="s">
        <v>501</v>
      </c>
      <c r="U154" s="137" t="s">
        <v>501</v>
      </c>
      <c r="V154" s="135">
        <f>V$3</f>
        <v>46178</v>
      </c>
      <c r="W154" s="136" t="s">
        <v>501</v>
      </c>
      <c r="X154" s="137" t="s">
        <v>501</v>
      </c>
      <c r="Y154" s="135">
        <f>Y$3</f>
        <v>46179</v>
      </c>
      <c r="Z154" s="136" t="s">
        <v>501</v>
      </c>
      <c r="AA154" s="137" t="s">
        <v>501</v>
      </c>
      <c r="AB154" s="135"/>
      <c r="AC154" s="135">
        <f>AC$3</f>
        <v>46181</v>
      </c>
      <c r="AD154" s="136" t="s">
        <v>501</v>
      </c>
      <c r="AE154" s="137" t="s">
        <v>501</v>
      </c>
      <c r="AF154" s="135">
        <f>AF$3</f>
        <v>46182</v>
      </c>
      <c r="AG154" s="136" t="s">
        <v>501</v>
      </c>
      <c r="AH154" s="137" t="s">
        <v>501</v>
      </c>
      <c r="AI154" s="135">
        <f>AI$3</f>
        <v>46183</v>
      </c>
      <c r="AJ154" s="136" t="s">
        <v>501</v>
      </c>
      <c r="AK154" s="137" t="s">
        <v>501</v>
      </c>
      <c r="AL154" s="135">
        <f>AL$3</f>
        <v>46184</v>
      </c>
      <c r="AM154" s="136" t="s">
        <v>501</v>
      </c>
      <c r="AN154" s="137" t="s">
        <v>501</v>
      </c>
      <c r="AO154" s="135">
        <f>AO$3</f>
        <v>46185</v>
      </c>
      <c r="AP154" s="136" t="s">
        <v>501</v>
      </c>
      <c r="AQ154" s="137" t="s">
        <v>501</v>
      </c>
      <c r="AR154" s="135">
        <f>AR$3</f>
        <v>46186</v>
      </c>
      <c r="AS154" s="136" t="s">
        <v>501</v>
      </c>
      <c r="AT154" s="137" t="s">
        <v>501</v>
      </c>
      <c r="AU154" s="135"/>
      <c r="AV154" s="135">
        <f>AV$3</f>
        <v>46188</v>
      </c>
      <c r="AW154" s="148" t="s">
        <v>501</v>
      </c>
      <c r="AX154" s="137" t="s">
        <v>501</v>
      </c>
      <c r="AY154" s="135">
        <f>AY$3</f>
        <v>46189</v>
      </c>
      <c r="AZ154" s="136" t="s">
        <v>501</v>
      </c>
      <c r="BA154" s="137" t="s">
        <v>501</v>
      </c>
      <c r="BB154" s="135">
        <f>BB$3</f>
        <v>46190</v>
      </c>
      <c r="BC154" s="136" t="s">
        <v>501</v>
      </c>
      <c r="BD154" s="137" t="s">
        <v>501</v>
      </c>
      <c r="BE154" s="135">
        <f>BE$3</f>
        <v>46191</v>
      </c>
      <c r="BF154" s="136" t="s">
        <v>501</v>
      </c>
      <c r="BG154" s="137" t="s">
        <v>501</v>
      </c>
      <c r="BH154" s="135">
        <f>BH$3</f>
        <v>46192</v>
      </c>
      <c r="BI154" s="136" t="s">
        <v>501</v>
      </c>
      <c r="BJ154" s="137" t="s">
        <v>501</v>
      </c>
      <c r="BK154" s="135">
        <f>BK$3</f>
        <v>46193</v>
      </c>
      <c r="BL154" s="136" t="s">
        <v>501</v>
      </c>
      <c r="BM154" s="137" t="s">
        <v>501</v>
      </c>
      <c r="BN154" s="135"/>
      <c r="BO154" s="135">
        <f>BO$3</f>
        <v>46195</v>
      </c>
      <c r="BP154" s="136" t="s">
        <v>501</v>
      </c>
      <c r="BQ154" s="137" t="s">
        <v>501</v>
      </c>
      <c r="BR154" s="135">
        <f>BR$3</f>
        <v>46196</v>
      </c>
      <c r="BS154" s="136" t="s">
        <v>501</v>
      </c>
      <c r="BT154" s="137" t="s">
        <v>501</v>
      </c>
      <c r="BU154" s="135">
        <f>BU$3</f>
        <v>46197</v>
      </c>
      <c r="BV154" s="136" t="s">
        <v>501</v>
      </c>
      <c r="BW154" s="137" t="s">
        <v>501</v>
      </c>
      <c r="BX154" s="135">
        <f>BX$3</f>
        <v>46198</v>
      </c>
      <c r="BY154" s="136" t="s">
        <v>501</v>
      </c>
      <c r="BZ154" s="137" t="s">
        <v>501</v>
      </c>
      <c r="CA154" s="135">
        <f>CA$3</f>
        <v>46199</v>
      </c>
      <c r="CB154" s="136" t="s">
        <v>501</v>
      </c>
      <c r="CC154" s="137" t="s">
        <v>501</v>
      </c>
      <c r="CD154" s="135">
        <f>CD$3</f>
        <v>46200</v>
      </c>
      <c r="CE154" s="136" t="s">
        <v>501</v>
      </c>
      <c r="CF154" s="137" t="s">
        <v>501</v>
      </c>
      <c r="CG154" s="135"/>
      <c r="CH154" s="135">
        <f>CH$3</f>
        <v>46202</v>
      </c>
      <c r="CI154" s="148" t="s">
        <v>501</v>
      </c>
      <c r="CJ154" s="137" t="s">
        <v>501</v>
      </c>
      <c r="CK154" s="135">
        <f>CK$3</f>
        <v>46203</v>
      </c>
      <c r="CL154" s="136" t="s">
        <v>501</v>
      </c>
      <c r="CM154" s="137" t="s">
        <v>501</v>
      </c>
      <c r="CN154" s="135">
        <f>CN$3</f>
        <v>46204</v>
      </c>
      <c r="CO154" s="136" t="s">
        <v>501</v>
      </c>
      <c r="CP154" s="137" t="s">
        <v>501</v>
      </c>
      <c r="CQ154" s="135">
        <f>CQ$3</f>
        <v>46205</v>
      </c>
      <c r="CR154" s="136" t="s">
        <v>501</v>
      </c>
      <c r="CS154" s="137" t="s">
        <v>501</v>
      </c>
      <c r="CT154" s="135">
        <f>CT$3</f>
        <v>46206</v>
      </c>
      <c r="CU154" s="136" t="s">
        <v>501</v>
      </c>
      <c r="CV154" s="137" t="s">
        <v>501</v>
      </c>
      <c r="CW154" s="135">
        <f>CW$3</f>
        <v>46207</v>
      </c>
      <c r="CX154" s="136" t="s">
        <v>501</v>
      </c>
      <c r="CY154" s="137" t="s">
        <v>501</v>
      </c>
      <c r="CZ154" s="135"/>
      <c r="DA154" s="135">
        <f>DA$3</f>
        <v>46209</v>
      </c>
      <c r="DB154" s="136" t="s">
        <v>501</v>
      </c>
      <c r="DC154" s="137" t="s">
        <v>501</v>
      </c>
      <c r="DD154" s="135">
        <f>DD$3</f>
        <v>46210</v>
      </c>
      <c r="DE154" s="136" t="s">
        <v>501</v>
      </c>
      <c r="DF154" s="137" t="s">
        <v>501</v>
      </c>
      <c r="DG154" s="135">
        <f>DG$3</f>
        <v>46211</v>
      </c>
      <c r="DH154" s="136" t="s">
        <v>501</v>
      </c>
      <c r="DI154" s="137" t="s">
        <v>501</v>
      </c>
      <c r="DJ154" s="135">
        <f>DJ$3</f>
        <v>46212</v>
      </c>
      <c r="DK154" s="136" t="s">
        <v>501</v>
      </c>
      <c r="DL154" s="137" t="s">
        <v>501</v>
      </c>
      <c r="DM154" s="135">
        <f>DM$3</f>
        <v>46213</v>
      </c>
      <c r="DN154" s="136" t="s">
        <v>501</v>
      </c>
      <c r="DO154" s="137" t="s">
        <v>501</v>
      </c>
      <c r="DP154" s="135">
        <f>DP$3</f>
        <v>46214</v>
      </c>
      <c r="DQ154" s="136" t="s">
        <v>501</v>
      </c>
      <c r="DR154" s="137" t="s">
        <v>501</v>
      </c>
    </row>
    <row r="155" spans="1:122" outlineLevel="1">
      <c r="A155" s="122" t="str">
        <f>$A$150</f>
        <v>Đặng Minh Quang</v>
      </c>
      <c r="B155" s="82" t="s">
        <v>656</v>
      </c>
      <c r="C155" s="81" t="str">
        <f>IF($B155="","",INDEX('Bảng 3'!C:C,MATCH($B155,'Bảng 3'!$A:$A,0)))</f>
        <v>Quản lý BIM</v>
      </c>
      <c r="D155" s="81" t="str">
        <f>IF($B155="","",INDEX('Bảng 3'!D:D,MATCH($B155,'Bảng 3'!$A:$A,0)))</f>
        <v>B.HYE.NOXHPH.NX</v>
      </c>
      <c r="E155" s="81" t="str">
        <f>IF($B155="","",INDEX('Bảng 3'!E:E,MATCH($B155,'Bảng 3'!$A:$A,0)))</f>
        <v>Nhà xe BDX-05</v>
      </c>
      <c r="F155" s="81" t="str">
        <f>IF($B155="","",INDEX('Bảng 3'!F:F,MATCH($B155,'Bảng 3'!$A:$A,0)))</f>
        <v>KT</v>
      </c>
      <c r="G155" s="81" t="str">
        <f>IF($B155="","",INDEX('Bảng 3'!G:G,MATCH($B155,'Bảng 3'!$A:$A,0)))</f>
        <v>KSCL mô hình BIM</v>
      </c>
      <c r="H155" s="121"/>
      <c r="I155" s="135"/>
      <c r="J155" s="135">
        <f>J$3</f>
        <v>46174</v>
      </c>
      <c r="K155" s="148" t="s">
        <v>501</v>
      </c>
      <c r="L155" s="168" t="s">
        <v>501</v>
      </c>
      <c r="M155" s="135">
        <f>M$3</f>
        <v>46175</v>
      </c>
      <c r="N155" s="148" t="s">
        <v>501</v>
      </c>
      <c r="O155" s="137" t="s">
        <v>501</v>
      </c>
      <c r="P155" s="135">
        <f>P$3</f>
        <v>46176</v>
      </c>
      <c r="Q155" s="136" t="s">
        <v>501</v>
      </c>
      <c r="R155" s="137" t="s">
        <v>501</v>
      </c>
      <c r="S155" s="135">
        <f>S$3</f>
        <v>46177</v>
      </c>
      <c r="T155" s="136" t="s">
        <v>501</v>
      </c>
      <c r="U155" s="137" t="s">
        <v>501</v>
      </c>
      <c r="V155" s="135">
        <f>V$3</f>
        <v>46178</v>
      </c>
      <c r="W155" s="136" t="s">
        <v>501</v>
      </c>
      <c r="X155" s="137" t="s">
        <v>501</v>
      </c>
      <c r="Y155" s="135">
        <f>Y$3</f>
        <v>46179</v>
      </c>
      <c r="Z155" s="136" t="s">
        <v>501</v>
      </c>
      <c r="AA155" s="137" t="s">
        <v>501</v>
      </c>
      <c r="AB155" s="135"/>
      <c r="AC155" s="135">
        <f>AC$3</f>
        <v>46181</v>
      </c>
      <c r="AD155" s="136" t="s">
        <v>501</v>
      </c>
      <c r="AE155" s="137" t="s">
        <v>501</v>
      </c>
      <c r="AF155" s="135">
        <f>AF$3</f>
        <v>46182</v>
      </c>
      <c r="AG155" s="136" t="s">
        <v>501</v>
      </c>
      <c r="AH155" s="137" t="s">
        <v>501</v>
      </c>
      <c r="AI155" s="135">
        <f>AI$3</f>
        <v>46183</v>
      </c>
      <c r="AJ155" s="136" t="s">
        <v>501</v>
      </c>
      <c r="AK155" s="137" t="s">
        <v>501</v>
      </c>
      <c r="AL155" s="135">
        <f>AL$3</f>
        <v>46184</v>
      </c>
      <c r="AM155" s="136" t="s">
        <v>501</v>
      </c>
      <c r="AN155" s="137" t="s">
        <v>501</v>
      </c>
      <c r="AO155" s="135">
        <f>AO$3</f>
        <v>46185</v>
      </c>
      <c r="AP155" s="136" t="s">
        <v>501</v>
      </c>
      <c r="AQ155" s="137" t="s">
        <v>501</v>
      </c>
      <c r="AR155" s="135">
        <f>AR$3</f>
        <v>46186</v>
      </c>
      <c r="AS155" s="136" t="s">
        <v>501</v>
      </c>
      <c r="AT155" s="137" t="s">
        <v>501</v>
      </c>
      <c r="AU155" s="135"/>
      <c r="AV155" s="135">
        <f>AV$3</f>
        <v>46188</v>
      </c>
      <c r="AW155" s="148" t="s">
        <v>501</v>
      </c>
      <c r="AX155" s="137" t="s">
        <v>501</v>
      </c>
      <c r="AY155" s="135">
        <f>AY$3</f>
        <v>46189</v>
      </c>
      <c r="AZ155" s="136" t="s">
        <v>501</v>
      </c>
      <c r="BA155" s="137" t="s">
        <v>501</v>
      </c>
      <c r="BB155" s="135">
        <f>BB$3</f>
        <v>46190</v>
      </c>
      <c r="BC155" s="136" t="s">
        <v>501</v>
      </c>
      <c r="BD155" s="137" t="s">
        <v>501</v>
      </c>
      <c r="BE155" s="135">
        <f>BE$3</f>
        <v>46191</v>
      </c>
      <c r="BF155" s="136" t="s">
        <v>501</v>
      </c>
      <c r="BG155" s="137" t="s">
        <v>501</v>
      </c>
      <c r="BH155" s="135">
        <f>BH$3</f>
        <v>46192</v>
      </c>
      <c r="BI155" s="136" t="s">
        <v>501</v>
      </c>
      <c r="BJ155" s="137" t="s">
        <v>501</v>
      </c>
      <c r="BK155" s="135">
        <f>BK$3</f>
        <v>46193</v>
      </c>
      <c r="BL155" s="136" t="s">
        <v>501</v>
      </c>
      <c r="BM155" s="137" t="s">
        <v>501</v>
      </c>
      <c r="BN155" s="135"/>
      <c r="BO155" s="135">
        <f>BO$3</f>
        <v>46195</v>
      </c>
      <c r="BP155" s="136" t="s">
        <v>501</v>
      </c>
      <c r="BQ155" s="137" t="s">
        <v>501</v>
      </c>
      <c r="BR155" s="135">
        <f>BR$3</f>
        <v>46196</v>
      </c>
      <c r="BS155" s="136" t="s">
        <v>501</v>
      </c>
      <c r="BT155" s="137" t="s">
        <v>501</v>
      </c>
      <c r="BU155" s="135">
        <f>BU$3</f>
        <v>46197</v>
      </c>
      <c r="BV155" s="136" t="s">
        <v>501</v>
      </c>
      <c r="BW155" s="137" t="s">
        <v>501</v>
      </c>
      <c r="BX155" s="135">
        <f>BX$3</f>
        <v>46198</v>
      </c>
      <c r="BY155" s="136" t="s">
        <v>501</v>
      </c>
      <c r="BZ155" s="137" t="s">
        <v>501</v>
      </c>
      <c r="CA155" s="135">
        <f>CA$3</f>
        <v>46199</v>
      </c>
      <c r="CB155" s="136" t="s">
        <v>501</v>
      </c>
      <c r="CC155" s="137" t="s">
        <v>501</v>
      </c>
      <c r="CD155" s="135">
        <f>CD$3</f>
        <v>46200</v>
      </c>
      <c r="CE155" s="136" t="s">
        <v>501</v>
      </c>
      <c r="CF155" s="137" t="s">
        <v>501</v>
      </c>
      <c r="CG155" s="135"/>
      <c r="CH155" s="135">
        <f>CH$3</f>
        <v>46202</v>
      </c>
      <c r="CI155" s="148" t="s">
        <v>501</v>
      </c>
      <c r="CJ155" s="137" t="s">
        <v>501</v>
      </c>
      <c r="CK155" s="135">
        <f>CK$3</f>
        <v>46203</v>
      </c>
      <c r="CL155" s="136" t="s">
        <v>501</v>
      </c>
      <c r="CM155" s="137" t="s">
        <v>501</v>
      </c>
      <c r="CN155" s="135">
        <f>CN$3</f>
        <v>46204</v>
      </c>
      <c r="CO155" s="136" t="s">
        <v>501</v>
      </c>
      <c r="CP155" s="137" t="s">
        <v>501</v>
      </c>
      <c r="CQ155" s="135">
        <f>CQ$3</f>
        <v>46205</v>
      </c>
      <c r="CR155" s="136" t="s">
        <v>501</v>
      </c>
      <c r="CS155" s="137" t="s">
        <v>501</v>
      </c>
      <c r="CT155" s="135">
        <f>CT$3</f>
        <v>46206</v>
      </c>
      <c r="CU155" s="136" t="s">
        <v>501</v>
      </c>
      <c r="CV155" s="137" t="s">
        <v>501</v>
      </c>
      <c r="CW155" s="135">
        <f>CW$3</f>
        <v>46207</v>
      </c>
      <c r="CX155" s="136" t="s">
        <v>501</v>
      </c>
      <c r="CY155" s="137" t="s">
        <v>501</v>
      </c>
      <c r="CZ155" s="135"/>
      <c r="DA155" s="135">
        <f>DA$3</f>
        <v>46209</v>
      </c>
      <c r="DB155" s="136" t="s">
        <v>501</v>
      </c>
      <c r="DC155" s="137" t="s">
        <v>501</v>
      </c>
      <c r="DD155" s="135">
        <f>DD$3</f>
        <v>46210</v>
      </c>
      <c r="DE155" s="136" t="s">
        <v>501</v>
      </c>
      <c r="DF155" s="137" t="s">
        <v>501</v>
      </c>
      <c r="DG155" s="135">
        <f>DG$3</f>
        <v>46211</v>
      </c>
      <c r="DH155" s="136" t="s">
        <v>501</v>
      </c>
      <c r="DI155" s="137" t="s">
        <v>501</v>
      </c>
      <c r="DJ155" s="135">
        <f>DJ$3</f>
        <v>46212</v>
      </c>
      <c r="DK155" s="136" t="s">
        <v>501</v>
      </c>
      <c r="DL155" s="137" t="s">
        <v>501</v>
      </c>
      <c r="DM155" s="135">
        <f>DM$3</f>
        <v>46213</v>
      </c>
      <c r="DN155" s="136" t="s">
        <v>501</v>
      </c>
      <c r="DO155" s="137" t="s">
        <v>501</v>
      </c>
      <c r="DP155" s="135">
        <f>DP$3</f>
        <v>46214</v>
      </c>
      <c r="DQ155" s="136" t="s">
        <v>501</v>
      </c>
      <c r="DR155" s="137" t="s">
        <v>501</v>
      </c>
    </row>
    <row r="156" spans="1:122" ht="45.75" outlineLevel="1">
      <c r="A156" s="122" t="str">
        <f>$A$150</f>
        <v>Đặng Minh Quang</v>
      </c>
      <c r="B156" s="82" t="s">
        <v>657</v>
      </c>
      <c r="C156" s="81" t="str">
        <f>IF($B156="","",INDEX('Bảng 3'!C:C,MATCH($B156,'Bảng 3'!$A:$A,0)))</f>
        <v>Quản lý BIM</v>
      </c>
      <c r="D156" s="81" t="str">
        <f>IF($B156="","",INDEX('Bảng 3'!D:D,MATCH($B156,'Bảng 3'!$A:$A,0)))</f>
        <v>B.HYE.NOXHPH.NX</v>
      </c>
      <c r="E156" s="81" t="str">
        <f>IF($B156="","",INDEX('Bảng 3'!E:E,MATCH($B156,'Bảng 3'!$A:$A,0)))</f>
        <v>Nhà xe BDX-05</v>
      </c>
      <c r="F156" s="81" t="str">
        <f>IF($B156="","",INDEX('Bảng 3'!F:F,MATCH($B156,'Bảng 3'!$A:$A,0)))</f>
        <v>KT</v>
      </c>
      <c r="G156" s="81" t="str">
        <f>IF($B156="","",INDEX('Bảng 3'!G:G,MATCH($B156,'Bảng 3'!$A:$A,0)))</f>
        <v>Tạo lập mô hình BIM</v>
      </c>
      <c r="H156" s="121"/>
      <c r="I156" s="135"/>
      <c r="J156" s="135">
        <f>J$3</f>
        <v>46174</v>
      </c>
      <c r="K156" s="67" t="s">
        <v>658</v>
      </c>
      <c r="L156" s="168">
        <v>9</v>
      </c>
      <c r="M156" s="135">
        <f>M$3</f>
        <v>46175</v>
      </c>
      <c r="N156" s="67" t="s">
        <v>659</v>
      </c>
      <c r="O156" s="137">
        <v>8.5</v>
      </c>
      <c r="P156" s="135">
        <f>P$3</f>
        <v>46176</v>
      </c>
      <c r="Q156" s="136" t="s">
        <v>501</v>
      </c>
      <c r="R156" s="137" t="s">
        <v>501</v>
      </c>
      <c r="S156" s="135">
        <f>S$3</f>
        <v>46177</v>
      </c>
      <c r="T156" s="136" t="s">
        <v>501</v>
      </c>
      <c r="U156" s="137" t="s">
        <v>501</v>
      </c>
      <c r="V156" s="135">
        <f>V$3</f>
        <v>46178</v>
      </c>
      <c r="W156" s="136" t="s">
        <v>501</v>
      </c>
      <c r="X156" s="137" t="s">
        <v>501</v>
      </c>
      <c r="Y156" s="135">
        <f>Y$3</f>
        <v>46179</v>
      </c>
      <c r="Z156" s="136" t="s">
        <v>501</v>
      </c>
      <c r="AA156" s="137" t="s">
        <v>501</v>
      </c>
      <c r="AB156" s="135"/>
      <c r="AC156" s="135">
        <f>AC$3</f>
        <v>46181</v>
      </c>
      <c r="AD156" s="136" t="s">
        <v>501</v>
      </c>
      <c r="AE156" s="137" t="s">
        <v>501</v>
      </c>
      <c r="AF156" s="135">
        <f>AF$3</f>
        <v>46182</v>
      </c>
      <c r="AG156" s="136" t="s">
        <v>501</v>
      </c>
      <c r="AH156" s="137" t="s">
        <v>501</v>
      </c>
      <c r="AI156" s="135">
        <f>AI$3</f>
        <v>46183</v>
      </c>
      <c r="AJ156" s="136" t="s">
        <v>501</v>
      </c>
      <c r="AK156" s="137" t="s">
        <v>501</v>
      </c>
      <c r="AL156" s="135">
        <f>AL$3</f>
        <v>46184</v>
      </c>
      <c r="AM156" s="136" t="s">
        <v>501</v>
      </c>
      <c r="AN156" s="137" t="s">
        <v>501</v>
      </c>
      <c r="AO156" s="135">
        <f>AO$3</f>
        <v>46185</v>
      </c>
      <c r="AP156" s="136" t="s">
        <v>501</v>
      </c>
      <c r="AQ156" s="137" t="s">
        <v>501</v>
      </c>
      <c r="AR156" s="135">
        <f>AR$3</f>
        <v>46186</v>
      </c>
      <c r="AS156" s="136" t="s">
        <v>501</v>
      </c>
      <c r="AT156" s="137" t="s">
        <v>501</v>
      </c>
      <c r="AU156" s="135"/>
      <c r="AV156" s="135">
        <f>AV$3</f>
        <v>46188</v>
      </c>
      <c r="AW156" s="148" t="s">
        <v>501</v>
      </c>
      <c r="AX156" s="137" t="s">
        <v>501</v>
      </c>
      <c r="AY156" s="135">
        <f>AY$3</f>
        <v>46189</v>
      </c>
      <c r="AZ156" s="136" t="s">
        <v>501</v>
      </c>
      <c r="BA156" s="137" t="s">
        <v>501</v>
      </c>
      <c r="BB156" s="135">
        <f>BB$3</f>
        <v>46190</v>
      </c>
      <c r="BC156" s="136" t="s">
        <v>501</v>
      </c>
      <c r="BD156" s="137" t="s">
        <v>501</v>
      </c>
      <c r="BE156" s="135">
        <f>BE$3</f>
        <v>46191</v>
      </c>
      <c r="BF156" s="136" t="s">
        <v>501</v>
      </c>
      <c r="BG156" s="137" t="s">
        <v>501</v>
      </c>
      <c r="BH156" s="135">
        <f>BH$3</f>
        <v>46192</v>
      </c>
      <c r="BI156" s="136" t="s">
        <v>501</v>
      </c>
      <c r="BJ156" s="137" t="s">
        <v>501</v>
      </c>
      <c r="BK156" s="135">
        <f>BK$3</f>
        <v>46193</v>
      </c>
      <c r="BL156" s="136" t="s">
        <v>501</v>
      </c>
      <c r="BM156" s="137" t="s">
        <v>501</v>
      </c>
      <c r="BN156" s="135"/>
      <c r="BO156" s="135">
        <f>BO$3</f>
        <v>46195</v>
      </c>
      <c r="BP156" s="136" t="s">
        <v>501</v>
      </c>
      <c r="BQ156" s="137" t="s">
        <v>501</v>
      </c>
      <c r="BR156" s="135">
        <f>BR$3</f>
        <v>46196</v>
      </c>
      <c r="BS156" s="136" t="s">
        <v>501</v>
      </c>
      <c r="BT156" s="137" t="s">
        <v>501</v>
      </c>
      <c r="BU156" s="135">
        <f>BU$3</f>
        <v>46197</v>
      </c>
      <c r="BV156" s="136" t="s">
        <v>501</v>
      </c>
      <c r="BW156" s="137" t="s">
        <v>501</v>
      </c>
      <c r="BX156" s="135">
        <f>BX$3</f>
        <v>46198</v>
      </c>
      <c r="BY156" s="136" t="s">
        <v>501</v>
      </c>
      <c r="BZ156" s="137" t="s">
        <v>501</v>
      </c>
      <c r="CA156" s="135">
        <f>CA$3</f>
        <v>46199</v>
      </c>
      <c r="CB156" s="136" t="s">
        <v>501</v>
      </c>
      <c r="CC156" s="137" t="s">
        <v>501</v>
      </c>
      <c r="CD156" s="135">
        <f>CD$3</f>
        <v>46200</v>
      </c>
      <c r="CE156" s="136" t="s">
        <v>501</v>
      </c>
      <c r="CF156" s="137" t="s">
        <v>501</v>
      </c>
      <c r="CG156" s="135"/>
      <c r="CH156" s="135">
        <f>CH$3</f>
        <v>46202</v>
      </c>
      <c r="CI156" s="148" t="s">
        <v>501</v>
      </c>
      <c r="CJ156" s="137" t="s">
        <v>501</v>
      </c>
      <c r="CK156" s="135">
        <f>CK$3</f>
        <v>46203</v>
      </c>
      <c r="CL156" s="136" t="s">
        <v>501</v>
      </c>
      <c r="CM156" s="137" t="s">
        <v>501</v>
      </c>
      <c r="CN156" s="135">
        <f>CN$3</f>
        <v>46204</v>
      </c>
      <c r="CO156" s="136" t="s">
        <v>501</v>
      </c>
      <c r="CP156" s="137" t="s">
        <v>501</v>
      </c>
      <c r="CQ156" s="135">
        <f>CQ$3</f>
        <v>46205</v>
      </c>
      <c r="CR156" s="136" t="s">
        <v>501</v>
      </c>
      <c r="CS156" s="137" t="s">
        <v>501</v>
      </c>
      <c r="CT156" s="135">
        <f>CT$3</f>
        <v>46206</v>
      </c>
      <c r="CU156" s="136" t="s">
        <v>501</v>
      </c>
      <c r="CV156" s="137" t="s">
        <v>501</v>
      </c>
      <c r="CW156" s="135">
        <f>CW$3</f>
        <v>46207</v>
      </c>
      <c r="CX156" s="136" t="s">
        <v>501</v>
      </c>
      <c r="CY156" s="137" t="s">
        <v>501</v>
      </c>
      <c r="CZ156" s="135"/>
      <c r="DA156" s="135">
        <f>DA$3</f>
        <v>46209</v>
      </c>
      <c r="DB156" s="136" t="s">
        <v>501</v>
      </c>
      <c r="DC156" s="137" t="s">
        <v>501</v>
      </c>
      <c r="DD156" s="135">
        <f>DD$3</f>
        <v>46210</v>
      </c>
      <c r="DE156" s="136" t="s">
        <v>501</v>
      </c>
      <c r="DF156" s="137" t="s">
        <v>501</v>
      </c>
      <c r="DG156" s="135">
        <f>DG$3</f>
        <v>46211</v>
      </c>
      <c r="DH156" s="136" t="s">
        <v>501</v>
      </c>
      <c r="DI156" s="137" t="s">
        <v>501</v>
      </c>
      <c r="DJ156" s="135">
        <f>DJ$3</f>
        <v>46212</v>
      </c>
      <c r="DK156" s="136" t="s">
        <v>501</v>
      </c>
      <c r="DL156" s="137" t="s">
        <v>501</v>
      </c>
      <c r="DM156" s="135">
        <f>DM$3</f>
        <v>46213</v>
      </c>
      <c r="DN156" s="136" t="s">
        <v>501</v>
      </c>
      <c r="DO156" s="137" t="s">
        <v>501</v>
      </c>
      <c r="DP156" s="135">
        <f>DP$3</f>
        <v>46214</v>
      </c>
      <c r="DQ156" s="136" t="s">
        <v>501</v>
      </c>
      <c r="DR156" s="137" t="s">
        <v>501</v>
      </c>
    </row>
    <row r="157" spans="1:122" ht="30.75" outlineLevel="1">
      <c r="A157" s="122" t="str">
        <f>$A$150</f>
        <v>Đặng Minh Quang</v>
      </c>
      <c r="B157" s="82" t="s">
        <v>660</v>
      </c>
      <c r="C157" s="81" t="str">
        <f>IF($B157="","",INDEX('Bảng 3'!C:C,MATCH($B157,'Bảng 3'!$A:$A,0)))</f>
        <v>Quản lý BIM</v>
      </c>
      <c r="D157" s="81" t="str">
        <f>IF($B157="","",INDEX('Bảng 3'!D:D,MATCH($B157,'Bảng 3'!$A:$A,0)))</f>
        <v>B.HYE.NOXHPH.NX</v>
      </c>
      <c r="E157" s="81" t="str">
        <f>IF($B157="","",INDEX('Bảng 3'!E:E,MATCH($B157,'Bảng 3'!$A:$A,0)))</f>
        <v>Nhà xe BDX-05</v>
      </c>
      <c r="F157" s="81" t="str">
        <f>IF($B157="","",INDEX('Bảng 3'!F:F,MATCH($B157,'Bảng 3'!$A:$A,0)))</f>
        <v>KC</v>
      </c>
      <c r="G157" s="81" t="str">
        <f>IF($B157="","",INDEX('Bảng 3'!G:G,MATCH($B157,'Bảng 3'!$A:$A,0)))</f>
        <v>KSCL mô hình BIM</v>
      </c>
      <c r="H157" s="121"/>
      <c r="I157" s="135"/>
      <c r="J157" s="135">
        <f>J$3</f>
        <v>46174</v>
      </c>
      <c r="K157" s="298" t="s">
        <v>661</v>
      </c>
      <c r="L157" s="168">
        <v>0.25</v>
      </c>
      <c r="M157" s="135">
        <f>M$3</f>
        <v>46175</v>
      </c>
      <c r="N157" s="148" t="s">
        <v>662</v>
      </c>
      <c r="O157" s="137">
        <v>0.5</v>
      </c>
      <c r="P157" s="135">
        <f>P$3</f>
        <v>46176</v>
      </c>
      <c r="Q157" s="136" t="s">
        <v>501</v>
      </c>
      <c r="R157" s="137" t="s">
        <v>501</v>
      </c>
      <c r="S157" s="135">
        <f>S$3</f>
        <v>46177</v>
      </c>
      <c r="T157" s="136" t="s">
        <v>501</v>
      </c>
      <c r="U157" s="137" t="s">
        <v>501</v>
      </c>
      <c r="V157" s="135">
        <f>V$3</f>
        <v>46178</v>
      </c>
      <c r="W157" s="136" t="s">
        <v>501</v>
      </c>
      <c r="X157" s="137" t="s">
        <v>501</v>
      </c>
      <c r="Y157" s="135">
        <f>Y$3</f>
        <v>46179</v>
      </c>
      <c r="Z157" s="136" t="s">
        <v>501</v>
      </c>
      <c r="AA157" s="137" t="s">
        <v>501</v>
      </c>
      <c r="AB157" s="135"/>
      <c r="AC157" s="135">
        <f>AC$3</f>
        <v>46181</v>
      </c>
      <c r="AD157" s="136" t="s">
        <v>501</v>
      </c>
      <c r="AE157" s="137" t="s">
        <v>501</v>
      </c>
      <c r="AF157" s="135">
        <f>AF$3</f>
        <v>46182</v>
      </c>
      <c r="AG157" s="136" t="s">
        <v>501</v>
      </c>
      <c r="AH157" s="137" t="s">
        <v>501</v>
      </c>
      <c r="AI157" s="135">
        <f>AI$3</f>
        <v>46183</v>
      </c>
      <c r="AJ157" s="136" t="s">
        <v>501</v>
      </c>
      <c r="AK157" s="137" t="s">
        <v>501</v>
      </c>
      <c r="AL157" s="135">
        <f>AL$3</f>
        <v>46184</v>
      </c>
      <c r="AM157" s="136" t="s">
        <v>501</v>
      </c>
      <c r="AN157" s="137" t="s">
        <v>501</v>
      </c>
      <c r="AO157" s="135">
        <f>AO$3</f>
        <v>46185</v>
      </c>
      <c r="AP157" s="136" t="s">
        <v>501</v>
      </c>
      <c r="AQ157" s="137" t="s">
        <v>501</v>
      </c>
      <c r="AR157" s="135">
        <f>AR$3</f>
        <v>46186</v>
      </c>
      <c r="AS157" s="136" t="s">
        <v>501</v>
      </c>
      <c r="AT157" s="137" t="s">
        <v>501</v>
      </c>
      <c r="AU157" s="135"/>
      <c r="AV157" s="135">
        <f>AV$3</f>
        <v>46188</v>
      </c>
      <c r="AW157" s="148" t="s">
        <v>501</v>
      </c>
      <c r="AX157" s="137" t="s">
        <v>501</v>
      </c>
      <c r="AY157" s="135">
        <f>AY$3</f>
        <v>46189</v>
      </c>
      <c r="AZ157" s="136" t="s">
        <v>501</v>
      </c>
      <c r="BA157" s="137" t="s">
        <v>501</v>
      </c>
      <c r="BB157" s="135">
        <f>BB$3</f>
        <v>46190</v>
      </c>
      <c r="BC157" s="136" t="s">
        <v>501</v>
      </c>
      <c r="BD157" s="137" t="s">
        <v>501</v>
      </c>
      <c r="BE157" s="135">
        <f>BE$3</f>
        <v>46191</v>
      </c>
      <c r="BF157" s="136" t="s">
        <v>501</v>
      </c>
      <c r="BG157" s="137" t="s">
        <v>501</v>
      </c>
      <c r="BH157" s="135">
        <f>BH$3</f>
        <v>46192</v>
      </c>
      <c r="BI157" s="136" t="s">
        <v>501</v>
      </c>
      <c r="BJ157" s="137" t="s">
        <v>501</v>
      </c>
      <c r="BK157" s="135">
        <f>BK$3</f>
        <v>46193</v>
      </c>
      <c r="BL157" s="136" t="s">
        <v>501</v>
      </c>
      <c r="BM157" s="137" t="s">
        <v>501</v>
      </c>
      <c r="BN157" s="135"/>
      <c r="BO157" s="135">
        <f>BO$3</f>
        <v>46195</v>
      </c>
      <c r="BP157" s="136" t="s">
        <v>501</v>
      </c>
      <c r="BQ157" s="137" t="s">
        <v>501</v>
      </c>
      <c r="BR157" s="135">
        <f>BR$3</f>
        <v>46196</v>
      </c>
      <c r="BS157" s="136" t="s">
        <v>501</v>
      </c>
      <c r="BT157" s="137" t="s">
        <v>501</v>
      </c>
      <c r="BU157" s="135">
        <f>BU$3</f>
        <v>46197</v>
      </c>
      <c r="BV157" s="136" t="s">
        <v>501</v>
      </c>
      <c r="BW157" s="137" t="s">
        <v>501</v>
      </c>
      <c r="BX157" s="135">
        <f>BX$3</f>
        <v>46198</v>
      </c>
      <c r="BY157" s="136" t="s">
        <v>501</v>
      </c>
      <c r="BZ157" s="137" t="s">
        <v>501</v>
      </c>
      <c r="CA157" s="135">
        <f>CA$3</f>
        <v>46199</v>
      </c>
      <c r="CB157" s="136" t="s">
        <v>501</v>
      </c>
      <c r="CC157" s="137" t="s">
        <v>501</v>
      </c>
      <c r="CD157" s="135">
        <f>CD$3</f>
        <v>46200</v>
      </c>
      <c r="CE157" s="136" t="s">
        <v>501</v>
      </c>
      <c r="CF157" s="137" t="s">
        <v>501</v>
      </c>
      <c r="CG157" s="135"/>
      <c r="CH157" s="135">
        <f>CH$3</f>
        <v>46202</v>
      </c>
      <c r="CI157" s="148" t="s">
        <v>501</v>
      </c>
      <c r="CJ157" s="137" t="s">
        <v>501</v>
      </c>
      <c r="CK157" s="135">
        <f>CK$3</f>
        <v>46203</v>
      </c>
      <c r="CL157" s="136" t="s">
        <v>501</v>
      </c>
      <c r="CM157" s="137" t="s">
        <v>501</v>
      </c>
      <c r="CN157" s="135">
        <f>CN$3</f>
        <v>46204</v>
      </c>
      <c r="CO157" s="136" t="s">
        <v>501</v>
      </c>
      <c r="CP157" s="137" t="s">
        <v>501</v>
      </c>
      <c r="CQ157" s="135">
        <f>CQ$3</f>
        <v>46205</v>
      </c>
      <c r="CR157" s="136" t="s">
        <v>501</v>
      </c>
      <c r="CS157" s="137" t="s">
        <v>501</v>
      </c>
      <c r="CT157" s="135">
        <f>CT$3</f>
        <v>46206</v>
      </c>
      <c r="CU157" s="136" t="s">
        <v>501</v>
      </c>
      <c r="CV157" s="137" t="s">
        <v>501</v>
      </c>
      <c r="CW157" s="135">
        <f>CW$3</f>
        <v>46207</v>
      </c>
      <c r="CX157" s="136" t="s">
        <v>501</v>
      </c>
      <c r="CY157" s="137" t="s">
        <v>501</v>
      </c>
      <c r="CZ157" s="135"/>
      <c r="DA157" s="135">
        <f>DA$3</f>
        <v>46209</v>
      </c>
      <c r="DB157" s="136" t="s">
        <v>501</v>
      </c>
      <c r="DC157" s="137" t="s">
        <v>501</v>
      </c>
      <c r="DD157" s="135">
        <f>DD$3</f>
        <v>46210</v>
      </c>
      <c r="DE157" s="136" t="s">
        <v>501</v>
      </c>
      <c r="DF157" s="137" t="s">
        <v>501</v>
      </c>
      <c r="DG157" s="135">
        <f>DG$3</f>
        <v>46211</v>
      </c>
      <c r="DH157" s="136" t="s">
        <v>501</v>
      </c>
      <c r="DI157" s="137" t="s">
        <v>501</v>
      </c>
      <c r="DJ157" s="135">
        <f>DJ$3</f>
        <v>46212</v>
      </c>
      <c r="DK157" s="136" t="s">
        <v>501</v>
      </c>
      <c r="DL157" s="137" t="s">
        <v>501</v>
      </c>
      <c r="DM157" s="135">
        <f>DM$3</f>
        <v>46213</v>
      </c>
      <c r="DN157" s="136" t="s">
        <v>501</v>
      </c>
      <c r="DO157" s="137" t="s">
        <v>501</v>
      </c>
      <c r="DP157" s="135">
        <f>DP$3</f>
        <v>46214</v>
      </c>
      <c r="DQ157" s="136" t="s">
        <v>501</v>
      </c>
      <c r="DR157" s="137" t="s">
        <v>501</v>
      </c>
    </row>
    <row r="158" spans="1:122" outlineLevel="1">
      <c r="A158" s="122" t="str">
        <f>$A$150</f>
        <v>Đặng Minh Quang</v>
      </c>
      <c r="B158" s="82" t="s">
        <v>663</v>
      </c>
      <c r="C158" s="81" t="str">
        <f>IF($B158="","",INDEX('Bảng 3'!C:C,MATCH($B158,'Bảng 3'!$A:$A,0)))</f>
        <v>Quản lý BIM</v>
      </c>
      <c r="D158" s="81" t="str">
        <f>IF($B158="","",INDEX('Bảng 3'!D:D,MATCH($B158,'Bảng 3'!$A:$A,0)))</f>
        <v>B.QNI.HLX.CT</v>
      </c>
      <c r="E158" s="81" t="str">
        <f>IF($B158="","",INDEX('Bảng 3'!E:E,MATCH($B158,'Bảng 3'!$A:$A,0)))</f>
        <v>Hầm lô B03.2-CCCT-02</v>
      </c>
      <c r="F158" s="81" t="str">
        <f>IF($B158="","",INDEX('Bảng 3'!F:F,MATCH($B158,'Bảng 3'!$A:$A,0)))</f>
        <v>KT</v>
      </c>
      <c r="G158" s="81" t="str">
        <f>IF($B158="","",INDEX('Bảng 3'!G:G,MATCH($B158,'Bảng 3'!$A:$A,0)))</f>
        <v>Tạo lập mô hình BIM</v>
      </c>
      <c r="H158" s="121"/>
      <c r="I158" s="135"/>
      <c r="J158" s="135">
        <f>J$3</f>
        <v>46174</v>
      </c>
      <c r="K158" s="148" t="s">
        <v>501</v>
      </c>
      <c r="L158" s="168" t="s">
        <v>501</v>
      </c>
      <c r="M158" s="135">
        <f>M$3</f>
        <v>46175</v>
      </c>
      <c r="N158" s="148" t="s">
        <v>501</v>
      </c>
      <c r="O158" s="137" t="s">
        <v>501</v>
      </c>
      <c r="P158" s="135">
        <f>P$3</f>
        <v>46176</v>
      </c>
      <c r="Q158" s="136" t="s">
        <v>501</v>
      </c>
      <c r="R158" s="137" t="s">
        <v>501</v>
      </c>
      <c r="S158" s="135">
        <f>S$3</f>
        <v>46177</v>
      </c>
      <c r="T158" s="136" t="s">
        <v>501</v>
      </c>
      <c r="U158" s="137" t="s">
        <v>501</v>
      </c>
      <c r="V158" s="135">
        <f>V$3</f>
        <v>46178</v>
      </c>
      <c r="W158" s="136" t="s">
        <v>501</v>
      </c>
      <c r="X158" s="137" t="s">
        <v>501</v>
      </c>
      <c r="Y158" s="135">
        <f>Y$3</f>
        <v>46179</v>
      </c>
      <c r="Z158" s="136" t="s">
        <v>501</v>
      </c>
      <c r="AA158" s="137" t="s">
        <v>501</v>
      </c>
      <c r="AB158" s="135"/>
      <c r="AC158" s="135">
        <f>AC$3</f>
        <v>46181</v>
      </c>
      <c r="AD158" s="136" t="s">
        <v>501</v>
      </c>
      <c r="AE158" s="137" t="s">
        <v>501</v>
      </c>
      <c r="AF158" s="135">
        <f>AF$3</f>
        <v>46182</v>
      </c>
      <c r="AG158" s="136" t="s">
        <v>501</v>
      </c>
      <c r="AH158" s="137" t="s">
        <v>501</v>
      </c>
      <c r="AI158" s="135">
        <f>AI$3</f>
        <v>46183</v>
      </c>
      <c r="AJ158" s="136" t="s">
        <v>501</v>
      </c>
      <c r="AK158" s="137" t="s">
        <v>501</v>
      </c>
      <c r="AL158" s="135">
        <f>AL$3</f>
        <v>46184</v>
      </c>
      <c r="AM158" s="136" t="s">
        <v>501</v>
      </c>
      <c r="AN158" s="137" t="s">
        <v>501</v>
      </c>
      <c r="AO158" s="135">
        <f>AO$3</f>
        <v>46185</v>
      </c>
      <c r="AP158" s="136" t="s">
        <v>501</v>
      </c>
      <c r="AQ158" s="137" t="s">
        <v>501</v>
      </c>
      <c r="AR158" s="135">
        <f>AR$3</f>
        <v>46186</v>
      </c>
      <c r="AS158" s="136" t="s">
        <v>501</v>
      </c>
      <c r="AT158" s="137" t="s">
        <v>501</v>
      </c>
      <c r="AU158" s="135"/>
      <c r="AV158" s="135">
        <f>AV$3</f>
        <v>46188</v>
      </c>
      <c r="AW158" s="148" t="s">
        <v>501</v>
      </c>
      <c r="AX158" s="137" t="s">
        <v>501</v>
      </c>
      <c r="AY158" s="135">
        <f>AY$3</f>
        <v>46189</v>
      </c>
      <c r="AZ158" s="136" t="s">
        <v>501</v>
      </c>
      <c r="BA158" s="137" t="s">
        <v>501</v>
      </c>
      <c r="BB158" s="135">
        <f>BB$3</f>
        <v>46190</v>
      </c>
      <c r="BC158" s="136" t="s">
        <v>501</v>
      </c>
      <c r="BD158" s="137" t="s">
        <v>501</v>
      </c>
      <c r="BE158" s="135">
        <f>BE$3</f>
        <v>46191</v>
      </c>
      <c r="BF158" s="136" t="s">
        <v>501</v>
      </c>
      <c r="BG158" s="137" t="s">
        <v>501</v>
      </c>
      <c r="BH158" s="135">
        <f>BH$3</f>
        <v>46192</v>
      </c>
      <c r="BI158" s="136" t="s">
        <v>501</v>
      </c>
      <c r="BJ158" s="137" t="s">
        <v>501</v>
      </c>
      <c r="BK158" s="135">
        <f>BK$3</f>
        <v>46193</v>
      </c>
      <c r="BL158" s="136" t="s">
        <v>501</v>
      </c>
      <c r="BM158" s="137" t="s">
        <v>501</v>
      </c>
      <c r="BN158" s="135"/>
      <c r="BO158" s="135">
        <f>BO$3</f>
        <v>46195</v>
      </c>
      <c r="BP158" s="136" t="s">
        <v>501</v>
      </c>
      <c r="BQ158" s="137" t="s">
        <v>501</v>
      </c>
      <c r="BR158" s="135">
        <f>BR$3</f>
        <v>46196</v>
      </c>
      <c r="BS158" s="136" t="s">
        <v>501</v>
      </c>
      <c r="BT158" s="137" t="s">
        <v>501</v>
      </c>
      <c r="BU158" s="135">
        <f>BU$3</f>
        <v>46197</v>
      </c>
      <c r="BV158" s="136" t="s">
        <v>501</v>
      </c>
      <c r="BW158" s="137" t="s">
        <v>501</v>
      </c>
      <c r="BX158" s="135">
        <f>BX$3</f>
        <v>46198</v>
      </c>
      <c r="BY158" s="136" t="s">
        <v>501</v>
      </c>
      <c r="BZ158" s="137" t="s">
        <v>501</v>
      </c>
      <c r="CA158" s="135">
        <f>CA$3</f>
        <v>46199</v>
      </c>
      <c r="CB158" s="136" t="s">
        <v>501</v>
      </c>
      <c r="CC158" s="137" t="s">
        <v>501</v>
      </c>
      <c r="CD158" s="135">
        <f>CD$3</f>
        <v>46200</v>
      </c>
      <c r="CE158" s="136" t="s">
        <v>501</v>
      </c>
      <c r="CF158" s="137" t="s">
        <v>501</v>
      </c>
      <c r="CG158" s="135"/>
      <c r="CH158" s="135">
        <f>CH$3</f>
        <v>46202</v>
      </c>
      <c r="CI158" s="148" t="s">
        <v>501</v>
      </c>
      <c r="CJ158" s="137" t="s">
        <v>501</v>
      </c>
      <c r="CK158" s="135">
        <f>CK$3</f>
        <v>46203</v>
      </c>
      <c r="CL158" s="136" t="s">
        <v>501</v>
      </c>
      <c r="CM158" s="137" t="s">
        <v>501</v>
      </c>
      <c r="CN158" s="135">
        <f>CN$3</f>
        <v>46204</v>
      </c>
      <c r="CO158" s="136" t="s">
        <v>501</v>
      </c>
      <c r="CP158" s="137" t="s">
        <v>501</v>
      </c>
      <c r="CQ158" s="135">
        <f>CQ$3</f>
        <v>46205</v>
      </c>
      <c r="CR158" s="136" t="s">
        <v>501</v>
      </c>
      <c r="CS158" s="137" t="s">
        <v>501</v>
      </c>
      <c r="CT158" s="135">
        <f>CT$3</f>
        <v>46206</v>
      </c>
      <c r="CU158" s="136" t="s">
        <v>501</v>
      </c>
      <c r="CV158" s="137" t="s">
        <v>501</v>
      </c>
      <c r="CW158" s="135">
        <f>CW$3</f>
        <v>46207</v>
      </c>
      <c r="CX158" s="136" t="s">
        <v>501</v>
      </c>
      <c r="CY158" s="137" t="s">
        <v>501</v>
      </c>
      <c r="CZ158" s="135"/>
      <c r="DA158" s="135">
        <f>DA$3</f>
        <v>46209</v>
      </c>
      <c r="DB158" s="136" t="s">
        <v>501</v>
      </c>
      <c r="DC158" s="137" t="s">
        <v>501</v>
      </c>
      <c r="DD158" s="135">
        <f>DD$3</f>
        <v>46210</v>
      </c>
      <c r="DE158" s="136" t="s">
        <v>501</v>
      </c>
      <c r="DF158" s="137" t="s">
        <v>501</v>
      </c>
      <c r="DG158" s="135">
        <f>DG$3</f>
        <v>46211</v>
      </c>
      <c r="DH158" s="136" t="s">
        <v>501</v>
      </c>
      <c r="DI158" s="137" t="s">
        <v>501</v>
      </c>
      <c r="DJ158" s="135">
        <f>DJ$3</f>
        <v>46212</v>
      </c>
      <c r="DK158" s="136" t="s">
        <v>501</v>
      </c>
      <c r="DL158" s="137" t="s">
        <v>501</v>
      </c>
      <c r="DM158" s="135">
        <f>DM$3</f>
        <v>46213</v>
      </c>
      <c r="DN158" s="136" t="s">
        <v>501</v>
      </c>
      <c r="DO158" s="137" t="s">
        <v>501</v>
      </c>
      <c r="DP158" s="135">
        <f>DP$3</f>
        <v>46214</v>
      </c>
      <c r="DQ158" s="136" t="s">
        <v>501</v>
      </c>
      <c r="DR158" s="137" t="s">
        <v>501</v>
      </c>
    </row>
    <row r="159" spans="1:122" outlineLevel="1">
      <c r="A159" s="122" t="str">
        <f>$A$150</f>
        <v>Đặng Minh Quang</v>
      </c>
      <c r="B159" s="82" t="s">
        <v>664</v>
      </c>
      <c r="C159" s="81" t="str">
        <f>IF($B159="","",INDEX('Bảng 3'!C:C,MATCH($B159,'Bảng 3'!$A:$A,0)))</f>
        <v>Quản lý BIM</v>
      </c>
      <c r="D159" s="81" t="str">
        <f>IF($B159="","",INDEX('Bảng 3'!D:D,MATCH($B159,'Bảng 3'!$A:$A,0)))</f>
        <v>B.QNI.HLX.CT</v>
      </c>
      <c r="E159" s="81" t="str">
        <f>IF($B159="","",INDEX('Bảng 3'!E:E,MATCH($B159,'Bảng 3'!$A:$A,0)))</f>
        <v>Hầm lô B03.2-CCCT-02</v>
      </c>
      <c r="F159" s="81" t="str">
        <f>IF($B159="","",INDEX('Bảng 3'!F:F,MATCH($B159,'Bảng 3'!$A:$A,0)))</f>
        <v>KC</v>
      </c>
      <c r="G159" s="81" t="str">
        <f>IF($B159="","",INDEX('Bảng 3'!G:G,MATCH($B159,'Bảng 3'!$A:$A,0)))</f>
        <v>Tạo lập mô hình BIM</v>
      </c>
      <c r="H159" s="121"/>
      <c r="I159" s="135"/>
      <c r="J159" s="135">
        <f>J$3</f>
        <v>46174</v>
      </c>
      <c r="K159" s="148" t="s">
        <v>501</v>
      </c>
      <c r="L159" s="168" t="s">
        <v>501</v>
      </c>
      <c r="M159" s="135">
        <f>M$3</f>
        <v>46175</v>
      </c>
      <c r="N159" s="148" t="s">
        <v>501</v>
      </c>
      <c r="O159" s="137" t="s">
        <v>501</v>
      </c>
      <c r="P159" s="135">
        <f>P$3</f>
        <v>46176</v>
      </c>
      <c r="Q159" s="136" t="s">
        <v>501</v>
      </c>
      <c r="R159" s="137" t="s">
        <v>501</v>
      </c>
      <c r="S159" s="135">
        <f>S$3</f>
        <v>46177</v>
      </c>
      <c r="T159" s="136" t="s">
        <v>501</v>
      </c>
      <c r="U159" s="137" t="s">
        <v>501</v>
      </c>
      <c r="V159" s="135">
        <f>V$3</f>
        <v>46178</v>
      </c>
      <c r="W159" s="136" t="s">
        <v>501</v>
      </c>
      <c r="X159" s="137" t="s">
        <v>501</v>
      </c>
      <c r="Y159" s="135">
        <f>Y$3</f>
        <v>46179</v>
      </c>
      <c r="Z159" s="136" t="s">
        <v>501</v>
      </c>
      <c r="AA159" s="137" t="s">
        <v>501</v>
      </c>
      <c r="AB159" s="135"/>
      <c r="AC159" s="135">
        <f>AC$3</f>
        <v>46181</v>
      </c>
      <c r="AD159" s="136" t="s">
        <v>501</v>
      </c>
      <c r="AE159" s="137" t="s">
        <v>501</v>
      </c>
      <c r="AF159" s="135">
        <f>AF$3</f>
        <v>46182</v>
      </c>
      <c r="AG159" s="136" t="s">
        <v>501</v>
      </c>
      <c r="AH159" s="137" t="s">
        <v>501</v>
      </c>
      <c r="AI159" s="135">
        <f>AI$3</f>
        <v>46183</v>
      </c>
      <c r="AJ159" s="136" t="s">
        <v>501</v>
      </c>
      <c r="AK159" s="137" t="s">
        <v>501</v>
      </c>
      <c r="AL159" s="135">
        <f>AL$3</f>
        <v>46184</v>
      </c>
      <c r="AM159" s="136" t="s">
        <v>501</v>
      </c>
      <c r="AN159" s="137" t="s">
        <v>501</v>
      </c>
      <c r="AO159" s="135">
        <f>AO$3</f>
        <v>46185</v>
      </c>
      <c r="AP159" s="136" t="s">
        <v>501</v>
      </c>
      <c r="AQ159" s="137" t="s">
        <v>501</v>
      </c>
      <c r="AR159" s="135">
        <f>AR$3</f>
        <v>46186</v>
      </c>
      <c r="AS159" s="136" t="s">
        <v>501</v>
      </c>
      <c r="AT159" s="137" t="s">
        <v>501</v>
      </c>
      <c r="AU159" s="135"/>
      <c r="AV159" s="135">
        <f>AV$3</f>
        <v>46188</v>
      </c>
      <c r="AW159" s="148" t="s">
        <v>501</v>
      </c>
      <c r="AX159" s="137" t="s">
        <v>501</v>
      </c>
      <c r="AY159" s="135">
        <f>AY$3</f>
        <v>46189</v>
      </c>
      <c r="AZ159" s="136" t="s">
        <v>501</v>
      </c>
      <c r="BA159" s="137" t="s">
        <v>501</v>
      </c>
      <c r="BB159" s="135">
        <f>BB$3</f>
        <v>46190</v>
      </c>
      <c r="BC159" s="136" t="s">
        <v>501</v>
      </c>
      <c r="BD159" s="137" t="s">
        <v>501</v>
      </c>
      <c r="BE159" s="135">
        <f>BE$3</f>
        <v>46191</v>
      </c>
      <c r="BF159" s="136" t="s">
        <v>501</v>
      </c>
      <c r="BG159" s="137" t="s">
        <v>501</v>
      </c>
      <c r="BH159" s="135">
        <f>BH$3</f>
        <v>46192</v>
      </c>
      <c r="BI159" s="136" t="s">
        <v>501</v>
      </c>
      <c r="BJ159" s="137" t="s">
        <v>501</v>
      </c>
      <c r="BK159" s="135">
        <f>BK$3</f>
        <v>46193</v>
      </c>
      <c r="BL159" s="136" t="s">
        <v>501</v>
      </c>
      <c r="BM159" s="137" t="s">
        <v>501</v>
      </c>
      <c r="BN159" s="135"/>
      <c r="BO159" s="135">
        <f>BO$3</f>
        <v>46195</v>
      </c>
      <c r="BP159" s="136" t="s">
        <v>501</v>
      </c>
      <c r="BQ159" s="137" t="s">
        <v>501</v>
      </c>
      <c r="BR159" s="135">
        <f>BR$3</f>
        <v>46196</v>
      </c>
      <c r="BS159" s="136" t="s">
        <v>501</v>
      </c>
      <c r="BT159" s="137" t="s">
        <v>501</v>
      </c>
      <c r="BU159" s="135">
        <f>BU$3</f>
        <v>46197</v>
      </c>
      <c r="BV159" s="136" t="s">
        <v>501</v>
      </c>
      <c r="BW159" s="137" t="s">
        <v>501</v>
      </c>
      <c r="BX159" s="135">
        <f>BX$3</f>
        <v>46198</v>
      </c>
      <c r="BY159" s="136" t="s">
        <v>501</v>
      </c>
      <c r="BZ159" s="137" t="s">
        <v>501</v>
      </c>
      <c r="CA159" s="135">
        <f>CA$3</f>
        <v>46199</v>
      </c>
      <c r="CB159" s="136" t="s">
        <v>501</v>
      </c>
      <c r="CC159" s="137" t="s">
        <v>501</v>
      </c>
      <c r="CD159" s="135">
        <f>CD$3</f>
        <v>46200</v>
      </c>
      <c r="CE159" s="136" t="s">
        <v>501</v>
      </c>
      <c r="CF159" s="137" t="s">
        <v>501</v>
      </c>
      <c r="CG159" s="135"/>
      <c r="CH159" s="135">
        <f>CH$3</f>
        <v>46202</v>
      </c>
      <c r="CI159" s="148" t="s">
        <v>501</v>
      </c>
      <c r="CJ159" s="137" t="s">
        <v>501</v>
      </c>
      <c r="CK159" s="135">
        <f>CK$3</f>
        <v>46203</v>
      </c>
      <c r="CL159" s="136" t="s">
        <v>501</v>
      </c>
      <c r="CM159" s="137" t="s">
        <v>501</v>
      </c>
      <c r="CN159" s="135">
        <f>CN$3</f>
        <v>46204</v>
      </c>
      <c r="CO159" s="136" t="s">
        <v>501</v>
      </c>
      <c r="CP159" s="137" t="s">
        <v>501</v>
      </c>
      <c r="CQ159" s="135">
        <f>CQ$3</f>
        <v>46205</v>
      </c>
      <c r="CR159" s="136" t="s">
        <v>501</v>
      </c>
      <c r="CS159" s="137" t="s">
        <v>501</v>
      </c>
      <c r="CT159" s="135">
        <f>CT$3</f>
        <v>46206</v>
      </c>
      <c r="CU159" s="136" t="s">
        <v>501</v>
      </c>
      <c r="CV159" s="137" t="s">
        <v>501</v>
      </c>
      <c r="CW159" s="135">
        <f>CW$3</f>
        <v>46207</v>
      </c>
      <c r="CX159" s="136" t="s">
        <v>501</v>
      </c>
      <c r="CY159" s="137" t="s">
        <v>501</v>
      </c>
      <c r="CZ159" s="135"/>
      <c r="DA159" s="135">
        <f>DA$3</f>
        <v>46209</v>
      </c>
      <c r="DB159" s="136" t="s">
        <v>501</v>
      </c>
      <c r="DC159" s="137" t="s">
        <v>501</v>
      </c>
      <c r="DD159" s="135">
        <f>DD$3</f>
        <v>46210</v>
      </c>
      <c r="DE159" s="136" t="s">
        <v>501</v>
      </c>
      <c r="DF159" s="137" t="s">
        <v>501</v>
      </c>
      <c r="DG159" s="135">
        <f>DG$3</f>
        <v>46211</v>
      </c>
      <c r="DH159" s="136" t="s">
        <v>501</v>
      </c>
      <c r="DI159" s="137" t="s">
        <v>501</v>
      </c>
      <c r="DJ159" s="135">
        <f>DJ$3</f>
        <v>46212</v>
      </c>
      <c r="DK159" s="136" t="s">
        <v>501</v>
      </c>
      <c r="DL159" s="137" t="s">
        <v>501</v>
      </c>
      <c r="DM159" s="135">
        <f>DM$3</f>
        <v>46213</v>
      </c>
      <c r="DN159" s="136" t="s">
        <v>501</v>
      </c>
      <c r="DO159" s="137" t="s">
        <v>501</v>
      </c>
      <c r="DP159" s="135">
        <f>DP$3</f>
        <v>46214</v>
      </c>
      <c r="DQ159" s="136" t="s">
        <v>501</v>
      </c>
      <c r="DR159" s="137" t="s">
        <v>501</v>
      </c>
    </row>
    <row r="160" spans="1:122" outlineLevel="1">
      <c r="A160" s="122" t="str">
        <f>$A$150</f>
        <v>Đặng Minh Quang</v>
      </c>
      <c r="B160" s="82" t="s">
        <v>665</v>
      </c>
      <c r="C160" s="81" t="str">
        <f>IF($B160="","",INDEX('Bảng 3'!C:C,MATCH($B160,'Bảng 3'!$A:$A,0)))</f>
        <v>Quản lý BIM</v>
      </c>
      <c r="D160" s="81" t="str">
        <f>IF($B160="","",INDEX('Bảng 3'!D:D,MATCH($B160,'Bảng 3'!$A:$A,0)))</f>
        <v>N.HCM.CGIO.KSMN</v>
      </c>
      <c r="E160" s="81" t="str">
        <f>IF($B160="","",INDEX('Bảng 3'!E:E,MATCH($B160,'Bảng 3'!$A:$A,0)))</f>
        <v>Lô A5.01.02, mẫu M4G, M9, M9G</v>
      </c>
      <c r="F160" s="81" t="str">
        <f>IF($B160="","",INDEX('Bảng 3'!F:F,MATCH($B160,'Bảng 3'!$A:$A,0)))</f>
        <v>KT</v>
      </c>
      <c r="G160" s="81" t="str">
        <f>IF($B160="","",INDEX('Bảng 3'!G:G,MATCH($B160,'Bảng 3'!$A:$A,0)))</f>
        <v>KSCL mô hình BIM</v>
      </c>
      <c r="H160" s="121"/>
      <c r="I160" s="135"/>
      <c r="J160" s="135">
        <f>J$3</f>
        <v>46174</v>
      </c>
      <c r="K160" s="148" t="s">
        <v>501</v>
      </c>
      <c r="L160" s="168" t="s">
        <v>501</v>
      </c>
      <c r="M160" s="135">
        <f>M$3</f>
        <v>46175</v>
      </c>
      <c r="N160" s="148" t="s">
        <v>501</v>
      </c>
      <c r="O160" s="137" t="s">
        <v>501</v>
      </c>
      <c r="P160" s="135">
        <f>P$3</f>
        <v>46176</v>
      </c>
      <c r="Q160" s="136" t="s">
        <v>501</v>
      </c>
      <c r="R160" s="137" t="s">
        <v>501</v>
      </c>
      <c r="S160" s="135">
        <f>S$3</f>
        <v>46177</v>
      </c>
      <c r="T160" s="136" t="s">
        <v>501</v>
      </c>
      <c r="U160" s="137" t="s">
        <v>501</v>
      </c>
      <c r="V160" s="135">
        <f>V$3</f>
        <v>46178</v>
      </c>
      <c r="W160" s="136" t="s">
        <v>501</v>
      </c>
      <c r="X160" s="137" t="s">
        <v>501</v>
      </c>
      <c r="Y160" s="135">
        <f>Y$3</f>
        <v>46179</v>
      </c>
      <c r="Z160" s="136" t="s">
        <v>501</v>
      </c>
      <c r="AA160" s="137" t="s">
        <v>501</v>
      </c>
      <c r="AB160" s="135"/>
      <c r="AC160" s="135">
        <f>AC$3</f>
        <v>46181</v>
      </c>
      <c r="AD160" s="136" t="s">
        <v>501</v>
      </c>
      <c r="AE160" s="137" t="s">
        <v>501</v>
      </c>
      <c r="AF160" s="135">
        <f>AF$3</f>
        <v>46182</v>
      </c>
      <c r="AG160" s="136" t="s">
        <v>501</v>
      </c>
      <c r="AH160" s="137" t="s">
        <v>501</v>
      </c>
      <c r="AI160" s="135">
        <f>AI$3</f>
        <v>46183</v>
      </c>
      <c r="AJ160" s="136" t="s">
        <v>501</v>
      </c>
      <c r="AK160" s="137" t="s">
        <v>501</v>
      </c>
      <c r="AL160" s="135">
        <f>AL$3</f>
        <v>46184</v>
      </c>
      <c r="AM160" s="136" t="s">
        <v>501</v>
      </c>
      <c r="AN160" s="137" t="s">
        <v>501</v>
      </c>
      <c r="AO160" s="135">
        <f>AO$3</f>
        <v>46185</v>
      </c>
      <c r="AP160" s="136" t="s">
        <v>501</v>
      </c>
      <c r="AQ160" s="137" t="s">
        <v>501</v>
      </c>
      <c r="AR160" s="135">
        <f>AR$3</f>
        <v>46186</v>
      </c>
      <c r="AS160" s="136" t="s">
        <v>501</v>
      </c>
      <c r="AT160" s="137" t="s">
        <v>501</v>
      </c>
      <c r="AU160" s="135"/>
      <c r="AV160" s="135">
        <f>AV$3</f>
        <v>46188</v>
      </c>
      <c r="AW160" s="148" t="s">
        <v>501</v>
      </c>
      <c r="AX160" s="137" t="s">
        <v>501</v>
      </c>
      <c r="AY160" s="135">
        <f>AY$3</f>
        <v>46189</v>
      </c>
      <c r="AZ160" s="136" t="s">
        <v>501</v>
      </c>
      <c r="BA160" s="137" t="s">
        <v>501</v>
      </c>
      <c r="BB160" s="135">
        <f>BB$3</f>
        <v>46190</v>
      </c>
      <c r="BC160" s="136" t="s">
        <v>501</v>
      </c>
      <c r="BD160" s="137" t="s">
        <v>501</v>
      </c>
      <c r="BE160" s="135">
        <f>BE$3</f>
        <v>46191</v>
      </c>
      <c r="BF160" s="136" t="s">
        <v>501</v>
      </c>
      <c r="BG160" s="137" t="s">
        <v>501</v>
      </c>
      <c r="BH160" s="135">
        <f>BH$3</f>
        <v>46192</v>
      </c>
      <c r="BI160" s="136" t="s">
        <v>501</v>
      </c>
      <c r="BJ160" s="137" t="s">
        <v>501</v>
      </c>
      <c r="BK160" s="135">
        <f>BK$3</f>
        <v>46193</v>
      </c>
      <c r="BL160" s="136" t="s">
        <v>501</v>
      </c>
      <c r="BM160" s="137" t="s">
        <v>501</v>
      </c>
      <c r="BN160" s="135"/>
      <c r="BO160" s="135">
        <f>BO$3</f>
        <v>46195</v>
      </c>
      <c r="BP160" s="136" t="s">
        <v>501</v>
      </c>
      <c r="BQ160" s="137" t="s">
        <v>501</v>
      </c>
      <c r="BR160" s="135">
        <f>BR$3</f>
        <v>46196</v>
      </c>
      <c r="BS160" s="136" t="s">
        <v>501</v>
      </c>
      <c r="BT160" s="137" t="s">
        <v>501</v>
      </c>
      <c r="BU160" s="135">
        <f>BU$3</f>
        <v>46197</v>
      </c>
      <c r="BV160" s="136" t="s">
        <v>501</v>
      </c>
      <c r="BW160" s="137" t="s">
        <v>501</v>
      </c>
      <c r="BX160" s="135">
        <f>BX$3</f>
        <v>46198</v>
      </c>
      <c r="BY160" s="136" t="s">
        <v>501</v>
      </c>
      <c r="BZ160" s="137" t="s">
        <v>501</v>
      </c>
      <c r="CA160" s="135">
        <f>CA$3</f>
        <v>46199</v>
      </c>
      <c r="CB160" s="136" t="s">
        <v>501</v>
      </c>
      <c r="CC160" s="137" t="s">
        <v>501</v>
      </c>
      <c r="CD160" s="135">
        <f>CD$3</f>
        <v>46200</v>
      </c>
      <c r="CE160" s="136" t="s">
        <v>501</v>
      </c>
      <c r="CF160" s="137" t="s">
        <v>501</v>
      </c>
      <c r="CG160" s="135"/>
      <c r="CH160" s="135">
        <f>CH$3</f>
        <v>46202</v>
      </c>
      <c r="CI160" s="148" t="s">
        <v>501</v>
      </c>
      <c r="CJ160" s="137" t="s">
        <v>501</v>
      </c>
      <c r="CK160" s="135">
        <f>CK$3</f>
        <v>46203</v>
      </c>
      <c r="CL160" s="136" t="s">
        <v>501</v>
      </c>
      <c r="CM160" s="137" t="s">
        <v>501</v>
      </c>
      <c r="CN160" s="135">
        <f>CN$3</f>
        <v>46204</v>
      </c>
      <c r="CO160" s="136" t="s">
        <v>501</v>
      </c>
      <c r="CP160" s="137" t="s">
        <v>501</v>
      </c>
      <c r="CQ160" s="135">
        <f>CQ$3</f>
        <v>46205</v>
      </c>
      <c r="CR160" s="136" t="s">
        <v>501</v>
      </c>
      <c r="CS160" s="137" t="s">
        <v>501</v>
      </c>
      <c r="CT160" s="135">
        <f>CT$3</f>
        <v>46206</v>
      </c>
      <c r="CU160" s="136" t="s">
        <v>501</v>
      </c>
      <c r="CV160" s="137" t="s">
        <v>501</v>
      </c>
      <c r="CW160" s="135">
        <f>CW$3</f>
        <v>46207</v>
      </c>
      <c r="CX160" s="136" t="s">
        <v>501</v>
      </c>
      <c r="CY160" s="137" t="s">
        <v>501</v>
      </c>
      <c r="CZ160" s="135"/>
      <c r="DA160" s="135">
        <f>DA$3</f>
        <v>46209</v>
      </c>
      <c r="DB160" s="136" t="s">
        <v>501</v>
      </c>
      <c r="DC160" s="137" t="s">
        <v>501</v>
      </c>
      <c r="DD160" s="135">
        <f>DD$3</f>
        <v>46210</v>
      </c>
      <c r="DE160" s="136" t="s">
        <v>501</v>
      </c>
      <c r="DF160" s="137" t="s">
        <v>501</v>
      </c>
      <c r="DG160" s="135">
        <f>DG$3</f>
        <v>46211</v>
      </c>
      <c r="DH160" s="136" t="s">
        <v>501</v>
      </c>
      <c r="DI160" s="137" t="s">
        <v>501</v>
      </c>
      <c r="DJ160" s="135">
        <f>DJ$3</f>
        <v>46212</v>
      </c>
      <c r="DK160" s="136" t="s">
        <v>501</v>
      </c>
      <c r="DL160" s="137" t="s">
        <v>501</v>
      </c>
      <c r="DM160" s="135">
        <f>DM$3</f>
        <v>46213</v>
      </c>
      <c r="DN160" s="136" t="s">
        <v>501</v>
      </c>
      <c r="DO160" s="137" t="s">
        <v>501</v>
      </c>
      <c r="DP160" s="135">
        <f>DP$3</f>
        <v>46214</v>
      </c>
      <c r="DQ160" s="136" t="s">
        <v>501</v>
      </c>
      <c r="DR160" s="137" t="s">
        <v>501</v>
      </c>
    </row>
    <row r="161" spans="1:122" outlineLevel="1">
      <c r="A161" s="122" t="str">
        <f>$A$150</f>
        <v>Đặng Minh Quang</v>
      </c>
      <c r="B161" s="82" t="s">
        <v>666</v>
      </c>
      <c r="C161" s="81" t="str">
        <f>IF($B161="","",INDEX('Bảng 3'!C:C,MATCH($B161,'Bảng 3'!$A:$A,0)))</f>
        <v>Quản lý BIM</v>
      </c>
      <c r="D161" s="81" t="str">
        <f>IF($B161="","",INDEX('Bảng 3'!D:D,MATCH($B161,'Bảng 3'!$A:$A,0)))</f>
        <v>N.HCM.CGIO.KSMN</v>
      </c>
      <c r="E161" s="81" t="str">
        <f>IF($B161="","",INDEX('Bảng 3'!E:E,MATCH($B161,'Bảng 3'!$A:$A,0)))</f>
        <v>Lô A5.01.02, mẫu M4G, M9, M9G</v>
      </c>
      <c r="F161" s="81" t="str">
        <f>IF($B161="","",INDEX('Bảng 3'!F:F,MATCH($B161,'Bảng 3'!$A:$A,0)))</f>
        <v>KT</v>
      </c>
      <c r="G161" s="81" t="str">
        <f>IF($B161="","",INDEX('Bảng 3'!G:G,MATCH($B161,'Bảng 3'!$A:$A,0)))</f>
        <v>Tạo lập mô hình BIM</v>
      </c>
      <c r="H161" s="121"/>
      <c r="I161" s="135"/>
      <c r="J161" s="135">
        <f>J$3</f>
        <v>46174</v>
      </c>
      <c r="K161" s="148" t="s">
        <v>501</v>
      </c>
      <c r="L161" s="168" t="s">
        <v>501</v>
      </c>
      <c r="M161" s="135">
        <f>M$3</f>
        <v>46175</v>
      </c>
      <c r="N161" s="148" t="s">
        <v>501</v>
      </c>
      <c r="O161" s="137" t="s">
        <v>501</v>
      </c>
      <c r="P161" s="135">
        <f>P$3</f>
        <v>46176</v>
      </c>
      <c r="Q161" s="136" t="s">
        <v>501</v>
      </c>
      <c r="R161" s="137" t="s">
        <v>501</v>
      </c>
      <c r="S161" s="135">
        <f>S$3</f>
        <v>46177</v>
      </c>
      <c r="T161" s="136" t="s">
        <v>501</v>
      </c>
      <c r="U161" s="137" t="s">
        <v>501</v>
      </c>
      <c r="V161" s="135">
        <f>V$3</f>
        <v>46178</v>
      </c>
      <c r="W161" s="136" t="s">
        <v>501</v>
      </c>
      <c r="X161" s="137" t="s">
        <v>501</v>
      </c>
      <c r="Y161" s="135">
        <f>Y$3</f>
        <v>46179</v>
      </c>
      <c r="Z161" s="136" t="s">
        <v>501</v>
      </c>
      <c r="AA161" s="137" t="s">
        <v>501</v>
      </c>
      <c r="AB161" s="135"/>
      <c r="AC161" s="135">
        <f>AC$3</f>
        <v>46181</v>
      </c>
      <c r="AD161" s="136" t="s">
        <v>501</v>
      </c>
      <c r="AE161" s="137" t="s">
        <v>501</v>
      </c>
      <c r="AF161" s="135">
        <f>AF$3</f>
        <v>46182</v>
      </c>
      <c r="AG161" s="136" t="s">
        <v>501</v>
      </c>
      <c r="AH161" s="137" t="s">
        <v>501</v>
      </c>
      <c r="AI161" s="135">
        <f>AI$3</f>
        <v>46183</v>
      </c>
      <c r="AJ161" s="136" t="s">
        <v>501</v>
      </c>
      <c r="AK161" s="137" t="s">
        <v>501</v>
      </c>
      <c r="AL161" s="135">
        <f>AL$3</f>
        <v>46184</v>
      </c>
      <c r="AM161" s="136" t="s">
        <v>501</v>
      </c>
      <c r="AN161" s="137" t="s">
        <v>501</v>
      </c>
      <c r="AO161" s="135">
        <f>AO$3</f>
        <v>46185</v>
      </c>
      <c r="AP161" s="136" t="s">
        <v>501</v>
      </c>
      <c r="AQ161" s="137" t="s">
        <v>501</v>
      </c>
      <c r="AR161" s="135">
        <f>AR$3</f>
        <v>46186</v>
      </c>
      <c r="AS161" s="136" t="s">
        <v>501</v>
      </c>
      <c r="AT161" s="137" t="s">
        <v>501</v>
      </c>
      <c r="AU161" s="135"/>
      <c r="AV161" s="135">
        <f>AV$3</f>
        <v>46188</v>
      </c>
      <c r="AW161" s="148" t="s">
        <v>501</v>
      </c>
      <c r="AX161" s="137" t="s">
        <v>501</v>
      </c>
      <c r="AY161" s="135">
        <f>AY$3</f>
        <v>46189</v>
      </c>
      <c r="AZ161" s="136" t="s">
        <v>501</v>
      </c>
      <c r="BA161" s="137" t="s">
        <v>501</v>
      </c>
      <c r="BB161" s="135">
        <f>BB$3</f>
        <v>46190</v>
      </c>
      <c r="BC161" s="136" t="s">
        <v>501</v>
      </c>
      <c r="BD161" s="137" t="s">
        <v>501</v>
      </c>
      <c r="BE161" s="135">
        <f>BE$3</f>
        <v>46191</v>
      </c>
      <c r="BF161" s="136" t="s">
        <v>501</v>
      </c>
      <c r="BG161" s="137" t="s">
        <v>501</v>
      </c>
      <c r="BH161" s="135">
        <f>BH$3</f>
        <v>46192</v>
      </c>
      <c r="BI161" s="136" t="s">
        <v>501</v>
      </c>
      <c r="BJ161" s="137" t="s">
        <v>501</v>
      </c>
      <c r="BK161" s="135">
        <f>BK$3</f>
        <v>46193</v>
      </c>
      <c r="BL161" s="136" t="s">
        <v>501</v>
      </c>
      <c r="BM161" s="137" t="s">
        <v>501</v>
      </c>
      <c r="BN161" s="135"/>
      <c r="BO161" s="135">
        <f>BO$3</f>
        <v>46195</v>
      </c>
      <c r="BP161" s="136" t="s">
        <v>501</v>
      </c>
      <c r="BQ161" s="137" t="s">
        <v>501</v>
      </c>
      <c r="BR161" s="135">
        <f>BR$3</f>
        <v>46196</v>
      </c>
      <c r="BS161" s="136" t="s">
        <v>501</v>
      </c>
      <c r="BT161" s="137" t="s">
        <v>501</v>
      </c>
      <c r="BU161" s="135">
        <f>BU$3</f>
        <v>46197</v>
      </c>
      <c r="BV161" s="136" t="s">
        <v>501</v>
      </c>
      <c r="BW161" s="137" t="s">
        <v>501</v>
      </c>
      <c r="BX161" s="135">
        <f>BX$3</f>
        <v>46198</v>
      </c>
      <c r="BY161" s="136" t="s">
        <v>501</v>
      </c>
      <c r="BZ161" s="137" t="s">
        <v>501</v>
      </c>
      <c r="CA161" s="135">
        <f>CA$3</f>
        <v>46199</v>
      </c>
      <c r="CB161" s="136" t="s">
        <v>501</v>
      </c>
      <c r="CC161" s="137" t="s">
        <v>501</v>
      </c>
      <c r="CD161" s="135">
        <f>CD$3</f>
        <v>46200</v>
      </c>
      <c r="CE161" s="136" t="s">
        <v>501</v>
      </c>
      <c r="CF161" s="137" t="s">
        <v>501</v>
      </c>
      <c r="CG161" s="135"/>
      <c r="CH161" s="135">
        <f>CH$3</f>
        <v>46202</v>
      </c>
      <c r="CI161" s="148" t="s">
        <v>501</v>
      </c>
      <c r="CJ161" s="137" t="s">
        <v>501</v>
      </c>
      <c r="CK161" s="135">
        <f>CK$3</f>
        <v>46203</v>
      </c>
      <c r="CL161" s="136" t="s">
        <v>501</v>
      </c>
      <c r="CM161" s="137" t="s">
        <v>501</v>
      </c>
      <c r="CN161" s="135">
        <f>CN$3</f>
        <v>46204</v>
      </c>
      <c r="CO161" s="136" t="s">
        <v>501</v>
      </c>
      <c r="CP161" s="137" t="s">
        <v>501</v>
      </c>
      <c r="CQ161" s="135">
        <f>CQ$3</f>
        <v>46205</v>
      </c>
      <c r="CR161" s="136" t="s">
        <v>501</v>
      </c>
      <c r="CS161" s="137" t="s">
        <v>501</v>
      </c>
      <c r="CT161" s="135">
        <f>CT$3</f>
        <v>46206</v>
      </c>
      <c r="CU161" s="136" t="s">
        <v>501</v>
      </c>
      <c r="CV161" s="137" t="s">
        <v>501</v>
      </c>
      <c r="CW161" s="135">
        <f>CW$3</f>
        <v>46207</v>
      </c>
      <c r="CX161" s="136" t="s">
        <v>501</v>
      </c>
      <c r="CY161" s="137" t="s">
        <v>501</v>
      </c>
      <c r="CZ161" s="135"/>
      <c r="DA161" s="135">
        <f>DA$3</f>
        <v>46209</v>
      </c>
      <c r="DB161" s="136" t="s">
        <v>501</v>
      </c>
      <c r="DC161" s="137" t="s">
        <v>501</v>
      </c>
      <c r="DD161" s="135">
        <f>DD$3</f>
        <v>46210</v>
      </c>
      <c r="DE161" s="136" t="s">
        <v>501</v>
      </c>
      <c r="DF161" s="137" t="s">
        <v>501</v>
      </c>
      <c r="DG161" s="135">
        <f>DG$3</f>
        <v>46211</v>
      </c>
      <c r="DH161" s="136" t="s">
        <v>501</v>
      </c>
      <c r="DI161" s="137" t="s">
        <v>501</v>
      </c>
      <c r="DJ161" s="135">
        <f>DJ$3</f>
        <v>46212</v>
      </c>
      <c r="DK161" s="136" t="s">
        <v>501</v>
      </c>
      <c r="DL161" s="137" t="s">
        <v>501</v>
      </c>
      <c r="DM161" s="135">
        <f>DM$3</f>
        <v>46213</v>
      </c>
      <c r="DN161" s="136" t="s">
        <v>501</v>
      </c>
      <c r="DO161" s="137" t="s">
        <v>501</v>
      </c>
      <c r="DP161" s="135">
        <f>DP$3</f>
        <v>46214</v>
      </c>
      <c r="DQ161" s="136" t="s">
        <v>501</v>
      </c>
      <c r="DR161" s="137" t="s">
        <v>501</v>
      </c>
    </row>
    <row r="162" spans="1:122" outlineLevel="1">
      <c r="A162" s="122" t="str">
        <f>$A$150</f>
        <v>Đặng Minh Quang</v>
      </c>
      <c r="B162" s="82" t="s">
        <v>667</v>
      </c>
      <c r="C162" s="81" t="str">
        <f>IF($B162="","",INDEX('Bảng 3'!C:C,MATCH($B162,'Bảng 3'!$A:$A,0)))</f>
        <v>Quản lý BIM</v>
      </c>
      <c r="D162" s="81" t="str">
        <f>IF($B162="","",INDEX('Bảng 3'!D:D,MATCH($B162,'Bảng 3'!$A:$A,0)))</f>
        <v>N.HCM.CGIO.KSMN</v>
      </c>
      <c r="E162" s="81" t="str">
        <f>IF($B162="","",INDEX('Bảng 3'!E:E,MATCH($B162,'Bảng 3'!$A:$A,0)))</f>
        <v>Lô A5.01.02, mẫu M4G, M9, M9G</v>
      </c>
      <c r="F162" s="81" t="str">
        <f>IF($B162="","",INDEX('Bảng 3'!F:F,MATCH($B162,'Bảng 3'!$A:$A,0)))</f>
        <v>KC</v>
      </c>
      <c r="G162" s="81" t="str">
        <f>IF($B162="","",INDEX('Bảng 3'!G:G,MATCH($B162,'Bảng 3'!$A:$A,0)))</f>
        <v>KSCL mô hình BIM</v>
      </c>
      <c r="H162" s="121"/>
      <c r="I162" s="135"/>
      <c r="J162" s="135">
        <f>J$3</f>
        <v>46174</v>
      </c>
      <c r="K162" s="148" t="s">
        <v>501</v>
      </c>
      <c r="L162" s="168" t="s">
        <v>501</v>
      </c>
      <c r="M162" s="135">
        <f>M$3</f>
        <v>46175</v>
      </c>
      <c r="N162" s="148" t="s">
        <v>501</v>
      </c>
      <c r="O162" s="137" t="s">
        <v>501</v>
      </c>
      <c r="P162" s="135">
        <f>P$3</f>
        <v>46176</v>
      </c>
      <c r="Q162" s="136" t="s">
        <v>501</v>
      </c>
      <c r="R162" s="137" t="s">
        <v>501</v>
      </c>
      <c r="S162" s="135">
        <f>S$3</f>
        <v>46177</v>
      </c>
      <c r="T162" s="136" t="s">
        <v>501</v>
      </c>
      <c r="U162" s="137" t="s">
        <v>501</v>
      </c>
      <c r="V162" s="135">
        <f>V$3</f>
        <v>46178</v>
      </c>
      <c r="W162" s="136" t="s">
        <v>501</v>
      </c>
      <c r="X162" s="137" t="s">
        <v>501</v>
      </c>
      <c r="Y162" s="135">
        <f>Y$3</f>
        <v>46179</v>
      </c>
      <c r="Z162" s="136" t="s">
        <v>501</v>
      </c>
      <c r="AA162" s="137" t="s">
        <v>501</v>
      </c>
      <c r="AB162" s="135"/>
      <c r="AC162" s="135">
        <f>AC$3</f>
        <v>46181</v>
      </c>
      <c r="AD162" s="136" t="s">
        <v>501</v>
      </c>
      <c r="AE162" s="137" t="s">
        <v>501</v>
      </c>
      <c r="AF162" s="135">
        <f>AF$3</f>
        <v>46182</v>
      </c>
      <c r="AG162" s="136" t="s">
        <v>501</v>
      </c>
      <c r="AH162" s="137" t="s">
        <v>501</v>
      </c>
      <c r="AI162" s="135">
        <f>AI$3</f>
        <v>46183</v>
      </c>
      <c r="AJ162" s="136" t="s">
        <v>501</v>
      </c>
      <c r="AK162" s="137" t="s">
        <v>501</v>
      </c>
      <c r="AL162" s="135">
        <f>AL$3</f>
        <v>46184</v>
      </c>
      <c r="AM162" s="136" t="s">
        <v>501</v>
      </c>
      <c r="AN162" s="137" t="s">
        <v>501</v>
      </c>
      <c r="AO162" s="135">
        <f>AO$3</f>
        <v>46185</v>
      </c>
      <c r="AP162" s="136" t="s">
        <v>501</v>
      </c>
      <c r="AQ162" s="137" t="s">
        <v>501</v>
      </c>
      <c r="AR162" s="135">
        <f>AR$3</f>
        <v>46186</v>
      </c>
      <c r="AS162" s="136" t="s">
        <v>501</v>
      </c>
      <c r="AT162" s="137" t="s">
        <v>501</v>
      </c>
      <c r="AU162" s="135"/>
      <c r="AV162" s="135">
        <f>AV$3</f>
        <v>46188</v>
      </c>
      <c r="AW162" s="148" t="s">
        <v>501</v>
      </c>
      <c r="AX162" s="137" t="s">
        <v>501</v>
      </c>
      <c r="AY162" s="135">
        <f>AY$3</f>
        <v>46189</v>
      </c>
      <c r="AZ162" s="136" t="s">
        <v>501</v>
      </c>
      <c r="BA162" s="137" t="s">
        <v>501</v>
      </c>
      <c r="BB162" s="135">
        <f>BB$3</f>
        <v>46190</v>
      </c>
      <c r="BC162" s="136" t="s">
        <v>501</v>
      </c>
      <c r="BD162" s="137" t="s">
        <v>501</v>
      </c>
      <c r="BE162" s="135">
        <f>BE$3</f>
        <v>46191</v>
      </c>
      <c r="BF162" s="136" t="s">
        <v>501</v>
      </c>
      <c r="BG162" s="137" t="s">
        <v>501</v>
      </c>
      <c r="BH162" s="135">
        <f>BH$3</f>
        <v>46192</v>
      </c>
      <c r="BI162" s="136" t="s">
        <v>501</v>
      </c>
      <c r="BJ162" s="137" t="s">
        <v>501</v>
      </c>
      <c r="BK162" s="135">
        <f>BK$3</f>
        <v>46193</v>
      </c>
      <c r="BL162" s="136" t="s">
        <v>501</v>
      </c>
      <c r="BM162" s="137" t="s">
        <v>501</v>
      </c>
      <c r="BN162" s="135"/>
      <c r="BO162" s="135">
        <f>BO$3</f>
        <v>46195</v>
      </c>
      <c r="BP162" s="136" t="s">
        <v>501</v>
      </c>
      <c r="BQ162" s="137" t="s">
        <v>501</v>
      </c>
      <c r="BR162" s="135">
        <f>BR$3</f>
        <v>46196</v>
      </c>
      <c r="BS162" s="136" t="s">
        <v>501</v>
      </c>
      <c r="BT162" s="137" t="s">
        <v>501</v>
      </c>
      <c r="BU162" s="135">
        <f>BU$3</f>
        <v>46197</v>
      </c>
      <c r="BV162" s="136" t="s">
        <v>501</v>
      </c>
      <c r="BW162" s="137" t="s">
        <v>501</v>
      </c>
      <c r="BX162" s="135">
        <f>BX$3</f>
        <v>46198</v>
      </c>
      <c r="BY162" s="136" t="s">
        <v>501</v>
      </c>
      <c r="BZ162" s="137" t="s">
        <v>501</v>
      </c>
      <c r="CA162" s="135">
        <f>CA$3</f>
        <v>46199</v>
      </c>
      <c r="CB162" s="136" t="s">
        <v>501</v>
      </c>
      <c r="CC162" s="137" t="s">
        <v>501</v>
      </c>
      <c r="CD162" s="135">
        <f>CD$3</f>
        <v>46200</v>
      </c>
      <c r="CE162" s="136" t="s">
        <v>501</v>
      </c>
      <c r="CF162" s="137" t="s">
        <v>501</v>
      </c>
      <c r="CG162" s="135"/>
      <c r="CH162" s="135">
        <f>CH$3</f>
        <v>46202</v>
      </c>
      <c r="CI162" s="148" t="s">
        <v>501</v>
      </c>
      <c r="CJ162" s="137" t="s">
        <v>501</v>
      </c>
      <c r="CK162" s="135">
        <f>CK$3</f>
        <v>46203</v>
      </c>
      <c r="CL162" s="136" t="s">
        <v>501</v>
      </c>
      <c r="CM162" s="137" t="s">
        <v>501</v>
      </c>
      <c r="CN162" s="135">
        <f>CN$3</f>
        <v>46204</v>
      </c>
      <c r="CO162" s="136" t="s">
        <v>501</v>
      </c>
      <c r="CP162" s="137" t="s">
        <v>501</v>
      </c>
      <c r="CQ162" s="135">
        <f>CQ$3</f>
        <v>46205</v>
      </c>
      <c r="CR162" s="136" t="s">
        <v>501</v>
      </c>
      <c r="CS162" s="137" t="s">
        <v>501</v>
      </c>
      <c r="CT162" s="135">
        <f>CT$3</f>
        <v>46206</v>
      </c>
      <c r="CU162" s="136" t="s">
        <v>501</v>
      </c>
      <c r="CV162" s="137" t="s">
        <v>501</v>
      </c>
      <c r="CW162" s="135">
        <f>CW$3</f>
        <v>46207</v>
      </c>
      <c r="CX162" s="136" t="s">
        <v>501</v>
      </c>
      <c r="CY162" s="137" t="s">
        <v>501</v>
      </c>
      <c r="CZ162" s="135"/>
      <c r="DA162" s="135">
        <f>DA$3</f>
        <v>46209</v>
      </c>
      <c r="DB162" s="136" t="s">
        <v>501</v>
      </c>
      <c r="DC162" s="137" t="s">
        <v>501</v>
      </c>
      <c r="DD162" s="135">
        <f>DD$3</f>
        <v>46210</v>
      </c>
      <c r="DE162" s="136" t="s">
        <v>501</v>
      </c>
      <c r="DF162" s="137" t="s">
        <v>501</v>
      </c>
      <c r="DG162" s="135">
        <f>DG$3</f>
        <v>46211</v>
      </c>
      <c r="DH162" s="136" t="s">
        <v>501</v>
      </c>
      <c r="DI162" s="137" t="s">
        <v>501</v>
      </c>
      <c r="DJ162" s="135">
        <f>DJ$3</f>
        <v>46212</v>
      </c>
      <c r="DK162" s="136" t="s">
        <v>501</v>
      </c>
      <c r="DL162" s="137" t="s">
        <v>501</v>
      </c>
      <c r="DM162" s="135">
        <f>DM$3</f>
        <v>46213</v>
      </c>
      <c r="DN162" s="136" t="s">
        <v>501</v>
      </c>
      <c r="DO162" s="137" t="s">
        <v>501</v>
      </c>
      <c r="DP162" s="135">
        <f>DP$3</f>
        <v>46214</v>
      </c>
      <c r="DQ162" s="136" t="s">
        <v>501</v>
      </c>
      <c r="DR162" s="137" t="s">
        <v>501</v>
      </c>
    </row>
    <row r="163" spans="1:122" outlineLevel="1">
      <c r="A163" s="122" t="str">
        <f>$A$150</f>
        <v>Đặng Minh Quang</v>
      </c>
      <c r="B163" s="82" t="s">
        <v>668</v>
      </c>
      <c r="C163" s="81" t="str">
        <f>IF($B163="","",INDEX('Bảng 3'!C:C,MATCH($B163,'Bảng 3'!$A:$A,0)))</f>
        <v>Quản lý BIM</v>
      </c>
      <c r="D163" s="81" t="str">
        <f>IF($B163="","",INDEX('Bảng 3'!D:D,MATCH($B163,'Bảng 3'!$A:$A,0)))</f>
        <v>N.HCM.Q9.VSC.THCS</v>
      </c>
      <c r="E163" s="81" t="str">
        <f>IF($B163="","",INDEX('Bảng 3'!E:E,MATCH($B163,'Bảng 3'!$A:$A,0)))</f>
        <v>Trường Cambridge (PTLC) III.6</v>
      </c>
      <c r="F163" s="81" t="str">
        <f>IF($B163="","",INDEX('Bảng 3'!F:F,MATCH($B163,'Bảng 3'!$A:$A,0)))</f>
        <v>KT</v>
      </c>
      <c r="G163" s="81" t="str">
        <f>IF($B163="","",INDEX('Bảng 3'!G:G,MATCH($B163,'Bảng 3'!$A:$A,0)))</f>
        <v>KSCL mô hình BIM</v>
      </c>
      <c r="H163" s="121"/>
      <c r="I163" s="135"/>
      <c r="J163" s="135">
        <f>J$3</f>
        <v>46174</v>
      </c>
      <c r="K163" s="148" t="s">
        <v>501</v>
      </c>
      <c r="L163" s="168" t="s">
        <v>501</v>
      </c>
      <c r="M163" s="135">
        <f>M$3</f>
        <v>46175</v>
      </c>
      <c r="N163" s="148" t="s">
        <v>501</v>
      </c>
      <c r="O163" s="137" t="s">
        <v>501</v>
      </c>
      <c r="P163" s="135">
        <f>P$3</f>
        <v>46176</v>
      </c>
      <c r="Q163" s="136" t="s">
        <v>501</v>
      </c>
      <c r="R163" s="137" t="s">
        <v>501</v>
      </c>
      <c r="S163" s="135">
        <f>S$3</f>
        <v>46177</v>
      </c>
      <c r="T163" s="136" t="s">
        <v>501</v>
      </c>
      <c r="U163" s="137" t="s">
        <v>501</v>
      </c>
      <c r="V163" s="135">
        <f>V$3</f>
        <v>46178</v>
      </c>
      <c r="W163" s="136" t="s">
        <v>501</v>
      </c>
      <c r="X163" s="137" t="s">
        <v>501</v>
      </c>
      <c r="Y163" s="135">
        <f>Y$3</f>
        <v>46179</v>
      </c>
      <c r="Z163" s="136" t="s">
        <v>501</v>
      </c>
      <c r="AA163" s="137" t="s">
        <v>501</v>
      </c>
      <c r="AB163" s="135"/>
      <c r="AC163" s="135">
        <f>AC$3</f>
        <v>46181</v>
      </c>
      <c r="AD163" s="136" t="s">
        <v>501</v>
      </c>
      <c r="AE163" s="137" t="s">
        <v>501</v>
      </c>
      <c r="AF163" s="135">
        <f>AF$3</f>
        <v>46182</v>
      </c>
      <c r="AG163" s="136" t="s">
        <v>501</v>
      </c>
      <c r="AH163" s="137" t="s">
        <v>501</v>
      </c>
      <c r="AI163" s="135">
        <f>AI$3</f>
        <v>46183</v>
      </c>
      <c r="AJ163" s="136" t="s">
        <v>501</v>
      </c>
      <c r="AK163" s="137" t="s">
        <v>501</v>
      </c>
      <c r="AL163" s="135">
        <f>AL$3</f>
        <v>46184</v>
      </c>
      <c r="AM163" s="136" t="s">
        <v>501</v>
      </c>
      <c r="AN163" s="137" t="s">
        <v>501</v>
      </c>
      <c r="AO163" s="135">
        <f>AO$3</f>
        <v>46185</v>
      </c>
      <c r="AP163" s="136" t="s">
        <v>501</v>
      </c>
      <c r="AQ163" s="137" t="s">
        <v>501</v>
      </c>
      <c r="AR163" s="135">
        <f>AR$3</f>
        <v>46186</v>
      </c>
      <c r="AS163" s="136" t="s">
        <v>501</v>
      </c>
      <c r="AT163" s="137" t="s">
        <v>501</v>
      </c>
      <c r="AU163" s="135"/>
      <c r="AV163" s="135">
        <f>AV$3</f>
        <v>46188</v>
      </c>
      <c r="AW163" s="148" t="s">
        <v>501</v>
      </c>
      <c r="AX163" s="137" t="s">
        <v>501</v>
      </c>
      <c r="AY163" s="135">
        <f>AY$3</f>
        <v>46189</v>
      </c>
      <c r="AZ163" s="136" t="s">
        <v>501</v>
      </c>
      <c r="BA163" s="137" t="s">
        <v>501</v>
      </c>
      <c r="BB163" s="135">
        <f>BB$3</f>
        <v>46190</v>
      </c>
      <c r="BC163" s="136" t="s">
        <v>501</v>
      </c>
      <c r="BD163" s="137" t="s">
        <v>501</v>
      </c>
      <c r="BE163" s="135">
        <f>BE$3</f>
        <v>46191</v>
      </c>
      <c r="BF163" s="136" t="s">
        <v>501</v>
      </c>
      <c r="BG163" s="137" t="s">
        <v>501</v>
      </c>
      <c r="BH163" s="135">
        <f>BH$3</f>
        <v>46192</v>
      </c>
      <c r="BI163" s="136" t="s">
        <v>501</v>
      </c>
      <c r="BJ163" s="137" t="s">
        <v>501</v>
      </c>
      <c r="BK163" s="135">
        <f>BK$3</f>
        <v>46193</v>
      </c>
      <c r="BL163" s="136" t="s">
        <v>501</v>
      </c>
      <c r="BM163" s="137" t="s">
        <v>501</v>
      </c>
      <c r="BN163" s="135"/>
      <c r="BO163" s="135">
        <f>BO$3</f>
        <v>46195</v>
      </c>
      <c r="BP163" s="136" t="s">
        <v>501</v>
      </c>
      <c r="BQ163" s="137" t="s">
        <v>501</v>
      </c>
      <c r="BR163" s="135">
        <f>BR$3</f>
        <v>46196</v>
      </c>
      <c r="BS163" s="136" t="s">
        <v>501</v>
      </c>
      <c r="BT163" s="137" t="s">
        <v>501</v>
      </c>
      <c r="BU163" s="135">
        <f>BU$3</f>
        <v>46197</v>
      </c>
      <c r="BV163" s="136" t="s">
        <v>501</v>
      </c>
      <c r="BW163" s="137" t="s">
        <v>501</v>
      </c>
      <c r="BX163" s="135">
        <f>BX$3</f>
        <v>46198</v>
      </c>
      <c r="BY163" s="136" t="s">
        <v>501</v>
      </c>
      <c r="BZ163" s="137" t="s">
        <v>501</v>
      </c>
      <c r="CA163" s="135">
        <f>CA$3</f>
        <v>46199</v>
      </c>
      <c r="CB163" s="136" t="s">
        <v>501</v>
      </c>
      <c r="CC163" s="137" t="s">
        <v>501</v>
      </c>
      <c r="CD163" s="135">
        <f>CD$3</f>
        <v>46200</v>
      </c>
      <c r="CE163" s="136" t="s">
        <v>501</v>
      </c>
      <c r="CF163" s="137" t="s">
        <v>501</v>
      </c>
      <c r="CG163" s="135"/>
      <c r="CH163" s="135">
        <f>CH$3</f>
        <v>46202</v>
      </c>
      <c r="CI163" s="148" t="s">
        <v>501</v>
      </c>
      <c r="CJ163" s="137" t="s">
        <v>501</v>
      </c>
      <c r="CK163" s="135">
        <f>CK$3</f>
        <v>46203</v>
      </c>
      <c r="CL163" s="136" t="s">
        <v>501</v>
      </c>
      <c r="CM163" s="137" t="s">
        <v>501</v>
      </c>
      <c r="CN163" s="135">
        <f>CN$3</f>
        <v>46204</v>
      </c>
      <c r="CO163" s="136" t="s">
        <v>501</v>
      </c>
      <c r="CP163" s="137" t="s">
        <v>501</v>
      </c>
      <c r="CQ163" s="135">
        <f>CQ$3</f>
        <v>46205</v>
      </c>
      <c r="CR163" s="136" t="s">
        <v>501</v>
      </c>
      <c r="CS163" s="137" t="s">
        <v>501</v>
      </c>
      <c r="CT163" s="135">
        <f>CT$3</f>
        <v>46206</v>
      </c>
      <c r="CU163" s="136" t="s">
        <v>501</v>
      </c>
      <c r="CV163" s="137" t="s">
        <v>501</v>
      </c>
      <c r="CW163" s="135">
        <f>CW$3</f>
        <v>46207</v>
      </c>
      <c r="CX163" s="136" t="s">
        <v>501</v>
      </c>
      <c r="CY163" s="137" t="s">
        <v>501</v>
      </c>
      <c r="CZ163" s="135"/>
      <c r="DA163" s="135">
        <f>DA$3</f>
        <v>46209</v>
      </c>
      <c r="DB163" s="136" t="s">
        <v>501</v>
      </c>
      <c r="DC163" s="137" t="s">
        <v>501</v>
      </c>
      <c r="DD163" s="135">
        <f>DD$3</f>
        <v>46210</v>
      </c>
      <c r="DE163" s="136" t="s">
        <v>501</v>
      </c>
      <c r="DF163" s="137" t="s">
        <v>501</v>
      </c>
      <c r="DG163" s="135">
        <f>DG$3</f>
        <v>46211</v>
      </c>
      <c r="DH163" s="136" t="s">
        <v>501</v>
      </c>
      <c r="DI163" s="137" t="s">
        <v>501</v>
      </c>
      <c r="DJ163" s="135">
        <f>DJ$3</f>
        <v>46212</v>
      </c>
      <c r="DK163" s="136" t="s">
        <v>501</v>
      </c>
      <c r="DL163" s="137" t="s">
        <v>501</v>
      </c>
      <c r="DM163" s="135">
        <f>DM$3</f>
        <v>46213</v>
      </c>
      <c r="DN163" s="136" t="s">
        <v>501</v>
      </c>
      <c r="DO163" s="137" t="s">
        <v>501</v>
      </c>
      <c r="DP163" s="135">
        <f>DP$3</f>
        <v>46214</v>
      </c>
      <c r="DQ163" s="136" t="s">
        <v>501</v>
      </c>
      <c r="DR163" s="137" t="s">
        <v>501</v>
      </c>
    </row>
    <row r="164" spans="1:122" outlineLevel="1">
      <c r="A164" s="122" t="str">
        <f>$A$150</f>
        <v>Đặng Minh Quang</v>
      </c>
      <c r="B164" s="82" t="s">
        <v>669</v>
      </c>
      <c r="C164" s="81" t="str">
        <f>IF($B164="","",INDEX('Bảng 3'!C:C,MATCH($B164,'Bảng 3'!$A:$A,0)))</f>
        <v>Quản lý BIM</v>
      </c>
      <c r="D164" s="81" t="str">
        <f>IF($B164="","",INDEX('Bảng 3'!D:D,MATCH($B164,'Bảng 3'!$A:$A,0)))</f>
        <v>N.HCM.Q9.VSC.THCS</v>
      </c>
      <c r="E164" s="81" t="str">
        <f>IF($B164="","",INDEX('Bảng 3'!E:E,MATCH($B164,'Bảng 3'!$A:$A,0)))</f>
        <v>Trường Cambridge (PTLC) III.6</v>
      </c>
      <c r="F164" s="81" t="str">
        <f>IF($B164="","",INDEX('Bảng 3'!F:F,MATCH($B164,'Bảng 3'!$A:$A,0)))</f>
        <v>KC</v>
      </c>
      <c r="G164" s="81" t="str">
        <f>IF($B164="","",INDEX('Bảng 3'!G:G,MATCH($B164,'Bảng 3'!$A:$A,0)))</f>
        <v>KSCL mô hình BIM</v>
      </c>
      <c r="H164" s="121"/>
      <c r="I164" s="135"/>
      <c r="J164" s="135">
        <f>J$3</f>
        <v>46174</v>
      </c>
      <c r="K164" s="148" t="s">
        <v>501</v>
      </c>
      <c r="L164" s="168" t="s">
        <v>501</v>
      </c>
      <c r="M164" s="135">
        <f>M$3</f>
        <v>46175</v>
      </c>
      <c r="N164" s="148" t="s">
        <v>501</v>
      </c>
      <c r="O164" s="137" t="s">
        <v>501</v>
      </c>
      <c r="P164" s="135">
        <f>P$3</f>
        <v>46176</v>
      </c>
      <c r="Q164" s="136" t="s">
        <v>501</v>
      </c>
      <c r="R164" s="137" t="s">
        <v>501</v>
      </c>
      <c r="S164" s="135">
        <f>S$3</f>
        <v>46177</v>
      </c>
      <c r="T164" s="136" t="s">
        <v>501</v>
      </c>
      <c r="U164" s="137" t="s">
        <v>501</v>
      </c>
      <c r="V164" s="135">
        <f>V$3</f>
        <v>46178</v>
      </c>
      <c r="W164" s="136" t="s">
        <v>501</v>
      </c>
      <c r="X164" s="137" t="s">
        <v>501</v>
      </c>
      <c r="Y164" s="135">
        <f>Y$3</f>
        <v>46179</v>
      </c>
      <c r="Z164" s="136" t="s">
        <v>501</v>
      </c>
      <c r="AA164" s="137" t="s">
        <v>501</v>
      </c>
      <c r="AB164" s="135"/>
      <c r="AC164" s="135">
        <f>AC$3</f>
        <v>46181</v>
      </c>
      <c r="AD164" s="136" t="s">
        <v>501</v>
      </c>
      <c r="AE164" s="137" t="s">
        <v>501</v>
      </c>
      <c r="AF164" s="135">
        <f>AF$3</f>
        <v>46182</v>
      </c>
      <c r="AG164" s="136" t="s">
        <v>501</v>
      </c>
      <c r="AH164" s="137" t="s">
        <v>501</v>
      </c>
      <c r="AI164" s="135">
        <f>AI$3</f>
        <v>46183</v>
      </c>
      <c r="AJ164" s="136" t="s">
        <v>501</v>
      </c>
      <c r="AK164" s="137" t="s">
        <v>501</v>
      </c>
      <c r="AL164" s="135">
        <f>AL$3</f>
        <v>46184</v>
      </c>
      <c r="AM164" s="136" t="s">
        <v>501</v>
      </c>
      <c r="AN164" s="137" t="s">
        <v>501</v>
      </c>
      <c r="AO164" s="135">
        <f>AO$3</f>
        <v>46185</v>
      </c>
      <c r="AP164" s="136" t="s">
        <v>501</v>
      </c>
      <c r="AQ164" s="137" t="s">
        <v>501</v>
      </c>
      <c r="AR164" s="135">
        <f>AR$3</f>
        <v>46186</v>
      </c>
      <c r="AS164" s="136" t="s">
        <v>501</v>
      </c>
      <c r="AT164" s="137" t="s">
        <v>501</v>
      </c>
      <c r="AU164" s="135"/>
      <c r="AV164" s="135">
        <f>AV$3</f>
        <v>46188</v>
      </c>
      <c r="AW164" s="148" t="s">
        <v>501</v>
      </c>
      <c r="AX164" s="137" t="s">
        <v>501</v>
      </c>
      <c r="AY164" s="135">
        <f>AY$3</f>
        <v>46189</v>
      </c>
      <c r="AZ164" s="136" t="s">
        <v>501</v>
      </c>
      <c r="BA164" s="137" t="s">
        <v>501</v>
      </c>
      <c r="BB164" s="135">
        <f>BB$3</f>
        <v>46190</v>
      </c>
      <c r="BC164" s="136" t="s">
        <v>501</v>
      </c>
      <c r="BD164" s="137" t="s">
        <v>501</v>
      </c>
      <c r="BE164" s="135">
        <f>BE$3</f>
        <v>46191</v>
      </c>
      <c r="BF164" s="136" t="s">
        <v>501</v>
      </c>
      <c r="BG164" s="137" t="s">
        <v>501</v>
      </c>
      <c r="BH164" s="135">
        <f>BH$3</f>
        <v>46192</v>
      </c>
      <c r="BI164" s="136" t="s">
        <v>501</v>
      </c>
      <c r="BJ164" s="137" t="s">
        <v>501</v>
      </c>
      <c r="BK164" s="135">
        <f>BK$3</f>
        <v>46193</v>
      </c>
      <c r="BL164" s="136" t="s">
        <v>501</v>
      </c>
      <c r="BM164" s="137" t="s">
        <v>501</v>
      </c>
      <c r="BN164" s="135"/>
      <c r="BO164" s="135">
        <f>BO$3</f>
        <v>46195</v>
      </c>
      <c r="BP164" s="136" t="s">
        <v>501</v>
      </c>
      <c r="BQ164" s="137" t="s">
        <v>501</v>
      </c>
      <c r="BR164" s="135">
        <f>BR$3</f>
        <v>46196</v>
      </c>
      <c r="BS164" s="136" t="s">
        <v>501</v>
      </c>
      <c r="BT164" s="137" t="s">
        <v>501</v>
      </c>
      <c r="BU164" s="135">
        <f>BU$3</f>
        <v>46197</v>
      </c>
      <c r="BV164" s="136" t="s">
        <v>501</v>
      </c>
      <c r="BW164" s="137" t="s">
        <v>501</v>
      </c>
      <c r="BX164" s="135">
        <f>BX$3</f>
        <v>46198</v>
      </c>
      <c r="BY164" s="136" t="s">
        <v>501</v>
      </c>
      <c r="BZ164" s="137" t="s">
        <v>501</v>
      </c>
      <c r="CA164" s="135">
        <f>CA$3</f>
        <v>46199</v>
      </c>
      <c r="CB164" s="136" t="s">
        <v>501</v>
      </c>
      <c r="CC164" s="137" t="s">
        <v>501</v>
      </c>
      <c r="CD164" s="135">
        <f>CD$3</f>
        <v>46200</v>
      </c>
      <c r="CE164" s="136" t="s">
        <v>501</v>
      </c>
      <c r="CF164" s="137" t="s">
        <v>501</v>
      </c>
      <c r="CG164" s="135"/>
      <c r="CH164" s="135">
        <f>CH$3</f>
        <v>46202</v>
      </c>
      <c r="CI164" s="148" t="s">
        <v>501</v>
      </c>
      <c r="CJ164" s="137" t="s">
        <v>501</v>
      </c>
      <c r="CK164" s="135">
        <f>CK$3</f>
        <v>46203</v>
      </c>
      <c r="CL164" s="136" t="s">
        <v>501</v>
      </c>
      <c r="CM164" s="137" t="s">
        <v>501</v>
      </c>
      <c r="CN164" s="135">
        <f>CN$3</f>
        <v>46204</v>
      </c>
      <c r="CO164" s="136" t="s">
        <v>501</v>
      </c>
      <c r="CP164" s="137" t="s">
        <v>501</v>
      </c>
      <c r="CQ164" s="135">
        <f>CQ$3</f>
        <v>46205</v>
      </c>
      <c r="CR164" s="136" t="s">
        <v>501</v>
      </c>
      <c r="CS164" s="137" t="s">
        <v>501</v>
      </c>
      <c r="CT164" s="135">
        <f>CT$3</f>
        <v>46206</v>
      </c>
      <c r="CU164" s="136" t="s">
        <v>501</v>
      </c>
      <c r="CV164" s="137" t="s">
        <v>501</v>
      </c>
      <c r="CW164" s="135">
        <f>CW$3</f>
        <v>46207</v>
      </c>
      <c r="CX164" s="136" t="s">
        <v>501</v>
      </c>
      <c r="CY164" s="137" t="s">
        <v>501</v>
      </c>
      <c r="CZ164" s="135"/>
      <c r="DA164" s="135">
        <f>DA$3</f>
        <v>46209</v>
      </c>
      <c r="DB164" s="136" t="s">
        <v>501</v>
      </c>
      <c r="DC164" s="137" t="s">
        <v>501</v>
      </c>
      <c r="DD164" s="135">
        <f>DD$3</f>
        <v>46210</v>
      </c>
      <c r="DE164" s="136" t="s">
        <v>501</v>
      </c>
      <c r="DF164" s="137" t="s">
        <v>501</v>
      </c>
      <c r="DG164" s="135">
        <f>DG$3</f>
        <v>46211</v>
      </c>
      <c r="DH164" s="136" t="s">
        <v>501</v>
      </c>
      <c r="DI164" s="137" t="s">
        <v>501</v>
      </c>
      <c r="DJ164" s="135">
        <f>DJ$3</f>
        <v>46212</v>
      </c>
      <c r="DK164" s="136" t="s">
        <v>501</v>
      </c>
      <c r="DL164" s="137" t="s">
        <v>501</v>
      </c>
      <c r="DM164" s="135">
        <f>DM$3</f>
        <v>46213</v>
      </c>
      <c r="DN164" s="136" t="s">
        <v>501</v>
      </c>
      <c r="DO164" s="137" t="s">
        <v>501</v>
      </c>
      <c r="DP164" s="135">
        <f>DP$3</f>
        <v>46214</v>
      </c>
      <c r="DQ164" s="136" t="s">
        <v>501</v>
      </c>
      <c r="DR164" s="137" t="s">
        <v>501</v>
      </c>
    </row>
    <row r="165" spans="1:122" outlineLevel="1">
      <c r="A165" s="122" t="str">
        <f>$A$150</f>
        <v>Đặng Minh Quang</v>
      </c>
      <c r="B165" s="82" t="s">
        <v>670</v>
      </c>
      <c r="C165" s="81" t="str">
        <f>IF($B165="","",INDEX('Bảng 3'!C:C,MATCH($B165,'Bảng 3'!$A:$A,0)))</f>
        <v>Quản lý BIM</v>
      </c>
      <c r="D165" s="81" t="str">
        <f>IF($B165="","",INDEX('Bảng 3'!D:D,MATCH($B165,'Bảng 3'!$A:$A,0)))</f>
        <v>T.DAN.LVDN.KS</v>
      </c>
      <c r="E165" s="81" t="str">
        <f>IF($B165="","",INDEX('Bảng 3'!E:E,MATCH($B165,'Bảng 3'!$A:$A,0)))</f>
        <v>KS JW Marriott- Làng Vân (Cao 9 tầng)</v>
      </c>
      <c r="F165" s="81" t="str">
        <f>IF($B165="","",INDEX('Bảng 3'!F:F,MATCH($B165,'Bảng 3'!$A:$A,0)))</f>
        <v>KT</v>
      </c>
      <c r="G165" s="81" t="str">
        <f>IF($B165="","",INDEX('Bảng 3'!G:G,MATCH($B165,'Bảng 3'!$A:$A,0)))</f>
        <v>Tạo lập mô hình BIM</v>
      </c>
      <c r="H165" s="121"/>
      <c r="I165" s="135"/>
      <c r="J165" s="135">
        <f>J$3</f>
        <v>46174</v>
      </c>
      <c r="K165" s="148" t="s">
        <v>501</v>
      </c>
      <c r="L165" s="168" t="s">
        <v>501</v>
      </c>
      <c r="M165" s="135">
        <f>M$3</f>
        <v>46175</v>
      </c>
      <c r="N165" s="148" t="s">
        <v>501</v>
      </c>
      <c r="O165" s="137" t="s">
        <v>501</v>
      </c>
      <c r="P165" s="135">
        <f>P$3</f>
        <v>46176</v>
      </c>
      <c r="Q165" s="136" t="s">
        <v>501</v>
      </c>
      <c r="R165" s="137" t="s">
        <v>501</v>
      </c>
      <c r="S165" s="135">
        <f>S$3</f>
        <v>46177</v>
      </c>
      <c r="T165" s="136" t="s">
        <v>501</v>
      </c>
      <c r="U165" s="137" t="s">
        <v>501</v>
      </c>
      <c r="V165" s="135">
        <f>V$3</f>
        <v>46178</v>
      </c>
      <c r="W165" s="136" t="s">
        <v>501</v>
      </c>
      <c r="X165" s="137" t="s">
        <v>501</v>
      </c>
      <c r="Y165" s="135">
        <f>Y$3</f>
        <v>46179</v>
      </c>
      <c r="Z165" s="136" t="s">
        <v>501</v>
      </c>
      <c r="AA165" s="137" t="s">
        <v>501</v>
      </c>
      <c r="AB165" s="135"/>
      <c r="AC165" s="135">
        <f>AC$3</f>
        <v>46181</v>
      </c>
      <c r="AD165" s="136" t="s">
        <v>501</v>
      </c>
      <c r="AE165" s="137" t="s">
        <v>501</v>
      </c>
      <c r="AF165" s="135">
        <f>AF$3</f>
        <v>46182</v>
      </c>
      <c r="AG165" s="136" t="s">
        <v>501</v>
      </c>
      <c r="AH165" s="137" t="s">
        <v>501</v>
      </c>
      <c r="AI165" s="135">
        <f>AI$3</f>
        <v>46183</v>
      </c>
      <c r="AJ165" s="136" t="s">
        <v>501</v>
      </c>
      <c r="AK165" s="137" t="s">
        <v>501</v>
      </c>
      <c r="AL165" s="135">
        <f>AL$3</f>
        <v>46184</v>
      </c>
      <c r="AM165" s="136" t="s">
        <v>501</v>
      </c>
      <c r="AN165" s="137" t="s">
        <v>501</v>
      </c>
      <c r="AO165" s="135">
        <f>AO$3</f>
        <v>46185</v>
      </c>
      <c r="AP165" s="136" t="s">
        <v>501</v>
      </c>
      <c r="AQ165" s="137" t="s">
        <v>501</v>
      </c>
      <c r="AR165" s="135">
        <f>AR$3</f>
        <v>46186</v>
      </c>
      <c r="AS165" s="136" t="s">
        <v>501</v>
      </c>
      <c r="AT165" s="137" t="s">
        <v>501</v>
      </c>
      <c r="AU165" s="135"/>
      <c r="AV165" s="135">
        <f>AV$3</f>
        <v>46188</v>
      </c>
      <c r="AW165" s="148" t="s">
        <v>501</v>
      </c>
      <c r="AX165" s="137" t="s">
        <v>501</v>
      </c>
      <c r="AY165" s="135">
        <f>AY$3</f>
        <v>46189</v>
      </c>
      <c r="AZ165" s="136" t="s">
        <v>501</v>
      </c>
      <c r="BA165" s="137" t="s">
        <v>501</v>
      </c>
      <c r="BB165" s="135">
        <f>BB$3</f>
        <v>46190</v>
      </c>
      <c r="BC165" s="136" t="s">
        <v>501</v>
      </c>
      <c r="BD165" s="137" t="s">
        <v>501</v>
      </c>
      <c r="BE165" s="135">
        <f>BE$3</f>
        <v>46191</v>
      </c>
      <c r="BF165" s="136" t="s">
        <v>501</v>
      </c>
      <c r="BG165" s="137" t="s">
        <v>501</v>
      </c>
      <c r="BH165" s="135">
        <f>BH$3</f>
        <v>46192</v>
      </c>
      <c r="BI165" s="136" t="s">
        <v>501</v>
      </c>
      <c r="BJ165" s="137" t="s">
        <v>501</v>
      </c>
      <c r="BK165" s="135">
        <f>BK$3</f>
        <v>46193</v>
      </c>
      <c r="BL165" s="136" t="s">
        <v>501</v>
      </c>
      <c r="BM165" s="137" t="s">
        <v>501</v>
      </c>
      <c r="BN165" s="135"/>
      <c r="BO165" s="135">
        <f>BO$3</f>
        <v>46195</v>
      </c>
      <c r="BP165" s="136" t="s">
        <v>501</v>
      </c>
      <c r="BQ165" s="137" t="s">
        <v>501</v>
      </c>
      <c r="BR165" s="135">
        <f>BR$3</f>
        <v>46196</v>
      </c>
      <c r="BS165" s="136" t="s">
        <v>501</v>
      </c>
      <c r="BT165" s="137" t="s">
        <v>501</v>
      </c>
      <c r="BU165" s="135">
        <f>BU$3</f>
        <v>46197</v>
      </c>
      <c r="BV165" s="136" t="s">
        <v>501</v>
      </c>
      <c r="BW165" s="137" t="s">
        <v>501</v>
      </c>
      <c r="BX165" s="135">
        <f>BX$3</f>
        <v>46198</v>
      </c>
      <c r="BY165" s="136" t="s">
        <v>501</v>
      </c>
      <c r="BZ165" s="137" t="s">
        <v>501</v>
      </c>
      <c r="CA165" s="135">
        <f>CA$3</f>
        <v>46199</v>
      </c>
      <c r="CB165" s="136" t="s">
        <v>501</v>
      </c>
      <c r="CC165" s="137" t="s">
        <v>501</v>
      </c>
      <c r="CD165" s="135">
        <f>CD$3</f>
        <v>46200</v>
      </c>
      <c r="CE165" s="136" t="s">
        <v>501</v>
      </c>
      <c r="CF165" s="137" t="s">
        <v>501</v>
      </c>
      <c r="CG165" s="135"/>
      <c r="CH165" s="135">
        <f>CH$3</f>
        <v>46202</v>
      </c>
      <c r="CI165" s="148" t="s">
        <v>501</v>
      </c>
      <c r="CJ165" s="137" t="s">
        <v>501</v>
      </c>
      <c r="CK165" s="135">
        <f>CK$3</f>
        <v>46203</v>
      </c>
      <c r="CL165" s="136" t="s">
        <v>501</v>
      </c>
      <c r="CM165" s="137" t="s">
        <v>501</v>
      </c>
      <c r="CN165" s="135">
        <f>CN$3</f>
        <v>46204</v>
      </c>
      <c r="CO165" s="136" t="s">
        <v>501</v>
      </c>
      <c r="CP165" s="137" t="s">
        <v>501</v>
      </c>
      <c r="CQ165" s="135">
        <f>CQ$3</f>
        <v>46205</v>
      </c>
      <c r="CR165" s="136" t="s">
        <v>501</v>
      </c>
      <c r="CS165" s="137" t="s">
        <v>501</v>
      </c>
      <c r="CT165" s="135">
        <f>CT$3</f>
        <v>46206</v>
      </c>
      <c r="CU165" s="136" t="s">
        <v>501</v>
      </c>
      <c r="CV165" s="137" t="s">
        <v>501</v>
      </c>
      <c r="CW165" s="135">
        <f>CW$3</f>
        <v>46207</v>
      </c>
      <c r="CX165" s="136" t="s">
        <v>501</v>
      </c>
      <c r="CY165" s="137" t="s">
        <v>501</v>
      </c>
      <c r="CZ165" s="135"/>
      <c r="DA165" s="135">
        <f>DA$3</f>
        <v>46209</v>
      </c>
      <c r="DB165" s="136" t="s">
        <v>501</v>
      </c>
      <c r="DC165" s="137" t="s">
        <v>501</v>
      </c>
      <c r="DD165" s="135">
        <f>DD$3</f>
        <v>46210</v>
      </c>
      <c r="DE165" s="136" t="s">
        <v>501</v>
      </c>
      <c r="DF165" s="137" t="s">
        <v>501</v>
      </c>
      <c r="DG165" s="135">
        <f>DG$3</f>
        <v>46211</v>
      </c>
      <c r="DH165" s="136" t="s">
        <v>501</v>
      </c>
      <c r="DI165" s="137" t="s">
        <v>501</v>
      </c>
      <c r="DJ165" s="135">
        <f>DJ$3</f>
        <v>46212</v>
      </c>
      <c r="DK165" s="136" t="s">
        <v>501</v>
      </c>
      <c r="DL165" s="137" t="s">
        <v>501</v>
      </c>
      <c r="DM165" s="135">
        <f>DM$3</f>
        <v>46213</v>
      </c>
      <c r="DN165" s="136" t="s">
        <v>501</v>
      </c>
      <c r="DO165" s="137" t="s">
        <v>501</v>
      </c>
      <c r="DP165" s="135">
        <f>DP$3</f>
        <v>46214</v>
      </c>
      <c r="DQ165" s="136" t="s">
        <v>501</v>
      </c>
      <c r="DR165" s="137" t="s">
        <v>501</v>
      </c>
    </row>
    <row r="166" spans="1:122" outlineLevel="1">
      <c r="A166" s="122" t="str">
        <f>$A$150</f>
        <v>Đặng Minh Quang</v>
      </c>
      <c r="B166" s="82" t="s">
        <v>671</v>
      </c>
      <c r="C166" s="81" t="str">
        <f>IF($B166="","",INDEX('Bảng 3'!C:C,MATCH($B166,'Bảng 3'!$A:$A,0)))</f>
        <v>Quản lý BIM</v>
      </c>
      <c r="D166" s="81" t="str">
        <f>IF($B166="","",INDEX('Bảng 3'!D:D,MATCH($B166,'Bảng 3'!$A:$A,0)))</f>
        <v>T.DAN.LVDN.KS</v>
      </c>
      <c r="E166" s="81" t="str">
        <f>IF($B166="","",INDEX('Bảng 3'!E:E,MATCH($B166,'Bảng 3'!$A:$A,0)))</f>
        <v>KS JW Marriott- Làng Vân (Cao 9 tầng)</v>
      </c>
      <c r="F166" s="81" t="str">
        <f>IF($B166="","",INDEX('Bảng 3'!F:F,MATCH($B166,'Bảng 3'!$A:$A,0)))</f>
        <v>KC</v>
      </c>
      <c r="G166" s="81" t="str">
        <f>IF($B166="","",INDEX('Bảng 3'!G:G,MATCH($B166,'Bảng 3'!$A:$A,0)))</f>
        <v>Tạo lập mô hình BIM</v>
      </c>
      <c r="H166" s="121"/>
      <c r="I166" s="135"/>
      <c r="J166" s="135">
        <f>J$3</f>
        <v>46174</v>
      </c>
      <c r="K166" s="148" t="s">
        <v>501</v>
      </c>
      <c r="L166" s="168" t="s">
        <v>501</v>
      </c>
      <c r="M166" s="135">
        <f>M$3</f>
        <v>46175</v>
      </c>
      <c r="N166" s="148" t="s">
        <v>501</v>
      </c>
      <c r="O166" s="137" t="s">
        <v>501</v>
      </c>
      <c r="P166" s="135">
        <f>P$3</f>
        <v>46176</v>
      </c>
      <c r="Q166" s="136" t="s">
        <v>501</v>
      </c>
      <c r="R166" s="137" t="s">
        <v>501</v>
      </c>
      <c r="S166" s="135">
        <f>S$3</f>
        <v>46177</v>
      </c>
      <c r="T166" s="136" t="s">
        <v>501</v>
      </c>
      <c r="U166" s="137" t="s">
        <v>501</v>
      </c>
      <c r="V166" s="135">
        <f>V$3</f>
        <v>46178</v>
      </c>
      <c r="W166" s="136" t="s">
        <v>501</v>
      </c>
      <c r="X166" s="137" t="s">
        <v>501</v>
      </c>
      <c r="Y166" s="135">
        <f>Y$3</f>
        <v>46179</v>
      </c>
      <c r="Z166" s="136" t="s">
        <v>501</v>
      </c>
      <c r="AA166" s="137" t="s">
        <v>501</v>
      </c>
      <c r="AB166" s="135"/>
      <c r="AC166" s="135">
        <f>AC$3</f>
        <v>46181</v>
      </c>
      <c r="AD166" s="136" t="s">
        <v>501</v>
      </c>
      <c r="AE166" s="137" t="s">
        <v>501</v>
      </c>
      <c r="AF166" s="135">
        <f>AF$3</f>
        <v>46182</v>
      </c>
      <c r="AG166" s="136" t="s">
        <v>501</v>
      </c>
      <c r="AH166" s="137" t="s">
        <v>501</v>
      </c>
      <c r="AI166" s="135">
        <f>AI$3</f>
        <v>46183</v>
      </c>
      <c r="AJ166" s="136" t="s">
        <v>501</v>
      </c>
      <c r="AK166" s="137" t="s">
        <v>501</v>
      </c>
      <c r="AL166" s="135">
        <f>AL$3</f>
        <v>46184</v>
      </c>
      <c r="AM166" s="136" t="s">
        <v>501</v>
      </c>
      <c r="AN166" s="137" t="s">
        <v>501</v>
      </c>
      <c r="AO166" s="135">
        <f>AO$3</f>
        <v>46185</v>
      </c>
      <c r="AP166" s="136" t="s">
        <v>501</v>
      </c>
      <c r="AQ166" s="137" t="s">
        <v>501</v>
      </c>
      <c r="AR166" s="135">
        <f>AR$3</f>
        <v>46186</v>
      </c>
      <c r="AS166" s="136" t="s">
        <v>501</v>
      </c>
      <c r="AT166" s="137" t="s">
        <v>501</v>
      </c>
      <c r="AU166" s="135"/>
      <c r="AV166" s="135">
        <f>AV$3</f>
        <v>46188</v>
      </c>
      <c r="AW166" s="148" t="s">
        <v>501</v>
      </c>
      <c r="AX166" s="137" t="s">
        <v>501</v>
      </c>
      <c r="AY166" s="135">
        <f>AY$3</f>
        <v>46189</v>
      </c>
      <c r="AZ166" s="136" t="s">
        <v>501</v>
      </c>
      <c r="BA166" s="137" t="s">
        <v>501</v>
      </c>
      <c r="BB166" s="135">
        <f>BB$3</f>
        <v>46190</v>
      </c>
      <c r="BC166" s="136" t="s">
        <v>501</v>
      </c>
      <c r="BD166" s="137" t="s">
        <v>501</v>
      </c>
      <c r="BE166" s="135">
        <f>BE$3</f>
        <v>46191</v>
      </c>
      <c r="BF166" s="136" t="s">
        <v>501</v>
      </c>
      <c r="BG166" s="137" t="s">
        <v>501</v>
      </c>
      <c r="BH166" s="135">
        <f>BH$3</f>
        <v>46192</v>
      </c>
      <c r="BI166" s="136" t="s">
        <v>501</v>
      </c>
      <c r="BJ166" s="137" t="s">
        <v>501</v>
      </c>
      <c r="BK166" s="135">
        <f>BK$3</f>
        <v>46193</v>
      </c>
      <c r="BL166" s="136" t="s">
        <v>501</v>
      </c>
      <c r="BM166" s="137" t="s">
        <v>501</v>
      </c>
      <c r="BN166" s="135"/>
      <c r="BO166" s="135">
        <f>BO$3</f>
        <v>46195</v>
      </c>
      <c r="BP166" s="136" t="s">
        <v>501</v>
      </c>
      <c r="BQ166" s="137" t="s">
        <v>501</v>
      </c>
      <c r="BR166" s="135">
        <f>BR$3</f>
        <v>46196</v>
      </c>
      <c r="BS166" s="136" t="s">
        <v>501</v>
      </c>
      <c r="BT166" s="137" t="s">
        <v>501</v>
      </c>
      <c r="BU166" s="135">
        <f>BU$3</f>
        <v>46197</v>
      </c>
      <c r="BV166" s="136" t="s">
        <v>501</v>
      </c>
      <c r="BW166" s="137" t="s">
        <v>501</v>
      </c>
      <c r="BX166" s="135">
        <f>BX$3</f>
        <v>46198</v>
      </c>
      <c r="BY166" s="136" t="s">
        <v>501</v>
      </c>
      <c r="BZ166" s="137" t="s">
        <v>501</v>
      </c>
      <c r="CA166" s="135">
        <f>CA$3</f>
        <v>46199</v>
      </c>
      <c r="CB166" s="136" t="s">
        <v>501</v>
      </c>
      <c r="CC166" s="137" t="s">
        <v>501</v>
      </c>
      <c r="CD166" s="135">
        <f>CD$3</f>
        <v>46200</v>
      </c>
      <c r="CE166" s="136" t="s">
        <v>501</v>
      </c>
      <c r="CF166" s="137" t="s">
        <v>501</v>
      </c>
      <c r="CG166" s="135"/>
      <c r="CH166" s="135">
        <f>CH$3</f>
        <v>46202</v>
      </c>
      <c r="CI166" s="148" t="s">
        <v>501</v>
      </c>
      <c r="CJ166" s="137" t="s">
        <v>501</v>
      </c>
      <c r="CK166" s="135">
        <f>CK$3</f>
        <v>46203</v>
      </c>
      <c r="CL166" s="136" t="s">
        <v>501</v>
      </c>
      <c r="CM166" s="137" t="s">
        <v>501</v>
      </c>
      <c r="CN166" s="135">
        <f>CN$3</f>
        <v>46204</v>
      </c>
      <c r="CO166" s="136" t="s">
        <v>501</v>
      </c>
      <c r="CP166" s="137" t="s">
        <v>501</v>
      </c>
      <c r="CQ166" s="135">
        <f>CQ$3</f>
        <v>46205</v>
      </c>
      <c r="CR166" s="136" t="s">
        <v>501</v>
      </c>
      <c r="CS166" s="137" t="s">
        <v>501</v>
      </c>
      <c r="CT166" s="135">
        <f>CT$3</f>
        <v>46206</v>
      </c>
      <c r="CU166" s="136" t="s">
        <v>501</v>
      </c>
      <c r="CV166" s="137" t="s">
        <v>501</v>
      </c>
      <c r="CW166" s="135">
        <f>CW$3</f>
        <v>46207</v>
      </c>
      <c r="CX166" s="136" t="s">
        <v>501</v>
      </c>
      <c r="CY166" s="137" t="s">
        <v>501</v>
      </c>
      <c r="CZ166" s="135"/>
      <c r="DA166" s="135">
        <f>DA$3</f>
        <v>46209</v>
      </c>
      <c r="DB166" s="136" t="s">
        <v>501</v>
      </c>
      <c r="DC166" s="137" t="s">
        <v>501</v>
      </c>
      <c r="DD166" s="135">
        <f>DD$3</f>
        <v>46210</v>
      </c>
      <c r="DE166" s="136" t="s">
        <v>501</v>
      </c>
      <c r="DF166" s="137" t="s">
        <v>501</v>
      </c>
      <c r="DG166" s="135">
        <f>DG$3</f>
        <v>46211</v>
      </c>
      <c r="DH166" s="136" t="s">
        <v>501</v>
      </c>
      <c r="DI166" s="137" t="s">
        <v>501</v>
      </c>
      <c r="DJ166" s="135">
        <f>DJ$3</f>
        <v>46212</v>
      </c>
      <c r="DK166" s="136" t="s">
        <v>501</v>
      </c>
      <c r="DL166" s="137" t="s">
        <v>501</v>
      </c>
      <c r="DM166" s="135">
        <f>DM$3</f>
        <v>46213</v>
      </c>
      <c r="DN166" s="136" t="s">
        <v>501</v>
      </c>
      <c r="DO166" s="137" t="s">
        <v>501</v>
      </c>
      <c r="DP166" s="135">
        <f>DP$3</f>
        <v>46214</v>
      </c>
      <c r="DQ166" s="136" t="s">
        <v>501</v>
      </c>
      <c r="DR166" s="137" t="s">
        <v>501</v>
      </c>
    </row>
    <row r="167" spans="1:122" outlineLevel="1">
      <c r="A167" s="122" t="str">
        <f>$A$150</f>
        <v>Đặng Minh Quang</v>
      </c>
      <c r="B167" s="82" t="s">
        <v>631</v>
      </c>
      <c r="C167" s="81" t="str">
        <f>IF($B167="","",INDEX('Bảng 3'!C:C,MATCH($B167,'Bảng 3'!$A:$A,0)))</f>
        <v>Quản lý BIM</v>
      </c>
      <c r="D167" s="81" t="str">
        <f>IF($B167="","",INDEX('Bảng 3'!D:D,MATCH($B167,'Bảng 3'!$A:$A,0)))</f>
        <v>N.HCM.CGIO.KS</v>
      </c>
      <c r="E167" s="81" t="str">
        <f>IF($B167="","",INDEX('Bảng 3'!E:E,MATCH($B167,'Bảng 3'!$A:$A,0)))</f>
        <v>Khách sạn M Gallery - B5.02.04</v>
      </c>
      <c r="F167" s="81" t="str">
        <f>IF($B167="","",INDEX('Bảng 3'!F:F,MATCH($B167,'Bảng 3'!$A:$A,0)))</f>
        <v>KC</v>
      </c>
      <c r="G167" s="81" t="str">
        <f>IF($B167="","",INDEX('Bảng 3'!G:G,MATCH($B167,'Bảng 3'!$A:$A,0)))</f>
        <v>Tạo lập mô hình BIM</v>
      </c>
      <c r="H167" s="121"/>
      <c r="I167" s="135"/>
      <c r="J167" s="135">
        <f>J$3</f>
        <v>46174</v>
      </c>
      <c r="K167" s="148" t="s">
        <v>501</v>
      </c>
      <c r="L167" s="168" t="s">
        <v>501</v>
      </c>
      <c r="M167" s="135">
        <f>M$3</f>
        <v>46175</v>
      </c>
      <c r="N167" s="148" t="s">
        <v>501</v>
      </c>
      <c r="O167" s="137" t="s">
        <v>501</v>
      </c>
      <c r="P167" s="135">
        <f>P$3</f>
        <v>46176</v>
      </c>
      <c r="Q167" s="136" t="s">
        <v>501</v>
      </c>
      <c r="R167" s="137" t="s">
        <v>501</v>
      </c>
      <c r="S167" s="135">
        <f>S$3</f>
        <v>46177</v>
      </c>
      <c r="T167" s="136" t="s">
        <v>501</v>
      </c>
      <c r="U167" s="137" t="s">
        <v>501</v>
      </c>
      <c r="V167" s="135">
        <f>V$3</f>
        <v>46178</v>
      </c>
      <c r="W167" s="136" t="s">
        <v>501</v>
      </c>
      <c r="X167" s="137" t="s">
        <v>501</v>
      </c>
      <c r="Y167" s="135">
        <f>Y$3</f>
        <v>46179</v>
      </c>
      <c r="Z167" s="136" t="s">
        <v>501</v>
      </c>
      <c r="AA167" s="137" t="s">
        <v>501</v>
      </c>
      <c r="AB167" s="135"/>
      <c r="AC167" s="135">
        <f>AC$3</f>
        <v>46181</v>
      </c>
      <c r="AD167" s="136" t="s">
        <v>501</v>
      </c>
      <c r="AE167" s="137" t="s">
        <v>501</v>
      </c>
      <c r="AF167" s="135">
        <f>AF$3</f>
        <v>46182</v>
      </c>
      <c r="AG167" s="136" t="s">
        <v>501</v>
      </c>
      <c r="AH167" s="137" t="s">
        <v>501</v>
      </c>
      <c r="AI167" s="135">
        <f>AI$3</f>
        <v>46183</v>
      </c>
      <c r="AJ167" s="136" t="s">
        <v>501</v>
      </c>
      <c r="AK167" s="137" t="s">
        <v>501</v>
      </c>
      <c r="AL167" s="135">
        <f>AL$3</f>
        <v>46184</v>
      </c>
      <c r="AM167" s="136" t="s">
        <v>501</v>
      </c>
      <c r="AN167" s="137" t="s">
        <v>501</v>
      </c>
      <c r="AO167" s="135">
        <f>AO$3</f>
        <v>46185</v>
      </c>
      <c r="AP167" s="136" t="s">
        <v>501</v>
      </c>
      <c r="AQ167" s="137" t="s">
        <v>501</v>
      </c>
      <c r="AR167" s="135">
        <f>AR$3</f>
        <v>46186</v>
      </c>
      <c r="AS167" s="136" t="s">
        <v>501</v>
      </c>
      <c r="AT167" s="137" t="s">
        <v>501</v>
      </c>
      <c r="AU167" s="135"/>
      <c r="AV167" s="135">
        <f>AV$3</f>
        <v>46188</v>
      </c>
      <c r="AW167" s="148" t="s">
        <v>501</v>
      </c>
      <c r="AX167" s="137" t="s">
        <v>501</v>
      </c>
      <c r="AY167" s="135">
        <f>AY$3</f>
        <v>46189</v>
      </c>
      <c r="AZ167" s="136" t="s">
        <v>501</v>
      </c>
      <c r="BA167" s="137" t="s">
        <v>501</v>
      </c>
      <c r="BB167" s="135">
        <f>BB$3</f>
        <v>46190</v>
      </c>
      <c r="BC167" s="136" t="s">
        <v>501</v>
      </c>
      <c r="BD167" s="137" t="s">
        <v>501</v>
      </c>
      <c r="BE167" s="135">
        <f>BE$3</f>
        <v>46191</v>
      </c>
      <c r="BF167" s="136" t="s">
        <v>501</v>
      </c>
      <c r="BG167" s="137" t="s">
        <v>501</v>
      </c>
      <c r="BH167" s="135">
        <f>BH$3</f>
        <v>46192</v>
      </c>
      <c r="BI167" s="136" t="s">
        <v>501</v>
      </c>
      <c r="BJ167" s="137" t="s">
        <v>501</v>
      </c>
      <c r="BK167" s="135">
        <f>BK$3</f>
        <v>46193</v>
      </c>
      <c r="BL167" s="136" t="s">
        <v>501</v>
      </c>
      <c r="BM167" s="137" t="s">
        <v>501</v>
      </c>
      <c r="BN167" s="135"/>
      <c r="BO167" s="135">
        <f>BO$3</f>
        <v>46195</v>
      </c>
      <c r="BP167" s="136" t="s">
        <v>501</v>
      </c>
      <c r="BQ167" s="137" t="s">
        <v>501</v>
      </c>
      <c r="BR167" s="135">
        <f>BR$3</f>
        <v>46196</v>
      </c>
      <c r="BS167" s="136" t="s">
        <v>501</v>
      </c>
      <c r="BT167" s="137" t="s">
        <v>501</v>
      </c>
      <c r="BU167" s="135">
        <f>BU$3</f>
        <v>46197</v>
      </c>
      <c r="BV167" s="136" t="s">
        <v>501</v>
      </c>
      <c r="BW167" s="137" t="s">
        <v>501</v>
      </c>
      <c r="BX167" s="135">
        <f>BX$3</f>
        <v>46198</v>
      </c>
      <c r="BY167" s="136" t="s">
        <v>501</v>
      </c>
      <c r="BZ167" s="137" t="s">
        <v>501</v>
      </c>
      <c r="CA167" s="135">
        <f>CA$3</f>
        <v>46199</v>
      </c>
      <c r="CB167" s="136" t="s">
        <v>501</v>
      </c>
      <c r="CC167" s="137" t="s">
        <v>501</v>
      </c>
      <c r="CD167" s="135">
        <f>CD$3</f>
        <v>46200</v>
      </c>
      <c r="CE167" s="136" t="s">
        <v>501</v>
      </c>
      <c r="CF167" s="137" t="s">
        <v>501</v>
      </c>
      <c r="CG167" s="135"/>
      <c r="CH167" s="135">
        <f>CH$3</f>
        <v>46202</v>
      </c>
      <c r="CI167" s="148" t="s">
        <v>501</v>
      </c>
      <c r="CJ167" s="137" t="s">
        <v>501</v>
      </c>
      <c r="CK167" s="135">
        <f>CK$3</f>
        <v>46203</v>
      </c>
      <c r="CL167" s="136" t="s">
        <v>501</v>
      </c>
      <c r="CM167" s="137" t="s">
        <v>501</v>
      </c>
      <c r="CN167" s="135">
        <f>CN$3</f>
        <v>46204</v>
      </c>
      <c r="CO167" s="136" t="s">
        <v>501</v>
      </c>
      <c r="CP167" s="137" t="s">
        <v>501</v>
      </c>
      <c r="CQ167" s="135">
        <f>CQ$3</f>
        <v>46205</v>
      </c>
      <c r="CR167" s="136" t="s">
        <v>501</v>
      </c>
      <c r="CS167" s="137" t="s">
        <v>501</v>
      </c>
      <c r="CT167" s="135">
        <f>CT$3</f>
        <v>46206</v>
      </c>
      <c r="CU167" s="136" t="s">
        <v>501</v>
      </c>
      <c r="CV167" s="137" t="s">
        <v>501</v>
      </c>
      <c r="CW167" s="135">
        <f>CW$3</f>
        <v>46207</v>
      </c>
      <c r="CX167" s="136" t="s">
        <v>501</v>
      </c>
      <c r="CY167" s="137" t="s">
        <v>501</v>
      </c>
      <c r="CZ167" s="135"/>
      <c r="DA167" s="135">
        <f>DA$3</f>
        <v>46209</v>
      </c>
      <c r="DB167" s="136" t="s">
        <v>501</v>
      </c>
      <c r="DC167" s="137" t="s">
        <v>501</v>
      </c>
      <c r="DD167" s="135">
        <f>DD$3</f>
        <v>46210</v>
      </c>
      <c r="DE167" s="136" t="s">
        <v>501</v>
      </c>
      <c r="DF167" s="137" t="s">
        <v>501</v>
      </c>
      <c r="DG167" s="135">
        <f>DG$3</f>
        <v>46211</v>
      </c>
      <c r="DH167" s="136" t="s">
        <v>501</v>
      </c>
      <c r="DI167" s="137" t="s">
        <v>501</v>
      </c>
      <c r="DJ167" s="135">
        <f>DJ$3</f>
        <v>46212</v>
      </c>
      <c r="DK167" s="136" t="s">
        <v>501</v>
      </c>
      <c r="DL167" s="137" t="s">
        <v>501</v>
      </c>
      <c r="DM167" s="135">
        <f>DM$3</f>
        <v>46213</v>
      </c>
      <c r="DN167" s="136" t="s">
        <v>501</v>
      </c>
      <c r="DO167" s="137" t="s">
        <v>501</v>
      </c>
      <c r="DP167" s="135">
        <f>DP$3</f>
        <v>46214</v>
      </c>
      <c r="DQ167" s="136" t="s">
        <v>501</v>
      </c>
      <c r="DR167" s="137" t="s">
        <v>501</v>
      </c>
    </row>
    <row r="168" spans="1:122" outlineLevel="1">
      <c r="A168" s="122" t="str">
        <f>$A$150</f>
        <v>Đặng Minh Quang</v>
      </c>
      <c r="B168" s="82" t="s">
        <v>630</v>
      </c>
      <c r="C168" s="81" t="str">
        <f>IF($B168="","",INDEX('Bảng 3'!C:C,MATCH($B168,'Bảng 3'!$A:$A,0)))</f>
        <v>Quản lý BIM</v>
      </c>
      <c r="D168" s="81" t="str">
        <f>IF($B168="","",INDEX('Bảng 3'!D:D,MATCH($B168,'Bảng 3'!$A:$A,0)))</f>
        <v>N.HCM.CGIO.KS</v>
      </c>
      <c r="E168" s="81" t="str">
        <f>IF($B168="","",INDEX('Bảng 3'!E:E,MATCH($B168,'Bảng 3'!$A:$A,0)))</f>
        <v>Khách sạn M Gallery - B5.02.04</v>
      </c>
      <c r="F168" s="81" t="str">
        <f>IF($B168="","",INDEX('Bảng 3'!F:F,MATCH($B168,'Bảng 3'!$A:$A,0)))</f>
        <v>KT</v>
      </c>
      <c r="G168" s="81" t="str">
        <f>IF($B168="","",INDEX('Bảng 3'!G:G,MATCH($B168,'Bảng 3'!$A:$A,0)))</f>
        <v>Tạo lập mô hình BIM</v>
      </c>
      <c r="H168" s="121"/>
      <c r="I168" s="135"/>
      <c r="J168" s="135">
        <f>J$3</f>
        <v>46174</v>
      </c>
      <c r="K168" s="148" t="s">
        <v>501</v>
      </c>
      <c r="L168" s="168" t="s">
        <v>501</v>
      </c>
      <c r="M168" s="135">
        <f>M$3</f>
        <v>46175</v>
      </c>
      <c r="N168" s="148" t="s">
        <v>501</v>
      </c>
      <c r="O168" s="137" t="s">
        <v>501</v>
      </c>
      <c r="P168" s="135">
        <f>P$3</f>
        <v>46176</v>
      </c>
      <c r="Q168" s="136" t="s">
        <v>501</v>
      </c>
      <c r="R168" s="137" t="s">
        <v>501</v>
      </c>
      <c r="S168" s="135">
        <f>S$3</f>
        <v>46177</v>
      </c>
      <c r="T168" s="136" t="s">
        <v>501</v>
      </c>
      <c r="U168" s="137" t="s">
        <v>501</v>
      </c>
      <c r="V168" s="135">
        <f>V$3</f>
        <v>46178</v>
      </c>
      <c r="W168" s="136" t="s">
        <v>501</v>
      </c>
      <c r="X168" s="137" t="s">
        <v>501</v>
      </c>
      <c r="Y168" s="135">
        <f>Y$3</f>
        <v>46179</v>
      </c>
      <c r="Z168" s="136" t="s">
        <v>501</v>
      </c>
      <c r="AA168" s="137" t="s">
        <v>501</v>
      </c>
      <c r="AB168" s="135"/>
      <c r="AC168" s="135">
        <f>AC$3</f>
        <v>46181</v>
      </c>
      <c r="AD168" s="136" t="s">
        <v>501</v>
      </c>
      <c r="AE168" s="137" t="s">
        <v>501</v>
      </c>
      <c r="AF168" s="135">
        <f>AF$3</f>
        <v>46182</v>
      </c>
      <c r="AG168" s="136" t="s">
        <v>501</v>
      </c>
      <c r="AH168" s="137" t="s">
        <v>501</v>
      </c>
      <c r="AI168" s="135">
        <f>AI$3</f>
        <v>46183</v>
      </c>
      <c r="AJ168" s="136" t="s">
        <v>501</v>
      </c>
      <c r="AK168" s="137" t="s">
        <v>501</v>
      </c>
      <c r="AL168" s="135">
        <f>AL$3</f>
        <v>46184</v>
      </c>
      <c r="AM168" s="136" t="s">
        <v>501</v>
      </c>
      <c r="AN168" s="137" t="s">
        <v>501</v>
      </c>
      <c r="AO168" s="135">
        <f>AO$3</f>
        <v>46185</v>
      </c>
      <c r="AP168" s="136" t="s">
        <v>501</v>
      </c>
      <c r="AQ168" s="137" t="s">
        <v>501</v>
      </c>
      <c r="AR168" s="135">
        <f>AR$3</f>
        <v>46186</v>
      </c>
      <c r="AS168" s="136" t="s">
        <v>501</v>
      </c>
      <c r="AT168" s="137" t="s">
        <v>501</v>
      </c>
      <c r="AU168" s="135"/>
      <c r="AV168" s="135">
        <f>AV$3</f>
        <v>46188</v>
      </c>
      <c r="AW168" s="148" t="s">
        <v>501</v>
      </c>
      <c r="AX168" s="137" t="s">
        <v>501</v>
      </c>
      <c r="AY168" s="135">
        <f>AY$3</f>
        <v>46189</v>
      </c>
      <c r="AZ168" s="136" t="s">
        <v>501</v>
      </c>
      <c r="BA168" s="137" t="s">
        <v>501</v>
      </c>
      <c r="BB168" s="135">
        <f>BB$3</f>
        <v>46190</v>
      </c>
      <c r="BC168" s="136" t="s">
        <v>501</v>
      </c>
      <c r="BD168" s="137" t="s">
        <v>501</v>
      </c>
      <c r="BE168" s="135">
        <f>BE$3</f>
        <v>46191</v>
      </c>
      <c r="BF168" s="136" t="s">
        <v>501</v>
      </c>
      <c r="BG168" s="137" t="s">
        <v>501</v>
      </c>
      <c r="BH168" s="135">
        <f>BH$3</f>
        <v>46192</v>
      </c>
      <c r="BI168" s="136" t="s">
        <v>501</v>
      </c>
      <c r="BJ168" s="137" t="s">
        <v>501</v>
      </c>
      <c r="BK168" s="135">
        <f>BK$3</f>
        <v>46193</v>
      </c>
      <c r="BL168" s="136" t="s">
        <v>501</v>
      </c>
      <c r="BM168" s="137" t="s">
        <v>501</v>
      </c>
      <c r="BN168" s="135"/>
      <c r="BO168" s="135">
        <f>BO$3</f>
        <v>46195</v>
      </c>
      <c r="BP168" s="136" t="s">
        <v>501</v>
      </c>
      <c r="BQ168" s="137" t="s">
        <v>501</v>
      </c>
      <c r="BR168" s="135">
        <f>BR$3</f>
        <v>46196</v>
      </c>
      <c r="BS168" s="136" t="s">
        <v>501</v>
      </c>
      <c r="BT168" s="137" t="s">
        <v>501</v>
      </c>
      <c r="BU168" s="135">
        <f>BU$3</f>
        <v>46197</v>
      </c>
      <c r="BV168" s="136" t="s">
        <v>501</v>
      </c>
      <c r="BW168" s="137" t="s">
        <v>501</v>
      </c>
      <c r="BX168" s="135">
        <f>BX$3</f>
        <v>46198</v>
      </c>
      <c r="BY168" s="136" t="s">
        <v>501</v>
      </c>
      <c r="BZ168" s="137" t="s">
        <v>501</v>
      </c>
      <c r="CA168" s="135">
        <f>CA$3</f>
        <v>46199</v>
      </c>
      <c r="CB168" s="136" t="s">
        <v>501</v>
      </c>
      <c r="CC168" s="137" t="s">
        <v>501</v>
      </c>
      <c r="CD168" s="135">
        <f>CD$3</f>
        <v>46200</v>
      </c>
      <c r="CE168" s="136" t="s">
        <v>501</v>
      </c>
      <c r="CF168" s="137" t="s">
        <v>501</v>
      </c>
      <c r="CG168" s="135"/>
      <c r="CH168" s="135">
        <f>CH$3</f>
        <v>46202</v>
      </c>
      <c r="CI168" s="148" t="s">
        <v>501</v>
      </c>
      <c r="CJ168" s="137" t="s">
        <v>501</v>
      </c>
      <c r="CK168" s="135">
        <f>CK$3</f>
        <v>46203</v>
      </c>
      <c r="CL168" s="136" t="s">
        <v>501</v>
      </c>
      <c r="CM168" s="137" t="s">
        <v>501</v>
      </c>
      <c r="CN168" s="135">
        <f>CN$3</f>
        <v>46204</v>
      </c>
      <c r="CO168" s="136" t="s">
        <v>501</v>
      </c>
      <c r="CP168" s="137" t="s">
        <v>501</v>
      </c>
      <c r="CQ168" s="135">
        <f>CQ$3</f>
        <v>46205</v>
      </c>
      <c r="CR168" s="136" t="s">
        <v>501</v>
      </c>
      <c r="CS168" s="137" t="s">
        <v>501</v>
      </c>
      <c r="CT168" s="135">
        <f>CT$3</f>
        <v>46206</v>
      </c>
      <c r="CU168" s="136" t="s">
        <v>501</v>
      </c>
      <c r="CV168" s="137" t="s">
        <v>501</v>
      </c>
      <c r="CW168" s="135">
        <f>CW$3</f>
        <v>46207</v>
      </c>
      <c r="CX168" s="136" t="s">
        <v>501</v>
      </c>
      <c r="CY168" s="137" t="s">
        <v>501</v>
      </c>
      <c r="CZ168" s="135"/>
      <c r="DA168" s="135">
        <f>DA$3</f>
        <v>46209</v>
      </c>
      <c r="DB168" s="136" t="s">
        <v>501</v>
      </c>
      <c r="DC168" s="137" t="s">
        <v>501</v>
      </c>
      <c r="DD168" s="135">
        <f>DD$3</f>
        <v>46210</v>
      </c>
      <c r="DE168" s="136" t="s">
        <v>501</v>
      </c>
      <c r="DF168" s="137" t="s">
        <v>501</v>
      </c>
      <c r="DG168" s="135">
        <f>DG$3</f>
        <v>46211</v>
      </c>
      <c r="DH168" s="136" t="s">
        <v>501</v>
      </c>
      <c r="DI168" s="137" t="s">
        <v>501</v>
      </c>
      <c r="DJ168" s="135">
        <f>DJ$3</f>
        <v>46212</v>
      </c>
      <c r="DK168" s="136" t="s">
        <v>501</v>
      </c>
      <c r="DL168" s="137" t="s">
        <v>501</v>
      </c>
      <c r="DM168" s="135">
        <f>DM$3</f>
        <v>46213</v>
      </c>
      <c r="DN168" s="136" t="s">
        <v>501</v>
      </c>
      <c r="DO168" s="137" t="s">
        <v>501</v>
      </c>
      <c r="DP168" s="135">
        <f>DP$3</f>
        <v>46214</v>
      </c>
      <c r="DQ168" s="136" t="s">
        <v>501</v>
      </c>
      <c r="DR168" s="137" t="s">
        <v>501</v>
      </c>
    </row>
    <row r="169" spans="1:122" outlineLevel="1">
      <c r="A169" s="122" t="str">
        <f>$A$150</f>
        <v>Đặng Minh Quang</v>
      </c>
      <c r="B169" s="82" t="s">
        <v>672</v>
      </c>
      <c r="C169" s="81" t="str">
        <f>IF($B169="","",INDEX('Bảng 3'!C:C,MATCH($B169,'Bảng 3'!$A:$A,0)))</f>
        <v>Quản lý BIM</v>
      </c>
      <c r="D169" s="81" t="str">
        <f>IF($B169="","",INDEX('Bảng 3'!D:D,MATCH($B169,'Bảng 3'!$A:$A,0)))</f>
        <v>T.KHO.VPNT.KSMN</v>
      </c>
      <c r="E169" s="81" t="str">
        <f>IF($B169="","",INDEX('Bảng 3'!E:E,MATCH($B169,'Bảng 3'!$A:$A,0)))</f>
        <v>Mẫu M4</v>
      </c>
      <c r="F169" s="81" t="str">
        <f>IF($B169="","",INDEX('Bảng 3'!F:F,MATCH($B169,'Bảng 3'!$A:$A,0)))</f>
        <v>KC</v>
      </c>
      <c r="G169" s="81" t="str">
        <f>IF($B169="","",INDEX('Bảng 3'!G:G,MATCH($B169,'Bảng 3'!$A:$A,0)))</f>
        <v>KSCL mô hình BIM</v>
      </c>
      <c r="H169" s="121"/>
      <c r="I169" s="135"/>
      <c r="J169" s="135">
        <f>J$3</f>
        <v>46174</v>
      </c>
      <c r="K169" s="148" t="s">
        <v>501</v>
      </c>
      <c r="L169" s="168" t="s">
        <v>501</v>
      </c>
      <c r="M169" s="135">
        <f>M$3</f>
        <v>46175</v>
      </c>
      <c r="N169" s="148" t="s">
        <v>501</v>
      </c>
      <c r="O169" s="137" t="s">
        <v>501</v>
      </c>
      <c r="P169" s="135">
        <f>P$3</f>
        <v>46176</v>
      </c>
      <c r="Q169" s="136" t="s">
        <v>501</v>
      </c>
      <c r="R169" s="137" t="s">
        <v>501</v>
      </c>
      <c r="S169" s="135">
        <f>S$3</f>
        <v>46177</v>
      </c>
      <c r="T169" s="136" t="s">
        <v>501</v>
      </c>
      <c r="U169" s="137" t="s">
        <v>501</v>
      </c>
      <c r="V169" s="135">
        <f>V$3</f>
        <v>46178</v>
      </c>
      <c r="W169" s="136" t="s">
        <v>501</v>
      </c>
      <c r="X169" s="137" t="s">
        <v>501</v>
      </c>
      <c r="Y169" s="135">
        <f>Y$3</f>
        <v>46179</v>
      </c>
      <c r="Z169" s="136" t="s">
        <v>501</v>
      </c>
      <c r="AA169" s="137" t="s">
        <v>501</v>
      </c>
      <c r="AB169" s="135"/>
      <c r="AC169" s="135">
        <f>AC$3</f>
        <v>46181</v>
      </c>
      <c r="AD169" s="136" t="s">
        <v>501</v>
      </c>
      <c r="AE169" s="137" t="s">
        <v>501</v>
      </c>
      <c r="AF169" s="135">
        <f>AF$3</f>
        <v>46182</v>
      </c>
      <c r="AG169" s="136" t="s">
        <v>501</v>
      </c>
      <c r="AH169" s="137" t="s">
        <v>501</v>
      </c>
      <c r="AI169" s="135">
        <f>AI$3</f>
        <v>46183</v>
      </c>
      <c r="AJ169" s="136" t="s">
        <v>501</v>
      </c>
      <c r="AK169" s="137" t="s">
        <v>501</v>
      </c>
      <c r="AL169" s="135">
        <f>AL$3</f>
        <v>46184</v>
      </c>
      <c r="AM169" s="136" t="s">
        <v>501</v>
      </c>
      <c r="AN169" s="137" t="s">
        <v>501</v>
      </c>
      <c r="AO169" s="135">
        <f>AO$3</f>
        <v>46185</v>
      </c>
      <c r="AP169" s="136" t="s">
        <v>501</v>
      </c>
      <c r="AQ169" s="137" t="s">
        <v>501</v>
      </c>
      <c r="AR169" s="135">
        <f>AR$3</f>
        <v>46186</v>
      </c>
      <c r="AS169" s="136" t="s">
        <v>501</v>
      </c>
      <c r="AT169" s="137" t="s">
        <v>501</v>
      </c>
      <c r="AU169" s="135"/>
      <c r="AV169" s="135">
        <f>AV$3</f>
        <v>46188</v>
      </c>
      <c r="AW169" s="148" t="s">
        <v>501</v>
      </c>
      <c r="AX169" s="137" t="s">
        <v>501</v>
      </c>
      <c r="AY169" s="135">
        <f>AY$3</f>
        <v>46189</v>
      </c>
      <c r="AZ169" s="136" t="s">
        <v>501</v>
      </c>
      <c r="BA169" s="137" t="s">
        <v>501</v>
      </c>
      <c r="BB169" s="135">
        <f>BB$3</f>
        <v>46190</v>
      </c>
      <c r="BC169" s="136" t="s">
        <v>501</v>
      </c>
      <c r="BD169" s="137" t="s">
        <v>501</v>
      </c>
      <c r="BE169" s="135">
        <f>BE$3</f>
        <v>46191</v>
      </c>
      <c r="BF169" s="136" t="s">
        <v>501</v>
      </c>
      <c r="BG169" s="137" t="s">
        <v>501</v>
      </c>
      <c r="BH169" s="135">
        <f>BH$3</f>
        <v>46192</v>
      </c>
      <c r="BI169" s="136" t="s">
        <v>501</v>
      </c>
      <c r="BJ169" s="137" t="s">
        <v>501</v>
      </c>
      <c r="BK169" s="135">
        <f>BK$3</f>
        <v>46193</v>
      </c>
      <c r="BL169" s="136" t="s">
        <v>501</v>
      </c>
      <c r="BM169" s="137" t="s">
        <v>501</v>
      </c>
      <c r="BN169" s="135"/>
      <c r="BO169" s="135">
        <f>BO$3</f>
        <v>46195</v>
      </c>
      <c r="BP169" s="136" t="s">
        <v>501</v>
      </c>
      <c r="BQ169" s="137" t="s">
        <v>501</v>
      </c>
      <c r="BR169" s="135">
        <f>BR$3</f>
        <v>46196</v>
      </c>
      <c r="BS169" s="136" t="s">
        <v>501</v>
      </c>
      <c r="BT169" s="137" t="s">
        <v>501</v>
      </c>
      <c r="BU169" s="135">
        <f>BU$3</f>
        <v>46197</v>
      </c>
      <c r="BV169" s="136" t="s">
        <v>501</v>
      </c>
      <c r="BW169" s="137" t="s">
        <v>501</v>
      </c>
      <c r="BX169" s="135">
        <f>BX$3</f>
        <v>46198</v>
      </c>
      <c r="BY169" s="136" t="s">
        <v>501</v>
      </c>
      <c r="BZ169" s="137" t="s">
        <v>501</v>
      </c>
      <c r="CA169" s="135">
        <f>CA$3</f>
        <v>46199</v>
      </c>
      <c r="CB169" s="136" t="s">
        <v>501</v>
      </c>
      <c r="CC169" s="137" t="s">
        <v>501</v>
      </c>
      <c r="CD169" s="135">
        <f>CD$3</f>
        <v>46200</v>
      </c>
      <c r="CE169" s="136" t="s">
        <v>501</v>
      </c>
      <c r="CF169" s="137" t="s">
        <v>501</v>
      </c>
      <c r="CG169" s="135"/>
      <c r="CH169" s="135">
        <f>CH$3</f>
        <v>46202</v>
      </c>
      <c r="CI169" s="148" t="s">
        <v>501</v>
      </c>
      <c r="CJ169" s="137" t="s">
        <v>501</v>
      </c>
      <c r="CK169" s="135">
        <f>CK$3</f>
        <v>46203</v>
      </c>
      <c r="CL169" s="136" t="s">
        <v>501</v>
      </c>
      <c r="CM169" s="137" t="s">
        <v>501</v>
      </c>
      <c r="CN169" s="135">
        <f>CN$3</f>
        <v>46204</v>
      </c>
      <c r="CO169" s="136" t="s">
        <v>501</v>
      </c>
      <c r="CP169" s="137" t="s">
        <v>501</v>
      </c>
      <c r="CQ169" s="135">
        <f>CQ$3</f>
        <v>46205</v>
      </c>
      <c r="CR169" s="136" t="s">
        <v>501</v>
      </c>
      <c r="CS169" s="137" t="s">
        <v>501</v>
      </c>
      <c r="CT169" s="135">
        <f>CT$3</f>
        <v>46206</v>
      </c>
      <c r="CU169" s="136" t="s">
        <v>501</v>
      </c>
      <c r="CV169" s="137" t="s">
        <v>501</v>
      </c>
      <c r="CW169" s="135">
        <f>CW$3</f>
        <v>46207</v>
      </c>
      <c r="CX169" s="136" t="s">
        <v>501</v>
      </c>
      <c r="CY169" s="137" t="s">
        <v>501</v>
      </c>
      <c r="CZ169" s="135"/>
      <c r="DA169" s="135">
        <f>DA$3</f>
        <v>46209</v>
      </c>
      <c r="DB169" s="136" t="s">
        <v>501</v>
      </c>
      <c r="DC169" s="137" t="s">
        <v>501</v>
      </c>
      <c r="DD169" s="135">
        <f>DD$3</f>
        <v>46210</v>
      </c>
      <c r="DE169" s="136" t="s">
        <v>501</v>
      </c>
      <c r="DF169" s="137" t="s">
        <v>501</v>
      </c>
      <c r="DG169" s="135">
        <f>DG$3</f>
        <v>46211</v>
      </c>
      <c r="DH169" s="136" t="s">
        <v>501</v>
      </c>
      <c r="DI169" s="137" t="s">
        <v>501</v>
      </c>
      <c r="DJ169" s="135">
        <f>DJ$3</f>
        <v>46212</v>
      </c>
      <c r="DK169" s="136" t="s">
        <v>501</v>
      </c>
      <c r="DL169" s="137" t="s">
        <v>501</v>
      </c>
      <c r="DM169" s="135">
        <f>DM$3</f>
        <v>46213</v>
      </c>
      <c r="DN169" s="136" t="s">
        <v>501</v>
      </c>
      <c r="DO169" s="137" t="s">
        <v>501</v>
      </c>
      <c r="DP169" s="135">
        <f>DP$3</f>
        <v>46214</v>
      </c>
      <c r="DQ169" s="136" t="s">
        <v>501</v>
      </c>
      <c r="DR169" s="137" t="s">
        <v>501</v>
      </c>
    </row>
    <row r="170" spans="1:122" outlineLevel="1">
      <c r="A170" s="122" t="str">
        <f>$A$150</f>
        <v>Đặng Minh Quang</v>
      </c>
      <c r="B170" s="82" t="s">
        <v>673</v>
      </c>
      <c r="C170" s="81" t="str">
        <f>IF($B170="","",INDEX('Bảng 3'!C:C,MATCH($B170,'Bảng 3'!$A:$A,0)))</f>
        <v>Quản lý BIM</v>
      </c>
      <c r="D170" s="81" t="str">
        <f>IF($B170="","",INDEX('Bảng 3'!D:D,MATCH($B170,'Bảng 3'!$A:$A,0)))</f>
        <v>T.KHO.VPNT.KSMN</v>
      </c>
      <c r="E170" s="81" t="str">
        <f>IF($B170="","",INDEX('Bảng 3'!E:E,MATCH($B170,'Bảng 3'!$A:$A,0)))</f>
        <v>Mẫu M4</v>
      </c>
      <c r="F170" s="81" t="str">
        <f>IF($B170="","",INDEX('Bảng 3'!F:F,MATCH($B170,'Bảng 3'!$A:$A,0)))</f>
        <v>KT</v>
      </c>
      <c r="G170" s="81" t="str">
        <f>IF($B170="","",INDEX('Bảng 3'!G:G,MATCH($B170,'Bảng 3'!$A:$A,0)))</f>
        <v>KSCL mô hình BIM</v>
      </c>
      <c r="H170" s="121"/>
      <c r="I170" s="135"/>
      <c r="J170" s="135">
        <f>J$3</f>
        <v>46174</v>
      </c>
      <c r="K170" s="148" t="s">
        <v>501</v>
      </c>
      <c r="L170" s="168" t="s">
        <v>501</v>
      </c>
      <c r="M170" s="135">
        <f>M$3</f>
        <v>46175</v>
      </c>
      <c r="N170" s="148" t="s">
        <v>501</v>
      </c>
      <c r="O170" s="137" t="s">
        <v>501</v>
      </c>
      <c r="P170" s="135">
        <f>P$3</f>
        <v>46176</v>
      </c>
      <c r="Q170" s="136" t="s">
        <v>501</v>
      </c>
      <c r="R170" s="137" t="s">
        <v>501</v>
      </c>
      <c r="S170" s="135">
        <f>S$3</f>
        <v>46177</v>
      </c>
      <c r="T170" s="136" t="s">
        <v>501</v>
      </c>
      <c r="U170" s="137" t="s">
        <v>501</v>
      </c>
      <c r="V170" s="135">
        <f>V$3</f>
        <v>46178</v>
      </c>
      <c r="W170" s="136" t="s">
        <v>501</v>
      </c>
      <c r="X170" s="137" t="s">
        <v>501</v>
      </c>
      <c r="Y170" s="135">
        <f>Y$3</f>
        <v>46179</v>
      </c>
      <c r="Z170" s="136" t="s">
        <v>501</v>
      </c>
      <c r="AA170" s="137" t="s">
        <v>501</v>
      </c>
      <c r="AB170" s="135"/>
      <c r="AC170" s="135">
        <f>AC$3</f>
        <v>46181</v>
      </c>
      <c r="AD170" s="136" t="s">
        <v>501</v>
      </c>
      <c r="AE170" s="137" t="s">
        <v>501</v>
      </c>
      <c r="AF170" s="135">
        <f>AF$3</f>
        <v>46182</v>
      </c>
      <c r="AG170" s="136" t="s">
        <v>501</v>
      </c>
      <c r="AH170" s="137" t="s">
        <v>501</v>
      </c>
      <c r="AI170" s="135">
        <f>AI$3</f>
        <v>46183</v>
      </c>
      <c r="AJ170" s="136" t="s">
        <v>501</v>
      </c>
      <c r="AK170" s="137" t="s">
        <v>501</v>
      </c>
      <c r="AL170" s="135">
        <f>AL$3</f>
        <v>46184</v>
      </c>
      <c r="AM170" s="136" t="s">
        <v>501</v>
      </c>
      <c r="AN170" s="137" t="s">
        <v>501</v>
      </c>
      <c r="AO170" s="135">
        <f>AO$3</f>
        <v>46185</v>
      </c>
      <c r="AP170" s="136" t="s">
        <v>501</v>
      </c>
      <c r="AQ170" s="137" t="s">
        <v>501</v>
      </c>
      <c r="AR170" s="135">
        <f>AR$3</f>
        <v>46186</v>
      </c>
      <c r="AS170" s="136" t="s">
        <v>501</v>
      </c>
      <c r="AT170" s="137" t="s">
        <v>501</v>
      </c>
      <c r="AU170" s="135"/>
      <c r="AV170" s="135">
        <f>AV$3</f>
        <v>46188</v>
      </c>
      <c r="AW170" s="148" t="s">
        <v>501</v>
      </c>
      <c r="AX170" s="137" t="s">
        <v>501</v>
      </c>
      <c r="AY170" s="135">
        <f>AY$3</f>
        <v>46189</v>
      </c>
      <c r="AZ170" s="136" t="s">
        <v>501</v>
      </c>
      <c r="BA170" s="137" t="s">
        <v>501</v>
      </c>
      <c r="BB170" s="135">
        <f>BB$3</f>
        <v>46190</v>
      </c>
      <c r="BC170" s="136" t="s">
        <v>501</v>
      </c>
      <c r="BD170" s="137" t="s">
        <v>501</v>
      </c>
      <c r="BE170" s="135">
        <f>BE$3</f>
        <v>46191</v>
      </c>
      <c r="BF170" s="136" t="s">
        <v>501</v>
      </c>
      <c r="BG170" s="137" t="s">
        <v>501</v>
      </c>
      <c r="BH170" s="135">
        <f>BH$3</f>
        <v>46192</v>
      </c>
      <c r="BI170" s="136" t="s">
        <v>501</v>
      </c>
      <c r="BJ170" s="137" t="s">
        <v>501</v>
      </c>
      <c r="BK170" s="135">
        <f>BK$3</f>
        <v>46193</v>
      </c>
      <c r="BL170" s="136" t="s">
        <v>501</v>
      </c>
      <c r="BM170" s="137" t="s">
        <v>501</v>
      </c>
      <c r="BN170" s="135"/>
      <c r="BO170" s="135">
        <f>BO$3</f>
        <v>46195</v>
      </c>
      <c r="BP170" s="136" t="s">
        <v>501</v>
      </c>
      <c r="BQ170" s="137" t="s">
        <v>501</v>
      </c>
      <c r="BR170" s="135">
        <f>BR$3</f>
        <v>46196</v>
      </c>
      <c r="BS170" s="136" t="s">
        <v>501</v>
      </c>
      <c r="BT170" s="137" t="s">
        <v>501</v>
      </c>
      <c r="BU170" s="135">
        <f>BU$3</f>
        <v>46197</v>
      </c>
      <c r="BV170" s="136" t="s">
        <v>501</v>
      </c>
      <c r="BW170" s="137" t="s">
        <v>501</v>
      </c>
      <c r="BX170" s="135">
        <f>BX$3</f>
        <v>46198</v>
      </c>
      <c r="BY170" s="136" t="s">
        <v>501</v>
      </c>
      <c r="BZ170" s="137" t="s">
        <v>501</v>
      </c>
      <c r="CA170" s="135">
        <f>CA$3</f>
        <v>46199</v>
      </c>
      <c r="CB170" s="136" t="s">
        <v>501</v>
      </c>
      <c r="CC170" s="137" t="s">
        <v>501</v>
      </c>
      <c r="CD170" s="135">
        <f>CD$3</f>
        <v>46200</v>
      </c>
      <c r="CE170" s="136" t="s">
        <v>501</v>
      </c>
      <c r="CF170" s="137" t="s">
        <v>501</v>
      </c>
      <c r="CG170" s="135"/>
      <c r="CH170" s="135">
        <f>CH$3</f>
        <v>46202</v>
      </c>
      <c r="CI170" s="148" t="s">
        <v>501</v>
      </c>
      <c r="CJ170" s="137" t="s">
        <v>501</v>
      </c>
      <c r="CK170" s="135">
        <f>CK$3</f>
        <v>46203</v>
      </c>
      <c r="CL170" s="136" t="s">
        <v>501</v>
      </c>
      <c r="CM170" s="137" t="s">
        <v>501</v>
      </c>
      <c r="CN170" s="135">
        <f>CN$3</f>
        <v>46204</v>
      </c>
      <c r="CO170" s="136" t="s">
        <v>501</v>
      </c>
      <c r="CP170" s="137" t="s">
        <v>501</v>
      </c>
      <c r="CQ170" s="135">
        <f>CQ$3</f>
        <v>46205</v>
      </c>
      <c r="CR170" s="136" t="s">
        <v>501</v>
      </c>
      <c r="CS170" s="137" t="s">
        <v>501</v>
      </c>
      <c r="CT170" s="135">
        <f>CT$3</f>
        <v>46206</v>
      </c>
      <c r="CU170" s="136" t="s">
        <v>501</v>
      </c>
      <c r="CV170" s="137" t="s">
        <v>501</v>
      </c>
      <c r="CW170" s="135">
        <f>CW$3</f>
        <v>46207</v>
      </c>
      <c r="CX170" s="136" t="s">
        <v>501</v>
      </c>
      <c r="CY170" s="137" t="s">
        <v>501</v>
      </c>
      <c r="CZ170" s="135"/>
      <c r="DA170" s="135">
        <f>DA$3</f>
        <v>46209</v>
      </c>
      <c r="DB170" s="136" t="s">
        <v>501</v>
      </c>
      <c r="DC170" s="137" t="s">
        <v>501</v>
      </c>
      <c r="DD170" s="135">
        <f>DD$3</f>
        <v>46210</v>
      </c>
      <c r="DE170" s="136" t="s">
        <v>501</v>
      </c>
      <c r="DF170" s="137" t="s">
        <v>501</v>
      </c>
      <c r="DG170" s="135">
        <f>DG$3</f>
        <v>46211</v>
      </c>
      <c r="DH170" s="136" t="s">
        <v>501</v>
      </c>
      <c r="DI170" s="137" t="s">
        <v>501</v>
      </c>
      <c r="DJ170" s="135">
        <f>DJ$3</f>
        <v>46212</v>
      </c>
      <c r="DK170" s="136" t="s">
        <v>501</v>
      </c>
      <c r="DL170" s="137" t="s">
        <v>501</v>
      </c>
      <c r="DM170" s="135">
        <f>DM$3</f>
        <v>46213</v>
      </c>
      <c r="DN170" s="136" t="s">
        <v>501</v>
      </c>
      <c r="DO170" s="137" t="s">
        <v>501</v>
      </c>
      <c r="DP170" s="135">
        <f>DP$3</f>
        <v>46214</v>
      </c>
      <c r="DQ170" s="136" t="s">
        <v>501</v>
      </c>
      <c r="DR170" s="137" t="s">
        <v>501</v>
      </c>
    </row>
    <row r="171" spans="1:122" outlineLevel="1">
      <c r="A171" s="122" t="str">
        <f>$A$150</f>
        <v>Đặng Minh Quang</v>
      </c>
      <c r="B171" s="82" t="s">
        <v>674</v>
      </c>
      <c r="C171" s="81" t="str">
        <f>IF($B171="","",INDEX('Bảng 3'!C:C,MATCH($B171,'Bảng 3'!$A:$A,0)))</f>
        <v>Quản lý BIM</v>
      </c>
      <c r="D171" s="81" t="str">
        <f>IF($B171="","",INDEX('Bảng 3'!D:D,MATCH($B171,'Bảng 3'!$A:$A,0)))</f>
        <v>T.KHO.VPNT.KSMN</v>
      </c>
      <c r="E171" s="81" t="str">
        <f>IF($B171="","",INDEX('Bảng 3'!E:E,MATCH($B171,'Bảng 3'!$A:$A,0)))</f>
        <v>Mẫu M4</v>
      </c>
      <c r="F171" s="81" t="str">
        <f>IF($B171="","",INDEX('Bảng 3'!F:F,MATCH($B171,'Bảng 3'!$A:$A,0)))</f>
        <v>KT</v>
      </c>
      <c r="G171" s="81" t="str">
        <f>IF($B171="","",INDEX('Bảng 3'!G:G,MATCH($B171,'Bảng 3'!$A:$A,0)))</f>
        <v>Tạo lập mô hình BIM</v>
      </c>
      <c r="H171" s="121"/>
      <c r="I171" s="135"/>
      <c r="J171" s="135">
        <f>J$3</f>
        <v>46174</v>
      </c>
      <c r="K171" s="148" t="s">
        <v>501</v>
      </c>
      <c r="L171" s="168" t="s">
        <v>501</v>
      </c>
      <c r="M171" s="135">
        <f>M$3</f>
        <v>46175</v>
      </c>
      <c r="N171" s="148" t="s">
        <v>501</v>
      </c>
      <c r="O171" s="137" t="s">
        <v>501</v>
      </c>
      <c r="P171" s="135">
        <f>P$3</f>
        <v>46176</v>
      </c>
      <c r="Q171" s="136" t="s">
        <v>501</v>
      </c>
      <c r="R171" s="137" t="s">
        <v>501</v>
      </c>
      <c r="S171" s="135">
        <f>S$3</f>
        <v>46177</v>
      </c>
      <c r="T171" s="136" t="s">
        <v>501</v>
      </c>
      <c r="U171" s="137" t="s">
        <v>501</v>
      </c>
      <c r="V171" s="135">
        <f>V$3</f>
        <v>46178</v>
      </c>
      <c r="W171" s="136" t="s">
        <v>501</v>
      </c>
      <c r="X171" s="137" t="s">
        <v>501</v>
      </c>
      <c r="Y171" s="135">
        <f>Y$3</f>
        <v>46179</v>
      </c>
      <c r="Z171" s="136" t="s">
        <v>501</v>
      </c>
      <c r="AA171" s="137" t="s">
        <v>501</v>
      </c>
      <c r="AB171" s="135"/>
      <c r="AC171" s="135">
        <f>AC$3</f>
        <v>46181</v>
      </c>
      <c r="AD171" s="136" t="s">
        <v>501</v>
      </c>
      <c r="AE171" s="137" t="s">
        <v>501</v>
      </c>
      <c r="AF171" s="135">
        <f>AF$3</f>
        <v>46182</v>
      </c>
      <c r="AG171" s="136" t="s">
        <v>501</v>
      </c>
      <c r="AH171" s="137" t="s">
        <v>501</v>
      </c>
      <c r="AI171" s="135">
        <f>AI$3</f>
        <v>46183</v>
      </c>
      <c r="AJ171" s="136" t="s">
        <v>501</v>
      </c>
      <c r="AK171" s="137" t="s">
        <v>501</v>
      </c>
      <c r="AL171" s="135">
        <f>AL$3</f>
        <v>46184</v>
      </c>
      <c r="AM171" s="136" t="s">
        <v>501</v>
      </c>
      <c r="AN171" s="137" t="s">
        <v>501</v>
      </c>
      <c r="AO171" s="135">
        <f>AO$3</f>
        <v>46185</v>
      </c>
      <c r="AP171" s="136" t="s">
        <v>501</v>
      </c>
      <c r="AQ171" s="137" t="s">
        <v>501</v>
      </c>
      <c r="AR171" s="135">
        <f>AR$3</f>
        <v>46186</v>
      </c>
      <c r="AS171" s="136" t="s">
        <v>501</v>
      </c>
      <c r="AT171" s="137" t="s">
        <v>501</v>
      </c>
      <c r="AU171" s="135"/>
      <c r="AV171" s="135">
        <f>AV$3</f>
        <v>46188</v>
      </c>
      <c r="AW171" s="148" t="s">
        <v>501</v>
      </c>
      <c r="AX171" s="137" t="s">
        <v>501</v>
      </c>
      <c r="AY171" s="135">
        <f>AY$3</f>
        <v>46189</v>
      </c>
      <c r="AZ171" s="136" t="s">
        <v>501</v>
      </c>
      <c r="BA171" s="137" t="s">
        <v>501</v>
      </c>
      <c r="BB171" s="135">
        <f>BB$3</f>
        <v>46190</v>
      </c>
      <c r="BC171" s="136" t="s">
        <v>501</v>
      </c>
      <c r="BD171" s="137" t="s">
        <v>501</v>
      </c>
      <c r="BE171" s="135">
        <f>BE$3</f>
        <v>46191</v>
      </c>
      <c r="BF171" s="136" t="s">
        <v>501</v>
      </c>
      <c r="BG171" s="137" t="s">
        <v>501</v>
      </c>
      <c r="BH171" s="135">
        <f>BH$3</f>
        <v>46192</v>
      </c>
      <c r="BI171" s="136" t="s">
        <v>501</v>
      </c>
      <c r="BJ171" s="137" t="s">
        <v>501</v>
      </c>
      <c r="BK171" s="135">
        <f>BK$3</f>
        <v>46193</v>
      </c>
      <c r="BL171" s="136" t="s">
        <v>501</v>
      </c>
      <c r="BM171" s="137" t="s">
        <v>501</v>
      </c>
      <c r="BN171" s="135"/>
      <c r="BO171" s="135">
        <f>BO$3</f>
        <v>46195</v>
      </c>
      <c r="BP171" s="136" t="s">
        <v>501</v>
      </c>
      <c r="BQ171" s="137" t="s">
        <v>501</v>
      </c>
      <c r="BR171" s="135">
        <f>BR$3</f>
        <v>46196</v>
      </c>
      <c r="BS171" s="136" t="s">
        <v>501</v>
      </c>
      <c r="BT171" s="137" t="s">
        <v>501</v>
      </c>
      <c r="BU171" s="135">
        <f>BU$3</f>
        <v>46197</v>
      </c>
      <c r="BV171" s="136" t="s">
        <v>501</v>
      </c>
      <c r="BW171" s="137" t="s">
        <v>501</v>
      </c>
      <c r="BX171" s="135">
        <f>BX$3</f>
        <v>46198</v>
      </c>
      <c r="BY171" s="136" t="s">
        <v>501</v>
      </c>
      <c r="BZ171" s="137" t="s">
        <v>501</v>
      </c>
      <c r="CA171" s="135">
        <f>CA$3</f>
        <v>46199</v>
      </c>
      <c r="CB171" s="136" t="s">
        <v>501</v>
      </c>
      <c r="CC171" s="137" t="s">
        <v>501</v>
      </c>
      <c r="CD171" s="135">
        <f>CD$3</f>
        <v>46200</v>
      </c>
      <c r="CE171" s="136" t="s">
        <v>501</v>
      </c>
      <c r="CF171" s="137" t="s">
        <v>501</v>
      </c>
      <c r="CG171" s="135"/>
      <c r="CH171" s="135">
        <f>CH$3</f>
        <v>46202</v>
      </c>
      <c r="CI171" s="148" t="s">
        <v>501</v>
      </c>
      <c r="CJ171" s="137" t="s">
        <v>501</v>
      </c>
      <c r="CK171" s="135">
        <f>CK$3</f>
        <v>46203</v>
      </c>
      <c r="CL171" s="136" t="s">
        <v>501</v>
      </c>
      <c r="CM171" s="137" t="s">
        <v>501</v>
      </c>
      <c r="CN171" s="135">
        <f>CN$3</f>
        <v>46204</v>
      </c>
      <c r="CO171" s="136" t="s">
        <v>501</v>
      </c>
      <c r="CP171" s="137" t="s">
        <v>501</v>
      </c>
      <c r="CQ171" s="135">
        <f>CQ$3</f>
        <v>46205</v>
      </c>
      <c r="CR171" s="136" t="s">
        <v>501</v>
      </c>
      <c r="CS171" s="137" t="s">
        <v>501</v>
      </c>
      <c r="CT171" s="135">
        <f>CT$3</f>
        <v>46206</v>
      </c>
      <c r="CU171" s="136" t="s">
        <v>501</v>
      </c>
      <c r="CV171" s="137" t="s">
        <v>501</v>
      </c>
      <c r="CW171" s="135">
        <f>CW$3</f>
        <v>46207</v>
      </c>
      <c r="CX171" s="136" t="s">
        <v>501</v>
      </c>
      <c r="CY171" s="137" t="s">
        <v>501</v>
      </c>
      <c r="CZ171" s="135"/>
      <c r="DA171" s="135">
        <f>DA$3</f>
        <v>46209</v>
      </c>
      <c r="DB171" s="136" t="s">
        <v>501</v>
      </c>
      <c r="DC171" s="137" t="s">
        <v>501</v>
      </c>
      <c r="DD171" s="135">
        <f>DD$3</f>
        <v>46210</v>
      </c>
      <c r="DE171" s="136" t="s">
        <v>501</v>
      </c>
      <c r="DF171" s="137" t="s">
        <v>501</v>
      </c>
      <c r="DG171" s="135">
        <f>DG$3</f>
        <v>46211</v>
      </c>
      <c r="DH171" s="136" t="s">
        <v>501</v>
      </c>
      <c r="DI171" s="137" t="s">
        <v>501</v>
      </c>
      <c r="DJ171" s="135">
        <f>DJ$3</f>
        <v>46212</v>
      </c>
      <c r="DK171" s="136" t="s">
        <v>501</v>
      </c>
      <c r="DL171" s="137" t="s">
        <v>501</v>
      </c>
      <c r="DM171" s="135">
        <f>DM$3</f>
        <v>46213</v>
      </c>
      <c r="DN171" s="136" t="s">
        <v>501</v>
      </c>
      <c r="DO171" s="137" t="s">
        <v>501</v>
      </c>
      <c r="DP171" s="135">
        <f>DP$3</f>
        <v>46214</v>
      </c>
      <c r="DQ171" s="136" t="s">
        <v>501</v>
      </c>
      <c r="DR171" s="137" t="s">
        <v>501</v>
      </c>
    </row>
    <row r="172" spans="1:122" outlineLevel="1">
      <c r="A172" s="122" t="str">
        <f>$A$150</f>
        <v>Đặng Minh Quang</v>
      </c>
      <c r="B172" s="82"/>
      <c r="C172" s="81" t="str">
        <f>IF($B172="","",INDEX('Bảng 3'!C:C,MATCH($B172,'Bảng 3'!$A:$A,0)))</f>
        <v/>
      </c>
      <c r="D172" s="81" t="str">
        <f>IF($B172="","",INDEX('Bảng 3'!D:D,MATCH($B172,'Bảng 3'!$A:$A,0)))</f>
        <v/>
      </c>
      <c r="E172" s="81" t="str">
        <f>IF($B172="","",INDEX('Bảng 3'!E:E,MATCH($B172,'Bảng 3'!$A:$A,0)))</f>
        <v/>
      </c>
      <c r="F172" s="81" t="str">
        <f>IF($B172="","",INDEX('Bảng 3'!F:F,MATCH($B172,'Bảng 3'!$A:$A,0)))</f>
        <v/>
      </c>
      <c r="G172" s="81" t="str">
        <f>IF($B172="","",INDEX('Bảng 3'!G:G,MATCH($B172,'Bảng 3'!$A:$A,0)))</f>
        <v/>
      </c>
      <c r="H172" s="121"/>
      <c r="I172" s="135"/>
      <c r="J172" s="135">
        <f>J$3</f>
        <v>46174</v>
      </c>
      <c r="K172" s="148" t="s">
        <v>501</v>
      </c>
      <c r="L172" s="168" t="s">
        <v>501</v>
      </c>
      <c r="M172" s="135">
        <f>M$3</f>
        <v>46175</v>
      </c>
      <c r="N172" s="148" t="s">
        <v>501</v>
      </c>
      <c r="O172" s="137" t="s">
        <v>501</v>
      </c>
      <c r="P172" s="135">
        <f>P$3</f>
        <v>46176</v>
      </c>
      <c r="Q172" s="136" t="s">
        <v>501</v>
      </c>
      <c r="R172" s="137" t="s">
        <v>501</v>
      </c>
      <c r="S172" s="135">
        <f>S$3</f>
        <v>46177</v>
      </c>
      <c r="T172" s="136" t="s">
        <v>501</v>
      </c>
      <c r="U172" s="137" t="s">
        <v>501</v>
      </c>
      <c r="V172" s="135">
        <f>V$3</f>
        <v>46178</v>
      </c>
      <c r="W172" s="136" t="s">
        <v>501</v>
      </c>
      <c r="X172" s="137" t="s">
        <v>501</v>
      </c>
      <c r="Y172" s="135">
        <f>Y$3</f>
        <v>46179</v>
      </c>
      <c r="Z172" s="136" t="s">
        <v>501</v>
      </c>
      <c r="AA172" s="137" t="s">
        <v>501</v>
      </c>
      <c r="AB172" s="135"/>
      <c r="AC172" s="135">
        <f>AC$3</f>
        <v>46181</v>
      </c>
      <c r="AD172" s="136" t="s">
        <v>501</v>
      </c>
      <c r="AE172" s="137" t="s">
        <v>501</v>
      </c>
      <c r="AF172" s="135">
        <f>AF$3</f>
        <v>46182</v>
      </c>
      <c r="AG172" s="136" t="s">
        <v>501</v>
      </c>
      <c r="AH172" s="137" t="s">
        <v>501</v>
      </c>
      <c r="AI172" s="135">
        <f>AI$3</f>
        <v>46183</v>
      </c>
      <c r="AJ172" s="136" t="s">
        <v>501</v>
      </c>
      <c r="AK172" s="137" t="s">
        <v>501</v>
      </c>
      <c r="AL172" s="135">
        <f>AL$3</f>
        <v>46184</v>
      </c>
      <c r="AM172" s="136" t="s">
        <v>501</v>
      </c>
      <c r="AN172" s="137" t="s">
        <v>501</v>
      </c>
      <c r="AO172" s="135">
        <f>AO$3</f>
        <v>46185</v>
      </c>
      <c r="AP172" s="136" t="s">
        <v>501</v>
      </c>
      <c r="AQ172" s="137" t="s">
        <v>501</v>
      </c>
      <c r="AR172" s="135">
        <f>AR$3</f>
        <v>46186</v>
      </c>
      <c r="AS172" s="136" t="s">
        <v>501</v>
      </c>
      <c r="AT172" s="137" t="s">
        <v>501</v>
      </c>
      <c r="AU172" s="135"/>
      <c r="AV172" s="135">
        <f>AV$3</f>
        <v>46188</v>
      </c>
      <c r="AW172" s="148" t="s">
        <v>501</v>
      </c>
      <c r="AX172" s="137" t="s">
        <v>501</v>
      </c>
      <c r="AY172" s="135">
        <f>AY$3</f>
        <v>46189</v>
      </c>
      <c r="AZ172" s="136" t="s">
        <v>501</v>
      </c>
      <c r="BA172" s="137" t="s">
        <v>501</v>
      </c>
      <c r="BB172" s="135">
        <f>BB$3</f>
        <v>46190</v>
      </c>
      <c r="BC172" s="136" t="s">
        <v>501</v>
      </c>
      <c r="BD172" s="137" t="s">
        <v>501</v>
      </c>
      <c r="BE172" s="135">
        <f>BE$3</f>
        <v>46191</v>
      </c>
      <c r="BF172" s="136" t="s">
        <v>501</v>
      </c>
      <c r="BG172" s="137" t="s">
        <v>501</v>
      </c>
      <c r="BH172" s="135">
        <f>BH$3</f>
        <v>46192</v>
      </c>
      <c r="BI172" s="136" t="s">
        <v>501</v>
      </c>
      <c r="BJ172" s="137" t="s">
        <v>501</v>
      </c>
      <c r="BK172" s="135">
        <f>BK$3</f>
        <v>46193</v>
      </c>
      <c r="BL172" s="136" t="s">
        <v>501</v>
      </c>
      <c r="BM172" s="137" t="s">
        <v>501</v>
      </c>
      <c r="BN172" s="135"/>
      <c r="BO172" s="135">
        <f>BO$3</f>
        <v>46195</v>
      </c>
      <c r="BP172" s="136" t="s">
        <v>501</v>
      </c>
      <c r="BQ172" s="137" t="s">
        <v>501</v>
      </c>
      <c r="BR172" s="135">
        <f>BR$3</f>
        <v>46196</v>
      </c>
      <c r="BS172" s="136" t="s">
        <v>501</v>
      </c>
      <c r="BT172" s="137" t="s">
        <v>501</v>
      </c>
      <c r="BU172" s="135">
        <f>BU$3</f>
        <v>46197</v>
      </c>
      <c r="BV172" s="136" t="s">
        <v>501</v>
      </c>
      <c r="BW172" s="137" t="s">
        <v>501</v>
      </c>
      <c r="BX172" s="135">
        <f>BX$3</f>
        <v>46198</v>
      </c>
      <c r="BY172" s="136" t="s">
        <v>501</v>
      </c>
      <c r="BZ172" s="137" t="s">
        <v>501</v>
      </c>
      <c r="CA172" s="135">
        <f>CA$3</f>
        <v>46199</v>
      </c>
      <c r="CB172" s="136" t="s">
        <v>501</v>
      </c>
      <c r="CC172" s="137" t="s">
        <v>501</v>
      </c>
      <c r="CD172" s="135">
        <f>CD$3</f>
        <v>46200</v>
      </c>
      <c r="CE172" s="136" t="s">
        <v>501</v>
      </c>
      <c r="CF172" s="137" t="s">
        <v>501</v>
      </c>
      <c r="CG172" s="135"/>
      <c r="CH172" s="135">
        <f>CH$3</f>
        <v>46202</v>
      </c>
      <c r="CI172" s="148" t="s">
        <v>501</v>
      </c>
      <c r="CJ172" s="137" t="s">
        <v>501</v>
      </c>
      <c r="CK172" s="135">
        <f>CK$3</f>
        <v>46203</v>
      </c>
      <c r="CL172" s="136" t="s">
        <v>501</v>
      </c>
      <c r="CM172" s="137" t="s">
        <v>501</v>
      </c>
      <c r="CN172" s="135">
        <f>CN$3</f>
        <v>46204</v>
      </c>
      <c r="CO172" s="136" t="s">
        <v>501</v>
      </c>
      <c r="CP172" s="137" t="s">
        <v>501</v>
      </c>
      <c r="CQ172" s="135">
        <f>CQ$3</f>
        <v>46205</v>
      </c>
      <c r="CR172" s="136" t="s">
        <v>501</v>
      </c>
      <c r="CS172" s="137" t="s">
        <v>501</v>
      </c>
      <c r="CT172" s="135">
        <f>CT$3</f>
        <v>46206</v>
      </c>
      <c r="CU172" s="136" t="s">
        <v>501</v>
      </c>
      <c r="CV172" s="137" t="s">
        <v>501</v>
      </c>
      <c r="CW172" s="135">
        <f>CW$3</f>
        <v>46207</v>
      </c>
      <c r="CX172" s="136" t="s">
        <v>501</v>
      </c>
      <c r="CY172" s="137" t="s">
        <v>501</v>
      </c>
      <c r="CZ172" s="135"/>
      <c r="DA172" s="135">
        <f>DA$3</f>
        <v>46209</v>
      </c>
      <c r="DB172" s="136" t="s">
        <v>501</v>
      </c>
      <c r="DC172" s="137" t="s">
        <v>501</v>
      </c>
      <c r="DD172" s="135">
        <f>DD$3</f>
        <v>46210</v>
      </c>
      <c r="DE172" s="136" t="s">
        <v>501</v>
      </c>
      <c r="DF172" s="137" t="s">
        <v>501</v>
      </c>
      <c r="DG172" s="135">
        <f>DG$3</f>
        <v>46211</v>
      </c>
      <c r="DH172" s="136" t="s">
        <v>501</v>
      </c>
      <c r="DI172" s="137" t="s">
        <v>501</v>
      </c>
      <c r="DJ172" s="135">
        <f>DJ$3</f>
        <v>46212</v>
      </c>
      <c r="DK172" s="136" t="s">
        <v>501</v>
      </c>
      <c r="DL172" s="137" t="s">
        <v>501</v>
      </c>
      <c r="DM172" s="135">
        <f>DM$3</f>
        <v>46213</v>
      </c>
      <c r="DN172" s="136" t="s">
        <v>501</v>
      </c>
      <c r="DO172" s="137" t="s">
        <v>501</v>
      </c>
      <c r="DP172" s="135">
        <f>DP$3</f>
        <v>46214</v>
      </c>
      <c r="DQ172" s="136" t="s">
        <v>501</v>
      </c>
      <c r="DR172" s="137" t="s">
        <v>501</v>
      </c>
    </row>
    <row r="173" spans="1:122" outlineLevel="1">
      <c r="A173" s="122" t="str">
        <f>$A$150</f>
        <v>Đặng Minh Quang</v>
      </c>
      <c r="B173" s="82"/>
      <c r="C173" s="81" t="str">
        <f>IF($B173="","",INDEX('Bảng 3'!C:C,MATCH($B173,'Bảng 3'!$A:$A,0)))</f>
        <v/>
      </c>
      <c r="D173" s="81" t="str">
        <f>IF($B173="","",INDEX('Bảng 3'!D:D,MATCH($B173,'Bảng 3'!$A:$A,0)))</f>
        <v/>
      </c>
      <c r="E173" s="81" t="str">
        <f>IF($B173="","",INDEX('Bảng 3'!E:E,MATCH($B173,'Bảng 3'!$A:$A,0)))</f>
        <v/>
      </c>
      <c r="F173" s="81" t="str">
        <f>IF($B173="","",INDEX('Bảng 3'!F:F,MATCH($B173,'Bảng 3'!$A:$A,0)))</f>
        <v/>
      </c>
      <c r="G173" s="81" t="str">
        <f>IF($B173="","",INDEX('Bảng 3'!G:G,MATCH($B173,'Bảng 3'!$A:$A,0)))</f>
        <v/>
      </c>
      <c r="H173" s="121"/>
      <c r="I173" s="135"/>
      <c r="J173" s="135">
        <f>J$3</f>
        <v>46174</v>
      </c>
      <c r="K173" s="148" t="s">
        <v>501</v>
      </c>
      <c r="L173" s="168" t="s">
        <v>501</v>
      </c>
      <c r="M173" s="135">
        <f>M$3</f>
        <v>46175</v>
      </c>
      <c r="N173" s="148" t="s">
        <v>501</v>
      </c>
      <c r="O173" s="137" t="s">
        <v>501</v>
      </c>
      <c r="P173" s="135">
        <f>P$3</f>
        <v>46176</v>
      </c>
      <c r="Q173" s="136" t="s">
        <v>501</v>
      </c>
      <c r="R173" s="137" t="s">
        <v>501</v>
      </c>
      <c r="S173" s="135">
        <f>S$3</f>
        <v>46177</v>
      </c>
      <c r="T173" s="136" t="s">
        <v>501</v>
      </c>
      <c r="U173" s="137" t="s">
        <v>501</v>
      </c>
      <c r="V173" s="135">
        <f>V$3</f>
        <v>46178</v>
      </c>
      <c r="W173" s="136" t="s">
        <v>501</v>
      </c>
      <c r="X173" s="137" t="s">
        <v>501</v>
      </c>
      <c r="Y173" s="135">
        <f>Y$3</f>
        <v>46179</v>
      </c>
      <c r="Z173" s="136" t="s">
        <v>501</v>
      </c>
      <c r="AA173" s="137" t="s">
        <v>501</v>
      </c>
      <c r="AB173" s="135"/>
      <c r="AC173" s="135">
        <f>AC$3</f>
        <v>46181</v>
      </c>
      <c r="AD173" s="136" t="s">
        <v>501</v>
      </c>
      <c r="AE173" s="137" t="s">
        <v>501</v>
      </c>
      <c r="AF173" s="135">
        <f>AF$3</f>
        <v>46182</v>
      </c>
      <c r="AG173" s="136" t="s">
        <v>501</v>
      </c>
      <c r="AH173" s="137" t="s">
        <v>501</v>
      </c>
      <c r="AI173" s="135">
        <f>AI$3</f>
        <v>46183</v>
      </c>
      <c r="AJ173" s="136" t="s">
        <v>501</v>
      </c>
      <c r="AK173" s="137" t="s">
        <v>501</v>
      </c>
      <c r="AL173" s="135">
        <f>AL$3</f>
        <v>46184</v>
      </c>
      <c r="AM173" s="136" t="s">
        <v>501</v>
      </c>
      <c r="AN173" s="137" t="s">
        <v>501</v>
      </c>
      <c r="AO173" s="135">
        <f>AO$3</f>
        <v>46185</v>
      </c>
      <c r="AP173" s="136" t="s">
        <v>501</v>
      </c>
      <c r="AQ173" s="137" t="s">
        <v>501</v>
      </c>
      <c r="AR173" s="135">
        <f>AR$3</f>
        <v>46186</v>
      </c>
      <c r="AS173" s="136" t="s">
        <v>501</v>
      </c>
      <c r="AT173" s="137" t="s">
        <v>501</v>
      </c>
      <c r="AU173" s="135"/>
      <c r="AV173" s="135">
        <f>AV$3</f>
        <v>46188</v>
      </c>
      <c r="AW173" s="148" t="s">
        <v>501</v>
      </c>
      <c r="AX173" s="137" t="s">
        <v>501</v>
      </c>
      <c r="AY173" s="135">
        <f>AY$3</f>
        <v>46189</v>
      </c>
      <c r="AZ173" s="136" t="s">
        <v>501</v>
      </c>
      <c r="BA173" s="137" t="s">
        <v>501</v>
      </c>
      <c r="BB173" s="135">
        <f>BB$3</f>
        <v>46190</v>
      </c>
      <c r="BC173" s="136" t="s">
        <v>501</v>
      </c>
      <c r="BD173" s="137" t="s">
        <v>501</v>
      </c>
      <c r="BE173" s="135">
        <f>BE$3</f>
        <v>46191</v>
      </c>
      <c r="BF173" s="136" t="s">
        <v>501</v>
      </c>
      <c r="BG173" s="137" t="s">
        <v>501</v>
      </c>
      <c r="BH173" s="135">
        <f>BH$3</f>
        <v>46192</v>
      </c>
      <c r="BI173" s="136" t="s">
        <v>501</v>
      </c>
      <c r="BJ173" s="137" t="s">
        <v>501</v>
      </c>
      <c r="BK173" s="135">
        <f>BK$3</f>
        <v>46193</v>
      </c>
      <c r="BL173" s="136" t="s">
        <v>501</v>
      </c>
      <c r="BM173" s="137" t="s">
        <v>501</v>
      </c>
      <c r="BN173" s="135"/>
      <c r="BO173" s="135">
        <f>BO$3</f>
        <v>46195</v>
      </c>
      <c r="BP173" s="136" t="s">
        <v>501</v>
      </c>
      <c r="BQ173" s="137" t="s">
        <v>501</v>
      </c>
      <c r="BR173" s="135">
        <f>BR$3</f>
        <v>46196</v>
      </c>
      <c r="BS173" s="136" t="s">
        <v>501</v>
      </c>
      <c r="BT173" s="137" t="s">
        <v>501</v>
      </c>
      <c r="BU173" s="135">
        <f>BU$3</f>
        <v>46197</v>
      </c>
      <c r="BV173" s="136" t="s">
        <v>501</v>
      </c>
      <c r="BW173" s="137" t="s">
        <v>501</v>
      </c>
      <c r="BX173" s="135">
        <f>BX$3</f>
        <v>46198</v>
      </c>
      <c r="BY173" s="136" t="s">
        <v>501</v>
      </c>
      <c r="BZ173" s="137" t="s">
        <v>501</v>
      </c>
      <c r="CA173" s="135">
        <f>CA$3</f>
        <v>46199</v>
      </c>
      <c r="CB173" s="136" t="s">
        <v>501</v>
      </c>
      <c r="CC173" s="137" t="s">
        <v>501</v>
      </c>
      <c r="CD173" s="135">
        <f>CD$3</f>
        <v>46200</v>
      </c>
      <c r="CE173" s="136" t="s">
        <v>501</v>
      </c>
      <c r="CF173" s="137" t="s">
        <v>501</v>
      </c>
      <c r="CG173" s="135"/>
      <c r="CH173" s="135">
        <f>CH$3</f>
        <v>46202</v>
      </c>
      <c r="CI173" s="148" t="s">
        <v>501</v>
      </c>
      <c r="CJ173" s="137" t="s">
        <v>501</v>
      </c>
      <c r="CK173" s="135">
        <f>CK$3</f>
        <v>46203</v>
      </c>
      <c r="CL173" s="136" t="s">
        <v>501</v>
      </c>
      <c r="CM173" s="137" t="s">
        <v>501</v>
      </c>
      <c r="CN173" s="135">
        <f>CN$3</f>
        <v>46204</v>
      </c>
      <c r="CO173" s="136" t="s">
        <v>501</v>
      </c>
      <c r="CP173" s="137" t="s">
        <v>501</v>
      </c>
      <c r="CQ173" s="135">
        <f>CQ$3</f>
        <v>46205</v>
      </c>
      <c r="CR173" s="136" t="s">
        <v>501</v>
      </c>
      <c r="CS173" s="137" t="s">
        <v>501</v>
      </c>
      <c r="CT173" s="135">
        <f>CT$3</f>
        <v>46206</v>
      </c>
      <c r="CU173" s="136" t="s">
        <v>501</v>
      </c>
      <c r="CV173" s="137" t="s">
        <v>501</v>
      </c>
      <c r="CW173" s="135">
        <f>CW$3</f>
        <v>46207</v>
      </c>
      <c r="CX173" s="136" t="s">
        <v>501</v>
      </c>
      <c r="CY173" s="137" t="s">
        <v>501</v>
      </c>
      <c r="CZ173" s="135"/>
      <c r="DA173" s="135">
        <f>DA$3</f>
        <v>46209</v>
      </c>
      <c r="DB173" s="136" t="s">
        <v>501</v>
      </c>
      <c r="DC173" s="137" t="s">
        <v>501</v>
      </c>
      <c r="DD173" s="135">
        <f>DD$3</f>
        <v>46210</v>
      </c>
      <c r="DE173" s="136" t="s">
        <v>501</v>
      </c>
      <c r="DF173" s="137" t="s">
        <v>501</v>
      </c>
      <c r="DG173" s="135">
        <f>DG$3</f>
        <v>46211</v>
      </c>
      <c r="DH173" s="136" t="s">
        <v>501</v>
      </c>
      <c r="DI173" s="137" t="s">
        <v>501</v>
      </c>
      <c r="DJ173" s="135">
        <f>DJ$3</f>
        <v>46212</v>
      </c>
      <c r="DK173" s="136" t="s">
        <v>501</v>
      </c>
      <c r="DL173" s="137" t="s">
        <v>501</v>
      </c>
      <c r="DM173" s="135">
        <f>DM$3</f>
        <v>46213</v>
      </c>
      <c r="DN173" s="136" t="s">
        <v>501</v>
      </c>
      <c r="DO173" s="137" t="s">
        <v>501</v>
      </c>
      <c r="DP173" s="135">
        <f>DP$3</f>
        <v>46214</v>
      </c>
      <c r="DQ173" s="136" t="s">
        <v>501</v>
      </c>
      <c r="DR173" s="137" t="s">
        <v>501</v>
      </c>
    </row>
    <row r="174" spans="1:122" outlineLevel="1">
      <c r="A174" s="122" t="str">
        <f>$A$150</f>
        <v>Đặng Minh Quang</v>
      </c>
      <c r="B174" s="82"/>
      <c r="C174" s="81" t="s">
        <v>38</v>
      </c>
      <c r="D174" s="81" t="s">
        <v>53</v>
      </c>
      <c r="E174" s="81" t="s">
        <v>53</v>
      </c>
      <c r="F174" s="81" t="s">
        <v>53</v>
      </c>
      <c r="G174" s="81" t="s">
        <v>53</v>
      </c>
      <c r="H174" s="121"/>
      <c r="I174" s="135"/>
      <c r="J174" s="135">
        <f>J$3</f>
        <v>46174</v>
      </c>
      <c r="K174" s="148" t="s">
        <v>645</v>
      </c>
      <c r="L174" s="168">
        <v>0.25</v>
      </c>
      <c r="M174" s="135">
        <f>M$3</f>
        <v>46175</v>
      </c>
      <c r="N174" s="148" t="s">
        <v>501</v>
      </c>
      <c r="O174" s="137" t="s">
        <v>501</v>
      </c>
      <c r="P174" s="135">
        <f>P$3</f>
        <v>46176</v>
      </c>
      <c r="Q174" s="136" t="s">
        <v>501</v>
      </c>
      <c r="R174" s="137" t="s">
        <v>501</v>
      </c>
      <c r="S174" s="135">
        <f>S$3</f>
        <v>46177</v>
      </c>
      <c r="T174" s="136" t="s">
        <v>501</v>
      </c>
      <c r="U174" s="137" t="s">
        <v>501</v>
      </c>
      <c r="V174" s="135">
        <f>V$3</f>
        <v>46178</v>
      </c>
      <c r="W174" s="136" t="s">
        <v>501</v>
      </c>
      <c r="X174" s="137" t="s">
        <v>501</v>
      </c>
      <c r="Y174" s="135">
        <f>Y$3</f>
        <v>46179</v>
      </c>
      <c r="Z174" s="136" t="s">
        <v>501</v>
      </c>
      <c r="AA174" s="137" t="s">
        <v>501</v>
      </c>
      <c r="AB174" s="135"/>
      <c r="AC174" s="135">
        <f>AC$3</f>
        <v>46181</v>
      </c>
      <c r="AD174" s="136" t="s">
        <v>501</v>
      </c>
      <c r="AE174" s="137" t="s">
        <v>501</v>
      </c>
      <c r="AF174" s="135">
        <f>AF$3</f>
        <v>46182</v>
      </c>
      <c r="AG174" s="136" t="s">
        <v>501</v>
      </c>
      <c r="AH174" s="137" t="s">
        <v>501</v>
      </c>
      <c r="AI174" s="135">
        <f>AI$3</f>
        <v>46183</v>
      </c>
      <c r="AJ174" s="136" t="s">
        <v>501</v>
      </c>
      <c r="AK174" s="137" t="s">
        <v>501</v>
      </c>
      <c r="AL174" s="135">
        <f>AL$3</f>
        <v>46184</v>
      </c>
      <c r="AM174" s="136" t="s">
        <v>501</v>
      </c>
      <c r="AN174" s="137" t="s">
        <v>501</v>
      </c>
      <c r="AO174" s="135">
        <f>AO$3</f>
        <v>46185</v>
      </c>
      <c r="AP174" s="136" t="s">
        <v>501</v>
      </c>
      <c r="AQ174" s="137" t="s">
        <v>501</v>
      </c>
      <c r="AR174" s="135">
        <f>AR$3</f>
        <v>46186</v>
      </c>
      <c r="AS174" s="136" t="s">
        <v>501</v>
      </c>
      <c r="AT174" s="137" t="s">
        <v>501</v>
      </c>
      <c r="AU174" s="135"/>
      <c r="AV174" s="135">
        <f>AV$3</f>
        <v>46188</v>
      </c>
      <c r="AW174" s="148" t="s">
        <v>501</v>
      </c>
      <c r="AX174" s="137" t="s">
        <v>501</v>
      </c>
      <c r="AY174" s="135">
        <f>AY$3</f>
        <v>46189</v>
      </c>
      <c r="AZ174" s="136" t="s">
        <v>501</v>
      </c>
      <c r="BA174" s="137" t="s">
        <v>501</v>
      </c>
      <c r="BB174" s="135">
        <f>BB$3</f>
        <v>46190</v>
      </c>
      <c r="BC174" s="136" t="s">
        <v>501</v>
      </c>
      <c r="BD174" s="137" t="s">
        <v>501</v>
      </c>
      <c r="BE174" s="135">
        <f>BE$3</f>
        <v>46191</v>
      </c>
      <c r="BF174" s="136" t="s">
        <v>501</v>
      </c>
      <c r="BG174" s="137" t="s">
        <v>501</v>
      </c>
      <c r="BH174" s="135">
        <f>BH$3</f>
        <v>46192</v>
      </c>
      <c r="BI174" s="136" t="s">
        <v>501</v>
      </c>
      <c r="BJ174" s="137" t="s">
        <v>501</v>
      </c>
      <c r="BK174" s="135">
        <f>BK$3</f>
        <v>46193</v>
      </c>
      <c r="BL174" s="136" t="s">
        <v>501</v>
      </c>
      <c r="BM174" s="137" t="s">
        <v>501</v>
      </c>
      <c r="BN174" s="135"/>
      <c r="BO174" s="135">
        <f>BO$3</f>
        <v>46195</v>
      </c>
      <c r="BP174" s="136" t="s">
        <v>501</v>
      </c>
      <c r="BQ174" s="137" t="s">
        <v>501</v>
      </c>
      <c r="BR174" s="135">
        <f>BR$3</f>
        <v>46196</v>
      </c>
      <c r="BS174" s="136" t="s">
        <v>501</v>
      </c>
      <c r="BT174" s="137" t="s">
        <v>501</v>
      </c>
      <c r="BU174" s="135">
        <f>BU$3</f>
        <v>46197</v>
      </c>
      <c r="BV174" s="136" t="s">
        <v>501</v>
      </c>
      <c r="BW174" s="137" t="s">
        <v>501</v>
      </c>
      <c r="BX174" s="135">
        <f>BX$3</f>
        <v>46198</v>
      </c>
      <c r="BY174" s="136" t="s">
        <v>501</v>
      </c>
      <c r="BZ174" s="137" t="s">
        <v>501</v>
      </c>
      <c r="CA174" s="135">
        <f>CA$3</f>
        <v>46199</v>
      </c>
      <c r="CB174" s="136" t="s">
        <v>501</v>
      </c>
      <c r="CC174" s="137" t="s">
        <v>501</v>
      </c>
      <c r="CD174" s="135">
        <f>CD$3</f>
        <v>46200</v>
      </c>
      <c r="CE174" s="136" t="s">
        <v>501</v>
      </c>
      <c r="CF174" s="137" t="s">
        <v>501</v>
      </c>
      <c r="CG174" s="135"/>
      <c r="CH174" s="135">
        <f>CH$3</f>
        <v>46202</v>
      </c>
      <c r="CI174" s="148" t="s">
        <v>501</v>
      </c>
      <c r="CJ174" s="137" t="s">
        <v>501</v>
      </c>
      <c r="CK174" s="135">
        <f>CK$3</f>
        <v>46203</v>
      </c>
      <c r="CL174" s="136" t="s">
        <v>501</v>
      </c>
      <c r="CM174" s="137" t="s">
        <v>501</v>
      </c>
      <c r="CN174" s="135">
        <f>CN$3</f>
        <v>46204</v>
      </c>
      <c r="CO174" s="136" t="s">
        <v>501</v>
      </c>
      <c r="CP174" s="137" t="s">
        <v>501</v>
      </c>
      <c r="CQ174" s="135">
        <f>CQ$3</f>
        <v>46205</v>
      </c>
      <c r="CR174" s="136" t="s">
        <v>501</v>
      </c>
      <c r="CS174" s="137" t="s">
        <v>501</v>
      </c>
      <c r="CT174" s="135">
        <f>CT$3</f>
        <v>46206</v>
      </c>
      <c r="CU174" s="136" t="s">
        <v>501</v>
      </c>
      <c r="CV174" s="137" t="s">
        <v>501</v>
      </c>
      <c r="CW174" s="135">
        <f>CW$3</f>
        <v>46207</v>
      </c>
      <c r="CX174" s="136" t="s">
        <v>501</v>
      </c>
      <c r="CY174" s="137" t="s">
        <v>501</v>
      </c>
      <c r="CZ174" s="135"/>
      <c r="DA174" s="135">
        <f>DA$3</f>
        <v>46209</v>
      </c>
      <c r="DB174" s="136" t="s">
        <v>501</v>
      </c>
      <c r="DC174" s="137" t="s">
        <v>501</v>
      </c>
      <c r="DD174" s="135">
        <f>DD$3</f>
        <v>46210</v>
      </c>
      <c r="DE174" s="136" t="s">
        <v>501</v>
      </c>
      <c r="DF174" s="137" t="s">
        <v>501</v>
      </c>
      <c r="DG174" s="135">
        <f>DG$3</f>
        <v>46211</v>
      </c>
      <c r="DH174" s="136" t="s">
        <v>501</v>
      </c>
      <c r="DI174" s="137" t="s">
        <v>501</v>
      </c>
      <c r="DJ174" s="135">
        <f>DJ$3</f>
        <v>46212</v>
      </c>
      <c r="DK174" s="136" t="s">
        <v>501</v>
      </c>
      <c r="DL174" s="137" t="s">
        <v>501</v>
      </c>
      <c r="DM174" s="135">
        <f>DM$3</f>
        <v>46213</v>
      </c>
      <c r="DN174" s="136" t="s">
        <v>501</v>
      </c>
      <c r="DO174" s="137" t="s">
        <v>501</v>
      </c>
      <c r="DP174" s="135">
        <f>DP$3</f>
        <v>46214</v>
      </c>
      <c r="DQ174" s="136" t="s">
        <v>501</v>
      </c>
      <c r="DR174" s="137" t="s">
        <v>501</v>
      </c>
    </row>
    <row r="175" spans="1:122">
      <c r="A175" s="36" t="s">
        <v>36</v>
      </c>
      <c r="B175" s="28"/>
      <c r="C175" s="81" t="str">
        <f>IF($B175="","",INDEX('Bảng 3'!C:C,MATCH($B175,'Bảng 3'!$A:$A,0)))</f>
        <v/>
      </c>
      <c r="D175" s="81" t="str">
        <f>IF($B175="","",INDEX('Bảng 3'!D:D,MATCH($B175,'Bảng 3'!$A:$A,0)))</f>
        <v/>
      </c>
      <c r="E175" s="81" t="str">
        <f>IF($B175="","",INDEX('Bảng 3'!E:E,MATCH($B175,'Bảng 3'!$A:$A,0)))</f>
        <v/>
      </c>
      <c r="F175" s="81" t="str">
        <f>IF($B175="","",INDEX('Bảng 3'!F:F,MATCH($B175,'Bảng 3'!$A:$A,0)))</f>
        <v/>
      </c>
      <c r="G175" s="81" t="str">
        <f>IF($B175="","",INDEX('Bảng 3'!G:G,MATCH($B175,'Bảng 3'!$A:$A,0)))</f>
        <v/>
      </c>
      <c r="H175" s="121"/>
      <c r="I175" s="138"/>
      <c r="J175" s="138">
        <f>J$3</f>
        <v>46174</v>
      </c>
      <c r="K175" s="158" t="s">
        <v>501</v>
      </c>
      <c r="L175" s="167">
        <f>SUM(L176:L203)</f>
        <v>8.25</v>
      </c>
      <c r="M175" s="138">
        <f>M$3</f>
        <v>46175</v>
      </c>
      <c r="N175" s="147" t="s">
        <v>501</v>
      </c>
      <c r="O175" s="133">
        <f>SUM(O176:O203)</f>
        <v>8.5</v>
      </c>
      <c r="P175" s="138">
        <f>P$3</f>
        <v>46176</v>
      </c>
      <c r="Q175" s="132" t="s">
        <v>501</v>
      </c>
      <c r="R175" s="133">
        <f>SUM(R176:R203)</f>
        <v>0</v>
      </c>
      <c r="S175" s="138">
        <f>S$3</f>
        <v>46177</v>
      </c>
      <c r="T175" s="132" t="s">
        <v>501</v>
      </c>
      <c r="U175" s="133">
        <f>SUM(U176:U203)</f>
        <v>0</v>
      </c>
      <c r="V175" s="138">
        <f>V$3</f>
        <v>46178</v>
      </c>
      <c r="W175" s="132" t="s">
        <v>501</v>
      </c>
      <c r="X175" s="133">
        <f>SUM(X176:X203)</f>
        <v>0</v>
      </c>
      <c r="Y175" s="138">
        <f>Y$3</f>
        <v>46179</v>
      </c>
      <c r="Z175" s="132" t="s">
        <v>501</v>
      </c>
      <c r="AA175" s="133">
        <f>SUM(AA176:AA203)</f>
        <v>0</v>
      </c>
      <c r="AB175" s="138"/>
      <c r="AC175" s="138">
        <f>AC$3</f>
        <v>46181</v>
      </c>
      <c r="AD175" s="132" t="s">
        <v>501</v>
      </c>
      <c r="AE175" s="133">
        <f>SUM(AE176:AE203)</f>
        <v>0</v>
      </c>
      <c r="AF175" s="138">
        <f>AF$3</f>
        <v>46182</v>
      </c>
      <c r="AG175" s="132" t="s">
        <v>501</v>
      </c>
      <c r="AH175" s="133">
        <f>SUM(AH176:AH203)</f>
        <v>0</v>
      </c>
      <c r="AI175" s="138">
        <f>AI$3</f>
        <v>46183</v>
      </c>
      <c r="AJ175" s="132" t="s">
        <v>501</v>
      </c>
      <c r="AK175" s="133">
        <f>SUM(AK176:AK203)</f>
        <v>0</v>
      </c>
      <c r="AL175" s="138">
        <f>AL$3</f>
        <v>46184</v>
      </c>
      <c r="AM175" s="132" t="s">
        <v>501</v>
      </c>
      <c r="AN175" s="133">
        <f>SUM(AN176:AN203)</f>
        <v>0</v>
      </c>
      <c r="AO175" s="138">
        <f>AO$3</f>
        <v>46185</v>
      </c>
      <c r="AP175" s="132" t="s">
        <v>501</v>
      </c>
      <c r="AQ175" s="133">
        <f>SUM(AQ176:AQ203)</f>
        <v>0</v>
      </c>
      <c r="AR175" s="138">
        <f>AR$3</f>
        <v>46186</v>
      </c>
      <c r="AS175" s="132" t="s">
        <v>501</v>
      </c>
      <c r="AT175" s="133">
        <f>SUM(AT176:AT203)</f>
        <v>0</v>
      </c>
      <c r="AU175" s="138"/>
      <c r="AV175" s="138">
        <f>AV$3</f>
        <v>46188</v>
      </c>
      <c r="AW175" s="147" t="s">
        <v>501</v>
      </c>
      <c r="AX175" s="133">
        <f>SUM(AX176:AX203)</f>
        <v>0</v>
      </c>
      <c r="AY175" s="138">
        <f>AY$3</f>
        <v>46189</v>
      </c>
      <c r="AZ175" s="132" t="s">
        <v>501</v>
      </c>
      <c r="BA175" s="133">
        <f>SUM(BA176:BA203)</f>
        <v>0</v>
      </c>
      <c r="BB175" s="138">
        <f>BB$3</f>
        <v>46190</v>
      </c>
      <c r="BC175" s="132" t="s">
        <v>501</v>
      </c>
      <c r="BD175" s="133">
        <f>SUM(BD176:BD203)</f>
        <v>0</v>
      </c>
      <c r="BE175" s="138">
        <f>BE$3</f>
        <v>46191</v>
      </c>
      <c r="BF175" s="132" t="s">
        <v>501</v>
      </c>
      <c r="BG175" s="133">
        <f>SUM(BG176:BG203)</f>
        <v>0</v>
      </c>
      <c r="BH175" s="138">
        <f>BH$3</f>
        <v>46192</v>
      </c>
      <c r="BI175" s="132" t="s">
        <v>501</v>
      </c>
      <c r="BJ175" s="133">
        <f>SUM(BJ176:BJ203)</f>
        <v>0</v>
      </c>
      <c r="BK175" s="138">
        <f>BK$3</f>
        <v>46193</v>
      </c>
      <c r="BL175" s="132" t="s">
        <v>501</v>
      </c>
      <c r="BM175" s="133">
        <f>SUM(BM176:BM203)</f>
        <v>0</v>
      </c>
      <c r="BN175" s="138"/>
      <c r="BO175" s="138">
        <f>BO$3</f>
        <v>46195</v>
      </c>
      <c r="BP175" s="132" t="s">
        <v>501</v>
      </c>
      <c r="BQ175" s="133">
        <f>SUM(BQ176:BQ203)</f>
        <v>0</v>
      </c>
      <c r="BR175" s="138">
        <f>BR$3</f>
        <v>46196</v>
      </c>
      <c r="BS175" s="132" t="s">
        <v>501</v>
      </c>
      <c r="BT175" s="133">
        <f>SUM(BT176:BT203)</f>
        <v>0</v>
      </c>
      <c r="BU175" s="138">
        <f>BU$3</f>
        <v>46197</v>
      </c>
      <c r="BV175" s="132" t="s">
        <v>501</v>
      </c>
      <c r="BW175" s="133">
        <f>SUM(BW176:BW203)</f>
        <v>0</v>
      </c>
      <c r="BX175" s="138">
        <f>BX$3</f>
        <v>46198</v>
      </c>
      <c r="BY175" s="132" t="s">
        <v>501</v>
      </c>
      <c r="BZ175" s="133">
        <f>SUM(BZ176:BZ203)</f>
        <v>0</v>
      </c>
      <c r="CA175" s="138">
        <f>CA$3</f>
        <v>46199</v>
      </c>
      <c r="CB175" s="132" t="s">
        <v>501</v>
      </c>
      <c r="CC175" s="133">
        <f>SUM(CC176:CC203)</f>
        <v>0</v>
      </c>
      <c r="CD175" s="138">
        <f>CD$3</f>
        <v>46200</v>
      </c>
      <c r="CE175" s="132" t="s">
        <v>501</v>
      </c>
      <c r="CF175" s="133">
        <f>SUM(CF176:CF203)</f>
        <v>0</v>
      </c>
      <c r="CG175" s="138"/>
      <c r="CH175" s="138">
        <f>CH$3</f>
        <v>46202</v>
      </c>
      <c r="CI175" s="147" t="s">
        <v>501</v>
      </c>
      <c r="CJ175" s="133">
        <f>SUM(CJ176:CJ203)</f>
        <v>0</v>
      </c>
      <c r="CK175" s="138">
        <f>CK$3</f>
        <v>46203</v>
      </c>
      <c r="CL175" s="132" t="s">
        <v>501</v>
      </c>
      <c r="CM175" s="133">
        <f>SUM(CM176:CM203)</f>
        <v>0</v>
      </c>
      <c r="CN175" s="138">
        <f>CN$3</f>
        <v>46204</v>
      </c>
      <c r="CO175" s="132" t="s">
        <v>501</v>
      </c>
      <c r="CP175" s="133">
        <f>SUM(CP176:CP203)</f>
        <v>0</v>
      </c>
      <c r="CQ175" s="138">
        <f>CQ$3</f>
        <v>46205</v>
      </c>
      <c r="CR175" s="132" t="s">
        <v>501</v>
      </c>
      <c r="CS175" s="133">
        <f>SUM(CS176:CS203)</f>
        <v>0</v>
      </c>
      <c r="CT175" s="138">
        <f>CT$3</f>
        <v>46206</v>
      </c>
      <c r="CU175" s="132" t="s">
        <v>501</v>
      </c>
      <c r="CV175" s="133">
        <f>SUM(CV176:CV203)</f>
        <v>0</v>
      </c>
      <c r="CW175" s="138">
        <f>CW$3</f>
        <v>46207</v>
      </c>
      <c r="CX175" s="132" t="s">
        <v>501</v>
      </c>
      <c r="CY175" s="133">
        <f>SUM(CY176:CY203)</f>
        <v>0</v>
      </c>
      <c r="CZ175" s="138"/>
      <c r="DA175" s="138">
        <f>DA$3</f>
        <v>46209</v>
      </c>
      <c r="DB175" s="132" t="s">
        <v>501</v>
      </c>
      <c r="DC175" s="133">
        <f>SUM(DC176:DC203)</f>
        <v>0</v>
      </c>
      <c r="DD175" s="138">
        <f>DD$3</f>
        <v>46210</v>
      </c>
      <c r="DE175" s="132" t="s">
        <v>501</v>
      </c>
      <c r="DF175" s="133">
        <f>SUM(DF176:DF203)</f>
        <v>0</v>
      </c>
      <c r="DG175" s="138">
        <f>DG$3</f>
        <v>46211</v>
      </c>
      <c r="DH175" s="132" t="s">
        <v>501</v>
      </c>
      <c r="DI175" s="133">
        <f>SUM(DI176:DI203)</f>
        <v>0</v>
      </c>
      <c r="DJ175" s="138">
        <f>DJ$3</f>
        <v>46212</v>
      </c>
      <c r="DK175" s="132" t="s">
        <v>501</v>
      </c>
      <c r="DL175" s="133">
        <f>SUM(DL176:DL203)</f>
        <v>0</v>
      </c>
      <c r="DM175" s="138">
        <f>DM$3</f>
        <v>46213</v>
      </c>
      <c r="DN175" s="132" t="s">
        <v>501</v>
      </c>
      <c r="DO175" s="133">
        <f>SUM(DO176:DO203)</f>
        <v>0</v>
      </c>
      <c r="DP175" s="138">
        <f>DP$3</f>
        <v>46214</v>
      </c>
      <c r="DQ175" s="132" t="s">
        <v>501</v>
      </c>
      <c r="DR175" s="133">
        <f>SUM(DR176:DR203)</f>
        <v>0</v>
      </c>
    </row>
    <row r="176" spans="1:122" ht="30.75" outlineLevel="1">
      <c r="A176" s="122" t="str">
        <f>$A$175</f>
        <v>Trần Văn Toản</v>
      </c>
      <c r="B176" s="28" t="s">
        <v>675</v>
      </c>
      <c r="C176" s="81" t="str">
        <f>IF($B176="","",INDEX('Bảng 3'!C:C,MATCH($B176,'Bảng 3'!$A:$A,0)))</f>
        <v>Quản lý BIM</v>
      </c>
      <c r="D176" s="81" t="str">
        <f>IF($B176="","",INDEX('Bảng 3'!D:D,MATCH($B176,'Bảng 3'!$A:$A,0)))</f>
        <v>B.DSHNQN.DMF</v>
      </c>
      <c r="E176" s="81" t="str">
        <f>IF($B176="","",INDEX('Bảng 3'!E:E,MATCH($B176,'Bảng 3'!$A:$A,0)))</f>
        <v>Depot Hạ Long Xanh</v>
      </c>
      <c r="F176" s="81" t="str">
        <f>IF($B176="","",INDEX('Bảng 3'!F:F,MATCH($B176,'Bảng 3'!$A:$A,0)))</f>
        <v>KT</v>
      </c>
      <c r="G176" s="81" t="str">
        <f>IF($B176="","",INDEX('Bảng 3'!G:G,MATCH($B176,'Bảng 3'!$A:$A,0)))</f>
        <v>Tạo lập mô hình BIM</v>
      </c>
      <c r="H176" s="121"/>
      <c r="I176" s="135"/>
      <c r="J176" s="135">
        <f>J$3</f>
        <v>46174</v>
      </c>
      <c r="K176" s="148" t="s">
        <v>501</v>
      </c>
      <c r="L176" s="168" t="s">
        <v>501</v>
      </c>
      <c r="M176" s="135">
        <f>M$3</f>
        <v>46175</v>
      </c>
      <c r="N176" s="148" t="s">
        <v>676</v>
      </c>
      <c r="O176" s="137">
        <v>5</v>
      </c>
      <c r="P176" s="135">
        <f>P$3</f>
        <v>46176</v>
      </c>
      <c r="Q176" s="136" t="s">
        <v>501</v>
      </c>
      <c r="R176" s="137" t="s">
        <v>501</v>
      </c>
      <c r="S176" s="135">
        <f>S$3</f>
        <v>46177</v>
      </c>
      <c r="T176" s="136" t="s">
        <v>501</v>
      </c>
      <c r="U176" s="137" t="s">
        <v>501</v>
      </c>
      <c r="V176" s="135">
        <f>V$3</f>
        <v>46178</v>
      </c>
      <c r="W176" s="136" t="s">
        <v>501</v>
      </c>
      <c r="X176" s="137" t="s">
        <v>501</v>
      </c>
      <c r="Y176" s="135">
        <f>Y$3</f>
        <v>46179</v>
      </c>
      <c r="Z176" s="136" t="s">
        <v>501</v>
      </c>
      <c r="AA176" s="137" t="s">
        <v>501</v>
      </c>
      <c r="AB176" s="135"/>
      <c r="AC176" s="135">
        <f>AC$3</f>
        <v>46181</v>
      </c>
      <c r="AD176" s="136" t="s">
        <v>501</v>
      </c>
      <c r="AE176" s="137" t="s">
        <v>501</v>
      </c>
      <c r="AF176" s="135">
        <f>AF$3</f>
        <v>46182</v>
      </c>
      <c r="AG176" s="136" t="s">
        <v>501</v>
      </c>
      <c r="AH176" s="137" t="s">
        <v>501</v>
      </c>
      <c r="AI176" s="135">
        <f>AI$3</f>
        <v>46183</v>
      </c>
      <c r="AJ176" s="136" t="s">
        <v>501</v>
      </c>
      <c r="AK176" s="137" t="s">
        <v>501</v>
      </c>
      <c r="AL176" s="135">
        <f>AL$3</f>
        <v>46184</v>
      </c>
      <c r="AM176" s="136" t="s">
        <v>501</v>
      </c>
      <c r="AN176" s="137" t="s">
        <v>501</v>
      </c>
      <c r="AO176" s="135">
        <f>AO$3</f>
        <v>46185</v>
      </c>
      <c r="AP176" s="136" t="s">
        <v>501</v>
      </c>
      <c r="AQ176" s="137" t="s">
        <v>501</v>
      </c>
      <c r="AR176" s="135">
        <f>AR$3</f>
        <v>46186</v>
      </c>
      <c r="AS176" s="136" t="s">
        <v>501</v>
      </c>
      <c r="AT176" s="137" t="s">
        <v>501</v>
      </c>
      <c r="AU176" s="135"/>
      <c r="AV176" s="135">
        <f>AV$3</f>
        <v>46188</v>
      </c>
      <c r="AW176" s="148" t="s">
        <v>501</v>
      </c>
      <c r="AX176" s="137" t="s">
        <v>501</v>
      </c>
      <c r="AY176" s="135">
        <f>AY$3</f>
        <v>46189</v>
      </c>
      <c r="AZ176" s="136" t="s">
        <v>501</v>
      </c>
      <c r="BA176" s="137" t="s">
        <v>501</v>
      </c>
      <c r="BB176" s="135">
        <f>BB$3</f>
        <v>46190</v>
      </c>
      <c r="BC176" s="136" t="s">
        <v>501</v>
      </c>
      <c r="BD176" s="137" t="s">
        <v>501</v>
      </c>
      <c r="BE176" s="135">
        <f>BE$3</f>
        <v>46191</v>
      </c>
      <c r="BF176" s="136" t="s">
        <v>501</v>
      </c>
      <c r="BG176" s="137" t="s">
        <v>501</v>
      </c>
      <c r="BH176" s="135">
        <f>BH$3</f>
        <v>46192</v>
      </c>
      <c r="BI176" s="136" t="s">
        <v>501</v>
      </c>
      <c r="BJ176" s="137" t="s">
        <v>501</v>
      </c>
      <c r="BK176" s="135">
        <f>BK$3</f>
        <v>46193</v>
      </c>
      <c r="BL176" s="136" t="s">
        <v>501</v>
      </c>
      <c r="BM176" s="137" t="s">
        <v>501</v>
      </c>
      <c r="BN176" s="135"/>
      <c r="BO176" s="135">
        <f>BO$3</f>
        <v>46195</v>
      </c>
      <c r="BP176" s="136" t="s">
        <v>501</v>
      </c>
      <c r="BQ176" s="137" t="s">
        <v>501</v>
      </c>
      <c r="BR176" s="135">
        <f>BR$3</f>
        <v>46196</v>
      </c>
      <c r="BS176" s="136" t="s">
        <v>501</v>
      </c>
      <c r="BT176" s="137" t="s">
        <v>501</v>
      </c>
      <c r="BU176" s="135">
        <f>BU$3</f>
        <v>46197</v>
      </c>
      <c r="BV176" s="136" t="s">
        <v>501</v>
      </c>
      <c r="BW176" s="137" t="s">
        <v>501</v>
      </c>
      <c r="BX176" s="135">
        <f>BX$3</f>
        <v>46198</v>
      </c>
      <c r="BY176" s="136" t="s">
        <v>501</v>
      </c>
      <c r="BZ176" s="137" t="s">
        <v>501</v>
      </c>
      <c r="CA176" s="135">
        <f>CA$3</f>
        <v>46199</v>
      </c>
      <c r="CB176" s="136" t="s">
        <v>501</v>
      </c>
      <c r="CC176" s="137" t="s">
        <v>501</v>
      </c>
      <c r="CD176" s="135">
        <f>CD$3</f>
        <v>46200</v>
      </c>
      <c r="CE176" s="136" t="s">
        <v>501</v>
      </c>
      <c r="CF176" s="137" t="s">
        <v>501</v>
      </c>
      <c r="CG176" s="135"/>
      <c r="CH176" s="135">
        <f>CH$3</f>
        <v>46202</v>
      </c>
      <c r="CI176" s="148" t="s">
        <v>501</v>
      </c>
      <c r="CJ176" s="137" t="s">
        <v>501</v>
      </c>
      <c r="CK176" s="135">
        <f>CK$3</f>
        <v>46203</v>
      </c>
      <c r="CL176" s="136" t="s">
        <v>501</v>
      </c>
      <c r="CM176" s="137" t="s">
        <v>501</v>
      </c>
      <c r="CN176" s="135">
        <f>CN$3</f>
        <v>46204</v>
      </c>
      <c r="CO176" s="136" t="s">
        <v>501</v>
      </c>
      <c r="CP176" s="137" t="s">
        <v>501</v>
      </c>
      <c r="CQ176" s="135">
        <f>CQ$3</f>
        <v>46205</v>
      </c>
      <c r="CR176" s="136" t="s">
        <v>501</v>
      </c>
      <c r="CS176" s="137" t="s">
        <v>501</v>
      </c>
      <c r="CT176" s="135">
        <f>CT$3</f>
        <v>46206</v>
      </c>
      <c r="CU176" s="136" t="s">
        <v>501</v>
      </c>
      <c r="CV176" s="137" t="s">
        <v>501</v>
      </c>
      <c r="CW176" s="135">
        <f>CW$3</f>
        <v>46207</v>
      </c>
      <c r="CX176" s="136" t="s">
        <v>501</v>
      </c>
      <c r="CY176" s="137" t="s">
        <v>501</v>
      </c>
      <c r="CZ176" s="135"/>
      <c r="DA176" s="135">
        <f>DA$3</f>
        <v>46209</v>
      </c>
      <c r="DB176" s="136" t="s">
        <v>501</v>
      </c>
      <c r="DC176" s="137" t="s">
        <v>501</v>
      </c>
      <c r="DD176" s="135">
        <f>DD$3</f>
        <v>46210</v>
      </c>
      <c r="DE176" s="136" t="s">
        <v>501</v>
      </c>
      <c r="DF176" s="137" t="s">
        <v>501</v>
      </c>
      <c r="DG176" s="135">
        <f>DG$3</f>
        <v>46211</v>
      </c>
      <c r="DH176" s="136" t="s">
        <v>501</v>
      </c>
      <c r="DI176" s="137" t="s">
        <v>501</v>
      </c>
      <c r="DJ176" s="135">
        <f>DJ$3</f>
        <v>46212</v>
      </c>
      <c r="DK176" s="136" t="s">
        <v>501</v>
      </c>
      <c r="DL176" s="137" t="s">
        <v>501</v>
      </c>
      <c r="DM176" s="135">
        <f>DM$3</f>
        <v>46213</v>
      </c>
      <c r="DN176" s="136" t="s">
        <v>501</v>
      </c>
      <c r="DO176" s="137" t="s">
        <v>501</v>
      </c>
      <c r="DP176" s="135">
        <f>DP$3</f>
        <v>46214</v>
      </c>
      <c r="DQ176" s="136" t="s">
        <v>501</v>
      </c>
      <c r="DR176" s="137" t="s">
        <v>501</v>
      </c>
    </row>
    <row r="177" spans="1:122" outlineLevel="1">
      <c r="A177" s="122" t="str">
        <f>$A$175</f>
        <v>Trần Văn Toản</v>
      </c>
      <c r="B177" s="123" t="s">
        <v>677</v>
      </c>
      <c r="C177" s="81" t="str">
        <f>IF($B177="","",INDEX('Bảng 3'!C:C,MATCH($B177,'Bảng 3'!$A:$A,0)))</f>
        <v>Quản lý BIM</v>
      </c>
      <c r="D177" s="81" t="str">
        <f>IF($B177="","",INDEX('Bảng 3'!D:D,MATCH($B177,'Bảng 3'!$A:$A,0)))</f>
        <v>B.DSHNQN.DMF</v>
      </c>
      <c r="E177" s="81" t="str">
        <f>IF($B177="","",INDEX('Bảng 3'!E:E,MATCH($B177,'Bảng 3'!$A:$A,0)))</f>
        <v>Depot Hạ Long Xanh</v>
      </c>
      <c r="F177" s="81" t="str">
        <f>IF($B177="","",INDEX('Bảng 3'!F:F,MATCH($B177,'Bảng 3'!$A:$A,0)))</f>
        <v>KC</v>
      </c>
      <c r="G177" s="81" t="str">
        <f>IF($B177="","",INDEX('Bảng 3'!G:G,MATCH($B177,'Bảng 3'!$A:$A,0)))</f>
        <v>Tạo lập mô hình BIM</v>
      </c>
      <c r="H177" s="121"/>
      <c r="I177" s="135"/>
      <c r="J177" s="135">
        <f>J$3</f>
        <v>46174</v>
      </c>
      <c r="K177" s="148" t="s">
        <v>501</v>
      </c>
      <c r="L177" s="168" t="s">
        <v>501</v>
      </c>
      <c r="M177" s="135">
        <f>M$3</f>
        <v>46175</v>
      </c>
      <c r="N177" s="148" t="s">
        <v>501</v>
      </c>
      <c r="O177" s="137" t="s">
        <v>501</v>
      </c>
      <c r="P177" s="135">
        <f>P$3</f>
        <v>46176</v>
      </c>
      <c r="Q177" s="136" t="s">
        <v>501</v>
      </c>
      <c r="R177" s="137" t="s">
        <v>501</v>
      </c>
      <c r="S177" s="135">
        <f>S$3</f>
        <v>46177</v>
      </c>
      <c r="T177" s="136" t="s">
        <v>501</v>
      </c>
      <c r="U177" s="137" t="s">
        <v>501</v>
      </c>
      <c r="V177" s="135">
        <f>V$3</f>
        <v>46178</v>
      </c>
      <c r="W177" s="136" t="s">
        <v>501</v>
      </c>
      <c r="X177" s="137" t="s">
        <v>501</v>
      </c>
      <c r="Y177" s="135">
        <f>Y$3</f>
        <v>46179</v>
      </c>
      <c r="Z177" s="136" t="s">
        <v>501</v>
      </c>
      <c r="AA177" s="137" t="s">
        <v>501</v>
      </c>
      <c r="AB177" s="135"/>
      <c r="AC177" s="135">
        <f>AC$3</f>
        <v>46181</v>
      </c>
      <c r="AD177" s="136" t="s">
        <v>501</v>
      </c>
      <c r="AE177" s="137" t="s">
        <v>501</v>
      </c>
      <c r="AF177" s="135">
        <f>AF$3</f>
        <v>46182</v>
      </c>
      <c r="AG177" s="136" t="s">
        <v>501</v>
      </c>
      <c r="AH177" s="137" t="s">
        <v>501</v>
      </c>
      <c r="AI177" s="135">
        <f>AI$3</f>
        <v>46183</v>
      </c>
      <c r="AJ177" s="136" t="s">
        <v>501</v>
      </c>
      <c r="AK177" s="137" t="s">
        <v>501</v>
      </c>
      <c r="AL177" s="135">
        <f>AL$3</f>
        <v>46184</v>
      </c>
      <c r="AM177" s="136" t="s">
        <v>501</v>
      </c>
      <c r="AN177" s="137" t="s">
        <v>501</v>
      </c>
      <c r="AO177" s="135">
        <f>AO$3</f>
        <v>46185</v>
      </c>
      <c r="AP177" s="136" t="s">
        <v>501</v>
      </c>
      <c r="AQ177" s="137" t="s">
        <v>501</v>
      </c>
      <c r="AR177" s="135">
        <f>AR$3</f>
        <v>46186</v>
      </c>
      <c r="AS177" s="136" t="s">
        <v>501</v>
      </c>
      <c r="AT177" s="137" t="s">
        <v>501</v>
      </c>
      <c r="AU177" s="135"/>
      <c r="AV177" s="135">
        <f>AV$3</f>
        <v>46188</v>
      </c>
      <c r="AW177" s="148" t="s">
        <v>501</v>
      </c>
      <c r="AX177" s="137" t="s">
        <v>501</v>
      </c>
      <c r="AY177" s="135">
        <f>AY$3</f>
        <v>46189</v>
      </c>
      <c r="AZ177" s="136" t="s">
        <v>501</v>
      </c>
      <c r="BA177" s="137" t="s">
        <v>501</v>
      </c>
      <c r="BB177" s="135">
        <f>BB$3</f>
        <v>46190</v>
      </c>
      <c r="BC177" s="136" t="s">
        <v>501</v>
      </c>
      <c r="BD177" s="137" t="s">
        <v>501</v>
      </c>
      <c r="BE177" s="135">
        <f>BE$3</f>
        <v>46191</v>
      </c>
      <c r="BF177" s="136" t="s">
        <v>501</v>
      </c>
      <c r="BG177" s="137" t="s">
        <v>501</v>
      </c>
      <c r="BH177" s="135">
        <f>BH$3</f>
        <v>46192</v>
      </c>
      <c r="BI177" s="136" t="s">
        <v>501</v>
      </c>
      <c r="BJ177" s="137" t="s">
        <v>501</v>
      </c>
      <c r="BK177" s="135">
        <f>BK$3</f>
        <v>46193</v>
      </c>
      <c r="BL177" s="136" t="s">
        <v>501</v>
      </c>
      <c r="BM177" s="137" t="s">
        <v>501</v>
      </c>
      <c r="BN177" s="135"/>
      <c r="BO177" s="135">
        <f>BO$3</f>
        <v>46195</v>
      </c>
      <c r="BP177" s="136" t="s">
        <v>501</v>
      </c>
      <c r="BQ177" s="137" t="s">
        <v>501</v>
      </c>
      <c r="BR177" s="135">
        <f>BR$3</f>
        <v>46196</v>
      </c>
      <c r="BS177" s="136" t="s">
        <v>501</v>
      </c>
      <c r="BT177" s="137" t="s">
        <v>501</v>
      </c>
      <c r="BU177" s="135">
        <f>BU$3</f>
        <v>46197</v>
      </c>
      <c r="BV177" s="136" t="s">
        <v>501</v>
      </c>
      <c r="BW177" s="137" t="s">
        <v>501</v>
      </c>
      <c r="BX177" s="135">
        <f>BX$3</f>
        <v>46198</v>
      </c>
      <c r="BY177" s="136" t="s">
        <v>501</v>
      </c>
      <c r="BZ177" s="137" t="s">
        <v>501</v>
      </c>
      <c r="CA177" s="135">
        <f>CA$3</f>
        <v>46199</v>
      </c>
      <c r="CB177" s="136" t="s">
        <v>501</v>
      </c>
      <c r="CC177" s="137" t="s">
        <v>501</v>
      </c>
      <c r="CD177" s="135">
        <f>CD$3</f>
        <v>46200</v>
      </c>
      <c r="CE177" s="136" t="s">
        <v>501</v>
      </c>
      <c r="CF177" s="137" t="s">
        <v>501</v>
      </c>
      <c r="CG177" s="135"/>
      <c r="CH177" s="135">
        <f>CH$3</f>
        <v>46202</v>
      </c>
      <c r="CI177" s="148" t="s">
        <v>501</v>
      </c>
      <c r="CJ177" s="137" t="s">
        <v>501</v>
      </c>
      <c r="CK177" s="135">
        <f>CK$3</f>
        <v>46203</v>
      </c>
      <c r="CL177" s="136" t="s">
        <v>501</v>
      </c>
      <c r="CM177" s="137" t="s">
        <v>501</v>
      </c>
      <c r="CN177" s="135">
        <f>CN$3</f>
        <v>46204</v>
      </c>
      <c r="CO177" s="136" t="s">
        <v>501</v>
      </c>
      <c r="CP177" s="137" t="s">
        <v>501</v>
      </c>
      <c r="CQ177" s="135">
        <f>CQ$3</f>
        <v>46205</v>
      </c>
      <c r="CR177" s="136" t="s">
        <v>501</v>
      </c>
      <c r="CS177" s="137" t="s">
        <v>501</v>
      </c>
      <c r="CT177" s="135">
        <f>CT$3</f>
        <v>46206</v>
      </c>
      <c r="CU177" s="136" t="s">
        <v>501</v>
      </c>
      <c r="CV177" s="137" t="s">
        <v>501</v>
      </c>
      <c r="CW177" s="135">
        <f>CW$3</f>
        <v>46207</v>
      </c>
      <c r="CX177" s="136" t="s">
        <v>501</v>
      </c>
      <c r="CY177" s="137" t="s">
        <v>501</v>
      </c>
      <c r="CZ177" s="135"/>
      <c r="DA177" s="135">
        <f>DA$3</f>
        <v>46209</v>
      </c>
      <c r="DB177" s="136" t="s">
        <v>501</v>
      </c>
      <c r="DC177" s="137" t="s">
        <v>501</v>
      </c>
      <c r="DD177" s="135">
        <f>DD$3</f>
        <v>46210</v>
      </c>
      <c r="DE177" s="136" t="s">
        <v>501</v>
      </c>
      <c r="DF177" s="137" t="s">
        <v>501</v>
      </c>
      <c r="DG177" s="135">
        <f>DG$3</f>
        <v>46211</v>
      </c>
      <c r="DH177" s="136" t="s">
        <v>501</v>
      </c>
      <c r="DI177" s="137" t="s">
        <v>501</v>
      </c>
      <c r="DJ177" s="135">
        <f>DJ$3</f>
        <v>46212</v>
      </c>
      <c r="DK177" s="136" t="s">
        <v>501</v>
      </c>
      <c r="DL177" s="137" t="s">
        <v>501</v>
      </c>
      <c r="DM177" s="135">
        <f>DM$3</f>
        <v>46213</v>
      </c>
      <c r="DN177" s="136" t="s">
        <v>501</v>
      </c>
      <c r="DO177" s="137" t="s">
        <v>501</v>
      </c>
      <c r="DP177" s="135">
        <f>DP$3</f>
        <v>46214</v>
      </c>
      <c r="DQ177" s="136" t="s">
        <v>501</v>
      </c>
      <c r="DR177" s="137" t="s">
        <v>501</v>
      </c>
    </row>
    <row r="178" spans="1:122" outlineLevel="1">
      <c r="A178" s="122" t="str">
        <f>$A$175</f>
        <v>Trần Văn Toản</v>
      </c>
      <c r="B178" s="82" t="s">
        <v>678</v>
      </c>
      <c r="C178" s="81" t="str">
        <f>IF($B178="","",INDEX('Bảng 3'!C:C,MATCH($B178,'Bảng 3'!$A:$A,0)))</f>
        <v>Quản lý BIM</v>
      </c>
      <c r="D178" s="81" t="str">
        <f>IF($B178="","",INDEX('Bảng 3'!D:D,MATCH($B178,'Bảng 3'!$A:$A,0)))</f>
        <v>B.DSHNQN.STA</v>
      </c>
      <c r="E178" s="81" t="str">
        <f>IF($B178="","",INDEX('Bảng 3'!E:E,MATCH($B178,'Bảng 3'!$A:$A,0)))</f>
        <v>Nhà ga Hạ Long Xanh</v>
      </c>
      <c r="F178" s="81" t="str">
        <f>IF($B178="","",INDEX('Bảng 3'!F:F,MATCH($B178,'Bảng 3'!$A:$A,0)))</f>
        <v>KT</v>
      </c>
      <c r="G178" s="81" t="str">
        <f>IF($B178="","",INDEX('Bảng 3'!G:G,MATCH($B178,'Bảng 3'!$A:$A,0)))</f>
        <v>Tạo lập mô hình BIM</v>
      </c>
      <c r="H178" s="121"/>
      <c r="I178" s="135"/>
      <c r="J178" s="135">
        <f>J$3</f>
        <v>46174</v>
      </c>
      <c r="K178" s="148" t="s">
        <v>501</v>
      </c>
      <c r="L178" s="168" t="s">
        <v>501</v>
      </c>
      <c r="M178" s="135">
        <f>M$3</f>
        <v>46175</v>
      </c>
      <c r="N178" s="148" t="s">
        <v>501</v>
      </c>
      <c r="O178" s="137" t="s">
        <v>501</v>
      </c>
      <c r="P178" s="135">
        <f>P$3</f>
        <v>46176</v>
      </c>
      <c r="Q178" s="136" t="s">
        <v>501</v>
      </c>
      <c r="R178" s="137" t="s">
        <v>501</v>
      </c>
      <c r="S178" s="135">
        <f>S$3</f>
        <v>46177</v>
      </c>
      <c r="T178" s="136" t="s">
        <v>501</v>
      </c>
      <c r="U178" s="137" t="s">
        <v>501</v>
      </c>
      <c r="V178" s="135">
        <f>V$3</f>
        <v>46178</v>
      </c>
      <c r="W178" s="136" t="s">
        <v>501</v>
      </c>
      <c r="X178" s="137" t="s">
        <v>501</v>
      </c>
      <c r="Y178" s="135">
        <f>Y$3</f>
        <v>46179</v>
      </c>
      <c r="Z178" s="136" t="s">
        <v>501</v>
      </c>
      <c r="AA178" s="137" t="s">
        <v>501</v>
      </c>
      <c r="AB178" s="135"/>
      <c r="AC178" s="135">
        <f>AC$3</f>
        <v>46181</v>
      </c>
      <c r="AD178" s="136" t="s">
        <v>501</v>
      </c>
      <c r="AE178" s="137" t="s">
        <v>501</v>
      </c>
      <c r="AF178" s="135">
        <f>AF$3</f>
        <v>46182</v>
      </c>
      <c r="AG178" s="136" t="s">
        <v>501</v>
      </c>
      <c r="AH178" s="137" t="s">
        <v>501</v>
      </c>
      <c r="AI178" s="135">
        <f>AI$3</f>
        <v>46183</v>
      </c>
      <c r="AJ178" s="136" t="s">
        <v>501</v>
      </c>
      <c r="AK178" s="137" t="s">
        <v>501</v>
      </c>
      <c r="AL178" s="135">
        <f>AL$3</f>
        <v>46184</v>
      </c>
      <c r="AM178" s="136" t="s">
        <v>501</v>
      </c>
      <c r="AN178" s="137" t="s">
        <v>501</v>
      </c>
      <c r="AO178" s="135">
        <f>AO$3</f>
        <v>46185</v>
      </c>
      <c r="AP178" s="136" t="s">
        <v>501</v>
      </c>
      <c r="AQ178" s="137" t="s">
        <v>501</v>
      </c>
      <c r="AR178" s="135">
        <f>AR$3</f>
        <v>46186</v>
      </c>
      <c r="AS178" s="136" t="s">
        <v>501</v>
      </c>
      <c r="AT178" s="137" t="s">
        <v>501</v>
      </c>
      <c r="AU178" s="135"/>
      <c r="AV178" s="135">
        <f>AV$3</f>
        <v>46188</v>
      </c>
      <c r="AW178" s="148" t="s">
        <v>501</v>
      </c>
      <c r="AX178" s="137" t="s">
        <v>501</v>
      </c>
      <c r="AY178" s="135">
        <f>AY$3</f>
        <v>46189</v>
      </c>
      <c r="AZ178" s="136" t="s">
        <v>501</v>
      </c>
      <c r="BA178" s="137" t="s">
        <v>501</v>
      </c>
      <c r="BB178" s="135">
        <f>BB$3</f>
        <v>46190</v>
      </c>
      <c r="BC178" s="136" t="s">
        <v>501</v>
      </c>
      <c r="BD178" s="137" t="s">
        <v>501</v>
      </c>
      <c r="BE178" s="135">
        <f>BE$3</f>
        <v>46191</v>
      </c>
      <c r="BF178" s="136" t="s">
        <v>501</v>
      </c>
      <c r="BG178" s="137" t="s">
        <v>501</v>
      </c>
      <c r="BH178" s="135">
        <f>BH$3</f>
        <v>46192</v>
      </c>
      <c r="BI178" s="136" t="s">
        <v>501</v>
      </c>
      <c r="BJ178" s="137" t="s">
        <v>501</v>
      </c>
      <c r="BK178" s="135">
        <f>BK$3</f>
        <v>46193</v>
      </c>
      <c r="BL178" s="136" t="s">
        <v>501</v>
      </c>
      <c r="BM178" s="137" t="s">
        <v>501</v>
      </c>
      <c r="BN178" s="135"/>
      <c r="BO178" s="135">
        <f>BO$3</f>
        <v>46195</v>
      </c>
      <c r="BP178" s="136" t="s">
        <v>501</v>
      </c>
      <c r="BQ178" s="137" t="s">
        <v>501</v>
      </c>
      <c r="BR178" s="135">
        <f>BR$3</f>
        <v>46196</v>
      </c>
      <c r="BS178" s="136" t="s">
        <v>501</v>
      </c>
      <c r="BT178" s="137" t="s">
        <v>501</v>
      </c>
      <c r="BU178" s="135">
        <f>BU$3</f>
        <v>46197</v>
      </c>
      <c r="BV178" s="136" t="s">
        <v>501</v>
      </c>
      <c r="BW178" s="137" t="s">
        <v>501</v>
      </c>
      <c r="BX178" s="135">
        <f>BX$3</f>
        <v>46198</v>
      </c>
      <c r="BY178" s="136" t="s">
        <v>501</v>
      </c>
      <c r="BZ178" s="137" t="s">
        <v>501</v>
      </c>
      <c r="CA178" s="135">
        <f>CA$3</f>
        <v>46199</v>
      </c>
      <c r="CB178" s="136" t="s">
        <v>501</v>
      </c>
      <c r="CC178" s="137" t="s">
        <v>501</v>
      </c>
      <c r="CD178" s="135">
        <f>CD$3</f>
        <v>46200</v>
      </c>
      <c r="CE178" s="136" t="s">
        <v>501</v>
      </c>
      <c r="CF178" s="137" t="s">
        <v>501</v>
      </c>
      <c r="CG178" s="135"/>
      <c r="CH178" s="135">
        <f>CH$3</f>
        <v>46202</v>
      </c>
      <c r="CI178" s="148" t="s">
        <v>501</v>
      </c>
      <c r="CJ178" s="137" t="s">
        <v>501</v>
      </c>
      <c r="CK178" s="135">
        <f>CK$3</f>
        <v>46203</v>
      </c>
      <c r="CL178" s="136" t="s">
        <v>501</v>
      </c>
      <c r="CM178" s="137" t="s">
        <v>501</v>
      </c>
      <c r="CN178" s="135">
        <f>CN$3</f>
        <v>46204</v>
      </c>
      <c r="CO178" s="136" t="s">
        <v>501</v>
      </c>
      <c r="CP178" s="137" t="s">
        <v>501</v>
      </c>
      <c r="CQ178" s="135">
        <f>CQ$3</f>
        <v>46205</v>
      </c>
      <c r="CR178" s="136" t="s">
        <v>501</v>
      </c>
      <c r="CS178" s="137" t="s">
        <v>501</v>
      </c>
      <c r="CT178" s="135">
        <f>CT$3</f>
        <v>46206</v>
      </c>
      <c r="CU178" s="136" t="s">
        <v>501</v>
      </c>
      <c r="CV178" s="137" t="s">
        <v>501</v>
      </c>
      <c r="CW178" s="135">
        <f>CW$3</f>
        <v>46207</v>
      </c>
      <c r="CX178" s="136" t="s">
        <v>501</v>
      </c>
      <c r="CY178" s="137" t="s">
        <v>501</v>
      </c>
      <c r="CZ178" s="135"/>
      <c r="DA178" s="135">
        <f>DA$3</f>
        <v>46209</v>
      </c>
      <c r="DB178" s="136" t="s">
        <v>501</v>
      </c>
      <c r="DC178" s="137" t="s">
        <v>501</v>
      </c>
      <c r="DD178" s="135">
        <f>DD$3</f>
        <v>46210</v>
      </c>
      <c r="DE178" s="136" t="s">
        <v>501</v>
      </c>
      <c r="DF178" s="137" t="s">
        <v>501</v>
      </c>
      <c r="DG178" s="135">
        <f>DG$3</f>
        <v>46211</v>
      </c>
      <c r="DH178" s="136" t="s">
        <v>501</v>
      </c>
      <c r="DI178" s="137" t="s">
        <v>501</v>
      </c>
      <c r="DJ178" s="135">
        <f>DJ$3</f>
        <v>46212</v>
      </c>
      <c r="DK178" s="136" t="s">
        <v>501</v>
      </c>
      <c r="DL178" s="137" t="s">
        <v>501</v>
      </c>
      <c r="DM178" s="135">
        <f>DM$3</f>
        <v>46213</v>
      </c>
      <c r="DN178" s="136" t="s">
        <v>501</v>
      </c>
      <c r="DO178" s="137" t="s">
        <v>501</v>
      </c>
      <c r="DP178" s="135">
        <f>DP$3</f>
        <v>46214</v>
      </c>
      <c r="DQ178" s="136" t="s">
        <v>501</v>
      </c>
      <c r="DR178" s="137" t="s">
        <v>501</v>
      </c>
    </row>
    <row r="179" spans="1:122" outlineLevel="1">
      <c r="A179" s="122" t="str">
        <f>$A$175</f>
        <v>Trần Văn Toản</v>
      </c>
      <c r="B179" s="82" t="s">
        <v>679</v>
      </c>
      <c r="C179" s="81" t="str">
        <f>IF($B179="","",INDEX('Bảng 3'!C:C,MATCH($B179,'Bảng 3'!$A:$A,0)))</f>
        <v>Quản lý BIM</v>
      </c>
      <c r="D179" s="81" t="str">
        <f>IF($B179="","",INDEX('Bảng 3'!D:D,MATCH($B179,'Bảng 3'!$A:$A,0)))</f>
        <v>B.DSHNQN.STA</v>
      </c>
      <c r="E179" s="81" t="str">
        <f>IF($B179="","",INDEX('Bảng 3'!E:E,MATCH($B179,'Bảng 3'!$A:$A,0)))</f>
        <v>Nhà ga Hạ Long Xanh</v>
      </c>
      <c r="F179" s="81" t="str">
        <f>IF($B179="","",INDEX('Bảng 3'!F:F,MATCH($B179,'Bảng 3'!$A:$A,0)))</f>
        <v>KC</v>
      </c>
      <c r="G179" s="81" t="str">
        <f>IF($B179="","",INDEX('Bảng 3'!G:G,MATCH($B179,'Bảng 3'!$A:$A,0)))</f>
        <v>KSCL mô hình BIM</v>
      </c>
      <c r="H179" s="121"/>
      <c r="I179" s="135"/>
      <c r="J179" s="135">
        <f>J$3</f>
        <v>46174</v>
      </c>
      <c r="K179" s="148" t="s">
        <v>501</v>
      </c>
      <c r="L179" s="168" t="s">
        <v>501</v>
      </c>
      <c r="M179" s="135">
        <f>M$3</f>
        <v>46175</v>
      </c>
      <c r="N179" s="148" t="s">
        <v>501</v>
      </c>
      <c r="O179" s="137" t="s">
        <v>501</v>
      </c>
      <c r="P179" s="135">
        <f>P$3</f>
        <v>46176</v>
      </c>
      <c r="Q179" s="136" t="s">
        <v>501</v>
      </c>
      <c r="R179" s="137" t="s">
        <v>501</v>
      </c>
      <c r="S179" s="135">
        <f>S$3</f>
        <v>46177</v>
      </c>
      <c r="T179" s="136" t="s">
        <v>501</v>
      </c>
      <c r="U179" s="137" t="s">
        <v>501</v>
      </c>
      <c r="V179" s="135">
        <f>V$3</f>
        <v>46178</v>
      </c>
      <c r="W179" s="136" t="s">
        <v>501</v>
      </c>
      <c r="X179" s="137" t="s">
        <v>501</v>
      </c>
      <c r="Y179" s="135">
        <f>Y$3</f>
        <v>46179</v>
      </c>
      <c r="Z179" s="136" t="s">
        <v>501</v>
      </c>
      <c r="AA179" s="137" t="s">
        <v>501</v>
      </c>
      <c r="AB179" s="135"/>
      <c r="AC179" s="135">
        <f>AC$3</f>
        <v>46181</v>
      </c>
      <c r="AD179" s="136" t="s">
        <v>501</v>
      </c>
      <c r="AE179" s="137" t="s">
        <v>501</v>
      </c>
      <c r="AF179" s="135">
        <f>AF$3</f>
        <v>46182</v>
      </c>
      <c r="AG179" s="136" t="s">
        <v>501</v>
      </c>
      <c r="AH179" s="137" t="s">
        <v>501</v>
      </c>
      <c r="AI179" s="135">
        <f>AI$3</f>
        <v>46183</v>
      </c>
      <c r="AJ179" s="136" t="s">
        <v>501</v>
      </c>
      <c r="AK179" s="137" t="s">
        <v>501</v>
      </c>
      <c r="AL179" s="135">
        <f>AL$3</f>
        <v>46184</v>
      </c>
      <c r="AM179" s="136" t="s">
        <v>501</v>
      </c>
      <c r="AN179" s="137" t="s">
        <v>501</v>
      </c>
      <c r="AO179" s="135">
        <f>AO$3</f>
        <v>46185</v>
      </c>
      <c r="AP179" s="136" t="s">
        <v>501</v>
      </c>
      <c r="AQ179" s="137" t="s">
        <v>501</v>
      </c>
      <c r="AR179" s="135">
        <f>AR$3</f>
        <v>46186</v>
      </c>
      <c r="AS179" s="136" t="s">
        <v>501</v>
      </c>
      <c r="AT179" s="137" t="s">
        <v>501</v>
      </c>
      <c r="AU179" s="135"/>
      <c r="AV179" s="135">
        <f>AV$3</f>
        <v>46188</v>
      </c>
      <c r="AW179" s="148" t="s">
        <v>501</v>
      </c>
      <c r="AX179" s="137" t="s">
        <v>501</v>
      </c>
      <c r="AY179" s="135">
        <f>AY$3</f>
        <v>46189</v>
      </c>
      <c r="AZ179" s="136" t="s">
        <v>501</v>
      </c>
      <c r="BA179" s="137" t="s">
        <v>501</v>
      </c>
      <c r="BB179" s="135">
        <f>BB$3</f>
        <v>46190</v>
      </c>
      <c r="BC179" s="136" t="s">
        <v>501</v>
      </c>
      <c r="BD179" s="137" t="s">
        <v>501</v>
      </c>
      <c r="BE179" s="135">
        <f>BE$3</f>
        <v>46191</v>
      </c>
      <c r="BF179" s="136" t="s">
        <v>501</v>
      </c>
      <c r="BG179" s="137" t="s">
        <v>501</v>
      </c>
      <c r="BH179" s="135">
        <f>BH$3</f>
        <v>46192</v>
      </c>
      <c r="BI179" s="136" t="s">
        <v>501</v>
      </c>
      <c r="BJ179" s="137" t="s">
        <v>501</v>
      </c>
      <c r="BK179" s="135">
        <f>BK$3</f>
        <v>46193</v>
      </c>
      <c r="BL179" s="136" t="s">
        <v>501</v>
      </c>
      <c r="BM179" s="137" t="s">
        <v>501</v>
      </c>
      <c r="BN179" s="135"/>
      <c r="BO179" s="135">
        <f>BO$3</f>
        <v>46195</v>
      </c>
      <c r="BP179" s="136" t="s">
        <v>501</v>
      </c>
      <c r="BQ179" s="137" t="s">
        <v>501</v>
      </c>
      <c r="BR179" s="135">
        <f>BR$3</f>
        <v>46196</v>
      </c>
      <c r="BS179" s="136" t="s">
        <v>501</v>
      </c>
      <c r="BT179" s="137" t="s">
        <v>501</v>
      </c>
      <c r="BU179" s="135">
        <f>BU$3</f>
        <v>46197</v>
      </c>
      <c r="BV179" s="136" t="s">
        <v>501</v>
      </c>
      <c r="BW179" s="137" t="s">
        <v>501</v>
      </c>
      <c r="BX179" s="135">
        <f>BX$3</f>
        <v>46198</v>
      </c>
      <c r="BY179" s="136" t="s">
        <v>501</v>
      </c>
      <c r="BZ179" s="137" t="s">
        <v>501</v>
      </c>
      <c r="CA179" s="135">
        <f>CA$3</f>
        <v>46199</v>
      </c>
      <c r="CB179" s="136" t="s">
        <v>501</v>
      </c>
      <c r="CC179" s="137" t="s">
        <v>501</v>
      </c>
      <c r="CD179" s="135">
        <f>CD$3</f>
        <v>46200</v>
      </c>
      <c r="CE179" s="136" t="s">
        <v>501</v>
      </c>
      <c r="CF179" s="137" t="s">
        <v>501</v>
      </c>
      <c r="CG179" s="135"/>
      <c r="CH179" s="135">
        <f>CH$3</f>
        <v>46202</v>
      </c>
      <c r="CI179" s="148" t="s">
        <v>501</v>
      </c>
      <c r="CJ179" s="137" t="s">
        <v>501</v>
      </c>
      <c r="CK179" s="135">
        <f>CK$3</f>
        <v>46203</v>
      </c>
      <c r="CL179" s="136" t="s">
        <v>501</v>
      </c>
      <c r="CM179" s="137" t="s">
        <v>501</v>
      </c>
      <c r="CN179" s="135">
        <f>CN$3</f>
        <v>46204</v>
      </c>
      <c r="CO179" s="136" t="s">
        <v>501</v>
      </c>
      <c r="CP179" s="137" t="s">
        <v>501</v>
      </c>
      <c r="CQ179" s="135">
        <f>CQ$3</f>
        <v>46205</v>
      </c>
      <c r="CR179" s="136" t="s">
        <v>501</v>
      </c>
      <c r="CS179" s="137" t="s">
        <v>501</v>
      </c>
      <c r="CT179" s="135">
        <f>CT$3</f>
        <v>46206</v>
      </c>
      <c r="CU179" s="136" t="s">
        <v>501</v>
      </c>
      <c r="CV179" s="137" t="s">
        <v>501</v>
      </c>
      <c r="CW179" s="135">
        <f>CW$3</f>
        <v>46207</v>
      </c>
      <c r="CX179" s="136" t="s">
        <v>501</v>
      </c>
      <c r="CY179" s="137" t="s">
        <v>501</v>
      </c>
      <c r="CZ179" s="135"/>
      <c r="DA179" s="135">
        <f>DA$3</f>
        <v>46209</v>
      </c>
      <c r="DB179" s="136" t="s">
        <v>501</v>
      </c>
      <c r="DC179" s="137" t="s">
        <v>501</v>
      </c>
      <c r="DD179" s="135">
        <f>DD$3</f>
        <v>46210</v>
      </c>
      <c r="DE179" s="136" t="s">
        <v>501</v>
      </c>
      <c r="DF179" s="137" t="s">
        <v>501</v>
      </c>
      <c r="DG179" s="135">
        <f>DG$3</f>
        <v>46211</v>
      </c>
      <c r="DH179" s="136" t="s">
        <v>501</v>
      </c>
      <c r="DI179" s="137" t="s">
        <v>501</v>
      </c>
      <c r="DJ179" s="135">
        <f>DJ$3</f>
        <v>46212</v>
      </c>
      <c r="DK179" s="136" t="s">
        <v>501</v>
      </c>
      <c r="DL179" s="137" t="s">
        <v>501</v>
      </c>
      <c r="DM179" s="135">
        <f>DM$3</f>
        <v>46213</v>
      </c>
      <c r="DN179" s="136" t="s">
        <v>501</v>
      </c>
      <c r="DO179" s="137" t="s">
        <v>501</v>
      </c>
      <c r="DP179" s="135">
        <f>DP$3</f>
        <v>46214</v>
      </c>
      <c r="DQ179" s="136" t="s">
        <v>501</v>
      </c>
      <c r="DR179" s="137" t="s">
        <v>501</v>
      </c>
    </row>
    <row r="180" spans="1:122" outlineLevel="1">
      <c r="A180" s="122" t="str">
        <f>$A$175</f>
        <v>Trần Văn Toản</v>
      </c>
      <c r="B180" s="82" t="s">
        <v>680</v>
      </c>
      <c r="C180" s="81" t="str">
        <f>IF($B180="","",INDEX('Bảng 3'!C:C,MATCH($B180,'Bảng 3'!$A:$A,0)))</f>
        <v>Quản lý BIM</v>
      </c>
      <c r="D180" s="81" t="str">
        <f>IF($B180="","",INDEX('Bảng 3'!D:D,MATCH($B180,'Bảng 3'!$A:$A,0)))</f>
        <v>B.DSHNQN.STA</v>
      </c>
      <c r="E180" s="81" t="str">
        <f>IF($B180="","",INDEX('Bảng 3'!E:E,MATCH($B180,'Bảng 3'!$A:$A,0)))</f>
        <v>Nhà ga Ninh Xá</v>
      </c>
      <c r="F180" s="81" t="str">
        <f>IF($B180="","",INDEX('Bảng 3'!F:F,MATCH($B180,'Bảng 3'!$A:$A,0)))</f>
        <v>KT</v>
      </c>
      <c r="G180" s="81" t="str">
        <f>IF($B180="","",INDEX('Bảng 3'!G:G,MATCH($B180,'Bảng 3'!$A:$A,0)))</f>
        <v>Tạo lập mô hình BIM</v>
      </c>
      <c r="H180" s="121"/>
      <c r="I180" s="135"/>
      <c r="J180" s="135">
        <f>J$3</f>
        <v>46174</v>
      </c>
      <c r="K180" s="148" t="s">
        <v>501</v>
      </c>
      <c r="L180" s="168" t="s">
        <v>501</v>
      </c>
      <c r="M180" s="135">
        <f>M$3</f>
        <v>46175</v>
      </c>
      <c r="N180" s="148" t="s">
        <v>501</v>
      </c>
      <c r="O180" s="137" t="s">
        <v>501</v>
      </c>
      <c r="P180" s="135">
        <f>P$3</f>
        <v>46176</v>
      </c>
      <c r="Q180" s="136" t="s">
        <v>501</v>
      </c>
      <c r="R180" s="137" t="s">
        <v>501</v>
      </c>
      <c r="S180" s="135">
        <f>S$3</f>
        <v>46177</v>
      </c>
      <c r="T180" s="136" t="s">
        <v>501</v>
      </c>
      <c r="U180" s="137" t="s">
        <v>501</v>
      </c>
      <c r="V180" s="135">
        <f>V$3</f>
        <v>46178</v>
      </c>
      <c r="W180" s="136" t="s">
        <v>501</v>
      </c>
      <c r="X180" s="137" t="s">
        <v>501</v>
      </c>
      <c r="Y180" s="135">
        <f>Y$3</f>
        <v>46179</v>
      </c>
      <c r="Z180" s="136" t="s">
        <v>501</v>
      </c>
      <c r="AA180" s="137" t="s">
        <v>501</v>
      </c>
      <c r="AB180" s="135"/>
      <c r="AC180" s="135">
        <f>AC$3</f>
        <v>46181</v>
      </c>
      <c r="AD180" s="136" t="s">
        <v>501</v>
      </c>
      <c r="AE180" s="137" t="s">
        <v>501</v>
      </c>
      <c r="AF180" s="135">
        <f>AF$3</f>
        <v>46182</v>
      </c>
      <c r="AG180" s="136" t="s">
        <v>501</v>
      </c>
      <c r="AH180" s="137" t="s">
        <v>501</v>
      </c>
      <c r="AI180" s="135">
        <f>AI$3</f>
        <v>46183</v>
      </c>
      <c r="AJ180" s="136" t="s">
        <v>501</v>
      </c>
      <c r="AK180" s="137" t="s">
        <v>501</v>
      </c>
      <c r="AL180" s="135">
        <f>AL$3</f>
        <v>46184</v>
      </c>
      <c r="AM180" s="136" t="s">
        <v>501</v>
      </c>
      <c r="AN180" s="137" t="s">
        <v>501</v>
      </c>
      <c r="AO180" s="135">
        <f>AO$3</f>
        <v>46185</v>
      </c>
      <c r="AP180" s="136" t="s">
        <v>501</v>
      </c>
      <c r="AQ180" s="137" t="s">
        <v>501</v>
      </c>
      <c r="AR180" s="135">
        <f>AR$3</f>
        <v>46186</v>
      </c>
      <c r="AS180" s="136" t="s">
        <v>501</v>
      </c>
      <c r="AT180" s="137" t="s">
        <v>501</v>
      </c>
      <c r="AU180" s="135"/>
      <c r="AV180" s="135">
        <f>AV$3</f>
        <v>46188</v>
      </c>
      <c r="AW180" s="148" t="s">
        <v>501</v>
      </c>
      <c r="AX180" s="137" t="s">
        <v>501</v>
      </c>
      <c r="AY180" s="135">
        <f>AY$3</f>
        <v>46189</v>
      </c>
      <c r="AZ180" s="136" t="s">
        <v>501</v>
      </c>
      <c r="BA180" s="137" t="s">
        <v>501</v>
      </c>
      <c r="BB180" s="135">
        <f>BB$3</f>
        <v>46190</v>
      </c>
      <c r="BC180" s="136" t="s">
        <v>501</v>
      </c>
      <c r="BD180" s="137" t="s">
        <v>501</v>
      </c>
      <c r="BE180" s="135">
        <f>BE$3</f>
        <v>46191</v>
      </c>
      <c r="BF180" s="136" t="s">
        <v>501</v>
      </c>
      <c r="BG180" s="137" t="s">
        <v>501</v>
      </c>
      <c r="BH180" s="135">
        <f>BH$3</f>
        <v>46192</v>
      </c>
      <c r="BI180" s="136" t="s">
        <v>501</v>
      </c>
      <c r="BJ180" s="137" t="s">
        <v>501</v>
      </c>
      <c r="BK180" s="135">
        <f>BK$3</f>
        <v>46193</v>
      </c>
      <c r="BL180" s="136" t="s">
        <v>501</v>
      </c>
      <c r="BM180" s="137" t="s">
        <v>501</v>
      </c>
      <c r="BN180" s="135"/>
      <c r="BO180" s="135">
        <f>BO$3</f>
        <v>46195</v>
      </c>
      <c r="BP180" s="136" t="s">
        <v>501</v>
      </c>
      <c r="BQ180" s="137" t="s">
        <v>501</v>
      </c>
      <c r="BR180" s="135">
        <f>BR$3</f>
        <v>46196</v>
      </c>
      <c r="BS180" s="136" t="s">
        <v>501</v>
      </c>
      <c r="BT180" s="137" t="s">
        <v>501</v>
      </c>
      <c r="BU180" s="135">
        <f>BU$3</f>
        <v>46197</v>
      </c>
      <c r="BV180" s="136" t="s">
        <v>501</v>
      </c>
      <c r="BW180" s="137" t="s">
        <v>501</v>
      </c>
      <c r="BX180" s="135">
        <f>BX$3</f>
        <v>46198</v>
      </c>
      <c r="BY180" s="136" t="s">
        <v>501</v>
      </c>
      <c r="BZ180" s="137" t="s">
        <v>501</v>
      </c>
      <c r="CA180" s="135">
        <f>CA$3</f>
        <v>46199</v>
      </c>
      <c r="CB180" s="136" t="s">
        <v>501</v>
      </c>
      <c r="CC180" s="137" t="s">
        <v>501</v>
      </c>
      <c r="CD180" s="135">
        <f>CD$3</f>
        <v>46200</v>
      </c>
      <c r="CE180" s="136" t="s">
        <v>501</v>
      </c>
      <c r="CF180" s="137" t="s">
        <v>501</v>
      </c>
      <c r="CG180" s="135"/>
      <c r="CH180" s="135">
        <f>CH$3</f>
        <v>46202</v>
      </c>
      <c r="CI180" s="148" t="s">
        <v>501</v>
      </c>
      <c r="CJ180" s="137" t="s">
        <v>501</v>
      </c>
      <c r="CK180" s="135">
        <f>CK$3</f>
        <v>46203</v>
      </c>
      <c r="CL180" s="136" t="s">
        <v>501</v>
      </c>
      <c r="CM180" s="137" t="s">
        <v>501</v>
      </c>
      <c r="CN180" s="135">
        <f>CN$3</f>
        <v>46204</v>
      </c>
      <c r="CO180" s="136" t="s">
        <v>501</v>
      </c>
      <c r="CP180" s="137" t="s">
        <v>501</v>
      </c>
      <c r="CQ180" s="135">
        <f>CQ$3</f>
        <v>46205</v>
      </c>
      <c r="CR180" s="136" t="s">
        <v>501</v>
      </c>
      <c r="CS180" s="137" t="s">
        <v>501</v>
      </c>
      <c r="CT180" s="135">
        <f>CT$3</f>
        <v>46206</v>
      </c>
      <c r="CU180" s="136" t="s">
        <v>501</v>
      </c>
      <c r="CV180" s="137" t="s">
        <v>501</v>
      </c>
      <c r="CW180" s="135">
        <f>CW$3</f>
        <v>46207</v>
      </c>
      <c r="CX180" s="136" t="s">
        <v>501</v>
      </c>
      <c r="CY180" s="137" t="s">
        <v>501</v>
      </c>
      <c r="CZ180" s="135"/>
      <c r="DA180" s="135">
        <f>DA$3</f>
        <v>46209</v>
      </c>
      <c r="DB180" s="136" t="s">
        <v>501</v>
      </c>
      <c r="DC180" s="137" t="s">
        <v>501</v>
      </c>
      <c r="DD180" s="135">
        <f>DD$3</f>
        <v>46210</v>
      </c>
      <c r="DE180" s="136" t="s">
        <v>501</v>
      </c>
      <c r="DF180" s="137" t="s">
        <v>501</v>
      </c>
      <c r="DG180" s="135">
        <f>DG$3</f>
        <v>46211</v>
      </c>
      <c r="DH180" s="136" t="s">
        <v>501</v>
      </c>
      <c r="DI180" s="137" t="s">
        <v>501</v>
      </c>
      <c r="DJ180" s="135">
        <f>DJ$3</f>
        <v>46212</v>
      </c>
      <c r="DK180" s="136" t="s">
        <v>501</v>
      </c>
      <c r="DL180" s="137" t="s">
        <v>501</v>
      </c>
      <c r="DM180" s="135">
        <f>DM$3</f>
        <v>46213</v>
      </c>
      <c r="DN180" s="136" t="s">
        <v>501</v>
      </c>
      <c r="DO180" s="137" t="s">
        <v>501</v>
      </c>
      <c r="DP180" s="135">
        <f>DP$3</f>
        <v>46214</v>
      </c>
      <c r="DQ180" s="136" t="s">
        <v>501</v>
      </c>
      <c r="DR180" s="137" t="s">
        <v>501</v>
      </c>
    </row>
    <row r="181" spans="1:122" outlineLevel="1">
      <c r="A181" s="122" t="str">
        <f>$A$175</f>
        <v>Trần Văn Toản</v>
      </c>
      <c r="B181" s="82" t="s">
        <v>681</v>
      </c>
      <c r="C181" s="81" t="str">
        <f>IF($B181="","",INDEX('Bảng 3'!C:C,MATCH($B181,'Bảng 3'!$A:$A,0)))</f>
        <v>Quản lý BIM</v>
      </c>
      <c r="D181" s="81" t="str">
        <f>IF($B181="","",INDEX('Bảng 3'!D:D,MATCH($B181,'Bảng 3'!$A:$A,0)))</f>
        <v>B.DSHNQN.STA</v>
      </c>
      <c r="E181" s="81" t="str">
        <f>IF($B181="","",INDEX('Bảng 3'!E:E,MATCH($B181,'Bảng 3'!$A:$A,0)))</f>
        <v>Nhà ga Ninh Xá</v>
      </c>
      <c r="F181" s="81" t="str">
        <f>IF($B181="","",INDEX('Bảng 3'!F:F,MATCH($B181,'Bảng 3'!$A:$A,0)))</f>
        <v>KC</v>
      </c>
      <c r="G181" s="81" t="str">
        <f>IF($B181="","",INDEX('Bảng 3'!G:G,MATCH($B181,'Bảng 3'!$A:$A,0)))</f>
        <v>KSCL mô hình BIM</v>
      </c>
      <c r="H181" s="121"/>
      <c r="I181" s="135"/>
      <c r="J181" s="135">
        <f>J$3</f>
        <v>46174</v>
      </c>
      <c r="K181" s="148" t="s">
        <v>501</v>
      </c>
      <c r="L181" s="168" t="s">
        <v>501</v>
      </c>
      <c r="M181" s="135">
        <f>M$3</f>
        <v>46175</v>
      </c>
      <c r="N181" s="279" t="s">
        <v>501</v>
      </c>
      <c r="O181" s="137" t="s">
        <v>501</v>
      </c>
      <c r="P181" s="135">
        <f>P$3</f>
        <v>46176</v>
      </c>
      <c r="Q181" s="136" t="s">
        <v>501</v>
      </c>
      <c r="R181" s="137" t="s">
        <v>501</v>
      </c>
      <c r="S181" s="135">
        <f>S$3</f>
        <v>46177</v>
      </c>
      <c r="T181" s="136" t="s">
        <v>501</v>
      </c>
      <c r="U181" s="137" t="s">
        <v>501</v>
      </c>
      <c r="V181" s="135">
        <f>V$3</f>
        <v>46178</v>
      </c>
      <c r="W181" s="136" t="s">
        <v>501</v>
      </c>
      <c r="X181" s="137" t="s">
        <v>501</v>
      </c>
      <c r="Y181" s="135">
        <f>Y$3</f>
        <v>46179</v>
      </c>
      <c r="Z181" s="136" t="s">
        <v>501</v>
      </c>
      <c r="AA181" s="137" t="s">
        <v>501</v>
      </c>
      <c r="AB181" s="135"/>
      <c r="AC181" s="135">
        <f>AC$3</f>
        <v>46181</v>
      </c>
      <c r="AD181" s="136" t="s">
        <v>501</v>
      </c>
      <c r="AE181" s="137" t="s">
        <v>501</v>
      </c>
      <c r="AF181" s="135">
        <f>AF$3</f>
        <v>46182</v>
      </c>
      <c r="AG181" s="136" t="s">
        <v>501</v>
      </c>
      <c r="AH181" s="137" t="s">
        <v>501</v>
      </c>
      <c r="AI181" s="135">
        <f>AI$3</f>
        <v>46183</v>
      </c>
      <c r="AJ181" s="136" t="s">
        <v>501</v>
      </c>
      <c r="AK181" s="137" t="s">
        <v>501</v>
      </c>
      <c r="AL181" s="135">
        <f>AL$3</f>
        <v>46184</v>
      </c>
      <c r="AM181" s="136" t="s">
        <v>501</v>
      </c>
      <c r="AN181" s="137" t="s">
        <v>501</v>
      </c>
      <c r="AO181" s="135">
        <f>AO$3</f>
        <v>46185</v>
      </c>
      <c r="AP181" s="136" t="s">
        <v>501</v>
      </c>
      <c r="AQ181" s="137" t="s">
        <v>501</v>
      </c>
      <c r="AR181" s="135">
        <f>AR$3</f>
        <v>46186</v>
      </c>
      <c r="AS181" s="136" t="s">
        <v>501</v>
      </c>
      <c r="AT181" s="137" t="s">
        <v>501</v>
      </c>
      <c r="AU181" s="135"/>
      <c r="AV181" s="135">
        <f>AV$3</f>
        <v>46188</v>
      </c>
      <c r="AW181" s="148" t="s">
        <v>501</v>
      </c>
      <c r="AX181" s="137" t="s">
        <v>501</v>
      </c>
      <c r="AY181" s="135">
        <f>AY$3</f>
        <v>46189</v>
      </c>
      <c r="AZ181" s="136" t="s">
        <v>501</v>
      </c>
      <c r="BA181" s="137" t="s">
        <v>501</v>
      </c>
      <c r="BB181" s="135">
        <f>BB$3</f>
        <v>46190</v>
      </c>
      <c r="BC181" s="136" t="s">
        <v>501</v>
      </c>
      <c r="BD181" s="137" t="s">
        <v>501</v>
      </c>
      <c r="BE181" s="135">
        <f>BE$3</f>
        <v>46191</v>
      </c>
      <c r="BF181" s="136" t="s">
        <v>501</v>
      </c>
      <c r="BG181" s="137" t="s">
        <v>501</v>
      </c>
      <c r="BH181" s="135">
        <f>BH$3</f>
        <v>46192</v>
      </c>
      <c r="BI181" s="136" t="s">
        <v>501</v>
      </c>
      <c r="BJ181" s="137" t="s">
        <v>501</v>
      </c>
      <c r="BK181" s="135">
        <f>BK$3</f>
        <v>46193</v>
      </c>
      <c r="BL181" s="136" t="s">
        <v>501</v>
      </c>
      <c r="BM181" s="137" t="s">
        <v>501</v>
      </c>
      <c r="BN181" s="135"/>
      <c r="BO181" s="135">
        <f>BO$3</f>
        <v>46195</v>
      </c>
      <c r="BP181" s="136" t="s">
        <v>501</v>
      </c>
      <c r="BQ181" s="137" t="s">
        <v>501</v>
      </c>
      <c r="BR181" s="135">
        <f>BR$3</f>
        <v>46196</v>
      </c>
      <c r="BS181" s="136" t="s">
        <v>501</v>
      </c>
      <c r="BT181" s="137" t="s">
        <v>501</v>
      </c>
      <c r="BU181" s="135">
        <f>BU$3</f>
        <v>46197</v>
      </c>
      <c r="BV181" s="136" t="s">
        <v>501</v>
      </c>
      <c r="BW181" s="137" t="s">
        <v>501</v>
      </c>
      <c r="BX181" s="135">
        <f>BX$3</f>
        <v>46198</v>
      </c>
      <c r="BY181" s="136" t="s">
        <v>501</v>
      </c>
      <c r="BZ181" s="137" t="s">
        <v>501</v>
      </c>
      <c r="CA181" s="135">
        <f>CA$3</f>
        <v>46199</v>
      </c>
      <c r="CB181" s="136" t="s">
        <v>501</v>
      </c>
      <c r="CC181" s="137" t="s">
        <v>501</v>
      </c>
      <c r="CD181" s="135">
        <f>CD$3</f>
        <v>46200</v>
      </c>
      <c r="CE181" s="136" t="s">
        <v>501</v>
      </c>
      <c r="CF181" s="137" t="s">
        <v>501</v>
      </c>
      <c r="CG181" s="135"/>
      <c r="CH181" s="135">
        <f>CH$3</f>
        <v>46202</v>
      </c>
      <c r="CI181" s="148" t="s">
        <v>501</v>
      </c>
      <c r="CJ181" s="137" t="s">
        <v>501</v>
      </c>
      <c r="CK181" s="135">
        <f>CK$3</f>
        <v>46203</v>
      </c>
      <c r="CL181" s="136" t="s">
        <v>501</v>
      </c>
      <c r="CM181" s="137" t="s">
        <v>501</v>
      </c>
      <c r="CN181" s="135">
        <f>CN$3</f>
        <v>46204</v>
      </c>
      <c r="CO181" s="136" t="s">
        <v>501</v>
      </c>
      <c r="CP181" s="137" t="s">
        <v>501</v>
      </c>
      <c r="CQ181" s="135">
        <f>CQ$3</f>
        <v>46205</v>
      </c>
      <c r="CR181" s="136" t="s">
        <v>501</v>
      </c>
      <c r="CS181" s="137" t="s">
        <v>501</v>
      </c>
      <c r="CT181" s="135">
        <f>CT$3</f>
        <v>46206</v>
      </c>
      <c r="CU181" s="136" t="s">
        <v>501</v>
      </c>
      <c r="CV181" s="137" t="s">
        <v>501</v>
      </c>
      <c r="CW181" s="135">
        <f>CW$3</f>
        <v>46207</v>
      </c>
      <c r="CX181" s="136" t="s">
        <v>501</v>
      </c>
      <c r="CY181" s="137" t="s">
        <v>501</v>
      </c>
      <c r="CZ181" s="135"/>
      <c r="DA181" s="135">
        <f>DA$3</f>
        <v>46209</v>
      </c>
      <c r="DB181" s="136" t="s">
        <v>501</v>
      </c>
      <c r="DC181" s="137" t="s">
        <v>501</v>
      </c>
      <c r="DD181" s="135">
        <f>DD$3</f>
        <v>46210</v>
      </c>
      <c r="DE181" s="136" t="s">
        <v>501</v>
      </c>
      <c r="DF181" s="137" t="s">
        <v>501</v>
      </c>
      <c r="DG181" s="135">
        <f>DG$3</f>
        <v>46211</v>
      </c>
      <c r="DH181" s="136" t="s">
        <v>501</v>
      </c>
      <c r="DI181" s="137" t="s">
        <v>501</v>
      </c>
      <c r="DJ181" s="135">
        <f>DJ$3</f>
        <v>46212</v>
      </c>
      <c r="DK181" s="136" t="s">
        <v>501</v>
      </c>
      <c r="DL181" s="137" t="s">
        <v>501</v>
      </c>
      <c r="DM181" s="135">
        <f>DM$3</f>
        <v>46213</v>
      </c>
      <c r="DN181" s="136" t="s">
        <v>501</v>
      </c>
      <c r="DO181" s="137" t="s">
        <v>501</v>
      </c>
      <c r="DP181" s="135">
        <f>DP$3</f>
        <v>46214</v>
      </c>
      <c r="DQ181" s="136" t="s">
        <v>501</v>
      </c>
      <c r="DR181" s="137" t="s">
        <v>501</v>
      </c>
    </row>
    <row r="182" spans="1:122" outlineLevel="1">
      <c r="A182" s="122" t="str">
        <f>$A$175</f>
        <v>Trần Văn Toản</v>
      </c>
      <c r="B182" s="82" t="s">
        <v>682</v>
      </c>
      <c r="C182" s="81" t="str">
        <f>IF($B182="","",INDEX('Bảng 3'!C:C,MATCH($B182,'Bảng 3'!$A:$A,0)))</f>
        <v>Quản lý BIM</v>
      </c>
      <c r="D182" s="81" t="str">
        <f>IF($B182="","",INDEX('Bảng 3'!D:D,MATCH($B182,'Bảng 3'!$A:$A,0)))</f>
        <v>B.HNO.GL.VSC</v>
      </c>
      <c r="E182" s="81" t="str">
        <f>IF($B182="","",INDEX('Bảng 3'!E:E,MATCH($B182,'Bảng 3'!$A:$A,0)))</f>
        <v>Trường PTLC hệ Cambride Lô B5-TH01</v>
      </c>
      <c r="F182" s="81" t="str">
        <f>IF($B182="","",INDEX('Bảng 3'!F:F,MATCH($B182,'Bảng 3'!$A:$A,0)))</f>
        <v>KT</v>
      </c>
      <c r="G182" s="81" t="str">
        <f>IF($B182="","",INDEX('Bảng 3'!G:G,MATCH($B182,'Bảng 3'!$A:$A,0)))</f>
        <v>KSCL mô hình BIM</v>
      </c>
      <c r="H182" s="121"/>
      <c r="I182" s="135"/>
      <c r="J182" s="135">
        <f>J$3</f>
        <v>46174</v>
      </c>
      <c r="K182" s="148" t="s">
        <v>501</v>
      </c>
      <c r="L182" s="168" t="s">
        <v>501</v>
      </c>
      <c r="M182" s="277">
        <f>M$3</f>
        <v>46175</v>
      </c>
      <c r="N182" s="283" t="s">
        <v>683</v>
      </c>
      <c r="O182" s="284">
        <v>0.5</v>
      </c>
      <c r="P182" s="135">
        <f>P$3</f>
        <v>46176</v>
      </c>
      <c r="Q182" s="136" t="s">
        <v>501</v>
      </c>
      <c r="R182" s="137" t="s">
        <v>501</v>
      </c>
      <c r="S182" s="135">
        <f>S$3</f>
        <v>46177</v>
      </c>
      <c r="T182" s="136" t="s">
        <v>501</v>
      </c>
      <c r="U182" s="137" t="s">
        <v>501</v>
      </c>
      <c r="V182" s="135">
        <f>V$3</f>
        <v>46178</v>
      </c>
      <c r="W182" s="136" t="s">
        <v>501</v>
      </c>
      <c r="X182" s="137" t="s">
        <v>501</v>
      </c>
      <c r="Y182" s="135">
        <f>Y$3</f>
        <v>46179</v>
      </c>
      <c r="Z182" s="136" t="s">
        <v>501</v>
      </c>
      <c r="AA182" s="137" t="s">
        <v>501</v>
      </c>
      <c r="AB182" s="135"/>
      <c r="AC182" s="135">
        <f>AC$3</f>
        <v>46181</v>
      </c>
      <c r="AD182" s="136" t="s">
        <v>501</v>
      </c>
      <c r="AE182" s="137" t="s">
        <v>501</v>
      </c>
      <c r="AF182" s="135">
        <f>AF$3</f>
        <v>46182</v>
      </c>
      <c r="AG182" s="136" t="s">
        <v>501</v>
      </c>
      <c r="AH182" s="137" t="s">
        <v>501</v>
      </c>
      <c r="AI182" s="135">
        <f>AI$3</f>
        <v>46183</v>
      </c>
      <c r="AJ182" s="136" t="s">
        <v>501</v>
      </c>
      <c r="AK182" s="137" t="s">
        <v>501</v>
      </c>
      <c r="AL182" s="135">
        <f>AL$3</f>
        <v>46184</v>
      </c>
      <c r="AM182" s="136" t="s">
        <v>501</v>
      </c>
      <c r="AN182" s="137" t="s">
        <v>501</v>
      </c>
      <c r="AO182" s="135">
        <f>AO$3</f>
        <v>46185</v>
      </c>
      <c r="AP182" s="136" t="s">
        <v>501</v>
      </c>
      <c r="AQ182" s="137" t="s">
        <v>501</v>
      </c>
      <c r="AR182" s="135">
        <f>AR$3</f>
        <v>46186</v>
      </c>
      <c r="AS182" s="136" t="s">
        <v>501</v>
      </c>
      <c r="AT182" s="137" t="s">
        <v>501</v>
      </c>
      <c r="AU182" s="135"/>
      <c r="AV182" s="135">
        <f>AV$3</f>
        <v>46188</v>
      </c>
      <c r="AW182" s="148" t="s">
        <v>501</v>
      </c>
      <c r="AX182" s="137" t="s">
        <v>501</v>
      </c>
      <c r="AY182" s="135">
        <f>AY$3</f>
        <v>46189</v>
      </c>
      <c r="AZ182" s="136" t="s">
        <v>501</v>
      </c>
      <c r="BA182" s="137" t="s">
        <v>501</v>
      </c>
      <c r="BB182" s="135">
        <f>BB$3</f>
        <v>46190</v>
      </c>
      <c r="BC182" s="136" t="s">
        <v>501</v>
      </c>
      <c r="BD182" s="137" t="s">
        <v>501</v>
      </c>
      <c r="BE182" s="135">
        <f>BE$3</f>
        <v>46191</v>
      </c>
      <c r="BF182" s="136" t="s">
        <v>501</v>
      </c>
      <c r="BG182" s="137" t="s">
        <v>501</v>
      </c>
      <c r="BH182" s="135">
        <f>BH$3</f>
        <v>46192</v>
      </c>
      <c r="BI182" s="136" t="s">
        <v>501</v>
      </c>
      <c r="BJ182" s="137" t="s">
        <v>501</v>
      </c>
      <c r="BK182" s="135">
        <f>BK$3</f>
        <v>46193</v>
      </c>
      <c r="BL182" s="136" t="s">
        <v>501</v>
      </c>
      <c r="BM182" s="137" t="s">
        <v>501</v>
      </c>
      <c r="BN182" s="135"/>
      <c r="BO182" s="135">
        <f>BO$3</f>
        <v>46195</v>
      </c>
      <c r="BP182" s="136" t="s">
        <v>501</v>
      </c>
      <c r="BQ182" s="137" t="s">
        <v>501</v>
      </c>
      <c r="BR182" s="135">
        <f>BR$3</f>
        <v>46196</v>
      </c>
      <c r="BS182" s="136" t="s">
        <v>501</v>
      </c>
      <c r="BT182" s="137" t="s">
        <v>501</v>
      </c>
      <c r="BU182" s="135">
        <f>BU$3</f>
        <v>46197</v>
      </c>
      <c r="BV182" s="136" t="s">
        <v>501</v>
      </c>
      <c r="BW182" s="137" t="s">
        <v>501</v>
      </c>
      <c r="BX182" s="135">
        <f>BX$3</f>
        <v>46198</v>
      </c>
      <c r="BY182" s="136" t="s">
        <v>501</v>
      </c>
      <c r="BZ182" s="137" t="s">
        <v>501</v>
      </c>
      <c r="CA182" s="135">
        <f>CA$3</f>
        <v>46199</v>
      </c>
      <c r="CB182" s="136" t="s">
        <v>501</v>
      </c>
      <c r="CC182" s="137" t="s">
        <v>501</v>
      </c>
      <c r="CD182" s="135">
        <f>CD$3</f>
        <v>46200</v>
      </c>
      <c r="CE182" s="136" t="s">
        <v>501</v>
      </c>
      <c r="CF182" s="137" t="s">
        <v>501</v>
      </c>
      <c r="CG182" s="135"/>
      <c r="CH182" s="135">
        <f>CH$3</f>
        <v>46202</v>
      </c>
      <c r="CI182" s="148" t="s">
        <v>501</v>
      </c>
      <c r="CJ182" s="137" t="s">
        <v>501</v>
      </c>
      <c r="CK182" s="135">
        <f>CK$3</f>
        <v>46203</v>
      </c>
      <c r="CL182" s="136" t="s">
        <v>501</v>
      </c>
      <c r="CM182" s="137" t="s">
        <v>501</v>
      </c>
      <c r="CN182" s="135">
        <f>CN$3</f>
        <v>46204</v>
      </c>
      <c r="CO182" s="136" t="s">
        <v>501</v>
      </c>
      <c r="CP182" s="137" t="s">
        <v>501</v>
      </c>
      <c r="CQ182" s="135">
        <f>CQ$3</f>
        <v>46205</v>
      </c>
      <c r="CR182" s="136" t="s">
        <v>501</v>
      </c>
      <c r="CS182" s="137" t="s">
        <v>501</v>
      </c>
      <c r="CT182" s="135">
        <f>CT$3</f>
        <v>46206</v>
      </c>
      <c r="CU182" s="136" t="s">
        <v>501</v>
      </c>
      <c r="CV182" s="137" t="s">
        <v>501</v>
      </c>
      <c r="CW182" s="135">
        <f>CW$3</f>
        <v>46207</v>
      </c>
      <c r="CX182" s="136" t="s">
        <v>501</v>
      </c>
      <c r="CY182" s="137" t="s">
        <v>501</v>
      </c>
      <c r="CZ182" s="135"/>
      <c r="DA182" s="135">
        <f>DA$3</f>
        <v>46209</v>
      </c>
      <c r="DB182" s="136" t="s">
        <v>501</v>
      </c>
      <c r="DC182" s="137" t="s">
        <v>501</v>
      </c>
      <c r="DD182" s="135">
        <f>DD$3</f>
        <v>46210</v>
      </c>
      <c r="DE182" s="136" t="s">
        <v>501</v>
      </c>
      <c r="DF182" s="137" t="s">
        <v>501</v>
      </c>
      <c r="DG182" s="135">
        <f>DG$3</f>
        <v>46211</v>
      </c>
      <c r="DH182" s="136" t="s">
        <v>501</v>
      </c>
      <c r="DI182" s="137" t="s">
        <v>501</v>
      </c>
      <c r="DJ182" s="135">
        <f>DJ$3</f>
        <v>46212</v>
      </c>
      <c r="DK182" s="136" t="s">
        <v>501</v>
      </c>
      <c r="DL182" s="137" t="s">
        <v>501</v>
      </c>
      <c r="DM182" s="135">
        <f>DM$3</f>
        <v>46213</v>
      </c>
      <c r="DN182" s="136" t="s">
        <v>501</v>
      </c>
      <c r="DO182" s="137" t="s">
        <v>501</v>
      </c>
      <c r="DP182" s="135">
        <f>DP$3</f>
        <v>46214</v>
      </c>
      <c r="DQ182" s="136" t="s">
        <v>501</v>
      </c>
      <c r="DR182" s="137" t="s">
        <v>501</v>
      </c>
    </row>
    <row r="183" spans="1:122" ht="30.75" outlineLevel="1">
      <c r="A183" s="122" t="str">
        <f>$A$175</f>
        <v>Trần Văn Toản</v>
      </c>
      <c r="B183" s="82" t="s">
        <v>684</v>
      </c>
      <c r="C183" s="81" t="str">
        <f>IF($B183="","",INDEX('Bảng 3'!C:C,MATCH($B183,'Bảng 3'!$A:$A,0)))</f>
        <v>Quản lý BIM</v>
      </c>
      <c r="D183" s="81" t="str">
        <f>IF($B183="","",INDEX('Bảng 3'!D:D,MATCH($B183,'Bảng 3'!$A:$A,0)))</f>
        <v>B.HNO.GL.VSC</v>
      </c>
      <c r="E183" s="81" t="str">
        <f>IF($B183="","",INDEX('Bảng 3'!E:E,MATCH($B183,'Bảng 3'!$A:$A,0)))</f>
        <v>Trường PTLC hệ Cambride Lô B5-TH01</v>
      </c>
      <c r="F183" s="81" t="str">
        <f>IF($B183="","",INDEX('Bảng 3'!F:F,MATCH($B183,'Bảng 3'!$A:$A,0)))</f>
        <v>KC</v>
      </c>
      <c r="G183" s="81" t="str">
        <f>IF($B183="","",INDEX('Bảng 3'!G:G,MATCH($B183,'Bảng 3'!$A:$A,0)))</f>
        <v>KSCL mô hình BIM</v>
      </c>
      <c r="H183" s="121"/>
      <c r="I183" s="135"/>
      <c r="J183" s="135">
        <f>J$3</f>
        <v>46174</v>
      </c>
      <c r="K183" s="148" t="s">
        <v>501</v>
      </c>
      <c r="L183" s="168" t="s">
        <v>501</v>
      </c>
      <c r="M183" s="277">
        <f>M$3</f>
        <v>46175</v>
      </c>
      <c r="N183" s="67" t="s">
        <v>685</v>
      </c>
      <c r="O183" s="281">
        <v>0.5</v>
      </c>
      <c r="P183" s="282">
        <f>P$3</f>
        <v>46176</v>
      </c>
      <c r="Q183" s="136" t="s">
        <v>501</v>
      </c>
      <c r="R183" s="137" t="s">
        <v>501</v>
      </c>
      <c r="S183" s="135">
        <f>S$3</f>
        <v>46177</v>
      </c>
      <c r="T183" s="136" t="s">
        <v>501</v>
      </c>
      <c r="U183" s="137" t="s">
        <v>501</v>
      </c>
      <c r="V183" s="135">
        <f>V$3</f>
        <v>46178</v>
      </c>
      <c r="W183" s="136" t="s">
        <v>501</v>
      </c>
      <c r="X183" s="137" t="s">
        <v>501</v>
      </c>
      <c r="Y183" s="135">
        <f>Y$3</f>
        <v>46179</v>
      </c>
      <c r="Z183" s="136" t="s">
        <v>501</v>
      </c>
      <c r="AA183" s="137" t="s">
        <v>501</v>
      </c>
      <c r="AB183" s="135"/>
      <c r="AC183" s="135">
        <f>AC$3</f>
        <v>46181</v>
      </c>
      <c r="AD183" s="136" t="s">
        <v>501</v>
      </c>
      <c r="AE183" s="137" t="s">
        <v>501</v>
      </c>
      <c r="AF183" s="135">
        <f>AF$3</f>
        <v>46182</v>
      </c>
      <c r="AG183" s="136" t="s">
        <v>501</v>
      </c>
      <c r="AH183" s="137" t="s">
        <v>501</v>
      </c>
      <c r="AI183" s="135">
        <f>AI$3</f>
        <v>46183</v>
      </c>
      <c r="AJ183" s="136" t="s">
        <v>501</v>
      </c>
      <c r="AK183" s="137" t="s">
        <v>501</v>
      </c>
      <c r="AL183" s="135">
        <f>AL$3</f>
        <v>46184</v>
      </c>
      <c r="AM183" s="136" t="s">
        <v>501</v>
      </c>
      <c r="AN183" s="137" t="s">
        <v>501</v>
      </c>
      <c r="AO183" s="135">
        <f>AO$3</f>
        <v>46185</v>
      </c>
      <c r="AP183" s="136" t="s">
        <v>501</v>
      </c>
      <c r="AQ183" s="137" t="s">
        <v>501</v>
      </c>
      <c r="AR183" s="135">
        <f>AR$3</f>
        <v>46186</v>
      </c>
      <c r="AS183" s="136" t="s">
        <v>501</v>
      </c>
      <c r="AT183" s="137" t="s">
        <v>501</v>
      </c>
      <c r="AU183" s="135"/>
      <c r="AV183" s="135">
        <f>AV$3</f>
        <v>46188</v>
      </c>
      <c r="AW183" s="148" t="s">
        <v>501</v>
      </c>
      <c r="AX183" s="137" t="s">
        <v>501</v>
      </c>
      <c r="AY183" s="135">
        <f>AY$3</f>
        <v>46189</v>
      </c>
      <c r="AZ183" s="136" t="s">
        <v>501</v>
      </c>
      <c r="BA183" s="137" t="s">
        <v>501</v>
      </c>
      <c r="BB183" s="135">
        <f>BB$3</f>
        <v>46190</v>
      </c>
      <c r="BC183" s="136" t="s">
        <v>501</v>
      </c>
      <c r="BD183" s="137" t="s">
        <v>501</v>
      </c>
      <c r="BE183" s="135">
        <f>BE$3</f>
        <v>46191</v>
      </c>
      <c r="BF183" s="136" t="s">
        <v>501</v>
      </c>
      <c r="BG183" s="137" t="s">
        <v>501</v>
      </c>
      <c r="BH183" s="135">
        <f>BH$3</f>
        <v>46192</v>
      </c>
      <c r="BI183" s="136" t="s">
        <v>501</v>
      </c>
      <c r="BJ183" s="137" t="s">
        <v>501</v>
      </c>
      <c r="BK183" s="135">
        <f>BK$3</f>
        <v>46193</v>
      </c>
      <c r="BL183" s="136" t="s">
        <v>501</v>
      </c>
      <c r="BM183" s="137" t="s">
        <v>501</v>
      </c>
      <c r="BN183" s="135"/>
      <c r="BO183" s="135">
        <f>BO$3</f>
        <v>46195</v>
      </c>
      <c r="BP183" s="136" t="s">
        <v>501</v>
      </c>
      <c r="BQ183" s="137" t="s">
        <v>501</v>
      </c>
      <c r="BR183" s="135">
        <f>BR$3</f>
        <v>46196</v>
      </c>
      <c r="BS183" s="136" t="s">
        <v>501</v>
      </c>
      <c r="BT183" s="137" t="s">
        <v>501</v>
      </c>
      <c r="BU183" s="135">
        <f>BU$3</f>
        <v>46197</v>
      </c>
      <c r="BV183" s="136" t="s">
        <v>501</v>
      </c>
      <c r="BW183" s="137" t="s">
        <v>501</v>
      </c>
      <c r="BX183" s="135">
        <f>BX$3</f>
        <v>46198</v>
      </c>
      <c r="BY183" s="136" t="s">
        <v>501</v>
      </c>
      <c r="BZ183" s="137" t="s">
        <v>501</v>
      </c>
      <c r="CA183" s="135">
        <f>CA$3</f>
        <v>46199</v>
      </c>
      <c r="CB183" s="136" t="s">
        <v>501</v>
      </c>
      <c r="CC183" s="137" t="s">
        <v>501</v>
      </c>
      <c r="CD183" s="135">
        <f>CD$3</f>
        <v>46200</v>
      </c>
      <c r="CE183" s="136" t="s">
        <v>501</v>
      </c>
      <c r="CF183" s="137" t="s">
        <v>501</v>
      </c>
      <c r="CG183" s="135"/>
      <c r="CH183" s="135">
        <f>CH$3</f>
        <v>46202</v>
      </c>
      <c r="CI183" s="148" t="s">
        <v>501</v>
      </c>
      <c r="CJ183" s="137" t="s">
        <v>501</v>
      </c>
      <c r="CK183" s="135">
        <f>CK$3</f>
        <v>46203</v>
      </c>
      <c r="CL183" s="136" t="s">
        <v>501</v>
      </c>
      <c r="CM183" s="137" t="s">
        <v>501</v>
      </c>
      <c r="CN183" s="135">
        <f>CN$3</f>
        <v>46204</v>
      </c>
      <c r="CO183" s="136" t="s">
        <v>501</v>
      </c>
      <c r="CP183" s="137" t="s">
        <v>501</v>
      </c>
      <c r="CQ183" s="135">
        <f>CQ$3</f>
        <v>46205</v>
      </c>
      <c r="CR183" s="136" t="s">
        <v>501</v>
      </c>
      <c r="CS183" s="137" t="s">
        <v>501</v>
      </c>
      <c r="CT183" s="135">
        <f>CT$3</f>
        <v>46206</v>
      </c>
      <c r="CU183" s="136" t="s">
        <v>501</v>
      </c>
      <c r="CV183" s="137" t="s">
        <v>501</v>
      </c>
      <c r="CW183" s="135">
        <f>CW$3</f>
        <v>46207</v>
      </c>
      <c r="CX183" s="136" t="s">
        <v>501</v>
      </c>
      <c r="CY183" s="137" t="s">
        <v>501</v>
      </c>
      <c r="CZ183" s="135"/>
      <c r="DA183" s="135">
        <f>DA$3</f>
        <v>46209</v>
      </c>
      <c r="DB183" s="136" t="s">
        <v>501</v>
      </c>
      <c r="DC183" s="137" t="s">
        <v>501</v>
      </c>
      <c r="DD183" s="135">
        <f>DD$3</f>
        <v>46210</v>
      </c>
      <c r="DE183" s="136" t="s">
        <v>501</v>
      </c>
      <c r="DF183" s="137" t="s">
        <v>501</v>
      </c>
      <c r="DG183" s="135">
        <f>DG$3</f>
        <v>46211</v>
      </c>
      <c r="DH183" s="136" t="s">
        <v>501</v>
      </c>
      <c r="DI183" s="137" t="s">
        <v>501</v>
      </c>
      <c r="DJ183" s="135">
        <f>DJ$3</f>
        <v>46212</v>
      </c>
      <c r="DK183" s="136" t="s">
        <v>501</v>
      </c>
      <c r="DL183" s="137" t="s">
        <v>501</v>
      </c>
      <c r="DM183" s="135">
        <f>DM$3</f>
        <v>46213</v>
      </c>
      <c r="DN183" s="136" t="s">
        <v>501</v>
      </c>
      <c r="DO183" s="137" t="s">
        <v>501</v>
      </c>
      <c r="DP183" s="135">
        <f>DP$3</f>
        <v>46214</v>
      </c>
      <c r="DQ183" s="136" t="s">
        <v>501</v>
      </c>
      <c r="DR183" s="137" t="s">
        <v>501</v>
      </c>
    </row>
    <row r="184" spans="1:122" outlineLevel="1">
      <c r="A184" s="122" t="str">
        <f>$A$175</f>
        <v>Trần Văn Toản</v>
      </c>
      <c r="B184" s="82" t="s">
        <v>686</v>
      </c>
      <c r="C184" s="81" t="str">
        <f>IF($B184="","",INDEX('Bảng 3'!C:C,MATCH($B184,'Bảng 3'!$A:$A,0)))</f>
        <v>Quản lý BIM</v>
      </c>
      <c r="D184" s="81" t="str">
        <f>IF($B184="","",INDEX('Bảng 3'!D:D,MATCH($B184,'Bảng 3'!$A:$A,0)))</f>
        <v>B.HPH.VYHP.VSC</v>
      </c>
      <c r="E184" s="81" t="str">
        <f>IF($B184="","",INDEX('Bảng 3'!E:E,MATCH($B184,'Bảng 3'!$A:$A,0)))</f>
        <v>Trường VSC B2.THPT02</v>
      </c>
      <c r="F184" s="81" t="str">
        <f>IF($B184="","",INDEX('Bảng 3'!F:F,MATCH($B184,'Bảng 3'!$A:$A,0)))</f>
        <v>KT</v>
      </c>
      <c r="G184" s="81" t="str">
        <f>IF($B184="","",INDEX('Bảng 3'!G:G,MATCH($B184,'Bảng 3'!$A:$A,0)))</f>
        <v>KSCL mô hình BIM</v>
      </c>
      <c r="H184" s="121"/>
      <c r="I184" s="135"/>
      <c r="J184" s="135">
        <f>J$3</f>
        <v>46174</v>
      </c>
      <c r="K184" s="276"/>
      <c r="L184" s="168" t="s">
        <v>501</v>
      </c>
      <c r="M184" s="277">
        <f>M$3</f>
        <v>46175</v>
      </c>
      <c r="N184" s="280" t="s">
        <v>687</v>
      </c>
      <c r="O184" s="281">
        <v>0.5</v>
      </c>
      <c r="P184" s="282">
        <f>P$3</f>
        <v>46176</v>
      </c>
      <c r="Q184" s="136" t="s">
        <v>501</v>
      </c>
      <c r="R184" s="137" t="s">
        <v>501</v>
      </c>
      <c r="S184" s="135">
        <f>S$3</f>
        <v>46177</v>
      </c>
      <c r="T184" s="136" t="s">
        <v>501</v>
      </c>
      <c r="U184" s="137" t="s">
        <v>501</v>
      </c>
      <c r="V184" s="135">
        <f>V$3</f>
        <v>46178</v>
      </c>
      <c r="W184" s="136" t="s">
        <v>501</v>
      </c>
      <c r="X184" s="137" t="s">
        <v>501</v>
      </c>
      <c r="Y184" s="135">
        <f>Y$3</f>
        <v>46179</v>
      </c>
      <c r="Z184" s="136" t="s">
        <v>501</v>
      </c>
      <c r="AA184" s="137" t="s">
        <v>501</v>
      </c>
      <c r="AB184" s="135"/>
      <c r="AC184" s="135">
        <f>AC$3</f>
        <v>46181</v>
      </c>
      <c r="AD184" s="136" t="s">
        <v>501</v>
      </c>
      <c r="AE184" s="137" t="s">
        <v>501</v>
      </c>
      <c r="AF184" s="135">
        <f>AF$3</f>
        <v>46182</v>
      </c>
      <c r="AG184" s="136" t="s">
        <v>501</v>
      </c>
      <c r="AH184" s="137" t="s">
        <v>501</v>
      </c>
      <c r="AI184" s="135">
        <f>AI$3</f>
        <v>46183</v>
      </c>
      <c r="AJ184" s="136" t="s">
        <v>501</v>
      </c>
      <c r="AK184" s="137" t="s">
        <v>501</v>
      </c>
      <c r="AL184" s="135">
        <f>AL$3</f>
        <v>46184</v>
      </c>
      <c r="AM184" s="136" t="s">
        <v>501</v>
      </c>
      <c r="AN184" s="137" t="s">
        <v>501</v>
      </c>
      <c r="AO184" s="135">
        <f>AO$3</f>
        <v>46185</v>
      </c>
      <c r="AP184" s="136" t="s">
        <v>501</v>
      </c>
      <c r="AQ184" s="137" t="s">
        <v>501</v>
      </c>
      <c r="AR184" s="135">
        <f>AR$3</f>
        <v>46186</v>
      </c>
      <c r="AS184" s="136" t="s">
        <v>501</v>
      </c>
      <c r="AT184" s="137" t="s">
        <v>501</v>
      </c>
      <c r="AU184" s="135"/>
      <c r="AV184" s="135">
        <f>AV$3</f>
        <v>46188</v>
      </c>
      <c r="AW184" s="148" t="s">
        <v>501</v>
      </c>
      <c r="AX184" s="137" t="s">
        <v>501</v>
      </c>
      <c r="AY184" s="135">
        <f>AY$3</f>
        <v>46189</v>
      </c>
      <c r="AZ184" s="136" t="s">
        <v>501</v>
      </c>
      <c r="BA184" s="137" t="s">
        <v>501</v>
      </c>
      <c r="BB184" s="135">
        <f>BB$3</f>
        <v>46190</v>
      </c>
      <c r="BC184" s="136" t="s">
        <v>501</v>
      </c>
      <c r="BD184" s="137" t="s">
        <v>501</v>
      </c>
      <c r="BE184" s="135">
        <f>BE$3</f>
        <v>46191</v>
      </c>
      <c r="BF184" s="136" t="s">
        <v>501</v>
      </c>
      <c r="BG184" s="137" t="s">
        <v>501</v>
      </c>
      <c r="BH184" s="135">
        <f>BH$3</f>
        <v>46192</v>
      </c>
      <c r="BI184" s="136" t="s">
        <v>501</v>
      </c>
      <c r="BJ184" s="137" t="s">
        <v>501</v>
      </c>
      <c r="BK184" s="135">
        <f>BK$3</f>
        <v>46193</v>
      </c>
      <c r="BL184" s="136" t="s">
        <v>501</v>
      </c>
      <c r="BM184" s="137" t="s">
        <v>501</v>
      </c>
      <c r="BN184" s="135"/>
      <c r="BO184" s="135">
        <f>BO$3</f>
        <v>46195</v>
      </c>
      <c r="BP184" s="136" t="s">
        <v>501</v>
      </c>
      <c r="BQ184" s="137" t="s">
        <v>501</v>
      </c>
      <c r="BR184" s="135">
        <f>BR$3</f>
        <v>46196</v>
      </c>
      <c r="BS184" s="136" t="s">
        <v>501</v>
      </c>
      <c r="BT184" s="137" t="s">
        <v>501</v>
      </c>
      <c r="BU184" s="135">
        <f>BU$3</f>
        <v>46197</v>
      </c>
      <c r="BV184" s="136" t="s">
        <v>501</v>
      </c>
      <c r="BW184" s="137" t="s">
        <v>501</v>
      </c>
      <c r="BX184" s="135">
        <f>BX$3</f>
        <v>46198</v>
      </c>
      <c r="BY184" s="136" t="s">
        <v>501</v>
      </c>
      <c r="BZ184" s="137" t="s">
        <v>501</v>
      </c>
      <c r="CA184" s="135">
        <f>CA$3</f>
        <v>46199</v>
      </c>
      <c r="CB184" s="136" t="s">
        <v>501</v>
      </c>
      <c r="CC184" s="137" t="s">
        <v>501</v>
      </c>
      <c r="CD184" s="135">
        <f>CD$3</f>
        <v>46200</v>
      </c>
      <c r="CE184" s="136" t="s">
        <v>501</v>
      </c>
      <c r="CF184" s="137" t="s">
        <v>501</v>
      </c>
      <c r="CG184" s="135"/>
      <c r="CH184" s="135">
        <f>CH$3</f>
        <v>46202</v>
      </c>
      <c r="CI184" s="148" t="s">
        <v>501</v>
      </c>
      <c r="CJ184" s="137" t="s">
        <v>501</v>
      </c>
      <c r="CK184" s="135">
        <f>CK$3</f>
        <v>46203</v>
      </c>
      <c r="CL184" s="136" t="s">
        <v>501</v>
      </c>
      <c r="CM184" s="137" t="s">
        <v>501</v>
      </c>
      <c r="CN184" s="135">
        <f>CN$3</f>
        <v>46204</v>
      </c>
      <c r="CO184" s="136" t="s">
        <v>501</v>
      </c>
      <c r="CP184" s="137" t="s">
        <v>501</v>
      </c>
      <c r="CQ184" s="135">
        <f>CQ$3</f>
        <v>46205</v>
      </c>
      <c r="CR184" s="136" t="s">
        <v>501</v>
      </c>
      <c r="CS184" s="137" t="s">
        <v>501</v>
      </c>
      <c r="CT184" s="135">
        <f>CT$3</f>
        <v>46206</v>
      </c>
      <c r="CU184" s="136" t="s">
        <v>501</v>
      </c>
      <c r="CV184" s="137" t="s">
        <v>501</v>
      </c>
      <c r="CW184" s="135">
        <f>CW$3</f>
        <v>46207</v>
      </c>
      <c r="CX184" s="136" t="s">
        <v>501</v>
      </c>
      <c r="CY184" s="137" t="s">
        <v>501</v>
      </c>
      <c r="CZ184" s="135"/>
      <c r="DA184" s="135">
        <f>DA$3</f>
        <v>46209</v>
      </c>
      <c r="DB184" s="136" t="s">
        <v>501</v>
      </c>
      <c r="DC184" s="137" t="s">
        <v>501</v>
      </c>
      <c r="DD184" s="135">
        <f>DD$3</f>
        <v>46210</v>
      </c>
      <c r="DE184" s="136" t="s">
        <v>501</v>
      </c>
      <c r="DF184" s="137" t="s">
        <v>501</v>
      </c>
      <c r="DG184" s="135">
        <f>DG$3</f>
        <v>46211</v>
      </c>
      <c r="DH184" s="136" t="s">
        <v>501</v>
      </c>
      <c r="DI184" s="137" t="s">
        <v>501</v>
      </c>
      <c r="DJ184" s="135">
        <f>DJ$3</f>
        <v>46212</v>
      </c>
      <c r="DK184" s="136" t="s">
        <v>501</v>
      </c>
      <c r="DL184" s="137" t="s">
        <v>501</v>
      </c>
      <c r="DM184" s="135">
        <f>DM$3</f>
        <v>46213</v>
      </c>
      <c r="DN184" s="136" t="s">
        <v>501</v>
      </c>
      <c r="DO184" s="137" t="s">
        <v>501</v>
      </c>
      <c r="DP184" s="135">
        <f>DP$3</f>
        <v>46214</v>
      </c>
      <c r="DQ184" s="136" t="s">
        <v>501</v>
      </c>
      <c r="DR184" s="137" t="s">
        <v>501</v>
      </c>
    </row>
    <row r="185" spans="1:122" ht="30.75" outlineLevel="1">
      <c r="A185" s="122" t="str">
        <f>$A$175</f>
        <v>Trần Văn Toản</v>
      </c>
      <c r="B185" s="82" t="s">
        <v>688</v>
      </c>
      <c r="C185" s="81" t="str">
        <f>IF($B185="","",INDEX('Bảng 3'!C:C,MATCH($B185,'Bảng 3'!$A:$A,0)))</f>
        <v>Quản lý BIM</v>
      </c>
      <c r="D185" s="81" t="str">
        <f>IF($B185="","",INDEX('Bảng 3'!D:D,MATCH($B185,'Bảng 3'!$A:$A,0)))</f>
        <v>B.HPH.VYHP.VSC</v>
      </c>
      <c r="E185" s="81" t="str">
        <f>IF($B185="","",INDEX('Bảng 3'!E:E,MATCH($B185,'Bảng 3'!$A:$A,0)))</f>
        <v>Trường VSC B2.THPT02</v>
      </c>
      <c r="F185" s="81" t="str">
        <f>IF($B185="","",INDEX('Bảng 3'!F:F,MATCH($B185,'Bảng 3'!$A:$A,0)))</f>
        <v>KC</v>
      </c>
      <c r="G185" s="81" t="str">
        <f>IF($B185="","",INDEX('Bảng 3'!G:G,MATCH($B185,'Bảng 3'!$A:$A,0)))</f>
        <v>KSCL mô hình BIM</v>
      </c>
      <c r="H185" s="121"/>
      <c r="I185" s="135"/>
      <c r="J185" s="135">
        <f>J$3</f>
        <v>46174</v>
      </c>
      <c r="K185" s="148"/>
      <c r="L185" s="168" t="s">
        <v>501</v>
      </c>
      <c r="M185" s="277">
        <f>M$3</f>
        <v>46175</v>
      </c>
      <c r="N185" s="67" t="s">
        <v>685</v>
      </c>
      <c r="O185" s="281">
        <v>2</v>
      </c>
      <c r="P185" s="282">
        <f>P$3</f>
        <v>46176</v>
      </c>
      <c r="Q185" s="136" t="s">
        <v>501</v>
      </c>
      <c r="R185" s="137" t="s">
        <v>501</v>
      </c>
      <c r="S185" s="135">
        <f>S$3</f>
        <v>46177</v>
      </c>
      <c r="T185" s="136" t="s">
        <v>501</v>
      </c>
      <c r="U185" s="137" t="s">
        <v>501</v>
      </c>
      <c r="V185" s="135">
        <f>V$3</f>
        <v>46178</v>
      </c>
      <c r="W185" s="136" t="s">
        <v>501</v>
      </c>
      <c r="X185" s="137" t="s">
        <v>501</v>
      </c>
      <c r="Y185" s="135">
        <f>Y$3</f>
        <v>46179</v>
      </c>
      <c r="Z185" s="136" t="s">
        <v>501</v>
      </c>
      <c r="AA185" s="137" t="s">
        <v>501</v>
      </c>
      <c r="AB185" s="135"/>
      <c r="AC185" s="135">
        <f>AC$3</f>
        <v>46181</v>
      </c>
      <c r="AD185" s="136" t="s">
        <v>501</v>
      </c>
      <c r="AE185" s="137" t="s">
        <v>501</v>
      </c>
      <c r="AF185" s="135">
        <f>AF$3</f>
        <v>46182</v>
      </c>
      <c r="AG185" s="136" t="s">
        <v>501</v>
      </c>
      <c r="AH185" s="137" t="s">
        <v>501</v>
      </c>
      <c r="AI185" s="135">
        <f>AI$3</f>
        <v>46183</v>
      </c>
      <c r="AJ185" s="136" t="s">
        <v>501</v>
      </c>
      <c r="AK185" s="137" t="s">
        <v>501</v>
      </c>
      <c r="AL185" s="135">
        <f>AL$3</f>
        <v>46184</v>
      </c>
      <c r="AM185" s="136" t="s">
        <v>501</v>
      </c>
      <c r="AN185" s="137" t="s">
        <v>501</v>
      </c>
      <c r="AO185" s="135">
        <f>AO$3</f>
        <v>46185</v>
      </c>
      <c r="AP185" s="136" t="s">
        <v>501</v>
      </c>
      <c r="AQ185" s="137" t="s">
        <v>501</v>
      </c>
      <c r="AR185" s="135">
        <f>AR$3</f>
        <v>46186</v>
      </c>
      <c r="AS185" s="136" t="s">
        <v>501</v>
      </c>
      <c r="AT185" s="137" t="s">
        <v>501</v>
      </c>
      <c r="AU185" s="135"/>
      <c r="AV185" s="135">
        <f>AV$3</f>
        <v>46188</v>
      </c>
      <c r="AW185" s="148" t="s">
        <v>501</v>
      </c>
      <c r="AX185" s="137" t="s">
        <v>501</v>
      </c>
      <c r="AY185" s="135">
        <f>AY$3</f>
        <v>46189</v>
      </c>
      <c r="AZ185" s="136" t="s">
        <v>501</v>
      </c>
      <c r="BA185" s="137" t="s">
        <v>501</v>
      </c>
      <c r="BB185" s="135">
        <f>BB$3</f>
        <v>46190</v>
      </c>
      <c r="BC185" s="136" t="s">
        <v>501</v>
      </c>
      <c r="BD185" s="137" t="s">
        <v>501</v>
      </c>
      <c r="BE185" s="135">
        <f>BE$3</f>
        <v>46191</v>
      </c>
      <c r="BF185" s="136" t="s">
        <v>501</v>
      </c>
      <c r="BG185" s="137" t="s">
        <v>501</v>
      </c>
      <c r="BH185" s="135">
        <f>BH$3</f>
        <v>46192</v>
      </c>
      <c r="BI185" s="136" t="s">
        <v>501</v>
      </c>
      <c r="BJ185" s="137" t="s">
        <v>501</v>
      </c>
      <c r="BK185" s="135">
        <f>BK$3</f>
        <v>46193</v>
      </c>
      <c r="BL185" s="136" t="s">
        <v>501</v>
      </c>
      <c r="BM185" s="137" t="s">
        <v>501</v>
      </c>
      <c r="BN185" s="135"/>
      <c r="BO185" s="135">
        <f>BO$3</f>
        <v>46195</v>
      </c>
      <c r="BP185" s="136" t="s">
        <v>501</v>
      </c>
      <c r="BQ185" s="137" t="s">
        <v>501</v>
      </c>
      <c r="BR185" s="135">
        <f>BR$3</f>
        <v>46196</v>
      </c>
      <c r="BS185" s="136" t="s">
        <v>501</v>
      </c>
      <c r="BT185" s="137" t="s">
        <v>501</v>
      </c>
      <c r="BU185" s="135">
        <f>BU$3</f>
        <v>46197</v>
      </c>
      <c r="BV185" s="136" t="s">
        <v>501</v>
      </c>
      <c r="BW185" s="137" t="s">
        <v>501</v>
      </c>
      <c r="BX185" s="135">
        <f>BX$3</f>
        <v>46198</v>
      </c>
      <c r="BY185" s="136" t="s">
        <v>501</v>
      </c>
      <c r="BZ185" s="137" t="s">
        <v>501</v>
      </c>
      <c r="CA185" s="135">
        <f>CA$3</f>
        <v>46199</v>
      </c>
      <c r="CB185" s="136" t="s">
        <v>501</v>
      </c>
      <c r="CC185" s="137" t="s">
        <v>501</v>
      </c>
      <c r="CD185" s="135">
        <f>CD$3</f>
        <v>46200</v>
      </c>
      <c r="CE185" s="136" t="s">
        <v>501</v>
      </c>
      <c r="CF185" s="137" t="s">
        <v>501</v>
      </c>
      <c r="CG185" s="135"/>
      <c r="CH185" s="135">
        <f>CH$3</f>
        <v>46202</v>
      </c>
      <c r="CI185" s="148" t="s">
        <v>501</v>
      </c>
      <c r="CJ185" s="137" t="s">
        <v>501</v>
      </c>
      <c r="CK185" s="135">
        <f>CK$3</f>
        <v>46203</v>
      </c>
      <c r="CL185" s="136" t="s">
        <v>501</v>
      </c>
      <c r="CM185" s="137" t="s">
        <v>501</v>
      </c>
      <c r="CN185" s="135">
        <f>CN$3</f>
        <v>46204</v>
      </c>
      <c r="CO185" s="136" t="s">
        <v>501</v>
      </c>
      <c r="CP185" s="137" t="s">
        <v>501</v>
      </c>
      <c r="CQ185" s="135">
        <f>CQ$3</f>
        <v>46205</v>
      </c>
      <c r="CR185" s="136" t="s">
        <v>501</v>
      </c>
      <c r="CS185" s="137" t="s">
        <v>501</v>
      </c>
      <c r="CT185" s="135">
        <f>CT$3</f>
        <v>46206</v>
      </c>
      <c r="CU185" s="136" t="s">
        <v>501</v>
      </c>
      <c r="CV185" s="137" t="s">
        <v>501</v>
      </c>
      <c r="CW185" s="135">
        <f>CW$3</f>
        <v>46207</v>
      </c>
      <c r="CX185" s="136" t="s">
        <v>501</v>
      </c>
      <c r="CY185" s="137" t="s">
        <v>501</v>
      </c>
      <c r="CZ185" s="135"/>
      <c r="DA185" s="135">
        <f>DA$3</f>
        <v>46209</v>
      </c>
      <c r="DB185" s="136" t="s">
        <v>501</v>
      </c>
      <c r="DC185" s="137" t="s">
        <v>501</v>
      </c>
      <c r="DD185" s="135">
        <f>DD$3</f>
        <v>46210</v>
      </c>
      <c r="DE185" s="136" t="s">
        <v>501</v>
      </c>
      <c r="DF185" s="137" t="s">
        <v>501</v>
      </c>
      <c r="DG185" s="135">
        <f>DG$3</f>
        <v>46211</v>
      </c>
      <c r="DH185" s="136" t="s">
        <v>501</v>
      </c>
      <c r="DI185" s="137" t="s">
        <v>501</v>
      </c>
      <c r="DJ185" s="135">
        <f>DJ$3</f>
        <v>46212</v>
      </c>
      <c r="DK185" s="136" t="s">
        <v>501</v>
      </c>
      <c r="DL185" s="137" t="s">
        <v>501</v>
      </c>
      <c r="DM185" s="135">
        <f>DM$3</f>
        <v>46213</v>
      </c>
      <c r="DN185" s="136" t="s">
        <v>501</v>
      </c>
      <c r="DO185" s="137" t="s">
        <v>501</v>
      </c>
      <c r="DP185" s="135">
        <f>DP$3</f>
        <v>46214</v>
      </c>
      <c r="DQ185" s="136" t="s">
        <v>501</v>
      </c>
      <c r="DR185" s="137" t="s">
        <v>501</v>
      </c>
    </row>
    <row r="186" spans="1:122" outlineLevel="1">
      <c r="A186" s="122" t="str">
        <f>$A$175</f>
        <v>Trần Văn Toản</v>
      </c>
      <c r="B186" s="82" t="s">
        <v>689</v>
      </c>
      <c r="C186" s="81" t="str">
        <f>IF($B186="","",INDEX('Bảng 3'!C:C,MATCH($B186,'Bảng 3'!$A:$A,0)))</f>
        <v>Quản lý BIM</v>
      </c>
      <c r="D186" s="81" t="str">
        <f>IF($B186="","",INDEX('Bảng 3'!D:D,MATCH($B186,'Bảng 3'!$A:$A,0)))</f>
        <v>B.QNI.HLX.CT</v>
      </c>
      <c r="E186" s="81" t="str">
        <f>IF($B186="","",INDEX('Bảng 3'!E:E,MATCH($B186,'Bảng 3'!$A:$A,0)))</f>
        <v>Hầm lô B03.4-CCCT-03</v>
      </c>
      <c r="F186" s="81" t="str">
        <f>IF($B186="","",INDEX('Bảng 3'!F:F,MATCH($B186,'Bảng 3'!$A:$A,0)))</f>
        <v>KT</v>
      </c>
      <c r="G186" s="81" t="str">
        <f>IF($B186="","",INDEX('Bảng 3'!G:G,MATCH($B186,'Bảng 3'!$A:$A,0)))</f>
        <v>Tạo lập mô hình BIM</v>
      </c>
      <c r="H186" s="121"/>
      <c r="I186" s="135"/>
      <c r="J186" s="135">
        <f>J$3</f>
        <v>46174</v>
      </c>
      <c r="K186" s="148" t="s">
        <v>501</v>
      </c>
      <c r="L186" s="168" t="s">
        <v>501</v>
      </c>
      <c r="M186" s="135">
        <f>M$3</f>
        <v>46175</v>
      </c>
      <c r="N186" s="148" t="s">
        <v>501</v>
      </c>
      <c r="O186" s="137" t="s">
        <v>501</v>
      </c>
      <c r="P186" s="135">
        <f>P$3</f>
        <v>46176</v>
      </c>
      <c r="Q186" s="136" t="s">
        <v>501</v>
      </c>
      <c r="R186" s="137" t="s">
        <v>501</v>
      </c>
      <c r="S186" s="135">
        <f>S$3</f>
        <v>46177</v>
      </c>
      <c r="T186" s="136" t="s">
        <v>501</v>
      </c>
      <c r="U186" s="137" t="s">
        <v>501</v>
      </c>
      <c r="V186" s="135">
        <f>V$3</f>
        <v>46178</v>
      </c>
      <c r="W186" s="136" t="s">
        <v>501</v>
      </c>
      <c r="X186" s="137" t="s">
        <v>501</v>
      </c>
      <c r="Y186" s="135">
        <f>Y$3</f>
        <v>46179</v>
      </c>
      <c r="Z186" s="136" t="s">
        <v>501</v>
      </c>
      <c r="AA186" s="137" t="s">
        <v>501</v>
      </c>
      <c r="AB186" s="135"/>
      <c r="AC186" s="135">
        <f>AC$3</f>
        <v>46181</v>
      </c>
      <c r="AD186" s="136" t="s">
        <v>501</v>
      </c>
      <c r="AE186" s="137" t="s">
        <v>501</v>
      </c>
      <c r="AF186" s="135">
        <f>AF$3</f>
        <v>46182</v>
      </c>
      <c r="AG186" s="136" t="s">
        <v>501</v>
      </c>
      <c r="AH186" s="137" t="s">
        <v>501</v>
      </c>
      <c r="AI186" s="135">
        <f>AI$3</f>
        <v>46183</v>
      </c>
      <c r="AJ186" s="136" t="s">
        <v>501</v>
      </c>
      <c r="AK186" s="137" t="s">
        <v>501</v>
      </c>
      <c r="AL186" s="135">
        <f>AL$3</f>
        <v>46184</v>
      </c>
      <c r="AM186" s="136" t="s">
        <v>501</v>
      </c>
      <c r="AN186" s="137" t="s">
        <v>501</v>
      </c>
      <c r="AO186" s="135">
        <f>AO$3</f>
        <v>46185</v>
      </c>
      <c r="AP186" s="136" t="s">
        <v>501</v>
      </c>
      <c r="AQ186" s="137" t="s">
        <v>501</v>
      </c>
      <c r="AR186" s="135">
        <f>AR$3</f>
        <v>46186</v>
      </c>
      <c r="AS186" s="136" t="s">
        <v>501</v>
      </c>
      <c r="AT186" s="137" t="s">
        <v>501</v>
      </c>
      <c r="AU186" s="135"/>
      <c r="AV186" s="135">
        <f>AV$3</f>
        <v>46188</v>
      </c>
      <c r="AW186" s="148" t="s">
        <v>501</v>
      </c>
      <c r="AX186" s="137" t="s">
        <v>501</v>
      </c>
      <c r="AY186" s="135">
        <f>AY$3</f>
        <v>46189</v>
      </c>
      <c r="AZ186" s="136" t="s">
        <v>501</v>
      </c>
      <c r="BA186" s="137" t="s">
        <v>501</v>
      </c>
      <c r="BB186" s="135">
        <f>BB$3</f>
        <v>46190</v>
      </c>
      <c r="BC186" s="136" t="s">
        <v>501</v>
      </c>
      <c r="BD186" s="137" t="s">
        <v>501</v>
      </c>
      <c r="BE186" s="135">
        <f>BE$3</f>
        <v>46191</v>
      </c>
      <c r="BF186" s="136" t="s">
        <v>501</v>
      </c>
      <c r="BG186" s="137" t="s">
        <v>501</v>
      </c>
      <c r="BH186" s="135">
        <f>BH$3</f>
        <v>46192</v>
      </c>
      <c r="BI186" s="136" t="s">
        <v>501</v>
      </c>
      <c r="BJ186" s="137" t="s">
        <v>501</v>
      </c>
      <c r="BK186" s="135">
        <f>BK$3</f>
        <v>46193</v>
      </c>
      <c r="BL186" s="136" t="s">
        <v>501</v>
      </c>
      <c r="BM186" s="137" t="s">
        <v>501</v>
      </c>
      <c r="BN186" s="135"/>
      <c r="BO186" s="135">
        <f>BO$3</f>
        <v>46195</v>
      </c>
      <c r="BP186" s="136" t="s">
        <v>501</v>
      </c>
      <c r="BQ186" s="137" t="s">
        <v>501</v>
      </c>
      <c r="BR186" s="135">
        <f>BR$3</f>
        <v>46196</v>
      </c>
      <c r="BS186" s="136" t="s">
        <v>501</v>
      </c>
      <c r="BT186" s="137" t="s">
        <v>501</v>
      </c>
      <c r="BU186" s="135">
        <f>BU$3</f>
        <v>46197</v>
      </c>
      <c r="BV186" s="136" t="s">
        <v>501</v>
      </c>
      <c r="BW186" s="137" t="s">
        <v>501</v>
      </c>
      <c r="BX186" s="135">
        <f>BX$3</f>
        <v>46198</v>
      </c>
      <c r="BY186" s="136" t="s">
        <v>501</v>
      </c>
      <c r="BZ186" s="137" t="s">
        <v>501</v>
      </c>
      <c r="CA186" s="135">
        <f>CA$3</f>
        <v>46199</v>
      </c>
      <c r="CB186" s="136" t="s">
        <v>501</v>
      </c>
      <c r="CC186" s="137" t="s">
        <v>501</v>
      </c>
      <c r="CD186" s="135">
        <f>CD$3</f>
        <v>46200</v>
      </c>
      <c r="CE186" s="136" t="s">
        <v>501</v>
      </c>
      <c r="CF186" s="137" t="s">
        <v>501</v>
      </c>
      <c r="CG186" s="135"/>
      <c r="CH186" s="135">
        <f>CH$3</f>
        <v>46202</v>
      </c>
      <c r="CI186" s="148" t="s">
        <v>501</v>
      </c>
      <c r="CJ186" s="137" t="s">
        <v>501</v>
      </c>
      <c r="CK186" s="135">
        <f>CK$3</f>
        <v>46203</v>
      </c>
      <c r="CL186" s="136" t="s">
        <v>501</v>
      </c>
      <c r="CM186" s="137" t="s">
        <v>501</v>
      </c>
      <c r="CN186" s="135">
        <f>CN$3</f>
        <v>46204</v>
      </c>
      <c r="CO186" s="136" t="s">
        <v>501</v>
      </c>
      <c r="CP186" s="137" t="s">
        <v>501</v>
      </c>
      <c r="CQ186" s="135">
        <f>CQ$3</f>
        <v>46205</v>
      </c>
      <c r="CR186" s="136" t="s">
        <v>501</v>
      </c>
      <c r="CS186" s="137" t="s">
        <v>501</v>
      </c>
      <c r="CT186" s="135">
        <f>CT$3</f>
        <v>46206</v>
      </c>
      <c r="CU186" s="136" t="s">
        <v>501</v>
      </c>
      <c r="CV186" s="137" t="s">
        <v>501</v>
      </c>
      <c r="CW186" s="135">
        <f>CW$3</f>
        <v>46207</v>
      </c>
      <c r="CX186" s="136" t="s">
        <v>501</v>
      </c>
      <c r="CY186" s="137" t="s">
        <v>501</v>
      </c>
      <c r="CZ186" s="135"/>
      <c r="DA186" s="135">
        <f>DA$3</f>
        <v>46209</v>
      </c>
      <c r="DB186" s="136" t="s">
        <v>501</v>
      </c>
      <c r="DC186" s="137" t="s">
        <v>501</v>
      </c>
      <c r="DD186" s="135">
        <f>DD$3</f>
        <v>46210</v>
      </c>
      <c r="DE186" s="136" t="s">
        <v>501</v>
      </c>
      <c r="DF186" s="137" t="s">
        <v>501</v>
      </c>
      <c r="DG186" s="135">
        <f>DG$3</f>
        <v>46211</v>
      </c>
      <c r="DH186" s="136" t="s">
        <v>501</v>
      </c>
      <c r="DI186" s="137" t="s">
        <v>501</v>
      </c>
      <c r="DJ186" s="135">
        <f>DJ$3</f>
        <v>46212</v>
      </c>
      <c r="DK186" s="136" t="s">
        <v>501</v>
      </c>
      <c r="DL186" s="137" t="s">
        <v>501</v>
      </c>
      <c r="DM186" s="135">
        <f>DM$3</f>
        <v>46213</v>
      </c>
      <c r="DN186" s="136" t="s">
        <v>501</v>
      </c>
      <c r="DO186" s="137" t="s">
        <v>501</v>
      </c>
      <c r="DP186" s="135">
        <f>DP$3</f>
        <v>46214</v>
      </c>
      <c r="DQ186" s="136" t="s">
        <v>501</v>
      </c>
      <c r="DR186" s="137" t="s">
        <v>501</v>
      </c>
    </row>
    <row r="187" spans="1:122" outlineLevel="1">
      <c r="A187" s="122" t="str">
        <f>$A$175</f>
        <v>Trần Văn Toản</v>
      </c>
      <c r="B187" s="82" t="s">
        <v>690</v>
      </c>
      <c r="C187" s="81" t="str">
        <f>IF($B187="","",INDEX('Bảng 3'!C:C,MATCH($B187,'Bảng 3'!$A:$A,0)))</f>
        <v>Quản lý BIM</v>
      </c>
      <c r="D187" s="81" t="str">
        <f>IF($B187="","",INDEX('Bảng 3'!D:D,MATCH($B187,'Bảng 3'!$A:$A,0)))</f>
        <v>B.QNI.HLX.CT</v>
      </c>
      <c r="E187" s="81" t="str">
        <f>IF($B187="","",INDEX('Bảng 3'!E:E,MATCH($B187,'Bảng 3'!$A:$A,0)))</f>
        <v>Hầm lô B03.4-CCCT-03</v>
      </c>
      <c r="F187" s="81" t="str">
        <f>IF($B187="","",INDEX('Bảng 3'!F:F,MATCH($B187,'Bảng 3'!$A:$A,0)))</f>
        <v>KC</v>
      </c>
      <c r="G187" s="81" t="str">
        <f>IF($B187="","",INDEX('Bảng 3'!G:G,MATCH($B187,'Bảng 3'!$A:$A,0)))</f>
        <v>Tạo lập mô hình BIM</v>
      </c>
      <c r="H187" s="121"/>
      <c r="I187" s="135"/>
      <c r="J187" s="135">
        <f>J$3</f>
        <v>46174</v>
      </c>
      <c r="K187" s="148" t="s">
        <v>501</v>
      </c>
      <c r="L187" s="168" t="s">
        <v>501</v>
      </c>
      <c r="M187" s="135">
        <f>M$3</f>
        <v>46175</v>
      </c>
      <c r="N187" s="148" t="s">
        <v>501</v>
      </c>
      <c r="O187" s="137" t="s">
        <v>501</v>
      </c>
      <c r="P187" s="135">
        <f>P$3</f>
        <v>46176</v>
      </c>
      <c r="Q187" s="136" t="s">
        <v>501</v>
      </c>
      <c r="R187" s="137" t="s">
        <v>501</v>
      </c>
      <c r="S187" s="135">
        <f>S$3</f>
        <v>46177</v>
      </c>
      <c r="T187" s="136" t="s">
        <v>501</v>
      </c>
      <c r="U187" s="137" t="s">
        <v>501</v>
      </c>
      <c r="V187" s="135">
        <f>V$3</f>
        <v>46178</v>
      </c>
      <c r="W187" s="136" t="s">
        <v>501</v>
      </c>
      <c r="X187" s="137" t="s">
        <v>501</v>
      </c>
      <c r="Y187" s="135">
        <f>Y$3</f>
        <v>46179</v>
      </c>
      <c r="Z187" s="136" t="s">
        <v>501</v>
      </c>
      <c r="AA187" s="137" t="s">
        <v>501</v>
      </c>
      <c r="AB187" s="135"/>
      <c r="AC187" s="135">
        <f>AC$3</f>
        <v>46181</v>
      </c>
      <c r="AD187" s="136" t="s">
        <v>501</v>
      </c>
      <c r="AE187" s="137" t="s">
        <v>501</v>
      </c>
      <c r="AF187" s="135">
        <f>AF$3</f>
        <v>46182</v>
      </c>
      <c r="AG187" s="136" t="s">
        <v>501</v>
      </c>
      <c r="AH187" s="137" t="s">
        <v>501</v>
      </c>
      <c r="AI187" s="135">
        <f>AI$3</f>
        <v>46183</v>
      </c>
      <c r="AJ187" s="136" t="s">
        <v>501</v>
      </c>
      <c r="AK187" s="137" t="s">
        <v>501</v>
      </c>
      <c r="AL187" s="135">
        <f>AL$3</f>
        <v>46184</v>
      </c>
      <c r="AM187" s="136" t="s">
        <v>501</v>
      </c>
      <c r="AN187" s="137" t="s">
        <v>501</v>
      </c>
      <c r="AO187" s="135">
        <f>AO$3</f>
        <v>46185</v>
      </c>
      <c r="AP187" s="136" t="s">
        <v>501</v>
      </c>
      <c r="AQ187" s="137" t="s">
        <v>501</v>
      </c>
      <c r="AR187" s="135">
        <f>AR$3</f>
        <v>46186</v>
      </c>
      <c r="AS187" s="136" t="s">
        <v>501</v>
      </c>
      <c r="AT187" s="137" t="s">
        <v>501</v>
      </c>
      <c r="AU187" s="135"/>
      <c r="AV187" s="135">
        <f>AV$3</f>
        <v>46188</v>
      </c>
      <c r="AW187" s="148" t="s">
        <v>501</v>
      </c>
      <c r="AX187" s="137" t="s">
        <v>501</v>
      </c>
      <c r="AY187" s="135">
        <f>AY$3</f>
        <v>46189</v>
      </c>
      <c r="AZ187" s="136" t="s">
        <v>501</v>
      </c>
      <c r="BA187" s="137" t="s">
        <v>501</v>
      </c>
      <c r="BB187" s="135">
        <f>BB$3</f>
        <v>46190</v>
      </c>
      <c r="BC187" s="136" t="s">
        <v>501</v>
      </c>
      <c r="BD187" s="137" t="s">
        <v>501</v>
      </c>
      <c r="BE187" s="135">
        <f>BE$3</f>
        <v>46191</v>
      </c>
      <c r="BF187" s="136" t="s">
        <v>501</v>
      </c>
      <c r="BG187" s="137" t="s">
        <v>501</v>
      </c>
      <c r="BH187" s="135">
        <f>BH$3</f>
        <v>46192</v>
      </c>
      <c r="BI187" s="136" t="s">
        <v>501</v>
      </c>
      <c r="BJ187" s="137" t="s">
        <v>501</v>
      </c>
      <c r="BK187" s="135">
        <f>BK$3</f>
        <v>46193</v>
      </c>
      <c r="BL187" s="136" t="s">
        <v>501</v>
      </c>
      <c r="BM187" s="137" t="s">
        <v>501</v>
      </c>
      <c r="BN187" s="135"/>
      <c r="BO187" s="135">
        <f>BO$3</f>
        <v>46195</v>
      </c>
      <c r="BP187" s="136" t="s">
        <v>501</v>
      </c>
      <c r="BQ187" s="137" t="s">
        <v>501</v>
      </c>
      <c r="BR187" s="135">
        <f>BR$3</f>
        <v>46196</v>
      </c>
      <c r="BS187" s="136" t="s">
        <v>501</v>
      </c>
      <c r="BT187" s="137" t="s">
        <v>501</v>
      </c>
      <c r="BU187" s="135">
        <f>BU$3</f>
        <v>46197</v>
      </c>
      <c r="BV187" s="136" t="s">
        <v>501</v>
      </c>
      <c r="BW187" s="137" t="s">
        <v>501</v>
      </c>
      <c r="BX187" s="135">
        <f>BX$3</f>
        <v>46198</v>
      </c>
      <c r="BY187" s="136" t="s">
        <v>501</v>
      </c>
      <c r="BZ187" s="137" t="s">
        <v>501</v>
      </c>
      <c r="CA187" s="135">
        <f>CA$3</f>
        <v>46199</v>
      </c>
      <c r="CB187" s="136" t="s">
        <v>501</v>
      </c>
      <c r="CC187" s="137" t="s">
        <v>501</v>
      </c>
      <c r="CD187" s="135">
        <f>CD$3</f>
        <v>46200</v>
      </c>
      <c r="CE187" s="136" t="s">
        <v>501</v>
      </c>
      <c r="CF187" s="137" t="s">
        <v>501</v>
      </c>
      <c r="CG187" s="135"/>
      <c r="CH187" s="135">
        <f>CH$3</f>
        <v>46202</v>
      </c>
      <c r="CI187" s="148" t="s">
        <v>501</v>
      </c>
      <c r="CJ187" s="137" t="s">
        <v>501</v>
      </c>
      <c r="CK187" s="135">
        <f>CK$3</f>
        <v>46203</v>
      </c>
      <c r="CL187" s="136" t="s">
        <v>501</v>
      </c>
      <c r="CM187" s="137" t="s">
        <v>501</v>
      </c>
      <c r="CN187" s="135">
        <f>CN$3</f>
        <v>46204</v>
      </c>
      <c r="CO187" s="136" t="s">
        <v>501</v>
      </c>
      <c r="CP187" s="137" t="s">
        <v>501</v>
      </c>
      <c r="CQ187" s="135">
        <f>CQ$3</f>
        <v>46205</v>
      </c>
      <c r="CR187" s="136" t="s">
        <v>501</v>
      </c>
      <c r="CS187" s="137" t="s">
        <v>501</v>
      </c>
      <c r="CT187" s="135">
        <f>CT$3</f>
        <v>46206</v>
      </c>
      <c r="CU187" s="136" t="s">
        <v>501</v>
      </c>
      <c r="CV187" s="137" t="s">
        <v>501</v>
      </c>
      <c r="CW187" s="135">
        <f>CW$3</f>
        <v>46207</v>
      </c>
      <c r="CX187" s="136" t="s">
        <v>501</v>
      </c>
      <c r="CY187" s="137" t="s">
        <v>501</v>
      </c>
      <c r="CZ187" s="135"/>
      <c r="DA187" s="135">
        <f>DA$3</f>
        <v>46209</v>
      </c>
      <c r="DB187" s="136" t="s">
        <v>501</v>
      </c>
      <c r="DC187" s="137" t="s">
        <v>501</v>
      </c>
      <c r="DD187" s="135">
        <f>DD$3</f>
        <v>46210</v>
      </c>
      <c r="DE187" s="136" t="s">
        <v>501</v>
      </c>
      <c r="DF187" s="137" t="s">
        <v>501</v>
      </c>
      <c r="DG187" s="135">
        <f>DG$3</f>
        <v>46211</v>
      </c>
      <c r="DH187" s="136" t="s">
        <v>501</v>
      </c>
      <c r="DI187" s="137" t="s">
        <v>501</v>
      </c>
      <c r="DJ187" s="135">
        <f>DJ$3</f>
        <v>46212</v>
      </c>
      <c r="DK187" s="136" t="s">
        <v>501</v>
      </c>
      <c r="DL187" s="137" t="s">
        <v>501</v>
      </c>
      <c r="DM187" s="135">
        <f>DM$3</f>
        <v>46213</v>
      </c>
      <c r="DN187" s="136" t="s">
        <v>501</v>
      </c>
      <c r="DO187" s="137" t="s">
        <v>501</v>
      </c>
      <c r="DP187" s="135">
        <f>DP$3</f>
        <v>46214</v>
      </c>
      <c r="DQ187" s="136" t="s">
        <v>501</v>
      </c>
      <c r="DR187" s="137" t="s">
        <v>501</v>
      </c>
    </row>
    <row r="188" spans="1:122" outlineLevel="1">
      <c r="A188" s="122" t="str">
        <f>$A$175</f>
        <v>Trần Văn Toản</v>
      </c>
      <c r="B188" s="82" t="s">
        <v>691</v>
      </c>
      <c r="C188" s="81" t="str">
        <f>IF($B188="","",INDEX('Bảng 3'!C:C,MATCH($B188,'Bảng 3'!$A:$A,0)))</f>
        <v>Quản lý BIM</v>
      </c>
      <c r="D188" s="81" t="str">
        <f>IF($B188="","",INDEX('Bảng 3'!D:D,MATCH($B188,'Bảng 3'!$A:$A,0)))</f>
        <v>N.DSHCMCG.STA</v>
      </c>
      <c r="E188" s="81" t="str">
        <f>IF($B188="","",INDEX('Bảng 3'!E:E,MATCH($B188,'Bảng 3'!$A:$A,0)))</f>
        <v>Nhà Ga Cần Giờ</v>
      </c>
      <c r="F188" s="81" t="str">
        <f>IF($B188="","",INDEX('Bảng 3'!F:F,MATCH($B188,'Bảng 3'!$A:$A,0)))</f>
        <v>KT</v>
      </c>
      <c r="G188" s="81" t="str">
        <f>IF($B188="","",INDEX('Bảng 3'!G:G,MATCH($B188,'Bảng 3'!$A:$A,0)))</f>
        <v>Tạo lập mô hình BIM</v>
      </c>
      <c r="H188" s="121"/>
      <c r="I188" s="135"/>
      <c r="J188" s="135">
        <f>J$3</f>
        <v>46174</v>
      </c>
      <c r="K188" s="148" t="s">
        <v>501</v>
      </c>
      <c r="L188" s="168" t="s">
        <v>501</v>
      </c>
      <c r="M188" s="135">
        <f>M$3</f>
        <v>46175</v>
      </c>
      <c r="N188" s="148" t="s">
        <v>501</v>
      </c>
      <c r="O188" s="137" t="s">
        <v>501</v>
      </c>
      <c r="P188" s="135">
        <f>P$3</f>
        <v>46176</v>
      </c>
      <c r="Q188" s="136" t="s">
        <v>501</v>
      </c>
      <c r="R188" s="137" t="s">
        <v>501</v>
      </c>
      <c r="S188" s="135">
        <f>S$3</f>
        <v>46177</v>
      </c>
      <c r="T188" s="136" t="s">
        <v>501</v>
      </c>
      <c r="U188" s="137" t="s">
        <v>501</v>
      </c>
      <c r="V188" s="135">
        <f>V$3</f>
        <v>46178</v>
      </c>
      <c r="W188" s="136" t="s">
        <v>501</v>
      </c>
      <c r="X188" s="137" t="s">
        <v>501</v>
      </c>
      <c r="Y188" s="135">
        <f>Y$3</f>
        <v>46179</v>
      </c>
      <c r="Z188" s="136" t="s">
        <v>501</v>
      </c>
      <c r="AA188" s="137" t="s">
        <v>501</v>
      </c>
      <c r="AB188" s="135"/>
      <c r="AC188" s="135">
        <f>AC$3</f>
        <v>46181</v>
      </c>
      <c r="AD188" s="136" t="s">
        <v>501</v>
      </c>
      <c r="AE188" s="137" t="s">
        <v>501</v>
      </c>
      <c r="AF188" s="135">
        <f>AF$3</f>
        <v>46182</v>
      </c>
      <c r="AG188" s="136" t="s">
        <v>501</v>
      </c>
      <c r="AH188" s="137" t="s">
        <v>501</v>
      </c>
      <c r="AI188" s="135">
        <f>AI$3</f>
        <v>46183</v>
      </c>
      <c r="AJ188" s="136" t="s">
        <v>501</v>
      </c>
      <c r="AK188" s="137" t="s">
        <v>501</v>
      </c>
      <c r="AL188" s="135">
        <f>AL$3</f>
        <v>46184</v>
      </c>
      <c r="AM188" s="136" t="s">
        <v>501</v>
      </c>
      <c r="AN188" s="137" t="s">
        <v>501</v>
      </c>
      <c r="AO188" s="135">
        <f>AO$3</f>
        <v>46185</v>
      </c>
      <c r="AP188" s="136" t="s">
        <v>501</v>
      </c>
      <c r="AQ188" s="137" t="s">
        <v>501</v>
      </c>
      <c r="AR188" s="135">
        <f>AR$3</f>
        <v>46186</v>
      </c>
      <c r="AS188" s="136" t="s">
        <v>501</v>
      </c>
      <c r="AT188" s="137" t="s">
        <v>501</v>
      </c>
      <c r="AU188" s="135"/>
      <c r="AV188" s="135">
        <f>AV$3</f>
        <v>46188</v>
      </c>
      <c r="AW188" s="148" t="s">
        <v>501</v>
      </c>
      <c r="AX188" s="137" t="s">
        <v>501</v>
      </c>
      <c r="AY188" s="135">
        <f>AY$3</f>
        <v>46189</v>
      </c>
      <c r="AZ188" s="136" t="s">
        <v>501</v>
      </c>
      <c r="BA188" s="137" t="s">
        <v>501</v>
      </c>
      <c r="BB188" s="135">
        <f>BB$3</f>
        <v>46190</v>
      </c>
      <c r="BC188" s="136" t="s">
        <v>501</v>
      </c>
      <c r="BD188" s="137" t="s">
        <v>501</v>
      </c>
      <c r="BE188" s="135">
        <f>BE$3</f>
        <v>46191</v>
      </c>
      <c r="BF188" s="136" t="s">
        <v>501</v>
      </c>
      <c r="BG188" s="137" t="s">
        <v>501</v>
      </c>
      <c r="BH188" s="135">
        <f>BH$3</f>
        <v>46192</v>
      </c>
      <c r="BI188" s="136" t="s">
        <v>501</v>
      </c>
      <c r="BJ188" s="137" t="s">
        <v>501</v>
      </c>
      <c r="BK188" s="135">
        <f>BK$3</f>
        <v>46193</v>
      </c>
      <c r="BL188" s="136" t="s">
        <v>501</v>
      </c>
      <c r="BM188" s="137" t="s">
        <v>501</v>
      </c>
      <c r="BN188" s="135"/>
      <c r="BO188" s="135">
        <f>BO$3</f>
        <v>46195</v>
      </c>
      <c r="BP188" s="136" t="s">
        <v>501</v>
      </c>
      <c r="BQ188" s="137" t="s">
        <v>501</v>
      </c>
      <c r="BR188" s="135">
        <f>BR$3</f>
        <v>46196</v>
      </c>
      <c r="BS188" s="136" t="s">
        <v>501</v>
      </c>
      <c r="BT188" s="137" t="s">
        <v>501</v>
      </c>
      <c r="BU188" s="135">
        <f>BU$3</f>
        <v>46197</v>
      </c>
      <c r="BV188" s="136" t="s">
        <v>501</v>
      </c>
      <c r="BW188" s="137" t="s">
        <v>501</v>
      </c>
      <c r="BX188" s="135">
        <f>BX$3</f>
        <v>46198</v>
      </c>
      <c r="BY188" s="136" t="s">
        <v>501</v>
      </c>
      <c r="BZ188" s="137" t="s">
        <v>501</v>
      </c>
      <c r="CA188" s="135">
        <f>CA$3</f>
        <v>46199</v>
      </c>
      <c r="CB188" s="136" t="s">
        <v>501</v>
      </c>
      <c r="CC188" s="137" t="s">
        <v>501</v>
      </c>
      <c r="CD188" s="135">
        <f>CD$3</f>
        <v>46200</v>
      </c>
      <c r="CE188" s="136" t="s">
        <v>501</v>
      </c>
      <c r="CF188" s="137" t="s">
        <v>501</v>
      </c>
      <c r="CG188" s="135"/>
      <c r="CH188" s="135">
        <f>CH$3</f>
        <v>46202</v>
      </c>
      <c r="CI188" s="148" t="s">
        <v>501</v>
      </c>
      <c r="CJ188" s="137" t="s">
        <v>501</v>
      </c>
      <c r="CK188" s="135">
        <f>CK$3</f>
        <v>46203</v>
      </c>
      <c r="CL188" s="136" t="s">
        <v>501</v>
      </c>
      <c r="CM188" s="137" t="s">
        <v>501</v>
      </c>
      <c r="CN188" s="135">
        <f>CN$3</f>
        <v>46204</v>
      </c>
      <c r="CO188" s="136" t="s">
        <v>501</v>
      </c>
      <c r="CP188" s="137" t="s">
        <v>501</v>
      </c>
      <c r="CQ188" s="135">
        <f>CQ$3</f>
        <v>46205</v>
      </c>
      <c r="CR188" s="136" t="s">
        <v>501</v>
      </c>
      <c r="CS188" s="137" t="s">
        <v>501</v>
      </c>
      <c r="CT188" s="135">
        <f>CT$3</f>
        <v>46206</v>
      </c>
      <c r="CU188" s="136" t="s">
        <v>501</v>
      </c>
      <c r="CV188" s="137" t="s">
        <v>501</v>
      </c>
      <c r="CW188" s="135">
        <f>CW$3</f>
        <v>46207</v>
      </c>
      <c r="CX188" s="136" t="s">
        <v>501</v>
      </c>
      <c r="CY188" s="137" t="s">
        <v>501</v>
      </c>
      <c r="CZ188" s="135"/>
      <c r="DA188" s="135">
        <f>DA$3</f>
        <v>46209</v>
      </c>
      <c r="DB188" s="136" t="s">
        <v>501</v>
      </c>
      <c r="DC188" s="137" t="s">
        <v>501</v>
      </c>
      <c r="DD188" s="135">
        <f>DD$3</f>
        <v>46210</v>
      </c>
      <c r="DE188" s="136" t="s">
        <v>501</v>
      </c>
      <c r="DF188" s="137" t="s">
        <v>501</v>
      </c>
      <c r="DG188" s="135">
        <f>DG$3</f>
        <v>46211</v>
      </c>
      <c r="DH188" s="136" t="s">
        <v>501</v>
      </c>
      <c r="DI188" s="137" t="s">
        <v>501</v>
      </c>
      <c r="DJ188" s="135">
        <f>DJ$3</f>
        <v>46212</v>
      </c>
      <c r="DK188" s="136" t="s">
        <v>501</v>
      </c>
      <c r="DL188" s="137" t="s">
        <v>501</v>
      </c>
      <c r="DM188" s="135">
        <f>DM$3</f>
        <v>46213</v>
      </c>
      <c r="DN188" s="136" t="s">
        <v>501</v>
      </c>
      <c r="DO188" s="137" t="s">
        <v>501</v>
      </c>
      <c r="DP188" s="135">
        <f>DP$3</f>
        <v>46214</v>
      </c>
      <c r="DQ188" s="136" t="s">
        <v>501</v>
      </c>
      <c r="DR188" s="137" t="s">
        <v>501</v>
      </c>
    </row>
    <row r="189" spans="1:122" outlineLevel="1">
      <c r="A189" s="122" t="str">
        <f>$A$175</f>
        <v>Trần Văn Toản</v>
      </c>
      <c r="B189" s="82" t="s">
        <v>692</v>
      </c>
      <c r="C189" s="81" t="str">
        <f>IF($B189="","",INDEX('Bảng 3'!C:C,MATCH($B189,'Bảng 3'!$A:$A,0)))</f>
        <v>Quản lý BIM</v>
      </c>
      <c r="D189" s="81" t="str">
        <f>IF($B189="","",INDEX('Bảng 3'!D:D,MATCH($B189,'Bảng 3'!$A:$A,0)))</f>
        <v>N.DSHCMCG.STA</v>
      </c>
      <c r="E189" s="81" t="str">
        <f>IF($B189="","",INDEX('Bảng 3'!E:E,MATCH($B189,'Bảng 3'!$A:$A,0)))</f>
        <v>Nhà Ga Cần Giờ</v>
      </c>
      <c r="F189" s="81" t="str">
        <f>IF($B189="","",INDEX('Bảng 3'!F:F,MATCH($B189,'Bảng 3'!$A:$A,0)))</f>
        <v>KC</v>
      </c>
      <c r="G189" s="81" t="str">
        <f>IF($B189="","",INDEX('Bảng 3'!G:G,MATCH($B189,'Bảng 3'!$A:$A,0)))</f>
        <v>KSCL mô hình BIM</v>
      </c>
      <c r="H189" s="121"/>
      <c r="I189" s="135"/>
      <c r="J189" s="135">
        <f>J$3</f>
        <v>46174</v>
      </c>
      <c r="K189" s="148" t="s">
        <v>501</v>
      </c>
      <c r="L189" s="168" t="s">
        <v>501</v>
      </c>
      <c r="M189" s="135">
        <f>M$3</f>
        <v>46175</v>
      </c>
      <c r="N189" s="148" t="s">
        <v>501</v>
      </c>
      <c r="O189" s="137" t="s">
        <v>501</v>
      </c>
      <c r="P189" s="135">
        <f>P$3</f>
        <v>46176</v>
      </c>
      <c r="Q189" s="136" t="s">
        <v>501</v>
      </c>
      <c r="R189" s="137" t="s">
        <v>501</v>
      </c>
      <c r="S189" s="135">
        <f>S$3</f>
        <v>46177</v>
      </c>
      <c r="T189" s="136" t="s">
        <v>501</v>
      </c>
      <c r="U189" s="137" t="s">
        <v>501</v>
      </c>
      <c r="V189" s="135">
        <f>V$3</f>
        <v>46178</v>
      </c>
      <c r="W189" s="136" t="s">
        <v>501</v>
      </c>
      <c r="X189" s="137" t="s">
        <v>501</v>
      </c>
      <c r="Y189" s="135">
        <f>Y$3</f>
        <v>46179</v>
      </c>
      <c r="Z189" s="136" t="s">
        <v>501</v>
      </c>
      <c r="AA189" s="137" t="s">
        <v>501</v>
      </c>
      <c r="AB189" s="135"/>
      <c r="AC189" s="135">
        <f>AC$3</f>
        <v>46181</v>
      </c>
      <c r="AD189" s="136" t="s">
        <v>501</v>
      </c>
      <c r="AE189" s="137" t="s">
        <v>501</v>
      </c>
      <c r="AF189" s="135">
        <f>AF$3</f>
        <v>46182</v>
      </c>
      <c r="AG189" s="136" t="s">
        <v>501</v>
      </c>
      <c r="AH189" s="137" t="s">
        <v>501</v>
      </c>
      <c r="AI189" s="135">
        <f>AI$3</f>
        <v>46183</v>
      </c>
      <c r="AJ189" s="136" t="s">
        <v>501</v>
      </c>
      <c r="AK189" s="137" t="s">
        <v>501</v>
      </c>
      <c r="AL189" s="135">
        <f>AL$3</f>
        <v>46184</v>
      </c>
      <c r="AM189" s="136" t="s">
        <v>501</v>
      </c>
      <c r="AN189" s="137" t="s">
        <v>501</v>
      </c>
      <c r="AO189" s="135">
        <f>AO$3</f>
        <v>46185</v>
      </c>
      <c r="AP189" s="136" t="s">
        <v>501</v>
      </c>
      <c r="AQ189" s="137" t="s">
        <v>501</v>
      </c>
      <c r="AR189" s="135">
        <f>AR$3</f>
        <v>46186</v>
      </c>
      <c r="AS189" s="136" t="s">
        <v>501</v>
      </c>
      <c r="AT189" s="137" t="s">
        <v>501</v>
      </c>
      <c r="AU189" s="135"/>
      <c r="AV189" s="135">
        <f>AV$3</f>
        <v>46188</v>
      </c>
      <c r="AW189" s="148" t="s">
        <v>501</v>
      </c>
      <c r="AX189" s="137" t="s">
        <v>501</v>
      </c>
      <c r="AY189" s="135">
        <f>AY$3</f>
        <v>46189</v>
      </c>
      <c r="AZ189" s="136" t="s">
        <v>501</v>
      </c>
      <c r="BA189" s="137" t="s">
        <v>501</v>
      </c>
      <c r="BB189" s="135">
        <f>BB$3</f>
        <v>46190</v>
      </c>
      <c r="BC189" s="136" t="s">
        <v>501</v>
      </c>
      <c r="BD189" s="137" t="s">
        <v>501</v>
      </c>
      <c r="BE189" s="135">
        <f>BE$3</f>
        <v>46191</v>
      </c>
      <c r="BF189" s="136" t="s">
        <v>501</v>
      </c>
      <c r="BG189" s="137" t="s">
        <v>501</v>
      </c>
      <c r="BH189" s="135">
        <f>BH$3</f>
        <v>46192</v>
      </c>
      <c r="BI189" s="136" t="s">
        <v>501</v>
      </c>
      <c r="BJ189" s="137" t="s">
        <v>501</v>
      </c>
      <c r="BK189" s="135">
        <f>BK$3</f>
        <v>46193</v>
      </c>
      <c r="BL189" s="136" t="s">
        <v>501</v>
      </c>
      <c r="BM189" s="137" t="s">
        <v>501</v>
      </c>
      <c r="BN189" s="135"/>
      <c r="BO189" s="135">
        <f>BO$3</f>
        <v>46195</v>
      </c>
      <c r="BP189" s="136" t="s">
        <v>501</v>
      </c>
      <c r="BQ189" s="137" t="s">
        <v>501</v>
      </c>
      <c r="BR189" s="135">
        <f>BR$3</f>
        <v>46196</v>
      </c>
      <c r="BS189" s="136" t="s">
        <v>501</v>
      </c>
      <c r="BT189" s="137" t="s">
        <v>501</v>
      </c>
      <c r="BU189" s="135">
        <f>BU$3</f>
        <v>46197</v>
      </c>
      <c r="BV189" s="136" t="s">
        <v>501</v>
      </c>
      <c r="BW189" s="137" t="s">
        <v>501</v>
      </c>
      <c r="BX189" s="135">
        <f>BX$3</f>
        <v>46198</v>
      </c>
      <c r="BY189" s="136" t="s">
        <v>501</v>
      </c>
      <c r="BZ189" s="137" t="s">
        <v>501</v>
      </c>
      <c r="CA189" s="135">
        <f>CA$3</f>
        <v>46199</v>
      </c>
      <c r="CB189" s="136" t="s">
        <v>501</v>
      </c>
      <c r="CC189" s="137" t="s">
        <v>501</v>
      </c>
      <c r="CD189" s="135">
        <f>CD$3</f>
        <v>46200</v>
      </c>
      <c r="CE189" s="136" t="s">
        <v>501</v>
      </c>
      <c r="CF189" s="137" t="s">
        <v>501</v>
      </c>
      <c r="CG189" s="135"/>
      <c r="CH189" s="135">
        <f>CH$3</f>
        <v>46202</v>
      </c>
      <c r="CI189" s="148" t="s">
        <v>501</v>
      </c>
      <c r="CJ189" s="137" t="s">
        <v>501</v>
      </c>
      <c r="CK189" s="135">
        <f>CK$3</f>
        <v>46203</v>
      </c>
      <c r="CL189" s="136" t="s">
        <v>501</v>
      </c>
      <c r="CM189" s="137" t="s">
        <v>501</v>
      </c>
      <c r="CN189" s="135">
        <f>CN$3</f>
        <v>46204</v>
      </c>
      <c r="CO189" s="136" t="s">
        <v>501</v>
      </c>
      <c r="CP189" s="137" t="s">
        <v>501</v>
      </c>
      <c r="CQ189" s="135">
        <f>CQ$3</f>
        <v>46205</v>
      </c>
      <c r="CR189" s="136" t="s">
        <v>501</v>
      </c>
      <c r="CS189" s="137" t="s">
        <v>501</v>
      </c>
      <c r="CT189" s="135">
        <f>CT$3</f>
        <v>46206</v>
      </c>
      <c r="CU189" s="136" t="s">
        <v>501</v>
      </c>
      <c r="CV189" s="137" t="s">
        <v>501</v>
      </c>
      <c r="CW189" s="135">
        <f>CW$3</f>
        <v>46207</v>
      </c>
      <c r="CX189" s="136" t="s">
        <v>501</v>
      </c>
      <c r="CY189" s="137" t="s">
        <v>501</v>
      </c>
      <c r="CZ189" s="135"/>
      <c r="DA189" s="135">
        <f>DA$3</f>
        <v>46209</v>
      </c>
      <c r="DB189" s="136" t="s">
        <v>501</v>
      </c>
      <c r="DC189" s="137" t="s">
        <v>501</v>
      </c>
      <c r="DD189" s="135">
        <f>DD$3</f>
        <v>46210</v>
      </c>
      <c r="DE189" s="136" t="s">
        <v>501</v>
      </c>
      <c r="DF189" s="137" t="s">
        <v>501</v>
      </c>
      <c r="DG189" s="135">
        <f>DG$3</f>
        <v>46211</v>
      </c>
      <c r="DH189" s="136" t="s">
        <v>501</v>
      </c>
      <c r="DI189" s="137" t="s">
        <v>501</v>
      </c>
      <c r="DJ189" s="135">
        <f>DJ$3</f>
        <v>46212</v>
      </c>
      <c r="DK189" s="136" t="s">
        <v>501</v>
      </c>
      <c r="DL189" s="137" t="s">
        <v>501</v>
      </c>
      <c r="DM189" s="135">
        <f>DM$3</f>
        <v>46213</v>
      </c>
      <c r="DN189" s="136" t="s">
        <v>501</v>
      </c>
      <c r="DO189" s="137" t="s">
        <v>501</v>
      </c>
      <c r="DP189" s="135">
        <f>DP$3</f>
        <v>46214</v>
      </c>
      <c r="DQ189" s="136" t="s">
        <v>501</v>
      </c>
      <c r="DR189" s="137" t="s">
        <v>501</v>
      </c>
    </row>
    <row r="190" spans="1:122" outlineLevel="1">
      <c r="A190" s="122" t="str">
        <f>$A$175</f>
        <v>Trần Văn Toản</v>
      </c>
      <c r="B190" s="82" t="s">
        <v>693</v>
      </c>
      <c r="C190" s="81" t="str">
        <f>IF($B190="","",INDEX('Bảng 3'!C:C,MATCH($B190,'Bảng 3'!$A:$A,0)))</f>
        <v>Quản lý BIM</v>
      </c>
      <c r="D190" s="81" t="str">
        <f>IF($B190="","",INDEX('Bảng 3'!D:D,MATCH($B190,'Bảng 3'!$A:$A,0)))</f>
        <v>T.KHO.VPNT.KSMN</v>
      </c>
      <c r="E190" s="81" t="str">
        <f>IF($B190="","",INDEX('Bảng 3'!E:E,MATCH($B190,'Bảng 3'!$A:$A,0)))</f>
        <v>Mẫu M5</v>
      </c>
      <c r="F190" s="81" t="str">
        <f>IF($B190="","",INDEX('Bảng 3'!F:F,MATCH($B190,'Bảng 3'!$A:$A,0)))</f>
        <v>KT</v>
      </c>
      <c r="G190" s="81" t="str">
        <f>IF($B190="","",INDEX('Bảng 3'!G:G,MATCH($B190,'Bảng 3'!$A:$A,0)))</f>
        <v>KSCL mô hình BIM</v>
      </c>
      <c r="H190" s="121"/>
      <c r="I190" s="135"/>
      <c r="J190" s="135">
        <f>J$3</f>
        <v>46174</v>
      </c>
      <c r="K190" s="148" t="s">
        <v>501</v>
      </c>
      <c r="L190" s="168" t="s">
        <v>501</v>
      </c>
      <c r="M190" s="135">
        <f>M$3</f>
        <v>46175</v>
      </c>
      <c r="N190" s="148" t="s">
        <v>501</v>
      </c>
      <c r="O190" s="137" t="s">
        <v>501</v>
      </c>
      <c r="P190" s="135">
        <f>P$3</f>
        <v>46176</v>
      </c>
      <c r="Q190" s="136" t="s">
        <v>501</v>
      </c>
      <c r="R190" s="137" t="s">
        <v>501</v>
      </c>
      <c r="S190" s="135">
        <f>S$3</f>
        <v>46177</v>
      </c>
      <c r="T190" s="136" t="s">
        <v>501</v>
      </c>
      <c r="U190" s="137" t="s">
        <v>501</v>
      </c>
      <c r="V190" s="135">
        <f>V$3</f>
        <v>46178</v>
      </c>
      <c r="W190" s="136" t="s">
        <v>501</v>
      </c>
      <c r="X190" s="137" t="s">
        <v>501</v>
      </c>
      <c r="Y190" s="135">
        <f>Y$3</f>
        <v>46179</v>
      </c>
      <c r="Z190" s="136" t="s">
        <v>501</v>
      </c>
      <c r="AA190" s="137" t="s">
        <v>501</v>
      </c>
      <c r="AB190" s="135"/>
      <c r="AC190" s="135">
        <f>AC$3</f>
        <v>46181</v>
      </c>
      <c r="AD190" s="136" t="s">
        <v>501</v>
      </c>
      <c r="AE190" s="137" t="s">
        <v>501</v>
      </c>
      <c r="AF190" s="135">
        <f>AF$3</f>
        <v>46182</v>
      </c>
      <c r="AG190" s="136" t="s">
        <v>501</v>
      </c>
      <c r="AH190" s="137" t="s">
        <v>501</v>
      </c>
      <c r="AI190" s="135">
        <f>AI$3</f>
        <v>46183</v>
      </c>
      <c r="AJ190" s="136" t="s">
        <v>501</v>
      </c>
      <c r="AK190" s="137" t="s">
        <v>501</v>
      </c>
      <c r="AL190" s="135">
        <f>AL$3</f>
        <v>46184</v>
      </c>
      <c r="AM190" s="136" t="s">
        <v>501</v>
      </c>
      <c r="AN190" s="137" t="s">
        <v>501</v>
      </c>
      <c r="AO190" s="135">
        <f>AO$3</f>
        <v>46185</v>
      </c>
      <c r="AP190" s="136" t="s">
        <v>501</v>
      </c>
      <c r="AQ190" s="137" t="s">
        <v>501</v>
      </c>
      <c r="AR190" s="135">
        <f>AR$3</f>
        <v>46186</v>
      </c>
      <c r="AS190" s="136" t="s">
        <v>501</v>
      </c>
      <c r="AT190" s="137" t="s">
        <v>501</v>
      </c>
      <c r="AU190" s="135"/>
      <c r="AV190" s="135">
        <f>AV$3</f>
        <v>46188</v>
      </c>
      <c r="AW190" s="148" t="s">
        <v>501</v>
      </c>
      <c r="AX190" s="137" t="s">
        <v>501</v>
      </c>
      <c r="AY190" s="135">
        <f>AY$3</f>
        <v>46189</v>
      </c>
      <c r="AZ190" s="136" t="s">
        <v>501</v>
      </c>
      <c r="BA190" s="137" t="s">
        <v>501</v>
      </c>
      <c r="BB190" s="135">
        <f>BB$3</f>
        <v>46190</v>
      </c>
      <c r="BC190" s="136" t="s">
        <v>501</v>
      </c>
      <c r="BD190" s="137" t="s">
        <v>501</v>
      </c>
      <c r="BE190" s="135">
        <f>BE$3</f>
        <v>46191</v>
      </c>
      <c r="BF190" s="136" t="s">
        <v>501</v>
      </c>
      <c r="BG190" s="137" t="s">
        <v>501</v>
      </c>
      <c r="BH190" s="135">
        <f>BH$3</f>
        <v>46192</v>
      </c>
      <c r="BI190" s="136" t="s">
        <v>501</v>
      </c>
      <c r="BJ190" s="137" t="s">
        <v>501</v>
      </c>
      <c r="BK190" s="135">
        <f>BK$3</f>
        <v>46193</v>
      </c>
      <c r="BL190" s="136" t="s">
        <v>501</v>
      </c>
      <c r="BM190" s="137" t="s">
        <v>501</v>
      </c>
      <c r="BN190" s="135"/>
      <c r="BO190" s="135">
        <f>BO$3</f>
        <v>46195</v>
      </c>
      <c r="BP190" s="136" t="s">
        <v>501</v>
      </c>
      <c r="BQ190" s="137" t="s">
        <v>501</v>
      </c>
      <c r="BR190" s="135">
        <f>BR$3</f>
        <v>46196</v>
      </c>
      <c r="BS190" s="136" t="s">
        <v>501</v>
      </c>
      <c r="BT190" s="137" t="s">
        <v>501</v>
      </c>
      <c r="BU190" s="135">
        <f>BU$3</f>
        <v>46197</v>
      </c>
      <c r="BV190" s="136" t="s">
        <v>501</v>
      </c>
      <c r="BW190" s="137" t="s">
        <v>501</v>
      </c>
      <c r="BX190" s="135">
        <f>BX$3</f>
        <v>46198</v>
      </c>
      <c r="BY190" s="136" t="s">
        <v>501</v>
      </c>
      <c r="BZ190" s="137" t="s">
        <v>501</v>
      </c>
      <c r="CA190" s="135">
        <f>CA$3</f>
        <v>46199</v>
      </c>
      <c r="CB190" s="136" t="s">
        <v>501</v>
      </c>
      <c r="CC190" s="137" t="s">
        <v>501</v>
      </c>
      <c r="CD190" s="135">
        <f>CD$3</f>
        <v>46200</v>
      </c>
      <c r="CE190" s="136" t="s">
        <v>501</v>
      </c>
      <c r="CF190" s="137" t="s">
        <v>501</v>
      </c>
      <c r="CG190" s="135"/>
      <c r="CH190" s="135">
        <f>CH$3</f>
        <v>46202</v>
      </c>
      <c r="CI190" s="148" t="s">
        <v>501</v>
      </c>
      <c r="CJ190" s="137" t="s">
        <v>501</v>
      </c>
      <c r="CK190" s="135">
        <f>CK$3</f>
        <v>46203</v>
      </c>
      <c r="CL190" s="136" t="s">
        <v>501</v>
      </c>
      <c r="CM190" s="137" t="s">
        <v>501</v>
      </c>
      <c r="CN190" s="135">
        <f>CN$3</f>
        <v>46204</v>
      </c>
      <c r="CO190" s="136" t="s">
        <v>501</v>
      </c>
      <c r="CP190" s="137" t="s">
        <v>501</v>
      </c>
      <c r="CQ190" s="135">
        <f>CQ$3</f>
        <v>46205</v>
      </c>
      <c r="CR190" s="136" t="s">
        <v>501</v>
      </c>
      <c r="CS190" s="137" t="s">
        <v>501</v>
      </c>
      <c r="CT190" s="135">
        <f>CT$3</f>
        <v>46206</v>
      </c>
      <c r="CU190" s="136" t="s">
        <v>501</v>
      </c>
      <c r="CV190" s="137" t="s">
        <v>501</v>
      </c>
      <c r="CW190" s="135">
        <f>CW$3</f>
        <v>46207</v>
      </c>
      <c r="CX190" s="136" t="s">
        <v>501</v>
      </c>
      <c r="CY190" s="137" t="s">
        <v>501</v>
      </c>
      <c r="CZ190" s="135"/>
      <c r="DA190" s="135">
        <f>DA$3</f>
        <v>46209</v>
      </c>
      <c r="DB190" s="136" t="s">
        <v>501</v>
      </c>
      <c r="DC190" s="137" t="s">
        <v>501</v>
      </c>
      <c r="DD190" s="135">
        <f>DD$3</f>
        <v>46210</v>
      </c>
      <c r="DE190" s="136" t="s">
        <v>501</v>
      </c>
      <c r="DF190" s="137" t="s">
        <v>501</v>
      </c>
      <c r="DG190" s="135">
        <f>DG$3</f>
        <v>46211</v>
      </c>
      <c r="DH190" s="136" t="s">
        <v>501</v>
      </c>
      <c r="DI190" s="137" t="s">
        <v>501</v>
      </c>
      <c r="DJ190" s="135">
        <f>DJ$3</f>
        <v>46212</v>
      </c>
      <c r="DK190" s="136" t="s">
        <v>501</v>
      </c>
      <c r="DL190" s="137" t="s">
        <v>501</v>
      </c>
      <c r="DM190" s="135">
        <f>DM$3</f>
        <v>46213</v>
      </c>
      <c r="DN190" s="136" t="s">
        <v>501</v>
      </c>
      <c r="DO190" s="137" t="s">
        <v>501</v>
      </c>
      <c r="DP190" s="135">
        <f>DP$3</f>
        <v>46214</v>
      </c>
      <c r="DQ190" s="136" t="s">
        <v>501</v>
      </c>
      <c r="DR190" s="137" t="s">
        <v>501</v>
      </c>
    </row>
    <row r="191" spans="1:122" outlineLevel="1">
      <c r="A191" s="122" t="str">
        <f>$A$175</f>
        <v>Trần Văn Toản</v>
      </c>
      <c r="B191" s="33" t="s">
        <v>694</v>
      </c>
      <c r="C191" s="81" t="str">
        <f>IF($B191="","",INDEX('Bảng 3'!C:C,MATCH($B191,'Bảng 3'!$A:$A,0)))</f>
        <v>Quản lý BIM</v>
      </c>
      <c r="D191" s="81" t="str">
        <f>IF($B191="","",INDEX('Bảng 3'!D:D,MATCH($B191,'Bảng 3'!$A:$A,0)))</f>
        <v>T.KHO.VPNT.KSMN</v>
      </c>
      <c r="E191" s="81" t="str">
        <f>IF($B191="","",INDEX('Bảng 3'!E:E,MATCH($B191,'Bảng 3'!$A:$A,0)))</f>
        <v>Mẫu M5</v>
      </c>
      <c r="F191" s="81" t="str">
        <f>IF($B191="","",INDEX('Bảng 3'!F:F,MATCH($B191,'Bảng 3'!$A:$A,0)))</f>
        <v>KT</v>
      </c>
      <c r="G191" s="81" t="str">
        <f>IF($B191="","",INDEX('Bảng 3'!G:G,MATCH($B191,'Bảng 3'!$A:$A,0)))</f>
        <v>Tạo lập mô hình BIM</v>
      </c>
      <c r="H191" s="121"/>
      <c r="I191" s="135"/>
      <c r="J191" s="135">
        <f>J$3</f>
        <v>46174</v>
      </c>
      <c r="K191" s="148" t="s">
        <v>501</v>
      </c>
      <c r="L191" s="168" t="s">
        <v>501</v>
      </c>
      <c r="M191" s="135">
        <f>M$3</f>
        <v>46175</v>
      </c>
      <c r="N191" s="148" t="s">
        <v>501</v>
      </c>
      <c r="O191" s="137" t="s">
        <v>501</v>
      </c>
      <c r="P191" s="135">
        <f>P$3</f>
        <v>46176</v>
      </c>
      <c r="Q191" s="136" t="s">
        <v>501</v>
      </c>
      <c r="R191" s="137" t="s">
        <v>501</v>
      </c>
      <c r="S191" s="135">
        <f>S$3</f>
        <v>46177</v>
      </c>
      <c r="T191" s="136" t="s">
        <v>501</v>
      </c>
      <c r="U191" s="137" t="s">
        <v>501</v>
      </c>
      <c r="V191" s="135">
        <f>V$3</f>
        <v>46178</v>
      </c>
      <c r="W191" s="136" t="s">
        <v>501</v>
      </c>
      <c r="X191" s="137" t="s">
        <v>501</v>
      </c>
      <c r="Y191" s="135">
        <f>Y$3</f>
        <v>46179</v>
      </c>
      <c r="Z191" s="136" t="s">
        <v>501</v>
      </c>
      <c r="AA191" s="137" t="s">
        <v>501</v>
      </c>
      <c r="AB191" s="135"/>
      <c r="AC191" s="135">
        <f>AC$3</f>
        <v>46181</v>
      </c>
      <c r="AD191" s="136" t="s">
        <v>501</v>
      </c>
      <c r="AE191" s="137" t="s">
        <v>501</v>
      </c>
      <c r="AF191" s="135">
        <f>AF$3</f>
        <v>46182</v>
      </c>
      <c r="AG191" s="136" t="s">
        <v>501</v>
      </c>
      <c r="AH191" s="137" t="s">
        <v>501</v>
      </c>
      <c r="AI191" s="135">
        <f>AI$3</f>
        <v>46183</v>
      </c>
      <c r="AJ191" s="136" t="s">
        <v>501</v>
      </c>
      <c r="AK191" s="137" t="s">
        <v>501</v>
      </c>
      <c r="AL191" s="135">
        <f>AL$3</f>
        <v>46184</v>
      </c>
      <c r="AM191" s="136" t="s">
        <v>501</v>
      </c>
      <c r="AN191" s="137" t="s">
        <v>501</v>
      </c>
      <c r="AO191" s="135">
        <f>AO$3</f>
        <v>46185</v>
      </c>
      <c r="AP191" s="136" t="s">
        <v>501</v>
      </c>
      <c r="AQ191" s="137" t="s">
        <v>501</v>
      </c>
      <c r="AR191" s="135">
        <f>AR$3</f>
        <v>46186</v>
      </c>
      <c r="AS191" s="136" t="s">
        <v>501</v>
      </c>
      <c r="AT191" s="137" t="s">
        <v>501</v>
      </c>
      <c r="AU191" s="135"/>
      <c r="AV191" s="135">
        <f>AV$3</f>
        <v>46188</v>
      </c>
      <c r="AW191" s="148" t="s">
        <v>501</v>
      </c>
      <c r="AX191" s="137" t="s">
        <v>501</v>
      </c>
      <c r="AY191" s="135">
        <f>AY$3</f>
        <v>46189</v>
      </c>
      <c r="AZ191" s="136" t="s">
        <v>501</v>
      </c>
      <c r="BA191" s="137" t="s">
        <v>501</v>
      </c>
      <c r="BB191" s="135">
        <f>BB$3</f>
        <v>46190</v>
      </c>
      <c r="BC191" s="136" t="s">
        <v>501</v>
      </c>
      <c r="BD191" s="137" t="s">
        <v>501</v>
      </c>
      <c r="BE191" s="135">
        <f>BE$3</f>
        <v>46191</v>
      </c>
      <c r="BF191" s="136" t="s">
        <v>501</v>
      </c>
      <c r="BG191" s="137" t="s">
        <v>501</v>
      </c>
      <c r="BH191" s="135">
        <f>BH$3</f>
        <v>46192</v>
      </c>
      <c r="BI191" s="136" t="s">
        <v>501</v>
      </c>
      <c r="BJ191" s="137" t="s">
        <v>501</v>
      </c>
      <c r="BK191" s="135">
        <f>BK$3</f>
        <v>46193</v>
      </c>
      <c r="BL191" s="136" t="s">
        <v>501</v>
      </c>
      <c r="BM191" s="137" t="s">
        <v>501</v>
      </c>
      <c r="BN191" s="135"/>
      <c r="BO191" s="135">
        <f>BO$3</f>
        <v>46195</v>
      </c>
      <c r="BP191" s="136" t="s">
        <v>501</v>
      </c>
      <c r="BQ191" s="137" t="s">
        <v>501</v>
      </c>
      <c r="BR191" s="135">
        <f>BR$3</f>
        <v>46196</v>
      </c>
      <c r="BS191" s="136" t="s">
        <v>501</v>
      </c>
      <c r="BT191" s="137" t="s">
        <v>501</v>
      </c>
      <c r="BU191" s="135">
        <f>BU$3</f>
        <v>46197</v>
      </c>
      <c r="BV191" s="136" t="s">
        <v>501</v>
      </c>
      <c r="BW191" s="137" t="s">
        <v>501</v>
      </c>
      <c r="BX191" s="135">
        <f>BX$3</f>
        <v>46198</v>
      </c>
      <c r="BY191" s="136" t="s">
        <v>501</v>
      </c>
      <c r="BZ191" s="137" t="s">
        <v>501</v>
      </c>
      <c r="CA191" s="135">
        <f>CA$3</f>
        <v>46199</v>
      </c>
      <c r="CB191" s="136" t="s">
        <v>501</v>
      </c>
      <c r="CC191" s="137" t="s">
        <v>501</v>
      </c>
      <c r="CD191" s="135">
        <f>CD$3</f>
        <v>46200</v>
      </c>
      <c r="CE191" s="136" t="s">
        <v>501</v>
      </c>
      <c r="CF191" s="137" t="s">
        <v>501</v>
      </c>
      <c r="CG191" s="135"/>
      <c r="CH191" s="135">
        <f>CH$3</f>
        <v>46202</v>
      </c>
      <c r="CI191" s="148" t="s">
        <v>501</v>
      </c>
      <c r="CJ191" s="137" t="s">
        <v>501</v>
      </c>
      <c r="CK191" s="135">
        <f>CK$3</f>
        <v>46203</v>
      </c>
      <c r="CL191" s="136" t="s">
        <v>501</v>
      </c>
      <c r="CM191" s="137" t="s">
        <v>501</v>
      </c>
      <c r="CN191" s="135">
        <f>CN$3</f>
        <v>46204</v>
      </c>
      <c r="CO191" s="136" t="s">
        <v>501</v>
      </c>
      <c r="CP191" s="137" t="s">
        <v>501</v>
      </c>
      <c r="CQ191" s="135">
        <f>CQ$3</f>
        <v>46205</v>
      </c>
      <c r="CR191" s="136" t="s">
        <v>501</v>
      </c>
      <c r="CS191" s="137" t="s">
        <v>501</v>
      </c>
      <c r="CT191" s="135">
        <f>CT$3</f>
        <v>46206</v>
      </c>
      <c r="CU191" s="136" t="s">
        <v>501</v>
      </c>
      <c r="CV191" s="137" t="s">
        <v>501</v>
      </c>
      <c r="CW191" s="135">
        <f>CW$3</f>
        <v>46207</v>
      </c>
      <c r="CX191" s="136" t="s">
        <v>501</v>
      </c>
      <c r="CY191" s="137" t="s">
        <v>501</v>
      </c>
      <c r="CZ191" s="135"/>
      <c r="DA191" s="135">
        <f>DA$3</f>
        <v>46209</v>
      </c>
      <c r="DB191" s="136" t="s">
        <v>501</v>
      </c>
      <c r="DC191" s="137" t="s">
        <v>501</v>
      </c>
      <c r="DD191" s="135">
        <f>DD$3</f>
        <v>46210</v>
      </c>
      <c r="DE191" s="136" t="s">
        <v>501</v>
      </c>
      <c r="DF191" s="137" t="s">
        <v>501</v>
      </c>
      <c r="DG191" s="135">
        <f>DG$3</f>
        <v>46211</v>
      </c>
      <c r="DH191" s="136" t="s">
        <v>501</v>
      </c>
      <c r="DI191" s="137" t="s">
        <v>501</v>
      </c>
      <c r="DJ191" s="135">
        <f>DJ$3</f>
        <v>46212</v>
      </c>
      <c r="DK191" s="136" t="s">
        <v>501</v>
      </c>
      <c r="DL191" s="137" t="s">
        <v>501</v>
      </c>
      <c r="DM191" s="135">
        <f>DM$3</f>
        <v>46213</v>
      </c>
      <c r="DN191" s="136" t="s">
        <v>501</v>
      </c>
      <c r="DO191" s="137" t="s">
        <v>501</v>
      </c>
      <c r="DP191" s="135">
        <f>DP$3</f>
        <v>46214</v>
      </c>
      <c r="DQ191" s="136" t="s">
        <v>501</v>
      </c>
      <c r="DR191" s="137" t="s">
        <v>501</v>
      </c>
    </row>
    <row r="192" spans="1:122" outlineLevel="1">
      <c r="A192" s="122" t="str">
        <f>$A$175</f>
        <v>Trần Văn Toản</v>
      </c>
      <c r="B192" s="33" t="s">
        <v>695</v>
      </c>
      <c r="C192" s="81" t="str">
        <f>IF($B192="","",INDEX('Bảng 3'!C:C,MATCH($B192,'Bảng 3'!$A:$A,0)))</f>
        <v>Quản lý BIM</v>
      </c>
      <c r="D192" s="81" t="str">
        <f>IF($B192="","",INDEX('Bảng 3'!D:D,MATCH($B192,'Bảng 3'!$A:$A,0)))</f>
        <v>T.KHO.VPNT.KSMN</v>
      </c>
      <c r="E192" s="81" t="str">
        <f>IF($B192="","",INDEX('Bảng 3'!E:E,MATCH($B192,'Bảng 3'!$A:$A,0)))</f>
        <v>Mẫu M5</v>
      </c>
      <c r="F192" s="81" t="str">
        <f>IF($B192="","",INDEX('Bảng 3'!F:F,MATCH($B192,'Bảng 3'!$A:$A,0)))</f>
        <v>KC</v>
      </c>
      <c r="G192" s="81" t="str">
        <f>IF($B192="","",INDEX('Bảng 3'!G:G,MATCH($B192,'Bảng 3'!$A:$A,0)))</f>
        <v>KSCL mô hình BIM</v>
      </c>
      <c r="H192" s="121"/>
      <c r="I192" s="135"/>
      <c r="J192" s="135">
        <f>J$3</f>
        <v>46174</v>
      </c>
      <c r="K192" s="148" t="s">
        <v>501</v>
      </c>
      <c r="L192" s="168" t="s">
        <v>501</v>
      </c>
      <c r="M192" s="135">
        <f>M$3</f>
        <v>46175</v>
      </c>
      <c r="N192" s="148" t="s">
        <v>501</v>
      </c>
      <c r="O192" s="137" t="s">
        <v>501</v>
      </c>
      <c r="P192" s="135">
        <f>P$3</f>
        <v>46176</v>
      </c>
      <c r="Q192" s="136" t="s">
        <v>501</v>
      </c>
      <c r="R192" s="137" t="s">
        <v>501</v>
      </c>
      <c r="S192" s="135">
        <f>S$3</f>
        <v>46177</v>
      </c>
      <c r="T192" s="136" t="s">
        <v>501</v>
      </c>
      <c r="U192" s="137" t="s">
        <v>501</v>
      </c>
      <c r="V192" s="135">
        <f>V$3</f>
        <v>46178</v>
      </c>
      <c r="W192" s="136" t="s">
        <v>501</v>
      </c>
      <c r="X192" s="137" t="s">
        <v>501</v>
      </c>
      <c r="Y192" s="135">
        <f>Y$3</f>
        <v>46179</v>
      </c>
      <c r="Z192" s="136" t="s">
        <v>501</v>
      </c>
      <c r="AA192" s="137" t="s">
        <v>501</v>
      </c>
      <c r="AB192" s="135"/>
      <c r="AC192" s="135">
        <f>AC$3</f>
        <v>46181</v>
      </c>
      <c r="AD192" s="136" t="s">
        <v>501</v>
      </c>
      <c r="AE192" s="137" t="s">
        <v>501</v>
      </c>
      <c r="AF192" s="135">
        <f>AF$3</f>
        <v>46182</v>
      </c>
      <c r="AG192" s="136" t="s">
        <v>501</v>
      </c>
      <c r="AH192" s="137" t="s">
        <v>501</v>
      </c>
      <c r="AI192" s="135">
        <f>AI$3</f>
        <v>46183</v>
      </c>
      <c r="AJ192" s="136" t="s">
        <v>501</v>
      </c>
      <c r="AK192" s="137" t="s">
        <v>501</v>
      </c>
      <c r="AL192" s="135">
        <f>AL$3</f>
        <v>46184</v>
      </c>
      <c r="AM192" s="136" t="s">
        <v>501</v>
      </c>
      <c r="AN192" s="137" t="s">
        <v>501</v>
      </c>
      <c r="AO192" s="135">
        <f>AO$3</f>
        <v>46185</v>
      </c>
      <c r="AP192" s="136" t="s">
        <v>501</v>
      </c>
      <c r="AQ192" s="137" t="s">
        <v>501</v>
      </c>
      <c r="AR192" s="135">
        <f>AR$3</f>
        <v>46186</v>
      </c>
      <c r="AS192" s="136" t="s">
        <v>501</v>
      </c>
      <c r="AT192" s="137" t="s">
        <v>501</v>
      </c>
      <c r="AU192" s="135"/>
      <c r="AV192" s="135">
        <f>AV$3</f>
        <v>46188</v>
      </c>
      <c r="AW192" s="148" t="s">
        <v>501</v>
      </c>
      <c r="AX192" s="137" t="s">
        <v>501</v>
      </c>
      <c r="AY192" s="135">
        <f>AY$3</f>
        <v>46189</v>
      </c>
      <c r="AZ192" s="136" t="s">
        <v>501</v>
      </c>
      <c r="BA192" s="137" t="s">
        <v>501</v>
      </c>
      <c r="BB192" s="135">
        <f>BB$3</f>
        <v>46190</v>
      </c>
      <c r="BC192" s="136" t="s">
        <v>501</v>
      </c>
      <c r="BD192" s="137" t="s">
        <v>501</v>
      </c>
      <c r="BE192" s="135">
        <f>BE$3</f>
        <v>46191</v>
      </c>
      <c r="BF192" s="136" t="s">
        <v>501</v>
      </c>
      <c r="BG192" s="137" t="s">
        <v>501</v>
      </c>
      <c r="BH192" s="135">
        <f>BH$3</f>
        <v>46192</v>
      </c>
      <c r="BI192" s="136" t="s">
        <v>501</v>
      </c>
      <c r="BJ192" s="137" t="s">
        <v>501</v>
      </c>
      <c r="BK192" s="135">
        <f>BK$3</f>
        <v>46193</v>
      </c>
      <c r="BL192" s="136" t="s">
        <v>501</v>
      </c>
      <c r="BM192" s="137" t="s">
        <v>501</v>
      </c>
      <c r="BN192" s="135"/>
      <c r="BO192" s="135">
        <f>BO$3</f>
        <v>46195</v>
      </c>
      <c r="BP192" s="136" t="s">
        <v>501</v>
      </c>
      <c r="BQ192" s="137" t="s">
        <v>501</v>
      </c>
      <c r="BR192" s="135">
        <f>BR$3</f>
        <v>46196</v>
      </c>
      <c r="BS192" s="136" t="s">
        <v>501</v>
      </c>
      <c r="BT192" s="137" t="s">
        <v>501</v>
      </c>
      <c r="BU192" s="135">
        <f>BU$3</f>
        <v>46197</v>
      </c>
      <c r="BV192" s="136" t="s">
        <v>501</v>
      </c>
      <c r="BW192" s="137" t="s">
        <v>501</v>
      </c>
      <c r="BX192" s="135">
        <f>BX$3</f>
        <v>46198</v>
      </c>
      <c r="BY192" s="136" t="s">
        <v>501</v>
      </c>
      <c r="BZ192" s="137" t="s">
        <v>501</v>
      </c>
      <c r="CA192" s="135">
        <f>CA$3</f>
        <v>46199</v>
      </c>
      <c r="CB192" s="136" t="s">
        <v>501</v>
      </c>
      <c r="CC192" s="137" t="s">
        <v>501</v>
      </c>
      <c r="CD192" s="135">
        <f>CD$3</f>
        <v>46200</v>
      </c>
      <c r="CE192" s="136" t="s">
        <v>501</v>
      </c>
      <c r="CF192" s="137" t="s">
        <v>501</v>
      </c>
      <c r="CG192" s="135"/>
      <c r="CH192" s="135">
        <f>CH$3</f>
        <v>46202</v>
      </c>
      <c r="CI192" s="148" t="s">
        <v>501</v>
      </c>
      <c r="CJ192" s="137" t="s">
        <v>501</v>
      </c>
      <c r="CK192" s="135">
        <f>CK$3</f>
        <v>46203</v>
      </c>
      <c r="CL192" s="136" t="s">
        <v>501</v>
      </c>
      <c r="CM192" s="137" t="s">
        <v>501</v>
      </c>
      <c r="CN192" s="135">
        <f>CN$3</f>
        <v>46204</v>
      </c>
      <c r="CO192" s="136" t="s">
        <v>501</v>
      </c>
      <c r="CP192" s="137" t="s">
        <v>501</v>
      </c>
      <c r="CQ192" s="135">
        <f>CQ$3</f>
        <v>46205</v>
      </c>
      <c r="CR192" s="136" t="s">
        <v>501</v>
      </c>
      <c r="CS192" s="137" t="s">
        <v>501</v>
      </c>
      <c r="CT192" s="135">
        <f>CT$3</f>
        <v>46206</v>
      </c>
      <c r="CU192" s="136" t="s">
        <v>501</v>
      </c>
      <c r="CV192" s="137" t="s">
        <v>501</v>
      </c>
      <c r="CW192" s="135">
        <f>CW$3</f>
        <v>46207</v>
      </c>
      <c r="CX192" s="136" t="s">
        <v>501</v>
      </c>
      <c r="CY192" s="137" t="s">
        <v>501</v>
      </c>
      <c r="CZ192" s="135"/>
      <c r="DA192" s="135">
        <f>DA$3</f>
        <v>46209</v>
      </c>
      <c r="DB192" s="136" t="s">
        <v>501</v>
      </c>
      <c r="DC192" s="137" t="s">
        <v>501</v>
      </c>
      <c r="DD192" s="135">
        <f>DD$3</f>
        <v>46210</v>
      </c>
      <c r="DE192" s="136" t="s">
        <v>501</v>
      </c>
      <c r="DF192" s="137" t="s">
        <v>501</v>
      </c>
      <c r="DG192" s="135">
        <f>DG$3</f>
        <v>46211</v>
      </c>
      <c r="DH192" s="136" t="s">
        <v>501</v>
      </c>
      <c r="DI192" s="137" t="s">
        <v>501</v>
      </c>
      <c r="DJ192" s="135">
        <f>DJ$3</f>
        <v>46212</v>
      </c>
      <c r="DK192" s="136" t="s">
        <v>501</v>
      </c>
      <c r="DL192" s="137" t="s">
        <v>501</v>
      </c>
      <c r="DM192" s="135">
        <f>DM$3</f>
        <v>46213</v>
      </c>
      <c r="DN192" s="136" t="s">
        <v>501</v>
      </c>
      <c r="DO192" s="137" t="s">
        <v>501</v>
      </c>
      <c r="DP192" s="135">
        <f>DP$3</f>
        <v>46214</v>
      </c>
      <c r="DQ192" s="136" t="s">
        <v>501</v>
      </c>
      <c r="DR192" s="137" t="s">
        <v>501</v>
      </c>
    </row>
    <row r="193" spans="1:122" outlineLevel="1">
      <c r="A193" s="122" t="str">
        <f>$A$175</f>
        <v>Trần Văn Toản</v>
      </c>
      <c r="B193" s="33" t="s">
        <v>621</v>
      </c>
      <c r="C193" s="81" t="str">
        <f>IF($B193="","",INDEX('Bảng 3'!C:C,MATCH($B193,'Bảng 3'!$A:$A,0)))</f>
        <v>Quản lý BIM</v>
      </c>
      <c r="D193" s="81" t="str">
        <f>IF($B193="","",INDEX('Bảng 3'!D:D,MATCH($B193,'Bảng 3'!$A:$A,0)))</f>
        <v>B.HYE.PVF</v>
      </c>
      <c r="E193" s="81" t="str">
        <f>IF($B193="","",INDEX('Bảng 3'!E:E,MATCH($B193,'Bảng 3'!$A:$A,0)))</f>
        <v>Sân vận động TDTT01</v>
      </c>
      <c r="F193" s="81" t="str">
        <f>IF($B193="","",INDEX('Bảng 3'!F:F,MATCH($B193,'Bảng 3'!$A:$A,0)))</f>
        <v>KT</v>
      </c>
      <c r="G193" s="81" t="str">
        <f>IF($B193="","",INDEX('Bảng 3'!G:G,MATCH($B193,'Bảng 3'!$A:$A,0)))</f>
        <v>KSCL mô hình BIM</v>
      </c>
      <c r="H193" s="121"/>
      <c r="I193" s="135"/>
      <c r="J193" s="135">
        <f>J$3</f>
        <v>46174</v>
      </c>
      <c r="K193" s="148" t="s">
        <v>501</v>
      </c>
      <c r="L193" s="168" t="s">
        <v>501</v>
      </c>
      <c r="M193" s="135">
        <f>M$3</f>
        <v>46175</v>
      </c>
      <c r="N193" s="148" t="s">
        <v>501</v>
      </c>
      <c r="O193" s="137" t="s">
        <v>501</v>
      </c>
      <c r="P193" s="135">
        <f>P$3</f>
        <v>46176</v>
      </c>
      <c r="Q193" s="136" t="s">
        <v>501</v>
      </c>
      <c r="R193" s="137" t="s">
        <v>501</v>
      </c>
      <c r="S193" s="135">
        <f>S$3</f>
        <v>46177</v>
      </c>
      <c r="T193" s="136" t="s">
        <v>501</v>
      </c>
      <c r="U193" s="137" t="s">
        <v>501</v>
      </c>
      <c r="V193" s="135">
        <f>V$3</f>
        <v>46178</v>
      </c>
      <c r="W193" s="136" t="s">
        <v>501</v>
      </c>
      <c r="X193" s="137" t="s">
        <v>501</v>
      </c>
      <c r="Y193" s="135">
        <f>Y$3</f>
        <v>46179</v>
      </c>
      <c r="Z193" s="136" t="s">
        <v>501</v>
      </c>
      <c r="AA193" s="137" t="s">
        <v>501</v>
      </c>
      <c r="AB193" s="135"/>
      <c r="AC193" s="135">
        <f>AC$3</f>
        <v>46181</v>
      </c>
      <c r="AD193" s="136" t="s">
        <v>501</v>
      </c>
      <c r="AE193" s="137" t="s">
        <v>501</v>
      </c>
      <c r="AF193" s="135">
        <f>AF$3</f>
        <v>46182</v>
      </c>
      <c r="AG193" s="136" t="s">
        <v>501</v>
      </c>
      <c r="AH193" s="137" t="s">
        <v>501</v>
      </c>
      <c r="AI193" s="135">
        <f>AI$3</f>
        <v>46183</v>
      </c>
      <c r="AJ193" s="136" t="s">
        <v>501</v>
      </c>
      <c r="AK193" s="137" t="s">
        <v>501</v>
      </c>
      <c r="AL193" s="135">
        <f>AL$3</f>
        <v>46184</v>
      </c>
      <c r="AM193" s="136" t="s">
        <v>501</v>
      </c>
      <c r="AN193" s="137" t="s">
        <v>501</v>
      </c>
      <c r="AO193" s="135">
        <f>AO$3</f>
        <v>46185</v>
      </c>
      <c r="AP193" s="136" t="s">
        <v>501</v>
      </c>
      <c r="AQ193" s="137" t="s">
        <v>501</v>
      </c>
      <c r="AR193" s="135">
        <f>AR$3</f>
        <v>46186</v>
      </c>
      <c r="AS193" s="136" t="s">
        <v>501</v>
      </c>
      <c r="AT193" s="137" t="s">
        <v>501</v>
      </c>
      <c r="AU193" s="135"/>
      <c r="AV193" s="135">
        <f>AV$3</f>
        <v>46188</v>
      </c>
      <c r="AW193" s="148" t="s">
        <v>501</v>
      </c>
      <c r="AX193" s="137" t="s">
        <v>501</v>
      </c>
      <c r="AY193" s="135">
        <f>AY$3</f>
        <v>46189</v>
      </c>
      <c r="AZ193" s="136" t="s">
        <v>501</v>
      </c>
      <c r="BA193" s="137" t="s">
        <v>501</v>
      </c>
      <c r="BB193" s="135">
        <f>BB$3</f>
        <v>46190</v>
      </c>
      <c r="BC193" s="136" t="s">
        <v>501</v>
      </c>
      <c r="BD193" s="137" t="s">
        <v>501</v>
      </c>
      <c r="BE193" s="135">
        <f>BE$3</f>
        <v>46191</v>
      </c>
      <c r="BF193" s="136" t="s">
        <v>501</v>
      </c>
      <c r="BG193" s="137" t="s">
        <v>501</v>
      </c>
      <c r="BH193" s="135">
        <f>BH$3</f>
        <v>46192</v>
      </c>
      <c r="BI193" s="136" t="s">
        <v>501</v>
      </c>
      <c r="BJ193" s="137" t="s">
        <v>501</v>
      </c>
      <c r="BK193" s="135">
        <f>BK$3</f>
        <v>46193</v>
      </c>
      <c r="BL193" s="136" t="s">
        <v>501</v>
      </c>
      <c r="BM193" s="137" t="s">
        <v>501</v>
      </c>
      <c r="BN193" s="135"/>
      <c r="BO193" s="135">
        <f>BO$3</f>
        <v>46195</v>
      </c>
      <c r="BP193" s="136" t="s">
        <v>501</v>
      </c>
      <c r="BQ193" s="137" t="s">
        <v>501</v>
      </c>
      <c r="BR193" s="135">
        <f>BR$3</f>
        <v>46196</v>
      </c>
      <c r="BS193" s="136" t="s">
        <v>501</v>
      </c>
      <c r="BT193" s="137" t="s">
        <v>501</v>
      </c>
      <c r="BU193" s="135">
        <f>BU$3</f>
        <v>46197</v>
      </c>
      <c r="BV193" s="136" t="s">
        <v>501</v>
      </c>
      <c r="BW193" s="137" t="s">
        <v>501</v>
      </c>
      <c r="BX193" s="135">
        <f>BX$3</f>
        <v>46198</v>
      </c>
      <c r="BY193" s="136" t="s">
        <v>501</v>
      </c>
      <c r="BZ193" s="137" t="s">
        <v>501</v>
      </c>
      <c r="CA193" s="135">
        <f>CA$3</f>
        <v>46199</v>
      </c>
      <c r="CB193" s="136" t="s">
        <v>501</v>
      </c>
      <c r="CC193" s="137" t="s">
        <v>501</v>
      </c>
      <c r="CD193" s="135">
        <f>CD$3</f>
        <v>46200</v>
      </c>
      <c r="CE193" s="136" t="s">
        <v>501</v>
      </c>
      <c r="CF193" s="137" t="s">
        <v>501</v>
      </c>
      <c r="CG193" s="135"/>
      <c r="CH193" s="135">
        <f>CH$3</f>
        <v>46202</v>
      </c>
      <c r="CI193" s="148" t="s">
        <v>501</v>
      </c>
      <c r="CJ193" s="137" t="s">
        <v>501</v>
      </c>
      <c r="CK193" s="135">
        <f>CK$3</f>
        <v>46203</v>
      </c>
      <c r="CL193" s="136" t="s">
        <v>501</v>
      </c>
      <c r="CM193" s="137" t="s">
        <v>501</v>
      </c>
      <c r="CN193" s="135">
        <f>CN$3</f>
        <v>46204</v>
      </c>
      <c r="CO193" s="136" t="s">
        <v>501</v>
      </c>
      <c r="CP193" s="137" t="s">
        <v>501</v>
      </c>
      <c r="CQ193" s="135">
        <f>CQ$3</f>
        <v>46205</v>
      </c>
      <c r="CR193" s="136" t="s">
        <v>501</v>
      </c>
      <c r="CS193" s="137" t="s">
        <v>501</v>
      </c>
      <c r="CT193" s="135">
        <f>CT$3</f>
        <v>46206</v>
      </c>
      <c r="CU193" s="136" t="s">
        <v>501</v>
      </c>
      <c r="CV193" s="137" t="s">
        <v>501</v>
      </c>
      <c r="CW193" s="135">
        <f>CW$3</f>
        <v>46207</v>
      </c>
      <c r="CX193" s="136" t="s">
        <v>501</v>
      </c>
      <c r="CY193" s="137" t="s">
        <v>501</v>
      </c>
      <c r="CZ193" s="135"/>
      <c r="DA193" s="135">
        <f>DA$3</f>
        <v>46209</v>
      </c>
      <c r="DB193" s="136" t="s">
        <v>501</v>
      </c>
      <c r="DC193" s="137" t="s">
        <v>501</v>
      </c>
      <c r="DD193" s="135">
        <f>DD$3</f>
        <v>46210</v>
      </c>
      <c r="DE193" s="136" t="s">
        <v>501</v>
      </c>
      <c r="DF193" s="137" t="s">
        <v>501</v>
      </c>
      <c r="DG193" s="135">
        <f>DG$3</f>
        <v>46211</v>
      </c>
      <c r="DH193" s="136" t="s">
        <v>501</v>
      </c>
      <c r="DI193" s="137" t="s">
        <v>501</v>
      </c>
      <c r="DJ193" s="135">
        <f>DJ$3</f>
        <v>46212</v>
      </c>
      <c r="DK193" s="136" t="s">
        <v>501</v>
      </c>
      <c r="DL193" s="137" t="s">
        <v>501</v>
      </c>
      <c r="DM193" s="135">
        <f>DM$3</f>
        <v>46213</v>
      </c>
      <c r="DN193" s="136" t="s">
        <v>501</v>
      </c>
      <c r="DO193" s="137" t="s">
        <v>501</v>
      </c>
      <c r="DP193" s="135">
        <f>DP$3</f>
        <v>46214</v>
      </c>
      <c r="DQ193" s="136" t="s">
        <v>501</v>
      </c>
      <c r="DR193" s="137" t="s">
        <v>501</v>
      </c>
    </row>
    <row r="194" spans="1:122" outlineLevel="1">
      <c r="A194" s="122" t="str">
        <f>$A$175</f>
        <v>Trần Văn Toản</v>
      </c>
      <c r="B194" s="33" t="s">
        <v>622</v>
      </c>
      <c r="C194" s="81" t="str">
        <f>IF($B194="","",INDEX('Bảng 3'!C:C,MATCH($B194,'Bảng 3'!$A:$A,0)))</f>
        <v>Quản lý BIM</v>
      </c>
      <c r="D194" s="81" t="str">
        <f>IF($B194="","",INDEX('Bảng 3'!D:D,MATCH($B194,'Bảng 3'!$A:$A,0)))</f>
        <v>B.HYE.PVF</v>
      </c>
      <c r="E194" s="81" t="str">
        <f>IF($B194="","",INDEX('Bảng 3'!E:E,MATCH($B194,'Bảng 3'!$A:$A,0)))</f>
        <v>Sân vận động TDTT01</v>
      </c>
      <c r="F194" s="81" t="str">
        <f>IF($B194="","",INDEX('Bảng 3'!F:F,MATCH($B194,'Bảng 3'!$A:$A,0)))</f>
        <v>KC</v>
      </c>
      <c r="G194" s="81" t="str">
        <f>IF($B194="","",INDEX('Bảng 3'!G:G,MATCH($B194,'Bảng 3'!$A:$A,0)))</f>
        <v>KSCL mô hình BIM</v>
      </c>
      <c r="H194" s="121"/>
      <c r="I194" s="135"/>
      <c r="J194" s="135">
        <f>J$3</f>
        <v>46174</v>
      </c>
      <c r="K194" s="148" t="s">
        <v>501</v>
      </c>
      <c r="L194" s="168" t="s">
        <v>501</v>
      </c>
      <c r="M194" s="135">
        <f>M$3</f>
        <v>46175</v>
      </c>
      <c r="N194" s="148" t="s">
        <v>501</v>
      </c>
      <c r="O194" s="137" t="s">
        <v>501</v>
      </c>
      <c r="P194" s="135">
        <f>P$3</f>
        <v>46176</v>
      </c>
      <c r="Q194" s="136" t="s">
        <v>501</v>
      </c>
      <c r="R194" s="137" t="s">
        <v>501</v>
      </c>
      <c r="S194" s="135">
        <f>S$3</f>
        <v>46177</v>
      </c>
      <c r="T194" s="136" t="s">
        <v>501</v>
      </c>
      <c r="U194" s="137" t="s">
        <v>501</v>
      </c>
      <c r="V194" s="135">
        <f>V$3</f>
        <v>46178</v>
      </c>
      <c r="W194" s="136" t="s">
        <v>501</v>
      </c>
      <c r="X194" s="137" t="s">
        <v>501</v>
      </c>
      <c r="Y194" s="135">
        <f>Y$3</f>
        <v>46179</v>
      </c>
      <c r="Z194" s="136" t="s">
        <v>501</v>
      </c>
      <c r="AA194" s="137" t="s">
        <v>501</v>
      </c>
      <c r="AB194" s="135"/>
      <c r="AC194" s="135">
        <f>AC$3</f>
        <v>46181</v>
      </c>
      <c r="AD194" s="136" t="s">
        <v>501</v>
      </c>
      <c r="AE194" s="137" t="s">
        <v>501</v>
      </c>
      <c r="AF194" s="135">
        <f>AF$3</f>
        <v>46182</v>
      </c>
      <c r="AG194" s="136" t="s">
        <v>501</v>
      </c>
      <c r="AH194" s="137" t="s">
        <v>501</v>
      </c>
      <c r="AI194" s="135">
        <f>AI$3</f>
        <v>46183</v>
      </c>
      <c r="AJ194" s="136" t="s">
        <v>501</v>
      </c>
      <c r="AK194" s="137" t="s">
        <v>501</v>
      </c>
      <c r="AL194" s="135">
        <f>AL$3</f>
        <v>46184</v>
      </c>
      <c r="AM194" s="136" t="s">
        <v>501</v>
      </c>
      <c r="AN194" s="137" t="s">
        <v>501</v>
      </c>
      <c r="AO194" s="135">
        <f>AO$3</f>
        <v>46185</v>
      </c>
      <c r="AP194" s="136" t="s">
        <v>501</v>
      </c>
      <c r="AQ194" s="137" t="s">
        <v>501</v>
      </c>
      <c r="AR194" s="135">
        <f>AR$3</f>
        <v>46186</v>
      </c>
      <c r="AS194" s="136" t="s">
        <v>501</v>
      </c>
      <c r="AT194" s="137" t="s">
        <v>501</v>
      </c>
      <c r="AU194" s="135"/>
      <c r="AV194" s="135">
        <f>AV$3</f>
        <v>46188</v>
      </c>
      <c r="AW194" s="148" t="s">
        <v>501</v>
      </c>
      <c r="AX194" s="137" t="s">
        <v>501</v>
      </c>
      <c r="AY194" s="135">
        <f>AY$3</f>
        <v>46189</v>
      </c>
      <c r="AZ194" s="136" t="s">
        <v>501</v>
      </c>
      <c r="BA194" s="137" t="s">
        <v>501</v>
      </c>
      <c r="BB194" s="135">
        <f>BB$3</f>
        <v>46190</v>
      </c>
      <c r="BC194" s="136" t="s">
        <v>501</v>
      </c>
      <c r="BD194" s="137" t="s">
        <v>501</v>
      </c>
      <c r="BE194" s="135">
        <f>BE$3</f>
        <v>46191</v>
      </c>
      <c r="BF194" s="136" t="s">
        <v>501</v>
      </c>
      <c r="BG194" s="137" t="s">
        <v>501</v>
      </c>
      <c r="BH194" s="135">
        <f>BH$3</f>
        <v>46192</v>
      </c>
      <c r="BI194" s="136" t="s">
        <v>501</v>
      </c>
      <c r="BJ194" s="137" t="s">
        <v>501</v>
      </c>
      <c r="BK194" s="135">
        <f>BK$3</f>
        <v>46193</v>
      </c>
      <c r="BL194" s="136" t="s">
        <v>501</v>
      </c>
      <c r="BM194" s="137" t="s">
        <v>501</v>
      </c>
      <c r="BN194" s="135"/>
      <c r="BO194" s="135">
        <f>BO$3</f>
        <v>46195</v>
      </c>
      <c r="BP194" s="136" t="s">
        <v>501</v>
      </c>
      <c r="BQ194" s="137" t="s">
        <v>501</v>
      </c>
      <c r="BR194" s="135">
        <f>BR$3</f>
        <v>46196</v>
      </c>
      <c r="BS194" s="136" t="s">
        <v>501</v>
      </c>
      <c r="BT194" s="137" t="s">
        <v>501</v>
      </c>
      <c r="BU194" s="135">
        <f>BU$3</f>
        <v>46197</v>
      </c>
      <c r="BV194" s="136" t="s">
        <v>501</v>
      </c>
      <c r="BW194" s="137" t="s">
        <v>501</v>
      </c>
      <c r="BX194" s="135">
        <f>BX$3</f>
        <v>46198</v>
      </c>
      <c r="BY194" s="136" t="s">
        <v>501</v>
      </c>
      <c r="BZ194" s="137" t="s">
        <v>501</v>
      </c>
      <c r="CA194" s="135">
        <f>CA$3</f>
        <v>46199</v>
      </c>
      <c r="CB194" s="136" t="s">
        <v>501</v>
      </c>
      <c r="CC194" s="137" t="s">
        <v>501</v>
      </c>
      <c r="CD194" s="135">
        <f>CD$3</f>
        <v>46200</v>
      </c>
      <c r="CE194" s="136" t="s">
        <v>501</v>
      </c>
      <c r="CF194" s="137" t="s">
        <v>501</v>
      </c>
      <c r="CG194" s="135"/>
      <c r="CH194" s="135">
        <f>CH$3</f>
        <v>46202</v>
      </c>
      <c r="CI194" s="148" t="s">
        <v>501</v>
      </c>
      <c r="CJ194" s="137" t="s">
        <v>501</v>
      </c>
      <c r="CK194" s="135">
        <f>CK$3</f>
        <v>46203</v>
      </c>
      <c r="CL194" s="136" t="s">
        <v>501</v>
      </c>
      <c r="CM194" s="137" t="s">
        <v>501</v>
      </c>
      <c r="CN194" s="135">
        <f>CN$3</f>
        <v>46204</v>
      </c>
      <c r="CO194" s="136" t="s">
        <v>501</v>
      </c>
      <c r="CP194" s="137" t="s">
        <v>501</v>
      </c>
      <c r="CQ194" s="135">
        <f>CQ$3</f>
        <v>46205</v>
      </c>
      <c r="CR194" s="136" t="s">
        <v>501</v>
      </c>
      <c r="CS194" s="137" t="s">
        <v>501</v>
      </c>
      <c r="CT194" s="135">
        <f>CT$3</f>
        <v>46206</v>
      </c>
      <c r="CU194" s="136" t="s">
        <v>501</v>
      </c>
      <c r="CV194" s="137" t="s">
        <v>501</v>
      </c>
      <c r="CW194" s="135">
        <f>CW$3</f>
        <v>46207</v>
      </c>
      <c r="CX194" s="136" t="s">
        <v>501</v>
      </c>
      <c r="CY194" s="137" t="s">
        <v>501</v>
      </c>
      <c r="CZ194" s="135"/>
      <c r="DA194" s="135">
        <f>DA$3</f>
        <v>46209</v>
      </c>
      <c r="DB194" s="136" t="s">
        <v>501</v>
      </c>
      <c r="DC194" s="137" t="s">
        <v>501</v>
      </c>
      <c r="DD194" s="135">
        <f>DD$3</f>
        <v>46210</v>
      </c>
      <c r="DE194" s="136" t="s">
        <v>501</v>
      </c>
      <c r="DF194" s="137" t="s">
        <v>501</v>
      </c>
      <c r="DG194" s="135">
        <f>DG$3</f>
        <v>46211</v>
      </c>
      <c r="DH194" s="136" t="s">
        <v>501</v>
      </c>
      <c r="DI194" s="137" t="s">
        <v>501</v>
      </c>
      <c r="DJ194" s="135">
        <f>DJ$3</f>
        <v>46212</v>
      </c>
      <c r="DK194" s="136" t="s">
        <v>501</v>
      </c>
      <c r="DL194" s="137" t="s">
        <v>501</v>
      </c>
      <c r="DM194" s="135">
        <f>DM$3</f>
        <v>46213</v>
      </c>
      <c r="DN194" s="136" t="s">
        <v>501</v>
      </c>
      <c r="DO194" s="137" t="s">
        <v>501</v>
      </c>
      <c r="DP194" s="135">
        <f>DP$3</f>
        <v>46214</v>
      </c>
      <c r="DQ194" s="136" t="s">
        <v>501</v>
      </c>
      <c r="DR194" s="137" t="s">
        <v>501</v>
      </c>
    </row>
    <row r="195" spans="1:122" outlineLevel="1">
      <c r="A195" s="122" t="str">
        <f>$A$175</f>
        <v>Trần Văn Toản</v>
      </c>
      <c r="B195" s="33" t="s">
        <v>623</v>
      </c>
      <c r="C195" s="81" t="str">
        <f>IF($B195="","",INDEX('Bảng 3'!C:C,MATCH($B195,'Bảng 3'!$A:$A,0)))</f>
        <v>Quản lý BIM</v>
      </c>
      <c r="D195" s="81" t="str">
        <f>IF($B195="","",INDEX('Bảng 3'!D:D,MATCH($B195,'Bảng 3'!$A:$A,0)))</f>
        <v>B.HYE.PVF</v>
      </c>
      <c r="E195" s="81" t="str">
        <f>IF($B195="","",INDEX('Bảng 3'!E:E,MATCH($B195,'Bảng 3'!$A:$A,0)))</f>
        <v>Sân vận động TDTT01</v>
      </c>
      <c r="F195" s="81" t="str">
        <f>IF($B195="","",INDEX('Bảng 3'!F:F,MATCH($B195,'Bảng 3'!$A:$A,0)))</f>
        <v>KC</v>
      </c>
      <c r="G195" s="81" t="str">
        <f>IF($B195="","",INDEX('Bảng 3'!G:G,MATCH($B195,'Bảng 3'!$A:$A,0)))</f>
        <v>Xuất khối lượng từ mô hình BIM</v>
      </c>
      <c r="H195" s="121"/>
      <c r="I195" s="135"/>
      <c r="J195" s="135">
        <f>J$3</f>
        <v>46174</v>
      </c>
      <c r="K195" s="148" t="s">
        <v>501</v>
      </c>
      <c r="L195" s="168" t="s">
        <v>501</v>
      </c>
      <c r="M195" s="135">
        <f>M$3</f>
        <v>46175</v>
      </c>
      <c r="N195" s="148" t="s">
        <v>501</v>
      </c>
      <c r="O195" s="137" t="s">
        <v>501</v>
      </c>
      <c r="P195" s="135">
        <f>P$3</f>
        <v>46176</v>
      </c>
      <c r="Q195" s="136" t="s">
        <v>501</v>
      </c>
      <c r="R195" s="137" t="s">
        <v>501</v>
      </c>
      <c r="S195" s="135">
        <f>S$3</f>
        <v>46177</v>
      </c>
      <c r="T195" s="136" t="s">
        <v>501</v>
      </c>
      <c r="U195" s="137" t="s">
        <v>501</v>
      </c>
      <c r="V195" s="135">
        <f>V$3</f>
        <v>46178</v>
      </c>
      <c r="W195" s="136" t="s">
        <v>501</v>
      </c>
      <c r="X195" s="137" t="s">
        <v>501</v>
      </c>
      <c r="Y195" s="135">
        <f>Y$3</f>
        <v>46179</v>
      </c>
      <c r="Z195" s="136" t="s">
        <v>501</v>
      </c>
      <c r="AA195" s="137" t="s">
        <v>501</v>
      </c>
      <c r="AB195" s="135"/>
      <c r="AC195" s="135">
        <f>AC$3</f>
        <v>46181</v>
      </c>
      <c r="AD195" s="136" t="s">
        <v>501</v>
      </c>
      <c r="AE195" s="137" t="s">
        <v>501</v>
      </c>
      <c r="AF195" s="135">
        <f>AF$3</f>
        <v>46182</v>
      </c>
      <c r="AG195" s="136" t="s">
        <v>501</v>
      </c>
      <c r="AH195" s="137" t="s">
        <v>501</v>
      </c>
      <c r="AI195" s="135">
        <f>AI$3</f>
        <v>46183</v>
      </c>
      <c r="AJ195" s="136" t="s">
        <v>501</v>
      </c>
      <c r="AK195" s="137" t="s">
        <v>501</v>
      </c>
      <c r="AL195" s="135">
        <f>AL$3</f>
        <v>46184</v>
      </c>
      <c r="AM195" s="136" t="s">
        <v>501</v>
      </c>
      <c r="AN195" s="137" t="s">
        <v>501</v>
      </c>
      <c r="AO195" s="135">
        <f>AO$3</f>
        <v>46185</v>
      </c>
      <c r="AP195" s="136" t="s">
        <v>501</v>
      </c>
      <c r="AQ195" s="137" t="s">
        <v>501</v>
      </c>
      <c r="AR195" s="135">
        <f>AR$3</f>
        <v>46186</v>
      </c>
      <c r="AS195" s="136" t="s">
        <v>501</v>
      </c>
      <c r="AT195" s="137" t="s">
        <v>501</v>
      </c>
      <c r="AU195" s="135"/>
      <c r="AV195" s="135">
        <f>AV$3</f>
        <v>46188</v>
      </c>
      <c r="AW195" s="148" t="s">
        <v>501</v>
      </c>
      <c r="AX195" s="137" t="s">
        <v>501</v>
      </c>
      <c r="AY195" s="135">
        <f>AY$3</f>
        <v>46189</v>
      </c>
      <c r="AZ195" s="136" t="s">
        <v>501</v>
      </c>
      <c r="BA195" s="137" t="s">
        <v>501</v>
      </c>
      <c r="BB195" s="135">
        <f>BB$3</f>
        <v>46190</v>
      </c>
      <c r="BC195" s="136" t="s">
        <v>501</v>
      </c>
      <c r="BD195" s="137" t="s">
        <v>501</v>
      </c>
      <c r="BE195" s="135">
        <f>BE$3</f>
        <v>46191</v>
      </c>
      <c r="BF195" s="136" t="s">
        <v>501</v>
      </c>
      <c r="BG195" s="137" t="s">
        <v>501</v>
      </c>
      <c r="BH195" s="135">
        <f>BH$3</f>
        <v>46192</v>
      </c>
      <c r="BI195" s="136" t="s">
        <v>501</v>
      </c>
      <c r="BJ195" s="137" t="s">
        <v>501</v>
      </c>
      <c r="BK195" s="135">
        <f>BK$3</f>
        <v>46193</v>
      </c>
      <c r="BL195" s="136" t="s">
        <v>501</v>
      </c>
      <c r="BM195" s="137" t="s">
        <v>501</v>
      </c>
      <c r="BN195" s="135"/>
      <c r="BO195" s="135">
        <f>BO$3</f>
        <v>46195</v>
      </c>
      <c r="BP195" s="136" t="s">
        <v>501</v>
      </c>
      <c r="BQ195" s="137" t="s">
        <v>501</v>
      </c>
      <c r="BR195" s="135">
        <f>BR$3</f>
        <v>46196</v>
      </c>
      <c r="BS195" s="136" t="s">
        <v>501</v>
      </c>
      <c r="BT195" s="137" t="s">
        <v>501</v>
      </c>
      <c r="BU195" s="135">
        <f>BU$3</f>
        <v>46197</v>
      </c>
      <c r="BV195" s="136" t="s">
        <v>501</v>
      </c>
      <c r="BW195" s="137" t="s">
        <v>501</v>
      </c>
      <c r="BX195" s="135">
        <f>BX$3</f>
        <v>46198</v>
      </c>
      <c r="BY195" s="136" t="s">
        <v>501</v>
      </c>
      <c r="BZ195" s="137" t="s">
        <v>501</v>
      </c>
      <c r="CA195" s="135">
        <f>CA$3</f>
        <v>46199</v>
      </c>
      <c r="CB195" s="136" t="s">
        <v>501</v>
      </c>
      <c r="CC195" s="137" t="s">
        <v>501</v>
      </c>
      <c r="CD195" s="135">
        <f>CD$3</f>
        <v>46200</v>
      </c>
      <c r="CE195" s="136" t="s">
        <v>501</v>
      </c>
      <c r="CF195" s="137" t="s">
        <v>501</v>
      </c>
      <c r="CG195" s="135"/>
      <c r="CH195" s="135">
        <f>CH$3</f>
        <v>46202</v>
      </c>
      <c r="CI195" s="148" t="s">
        <v>501</v>
      </c>
      <c r="CJ195" s="137" t="s">
        <v>501</v>
      </c>
      <c r="CK195" s="135">
        <f>CK$3</f>
        <v>46203</v>
      </c>
      <c r="CL195" s="136" t="s">
        <v>501</v>
      </c>
      <c r="CM195" s="137" t="s">
        <v>501</v>
      </c>
      <c r="CN195" s="135">
        <f>CN$3</f>
        <v>46204</v>
      </c>
      <c r="CO195" s="136" t="s">
        <v>501</v>
      </c>
      <c r="CP195" s="137" t="s">
        <v>501</v>
      </c>
      <c r="CQ195" s="135">
        <f>CQ$3</f>
        <v>46205</v>
      </c>
      <c r="CR195" s="136" t="s">
        <v>501</v>
      </c>
      <c r="CS195" s="137" t="s">
        <v>501</v>
      </c>
      <c r="CT195" s="135">
        <f>CT$3</f>
        <v>46206</v>
      </c>
      <c r="CU195" s="136" t="s">
        <v>501</v>
      </c>
      <c r="CV195" s="137" t="s">
        <v>501</v>
      </c>
      <c r="CW195" s="135">
        <f>CW$3</f>
        <v>46207</v>
      </c>
      <c r="CX195" s="136" t="s">
        <v>501</v>
      </c>
      <c r="CY195" s="137" t="s">
        <v>501</v>
      </c>
      <c r="CZ195" s="135"/>
      <c r="DA195" s="135">
        <f>DA$3</f>
        <v>46209</v>
      </c>
      <c r="DB195" s="136" t="s">
        <v>501</v>
      </c>
      <c r="DC195" s="137" t="s">
        <v>501</v>
      </c>
      <c r="DD195" s="135">
        <f>DD$3</f>
        <v>46210</v>
      </c>
      <c r="DE195" s="136" t="s">
        <v>501</v>
      </c>
      <c r="DF195" s="137" t="s">
        <v>501</v>
      </c>
      <c r="DG195" s="135">
        <f>DG$3</f>
        <v>46211</v>
      </c>
      <c r="DH195" s="136" t="s">
        <v>501</v>
      </c>
      <c r="DI195" s="137" t="s">
        <v>501</v>
      </c>
      <c r="DJ195" s="135">
        <f>DJ$3</f>
        <v>46212</v>
      </c>
      <c r="DK195" s="136" t="s">
        <v>501</v>
      </c>
      <c r="DL195" s="137" t="s">
        <v>501</v>
      </c>
      <c r="DM195" s="135">
        <f>DM$3</f>
        <v>46213</v>
      </c>
      <c r="DN195" s="136" t="s">
        <v>501</v>
      </c>
      <c r="DO195" s="137" t="s">
        <v>501</v>
      </c>
      <c r="DP195" s="135">
        <f>DP$3</f>
        <v>46214</v>
      </c>
      <c r="DQ195" s="136" t="s">
        <v>501</v>
      </c>
      <c r="DR195" s="137" t="s">
        <v>501</v>
      </c>
    </row>
    <row r="196" spans="1:122" outlineLevel="1">
      <c r="A196" s="122" t="str">
        <f>$A$175</f>
        <v>Trần Văn Toản</v>
      </c>
      <c r="B196" s="157" t="s">
        <v>630</v>
      </c>
      <c r="C196" s="81" t="str">
        <f>IF($B196="","",INDEX('Bảng 3'!C:C,MATCH($B196,'Bảng 3'!$A:$A,0)))</f>
        <v>Quản lý BIM</v>
      </c>
      <c r="D196" s="81" t="str">
        <f>IF($B196="","",INDEX('Bảng 3'!D:D,MATCH($B196,'Bảng 3'!$A:$A,0)))</f>
        <v>N.HCM.CGIO.KS</v>
      </c>
      <c r="E196" s="81" t="str">
        <f>IF($B196="","",INDEX('Bảng 3'!E:E,MATCH($B196,'Bảng 3'!$A:$A,0)))</f>
        <v>Khách sạn M Gallery - B5.02.04</v>
      </c>
      <c r="F196" s="81" t="str">
        <f>IF($B196="","",INDEX('Bảng 3'!F:F,MATCH($B196,'Bảng 3'!$A:$A,0)))</f>
        <v>KT</v>
      </c>
      <c r="G196" s="81" t="str">
        <f>IF($B196="","",INDEX('Bảng 3'!G:G,MATCH($B196,'Bảng 3'!$A:$A,0)))</f>
        <v>Tạo lập mô hình BIM</v>
      </c>
      <c r="H196" s="121"/>
      <c r="I196" s="135"/>
      <c r="J196" s="135">
        <f>J$3</f>
        <v>46174</v>
      </c>
      <c r="K196" s="148" t="s">
        <v>696</v>
      </c>
      <c r="L196" s="168">
        <v>6</v>
      </c>
      <c r="M196" s="135">
        <f>M$3</f>
        <v>46175</v>
      </c>
      <c r="N196" s="148" t="s">
        <v>501</v>
      </c>
      <c r="O196" s="137" t="s">
        <v>501</v>
      </c>
      <c r="P196" s="135">
        <f>P$3</f>
        <v>46176</v>
      </c>
      <c r="Q196" s="136" t="s">
        <v>501</v>
      </c>
      <c r="R196" s="137" t="s">
        <v>501</v>
      </c>
      <c r="S196" s="135">
        <f>S$3</f>
        <v>46177</v>
      </c>
      <c r="T196" s="136" t="s">
        <v>501</v>
      </c>
      <c r="U196" s="137" t="s">
        <v>501</v>
      </c>
      <c r="V196" s="135">
        <f>V$3</f>
        <v>46178</v>
      </c>
      <c r="W196" s="136" t="s">
        <v>501</v>
      </c>
      <c r="X196" s="137" t="s">
        <v>501</v>
      </c>
      <c r="Y196" s="135">
        <f>Y$3</f>
        <v>46179</v>
      </c>
      <c r="Z196" s="136" t="s">
        <v>501</v>
      </c>
      <c r="AA196" s="137" t="s">
        <v>501</v>
      </c>
      <c r="AB196" s="135"/>
      <c r="AC196" s="135">
        <f>AC$3</f>
        <v>46181</v>
      </c>
      <c r="AD196" s="136" t="s">
        <v>501</v>
      </c>
      <c r="AE196" s="137" t="s">
        <v>501</v>
      </c>
      <c r="AF196" s="135">
        <f>AF$3</f>
        <v>46182</v>
      </c>
      <c r="AG196" s="136" t="s">
        <v>501</v>
      </c>
      <c r="AH196" s="137" t="s">
        <v>501</v>
      </c>
      <c r="AI196" s="135">
        <f>AI$3</f>
        <v>46183</v>
      </c>
      <c r="AJ196" s="136" t="s">
        <v>501</v>
      </c>
      <c r="AK196" s="137" t="s">
        <v>501</v>
      </c>
      <c r="AL196" s="135">
        <f>AL$3</f>
        <v>46184</v>
      </c>
      <c r="AM196" s="136" t="s">
        <v>501</v>
      </c>
      <c r="AN196" s="137" t="s">
        <v>501</v>
      </c>
      <c r="AO196" s="135">
        <f>AO$3</f>
        <v>46185</v>
      </c>
      <c r="AP196" s="136" t="s">
        <v>501</v>
      </c>
      <c r="AQ196" s="137" t="s">
        <v>501</v>
      </c>
      <c r="AR196" s="135">
        <f>AR$3</f>
        <v>46186</v>
      </c>
      <c r="AS196" s="136" t="s">
        <v>501</v>
      </c>
      <c r="AT196" s="137" t="s">
        <v>501</v>
      </c>
      <c r="AU196" s="135"/>
      <c r="AV196" s="135">
        <f>AV$3</f>
        <v>46188</v>
      </c>
      <c r="AW196" s="148" t="s">
        <v>501</v>
      </c>
      <c r="AX196" s="137" t="s">
        <v>501</v>
      </c>
      <c r="AY196" s="135">
        <f>AY$3</f>
        <v>46189</v>
      </c>
      <c r="AZ196" s="136" t="s">
        <v>501</v>
      </c>
      <c r="BA196" s="137" t="s">
        <v>501</v>
      </c>
      <c r="BB196" s="135">
        <f>BB$3</f>
        <v>46190</v>
      </c>
      <c r="BC196" s="136" t="s">
        <v>501</v>
      </c>
      <c r="BD196" s="137" t="s">
        <v>501</v>
      </c>
      <c r="BE196" s="135">
        <f>BE$3</f>
        <v>46191</v>
      </c>
      <c r="BF196" s="136" t="s">
        <v>501</v>
      </c>
      <c r="BG196" s="137" t="s">
        <v>501</v>
      </c>
      <c r="BH196" s="135">
        <f>BH$3</f>
        <v>46192</v>
      </c>
      <c r="BI196" s="136" t="s">
        <v>501</v>
      </c>
      <c r="BJ196" s="137" t="s">
        <v>501</v>
      </c>
      <c r="BK196" s="135">
        <f>BK$3</f>
        <v>46193</v>
      </c>
      <c r="BL196" s="136" t="s">
        <v>501</v>
      </c>
      <c r="BM196" s="137" t="s">
        <v>501</v>
      </c>
      <c r="BN196" s="135"/>
      <c r="BO196" s="135">
        <f>BO$3</f>
        <v>46195</v>
      </c>
      <c r="BP196" s="136" t="s">
        <v>501</v>
      </c>
      <c r="BQ196" s="137" t="s">
        <v>501</v>
      </c>
      <c r="BR196" s="135">
        <f>BR$3</f>
        <v>46196</v>
      </c>
      <c r="BS196" s="136" t="s">
        <v>501</v>
      </c>
      <c r="BT196" s="137" t="s">
        <v>501</v>
      </c>
      <c r="BU196" s="135">
        <f>BU$3</f>
        <v>46197</v>
      </c>
      <c r="BV196" s="136" t="s">
        <v>501</v>
      </c>
      <c r="BW196" s="137" t="s">
        <v>501</v>
      </c>
      <c r="BX196" s="135">
        <f>BX$3</f>
        <v>46198</v>
      </c>
      <c r="BY196" s="136" t="s">
        <v>501</v>
      </c>
      <c r="BZ196" s="137" t="s">
        <v>501</v>
      </c>
      <c r="CA196" s="135">
        <f>CA$3</f>
        <v>46199</v>
      </c>
      <c r="CB196" s="136" t="s">
        <v>501</v>
      </c>
      <c r="CC196" s="137" t="s">
        <v>501</v>
      </c>
      <c r="CD196" s="135">
        <f>CD$3</f>
        <v>46200</v>
      </c>
      <c r="CE196" s="136" t="s">
        <v>501</v>
      </c>
      <c r="CF196" s="137" t="s">
        <v>501</v>
      </c>
      <c r="CG196" s="135"/>
      <c r="CH196" s="135">
        <f>CH$3</f>
        <v>46202</v>
      </c>
      <c r="CI196" s="148" t="s">
        <v>501</v>
      </c>
      <c r="CJ196" s="137" t="s">
        <v>501</v>
      </c>
      <c r="CK196" s="135">
        <f>CK$3</f>
        <v>46203</v>
      </c>
      <c r="CL196" s="136" t="s">
        <v>501</v>
      </c>
      <c r="CM196" s="137" t="s">
        <v>501</v>
      </c>
      <c r="CN196" s="135">
        <f>CN$3</f>
        <v>46204</v>
      </c>
      <c r="CO196" s="136" t="s">
        <v>501</v>
      </c>
      <c r="CP196" s="137" t="s">
        <v>501</v>
      </c>
      <c r="CQ196" s="135">
        <f>CQ$3</f>
        <v>46205</v>
      </c>
      <c r="CR196" s="136" t="s">
        <v>501</v>
      </c>
      <c r="CS196" s="137" t="s">
        <v>501</v>
      </c>
      <c r="CT196" s="135">
        <f>CT$3</f>
        <v>46206</v>
      </c>
      <c r="CU196" s="136" t="s">
        <v>501</v>
      </c>
      <c r="CV196" s="137" t="s">
        <v>501</v>
      </c>
      <c r="CW196" s="135">
        <f>CW$3</f>
        <v>46207</v>
      </c>
      <c r="CX196" s="136" t="s">
        <v>501</v>
      </c>
      <c r="CY196" s="137" t="s">
        <v>501</v>
      </c>
      <c r="CZ196" s="135"/>
      <c r="DA196" s="135">
        <f>DA$3</f>
        <v>46209</v>
      </c>
      <c r="DB196" s="136" t="s">
        <v>501</v>
      </c>
      <c r="DC196" s="137" t="s">
        <v>501</v>
      </c>
      <c r="DD196" s="135">
        <f>DD$3</f>
        <v>46210</v>
      </c>
      <c r="DE196" s="136" t="s">
        <v>501</v>
      </c>
      <c r="DF196" s="137" t="s">
        <v>501</v>
      </c>
      <c r="DG196" s="135">
        <f>DG$3</f>
        <v>46211</v>
      </c>
      <c r="DH196" s="136" t="s">
        <v>501</v>
      </c>
      <c r="DI196" s="137" t="s">
        <v>501</v>
      </c>
      <c r="DJ196" s="135">
        <f>DJ$3</f>
        <v>46212</v>
      </c>
      <c r="DK196" s="136" t="s">
        <v>501</v>
      </c>
      <c r="DL196" s="137" t="s">
        <v>501</v>
      </c>
      <c r="DM196" s="135">
        <f>DM$3</f>
        <v>46213</v>
      </c>
      <c r="DN196" s="136" t="s">
        <v>501</v>
      </c>
      <c r="DO196" s="137" t="s">
        <v>501</v>
      </c>
      <c r="DP196" s="135">
        <f>DP$3</f>
        <v>46214</v>
      </c>
      <c r="DQ196" s="136" t="s">
        <v>501</v>
      </c>
      <c r="DR196" s="137" t="s">
        <v>501</v>
      </c>
    </row>
    <row r="197" spans="1:122" outlineLevel="1">
      <c r="A197" s="122" t="str">
        <f>$A$175</f>
        <v>Trần Văn Toản</v>
      </c>
      <c r="B197" s="157" t="s">
        <v>631</v>
      </c>
      <c r="C197" s="81" t="str">
        <f>IF($B197="","",INDEX('Bảng 3'!C:C,MATCH($B197,'Bảng 3'!$A:$A,0)))</f>
        <v>Quản lý BIM</v>
      </c>
      <c r="D197" s="81" t="str">
        <f>IF($B197="","",INDEX('Bảng 3'!D:D,MATCH($B197,'Bảng 3'!$A:$A,0)))</f>
        <v>N.HCM.CGIO.KS</v>
      </c>
      <c r="E197" s="81" t="str">
        <f>IF($B197="","",INDEX('Bảng 3'!E:E,MATCH($B197,'Bảng 3'!$A:$A,0)))</f>
        <v>Khách sạn M Gallery - B5.02.04</v>
      </c>
      <c r="F197" s="81" t="str">
        <f>IF($B197="","",INDEX('Bảng 3'!F:F,MATCH($B197,'Bảng 3'!$A:$A,0)))</f>
        <v>KC</v>
      </c>
      <c r="G197" s="81" t="str">
        <f>IF($B197="","",INDEX('Bảng 3'!G:G,MATCH($B197,'Bảng 3'!$A:$A,0)))</f>
        <v>Tạo lập mô hình BIM</v>
      </c>
      <c r="H197" s="121"/>
      <c r="I197" s="135"/>
      <c r="J197" s="135">
        <f>J$3</f>
        <v>46174</v>
      </c>
      <c r="K197" s="148" t="s">
        <v>696</v>
      </c>
      <c r="L197" s="168">
        <v>2</v>
      </c>
      <c r="M197" s="135">
        <f>M$3</f>
        <v>46175</v>
      </c>
      <c r="N197" s="148" t="s">
        <v>501</v>
      </c>
      <c r="O197" s="137" t="s">
        <v>501</v>
      </c>
      <c r="P197" s="135">
        <f>P$3</f>
        <v>46176</v>
      </c>
      <c r="Q197" s="136" t="s">
        <v>501</v>
      </c>
      <c r="R197" s="137" t="s">
        <v>501</v>
      </c>
      <c r="S197" s="135">
        <f>S$3</f>
        <v>46177</v>
      </c>
      <c r="T197" s="136" t="s">
        <v>501</v>
      </c>
      <c r="U197" s="137" t="s">
        <v>501</v>
      </c>
      <c r="V197" s="135">
        <f>V$3</f>
        <v>46178</v>
      </c>
      <c r="W197" s="136" t="s">
        <v>501</v>
      </c>
      <c r="X197" s="137" t="s">
        <v>501</v>
      </c>
      <c r="Y197" s="135">
        <f>Y$3</f>
        <v>46179</v>
      </c>
      <c r="Z197" s="136" t="s">
        <v>501</v>
      </c>
      <c r="AA197" s="137" t="s">
        <v>501</v>
      </c>
      <c r="AB197" s="135"/>
      <c r="AC197" s="135">
        <f>AC$3</f>
        <v>46181</v>
      </c>
      <c r="AD197" s="136" t="s">
        <v>501</v>
      </c>
      <c r="AE197" s="137" t="s">
        <v>501</v>
      </c>
      <c r="AF197" s="135">
        <f>AF$3</f>
        <v>46182</v>
      </c>
      <c r="AG197" s="136" t="s">
        <v>501</v>
      </c>
      <c r="AH197" s="137" t="s">
        <v>501</v>
      </c>
      <c r="AI197" s="135">
        <f>AI$3</f>
        <v>46183</v>
      </c>
      <c r="AJ197" s="136" t="s">
        <v>501</v>
      </c>
      <c r="AK197" s="137" t="s">
        <v>501</v>
      </c>
      <c r="AL197" s="135">
        <f>AL$3</f>
        <v>46184</v>
      </c>
      <c r="AM197" s="136" t="s">
        <v>501</v>
      </c>
      <c r="AN197" s="137" t="s">
        <v>501</v>
      </c>
      <c r="AO197" s="135">
        <f>AO$3</f>
        <v>46185</v>
      </c>
      <c r="AP197" s="136" t="s">
        <v>501</v>
      </c>
      <c r="AQ197" s="137" t="s">
        <v>501</v>
      </c>
      <c r="AR197" s="135">
        <f>AR$3</f>
        <v>46186</v>
      </c>
      <c r="AS197" s="136" t="s">
        <v>501</v>
      </c>
      <c r="AT197" s="137" t="s">
        <v>501</v>
      </c>
      <c r="AU197" s="135"/>
      <c r="AV197" s="135">
        <f>AV$3</f>
        <v>46188</v>
      </c>
      <c r="AW197" s="148" t="s">
        <v>501</v>
      </c>
      <c r="AX197" s="137" t="s">
        <v>501</v>
      </c>
      <c r="AY197" s="135">
        <f>AY$3</f>
        <v>46189</v>
      </c>
      <c r="AZ197" s="136" t="s">
        <v>501</v>
      </c>
      <c r="BA197" s="137" t="s">
        <v>501</v>
      </c>
      <c r="BB197" s="135">
        <f>BB$3</f>
        <v>46190</v>
      </c>
      <c r="BC197" s="136" t="s">
        <v>501</v>
      </c>
      <c r="BD197" s="137" t="s">
        <v>501</v>
      </c>
      <c r="BE197" s="135">
        <f>BE$3</f>
        <v>46191</v>
      </c>
      <c r="BF197" s="136" t="s">
        <v>501</v>
      </c>
      <c r="BG197" s="137" t="s">
        <v>501</v>
      </c>
      <c r="BH197" s="135">
        <f>BH$3</f>
        <v>46192</v>
      </c>
      <c r="BI197" s="136" t="s">
        <v>501</v>
      </c>
      <c r="BJ197" s="137" t="s">
        <v>501</v>
      </c>
      <c r="BK197" s="135">
        <f>BK$3</f>
        <v>46193</v>
      </c>
      <c r="BL197" s="136" t="s">
        <v>501</v>
      </c>
      <c r="BM197" s="137" t="s">
        <v>501</v>
      </c>
      <c r="BN197" s="135"/>
      <c r="BO197" s="135">
        <f>BO$3</f>
        <v>46195</v>
      </c>
      <c r="BP197" s="136" t="s">
        <v>501</v>
      </c>
      <c r="BQ197" s="137" t="s">
        <v>501</v>
      </c>
      <c r="BR197" s="135">
        <f>BR$3</f>
        <v>46196</v>
      </c>
      <c r="BS197" s="136" t="s">
        <v>501</v>
      </c>
      <c r="BT197" s="137" t="s">
        <v>501</v>
      </c>
      <c r="BU197" s="135">
        <f>BU$3</f>
        <v>46197</v>
      </c>
      <c r="BV197" s="136" t="s">
        <v>501</v>
      </c>
      <c r="BW197" s="137" t="s">
        <v>501</v>
      </c>
      <c r="BX197" s="135">
        <f>BX$3</f>
        <v>46198</v>
      </c>
      <c r="BY197" s="136" t="s">
        <v>501</v>
      </c>
      <c r="BZ197" s="137" t="s">
        <v>501</v>
      </c>
      <c r="CA197" s="135">
        <f>CA$3</f>
        <v>46199</v>
      </c>
      <c r="CB197" s="136" t="s">
        <v>501</v>
      </c>
      <c r="CC197" s="137" t="s">
        <v>501</v>
      </c>
      <c r="CD197" s="135">
        <f>CD$3</f>
        <v>46200</v>
      </c>
      <c r="CE197" s="136" t="s">
        <v>501</v>
      </c>
      <c r="CF197" s="137" t="s">
        <v>501</v>
      </c>
      <c r="CG197" s="135"/>
      <c r="CH197" s="135">
        <f>CH$3</f>
        <v>46202</v>
      </c>
      <c r="CI197" s="148" t="s">
        <v>501</v>
      </c>
      <c r="CJ197" s="137" t="s">
        <v>501</v>
      </c>
      <c r="CK197" s="135">
        <f>CK$3</f>
        <v>46203</v>
      </c>
      <c r="CL197" s="136" t="s">
        <v>501</v>
      </c>
      <c r="CM197" s="137" t="s">
        <v>501</v>
      </c>
      <c r="CN197" s="135">
        <f>CN$3</f>
        <v>46204</v>
      </c>
      <c r="CO197" s="136" t="s">
        <v>501</v>
      </c>
      <c r="CP197" s="137" t="s">
        <v>501</v>
      </c>
      <c r="CQ197" s="135">
        <f>CQ$3</f>
        <v>46205</v>
      </c>
      <c r="CR197" s="136" t="s">
        <v>501</v>
      </c>
      <c r="CS197" s="137" t="s">
        <v>501</v>
      </c>
      <c r="CT197" s="135">
        <f>CT$3</f>
        <v>46206</v>
      </c>
      <c r="CU197" s="136" t="s">
        <v>501</v>
      </c>
      <c r="CV197" s="137" t="s">
        <v>501</v>
      </c>
      <c r="CW197" s="135">
        <f>CW$3</f>
        <v>46207</v>
      </c>
      <c r="CX197" s="136" t="s">
        <v>501</v>
      </c>
      <c r="CY197" s="137" t="s">
        <v>501</v>
      </c>
      <c r="CZ197" s="135"/>
      <c r="DA197" s="135">
        <f>DA$3</f>
        <v>46209</v>
      </c>
      <c r="DB197" s="136" t="s">
        <v>501</v>
      </c>
      <c r="DC197" s="137" t="s">
        <v>501</v>
      </c>
      <c r="DD197" s="135">
        <f>DD$3</f>
        <v>46210</v>
      </c>
      <c r="DE197" s="136" t="s">
        <v>501</v>
      </c>
      <c r="DF197" s="137" t="s">
        <v>501</v>
      </c>
      <c r="DG197" s="135">
        <f>DG$3</f>
        <v>46211</v>
      </c>
      <c r="DH197" s="136" t="s">
        <v>501</v>
      </c>
      <c r="DI197" s="137" t="s">
        <v>501</v>
      </c>
      <c r="DJ197" s="135">
        <f>DJ$3</f>
        <v>46212</v>
      </c>
      <c r="DK197" s="136" t="s">
        <v>501</v>
      </c>
      <c r="DL197" s="137" t="s">
        <v>501</v>
      </c>
      <c r="DM197" s="135">
        <f>DM$3</f>
        <v>46213</v>
      </c>
      <c r="DN197" s="136" t="s">
        <v>501</v>
      </c>
      <c r="DO197" s="137" t="s">
        <v>501</v>
      </c>
      <c r="DP197" s="135">
        <f>DP$3</f>
        <v>46214</v>
      </c>
      <c r="DQ197" s="136" t="s">
        <v>501</v>
      </c>
      <c r="DR197" s="137" t="s">
        <v>501</v>
      </c>
    </row>
    <row r="198" spans="1:122" outlineLevel="1">
      <c r="A198" s="122" t="str">
        <f>$A$175</f>
        <v>Trần Văn Toản</v>
      </c>
      <c r="B198" s="157" t="s">
        <v>697</v>
      </c>
      <c r="C198" s="81" t="str">
        <f>IF($B198="","",INDEX('Bảng 3'!C:C,MATCH($B198,'Bảng 3'!$A:$A,0)))</f>
        <v>Quản lý BIM</v>
      </c>
      <c r="D198" s="81" t="str">
        <f>IF($B198="","",INDEX('Bảng 3'!D:D,MATCH($B198,'Bảng 3'!$A:$A,0)))</f>
        <v>N.HCM.CGIO.KSMN</v>
      </c>
      <c r="E198" s="81" t="str">
        <f>IF($B198="","",INDEX('Bảng 3'!E:E,MATCH($B198,'Bảng 3'!$A:$A,0)))</f>
        <v>Lô A5.01.04, mẫu M2, M2G, M5, M5G</v>
      </c>
      <c r="F198" s="81" t="str">
        <f>IF($B198="","",INDEX('Bảng 3'!F:F,MATCH($B198,'Bảng 3'!$A:$A,0)))</f>
        <v>KT</v>
      </c>
      <c r="G198" s="81" t="str">
        <f>IF($B198="","",INDEX('Bảng 3'!G:G,MATCH($B198,'Bảng 3'!$A:$A,0)))</f>
        <v>KSCL mô hình BIM</v>
      </c>
      <c r="H198" s="121"/>
      <c r="I198" s="135"/>
      <c r="J198" s="135">
        <f>J$3</f>
        <v>46174</v>
      </c>
      <c r="K198" s="148" t="s">
        <v>501</v>
      </c>
      <c r="L198" s="168" t="s">
        <v>501</v>
      </c>
      <c r="M198" s="135">
        <f>M$3</f>
        <v>46175</v>
      </c>
      <c r="N198" s="148" t="s">
        <v>501</v>
      </c>
      <c r="O198" s="137" t="s">
        <v>501</v>
      </c>
      <c r="P198" s="135">
        <f>P$3</f>
        <v>46176</v>
      </c>
      <c r="Q198" s="136" t="s">
        <v>501</v>
      </c>
      <c r="R198" s="137" t="s">
        <v>501</v>
      </c>
      <c r="S198" s="135">
        <f>S$3</f>
        <v>46177</v>
      </c>
      <c r="T198" s="136" t="s">
        <v>501</v>
      </c>
      <c r="U198" s="137" t="s">
        <v>501</v>
      </c>
      <c r="V198" s="135">
        <f>V$3</f>
        <v>46178</v>
      </c>
      <c r="W198" s="136" t="s">
        <v>501</v>
      </c>
      <c r="X198" s="137" t="s">
        <v>501</v>
      </c>
      <c r="Y198" s="135">
        <f>Y$3</f>
        <v>46179</v>
      </c>
      <c r="Z198" s="136" t="s">
        <v>501</v>
      </c>
      <c r="AA198" s="137" t="s">
        <v>501</v>
      </c>
      <c r="AB198" s="135"/>
      <c r="AC198" s="135">
        <f>AC$3</f>
        <v>46181</v>
      </c>
      <c r="AD198" s="136" t="s">
        <v>501</v>
      </c>
      <c r="AE198" s="137" t="s">
        <v>501</v>
      </c>
      <c r="AF198" s="135">
        <f>AF$3</f>
        <v>46182</v>
      </c>
      <c r="AG198" s="136" t="s">
        <v>501</v>
      </c>
      <c r="AH198" s="137" t="s">
        <v>501</v>
      </c>
      <c r="AI198" s="135">
        <f>AI$3</f>
        <v>46183</v>
      </c>
      <c r="AJ198" s="136" t="s">
        <v>501</v>
      </c>
      <c r="AK198" s="137" t="s">
        <v>501</v>
      </c>
      <c r="AL198" s="135">
        <f>AL$3</f>
        <v>46184</v>
      </c>
      <c r="AM198" s="136" t="s">
        <v>501</v>
      </c>
      <c r="AN198" s="137" t="s">
        <v>501</v>
      </c>
      <c r="AO198" s="135">
        <f>AO$3</f>
        <v>46185</v>
      </c>
      <c r="AP198" s="136" t="s">
        <v>501</v>
      </c>
      <c r="AQ198" s="137" t="s">
        <v>501</v>
      </c>
      <c r="AR198" s="135">
        <f>AR$3</f>
        <v>46186</v>
      </c>
      <c r="AS198" s="136" t="s">
        <v>501</v>
      </c>
      <c r="AT198" s="137" t="s">
        <v>501</v>
      </c>
      <c r="AU198" s="135"/>
      <c r="AV198" s="135">
        <f>AV$3</f>
        <v>46188</v>
      </c>
      <c r="AW198" s="148" t="s">
        <v>501</v>
      </c>
      <c r="AX198" s="137" t="s">
        <v>501</v>
      </c>
      <c r="AY198" s="135">
        <f>AY$3</f>
        <v>46189</v>
      </c>
      <c r="AZ198" s="136" t="s">
        <v>501</v>
      </c>
      <c r="BA198" s="137" t="s">
        <v>501</v>
      </c>
      <c r="BB198" s="135">
        <f>BB$3</f>
        <v>46190</v>
      </c>
      <c r="BC198" s="136" t="s">
        <v>501</v>
      </c>
      <c r="BD198" s="137" t="s">
        <v>501</v>
      </c>
      <c r="BE198" s="135">
        <f>BE$3</f>
        <v>46191</v>
      </c>
      <c r="BF198" s="136" t="s">
        <v>501</v>
      </c>
      <c r="BG198" s="137" t="s">
        <v>501</v>
      </c>
      <c r="BH198" s="135">
        <f>BH$3</f>
        <v>46192</v>
      </c>
      <c r="BI198" s="136" t="s">
        <v>501</v>
      </c>
      <c r="BJ198" s="137" t="s">
        <v>501</v>
      </c>
      <c r="BK198" s="135">
        <f>BK$3</f>
        <v>46193</v>
      </c>
      <c r="BL198" s="136" t="s">
        <v>501</v>
      </c>
      <c r="BM198" s="137" t="s">
        <v>501</v>
      </c>
      <c r="BN198" s="135"/>
      <c r="BO198" s="135">
        <f>BO$3</f>
        <v>46195</v>
      </c>
      <c r="BP198" s="136" t="s">
        <v>501</v>
      </c>
      <c r="BQ198" s="137" t="s">
        <v>501</v>
      </c>
      <c r="BR198" s="135">
        <f>BR$3</f>
        <v>46196</v>
      </c>
      <c r="BS198" s="136" t="s">
        <v>501</v>
      </c>
      <c r="BT198" s="137" t="s">
        <v>501</v>
      </c>
      <c r="BU198" s="135">
        <f>BU$3</f>
        <v>46197</v>
      </c>
      <c r="BV198" s="136" t="s">
        <v>501</v>
      </c>
      <c r="BW198" s="137" t="s">
        <v>501</v>
      </c>
      <c r="BX198" s="135">
        <f>BX$3</f>
        <v>46198</v>
      </c>
      <c r="BY198" s="136" t="s">
        <v>501</v>
      </c>
      <c r="BZ198" s="137" t="s">
        <v>501</v>
      </c>
      <c r="CA198" s="135">
        <f>CA$3</f>
        <v>46199</v>
      </c>
      <c r="CB198" s="136" t="s">
        <v>501</v>
      </c>
      <c r="CC198" s="137" t="s">
        <v>501</v>
      </c>
      <c r="CD198" s="135">
        <f>CD$3</f>
        <v>46200</v>
      </c>
      <c r="CE198" s="136" t="s">
        <v>501</v>
      </c>
      <c r="CF198" s="137" t="s">
        <v>501</v>
      </c>
      <c r="CG198" s="135"/>
      <c r="CH198" s="135">
        <f>CH$3</f>
        <v>46202</v>
      </c>
      <c r="CI198" s="148" t="s">
        <v>501</v>
      </c>
      <c r="CJ198" s="137" t="s">
        <v>501</v>
      </c>
      <c r="CK198" s="135">
        <f>CK$3</f>
        <v>46203</v>
      </c>
      <c r="CL198" s="136" t="s">
        <v>501</v>
      </c>
      <c r="CM198" s="137" t="s">
        <v>501</v>
      </c>
      <c r="CN198" s="135">
        <f>CN$3</f>
        <v>46204</v>
      </c>
      <c r="CO198" s="136" t="s">
        <v>501</v>
      </c>
      <c r="CP198" s="137" t="s">
        <v>501</v>
      </c>
      <c r="CQ198" s="135">
        <f>CQ$3</f>
        <v>46205</v>
      </c>
      <c r="CR198" s="136" t="s">
        <v>501</v>
      </c>
      <c r="CS198" s="137" t="s">
        <v>501</v>
      </c>
      <c r="CT198" s="135">
        <f>CT$3</f>
        <v>46206</v>
      </c>
      <c r="CU198" s="136" t="s">
        <v>501</v>
      </c>
      <c r="CV198" s="137" t="s">
        <v>501</v>
      </c>
      <c r="CW198" s="135">
        <f>CW$3</f>
        <v>46207</v>
      </c>
      <c r="CX198" s="136" t="s">
        <v>501</v>
      </c>
      <c r="CY198" s="137" t="s">
        <v>501</v>
      </c>
      <c r="CZ198" s="135"/>
      <c r="DA198" s="135">
        <f>DA$3</f>
        <v>46209</v>
      </c>
      <c r="DB198" s="136" t="s">
        <v>501</v>
      </c>
      <c r="DC198" s="137" t="s">
        <v>501</v>
      </c>
      <c r="DD198" s="135">
        <f>DD$3</f>
        <v>46210</v>
      </c>
      <c r="DE198" s="136" t="s">
        <v>501</v>
      </c>
      <c r="DF198" s="137" t="s">
        <v>501</v>
      </c>
      <c r="DG198" s="135">
        <f>DG$3</f>
        <v>46211</v>
      </c>
      <c r="DH198" s="136" t="s">
        <v>501</v>
      </c>
      <c r="DI198" s="137" t="s">
        <v>501</v>
      </c>
      <c r="DJ198" s="135">
        <f>DJ$3</f>
        <v>46212</v>
      </c>
      <c r="DK198" s="136" t="s">
        <v>501</v>
      </c>
      <c r="DL198" s="137" t="s">
        <v>501</v>
      </c>
      <c r="DM198" s="135">
        <f>DM$3</f>
        <v>46213</v>
      </c>
      <c r="DN198" s="136" t="s">
        <v>501</v>
      </c>
      <c r="DO198" s="137" t="s">
        <v>501</v>
      </c>
      <c r="DP198" s="135">
        <f>DP$3</f>
        <v>46214</v>
      </c>
      <c r="DQ198" s="136" t="s">
        <v>501</v>
      </c>
      <c r="DR198" s="137" t="s">
        <v>501</v>
      </c>
    </row>
    <row r="199" spans="1:122" outlineLevel="1">
      <c r="A199" s="122" t="str">
        <f>$A$175</f>
        <v>Trần Văn Toản</v>
      </c>
      <c r="B199" s="157" t="s">
        <v>698</v>
      </c>
      <c r="C199" s="81" t="str">
        <f>IF($B199="","",INDEX('Bảng 3'!C:C,MATCH($B199,'Bảng 3'!$A:$A,0)))</f>
        <v>Quản lý BIM</v>
      </c>
      <c r="D199" s="81" t="str">
        <f>IF($B199="","",INDEX('Bảng 3'!D:D,MATCH($B199,'Bảng 3'!$A:$A,0)))</f>
        <v>N.HCM.CGIO.KSMN</v>
      </c>
      <c r="E199" s="81" t="str">
        <f>IF($B199="","",INDEX('Bảng 3'!E:E,MATCH($B199,'Bảng 3'!$A:$A,0)))</f>
        <v>Lô A5.01.04, mẫu M2, M2G, M5, M5G</v>
      </c>
      <c r="F199" s="81" t="str">
        <f>IF($B199="","",INDEX('Bảng 3'!F:F,MATCH($B199,'Bảng 3'!$A:$A,0)))</f>
        <v>KT</v>
      </c>
      <c r="G199" s="81" t="str">
        <f>IF($B199="","",INDEX('Bảng 3'!G:G,MATCH($B199,'Bảng 3'!$A:$A,0)))</f>
        <v>Tạo lập mô hình BIM</v>
      </c>
      <c r="H199" s="121"/>
      <c r="I199" s="135"/>
      <c r="J199" s="135">
        <f>J$3</f>
        <v>46174</v>
      </c>
      <c r="K199" s="148" t="s">
        <v>501</v>
      </c>
      <c r="L199" s="168" t="s">
        <v>501</v>
      </c>
      <c r="M199" s="135">
        <f>M$3</f>
        <v>46175</v>
      </c>
      <c r="N199" s="148" t="s">
        <v>501</v>
      </c>
      <c r="O199" s="137" t="s">
        <v>501</v>
      </c>
      <c r="P199" s="135">
        <f>P$3</f>
        <v>46176</v>
      </c>
      <c r="Q199" s="136" t="s">
        <v>501</v>
      </c>
      <c r="R199" s="137" t="s">
        <v>501</v>
      </c>
      <c r="S199" s="135">
        <f>S$3</f>
        <v>46177</v>
      </c>
      <c r="T199" s="136" t="s">
        <v>501</v>
      </c>
      <c r="U199" s="137" t="s">
        <v>501</v>
      </c>
      <c r="V199" s="135">
        <f>V$3</f>
        <v>46178</v>
      </c>
      <c r="W199" s="136" t="s">
        <v>501</v>
      </c>
      <c r="X199" s="137" t="s">
        <v>501</v>
      </c>
      <c r="Y199" s="135">
        <f>Y$3</f>
        <v>46179</v>
      </c>
      <c r="Z199" s="136" t="s">
        <v>501</v>
      </c>
      <c r="AA199" s="137" t="s">
        <v>501</v>
      </c>
      <c r="AB199" s="135"/>
      <c r="AC199" s="135">
        <f>AC$3</f>
        <v>46181</v>
      </c>
      <c r="AD199" s="136" t="s">
        <v>501</v>
      </c>
      <c r="AE199" s="137" t="s">
        <v>501</v>
      </c>
      <c r="AF199" s="135">
        <f>AF$3</f>
        <v>46182</v>
      </c>
      <c r="AG199" s="136" t="s">
        <v>501</v>
      </c>
      <c r="AH199" s="137" t="s">
        <v>501</v>
      </c>
      <c r="AI199" s="135">
        <f>AI$3</f>
        <v>46183</v>
      </c>
      <c r="AJ199" s="136" t="s">
        <v>501</v>
      </c>
      <c r="AK199" s="137" t="s">
        <v>501</v>
      </c>
      <c r="AL199" s="135">
        <f>AL$3</f>
        <v>46184</v>
      </c>
      <c r="AM199" s="136" t="s">
        <v>501</v>
      </c>
      <c r="AN199" s="137" t="s">
        <v>501</v>
      </c>
      <c r="AO199" s="135">
        <f>AO$3</f>
        <v>46185</v>
      </c>
      <c r="AP199" s="136" t="s">
        <v>501</v>
      </c>
      <c r="AQ199" s="137" t="s">
        <v>501</v>
      </c>
      <c r="AR199" s="135">
        <f>AR$3</f>
        <v>46186</v>
      </c>
      <c r="AS199" s="136" t="s">
        <v>501</v>
      </c>
      <c r="AT199" s="137" t="s">
        <v>501</v>
      </c>
      <c r="AU199" s="135"/>
      <c r="AV199" s="135">
        <f>AV$3</f>
        <v>46188</v>
      </c>
      <c r="AW199" s="148" t="s">
        <v>501</v>
      </c>
      <c r="AX199" s="137" t="s">
        <v>501</v>
      </c>
      <c r="AY199" s="135">
        <f>AY$3</f>
        <v>46189</v>
      </c>
      <c r="AZ199" s="136" t="s">
        <v>501</v>
      </c>
      <c r="BA199" s="137" t="s">
        <v>501</v>
      </c>
      <c r="BB199" s="135">
        <f>BB$3</f>
        <v>46190</v>
      </c>
      <c r="BC199" s="136" t="s">
        <v>501</v>
      </c>
      <c r="BD199" s="137" t="s">
        <v>501</v>
      </c>
      <c r="BE199" s="135">
        <f>BE$3</f>
        <v>46191</v>
      </c>
      <c r="BF199" s="136" t="s">
        <v>501</v>
      </c>
      <c r="BG199" s="137" t="s">
        <v>501</v>
      </c>
      <c r="BH199" s="135">
        <f>BH$3</f>
        <v>46192</v>
      </c>
      <c r="BI199" s="136" t="s">
        <v>501</v>
      </c>
      <c r="BJ199" s="137" t="s">
        <v>501</v>
      </c>
      <c r="BK199" s="135">
        <f>BK$3</f>
        <v>46193</v>
      </c>
      <c r="BL199" s="136" t="s">
        <v>501</v>
      </c>
      <c r="BM199" s="137" t="s">
        <v>501</v>
      </c>
      <c r="BN199" s="135"/>
      <c r="BO199" s="135">
        <f>BO$3</f>
        <v>46195</v>
      </c>
      <c r="BP199" s="136" t="s">
        <v>501</v>
      </c>
      <c r="BQ199" s="137" t="s">
        <v>501</v>
      </c>
      <c r="BR199" s="135">
        <f>BR$3</f>
        <v>46196</v>
      </c>
      <c r="BS199" s="136" t="s">
        <v>501</v>
      </c>
      <c r="BT199" s="137" t="s">
        <v>501</v>
      </c>
      <c r="BU199" s="135">
        <f>BU$3</f>
        <v>46197</v>
      </c>
      <c r="BV199" s="136" t="s">
        <v>501</v>
      </c>
      <c r="BW199" s="137" t="s">
        <v>501</v>
      </c>
      <c r="BX199" s="135">
        <f>BX$3</f>
        <v>46198</v>
      </c>
      <c r="BY199" s="136" t="s">
        <v>501</v>
      </c>
      <c r="BZ199" s="137" t="s">
        <v>501</v>
      </c>
      <c r="CA199" s="135">
        <f>CA$3</f>
        <v>46199</v>
      </c>
      <c r="CB199" s="136" t="s">
        <v>501</v>
      </c>
      <c r="CC199" s="137" t="s">
        <v>501</v>
      </c>
      <c r="CD199" s="135">
        <f>CD$3</f>
        <v>46200</v>
      </c>
      <c r="CE199" s="136" t="s">
        <v>501</v>
      </c>
      <c r="CF199" s="137" t="s">
        <v>501</v>
      </c>
      <c r="CG199" s="135"/>
      <c r="CH199" s="135">
        <f>CH$3</f>
        <v>46202</v>
      </c>
      <c r="CI199" s="148" t="s">
        <v>501</v>
      </c>
      <c r="CJ199" s="137" t="s">
        <v>501</v>
      </c>
      <c r="CK199" s="135">
        <f>CK$3</f>
        <v>46203</v>
      </c>
      <c r="CL199" s="136" t="s">
        <v>501</v>
      </c>
      <c r="CM199" s="137" t="s">
        <v>501</v>
      </c>
      <c r="CN199" s="135">
        <f>CN$3</f>
        <v>46204</v>
      </c>
      <c r="CO199" s="136" t="s">
        <v>501</v>
      </c>
      <c r="CP199" s="137" t="s">
        <v>501</v>
      </c>
      <c r="CQ199" s="135">
        <f>CQ$3</f>
        <v>46205</v>
      </c>
      <c r="CR199" s="136" t="s">
        <v>501</v>
      </c>
      <c r="CS199" s="137" t="s">
        <v>501</v>
      </c>
      <c r="CT199" s="135">
        <f>CT$3</f>
        <v>46206</v>
      </c>
      <c r="CU199" s="136" t="s">
        <v>501</v>
      </c>
      <c r="CV199" s="137" t="s">
        <v>501</v>
      </c>
      <c r="CW199" s="135">
        <f>CW$3</f>
        <v>46207</v>
      </c>
      <c r="CX199" s="136" t="s">
        <v>501</v>
      </c>
      <c r="CY199" s="137" t="s">
        <v>501</v>
      </c>
      <c r="CZ199" s="135"/>
      <c r="DA199" s="135">
        <f>DA$3</f>
        <v>46209</v>
      </c>
      <c r="DB199" s="136" t="s">
        <v>501</v>
      </c>
      <c r="DC199" s="137" t="s">
        <v>501</v>
      </c>
      <c r="DD199" s="135">
        <f>DD$3</f>
        <v>46210</v>
      </c>
      <c r="DE199" s="136" t="s">
        <v>501</v>
      </c>
      <c r="DF199" s="137" t="s">
        <v>501</v>
      </c>
      <c r="DG199" s="135">
        <f>DG$3</f>
        <v>46211</v>
      </c>
      <c r="DH199" s="136" t="s">
        <v>501</v>
      </c>
      <c r="DI199" s="137" t="s">
        <v>501</v>
      </c>
      <c r="DJ199" s="135">
        <f>DJ$3</f>
        <v>46212</v>
      </c>
      <c r="DK199" s="136" t="s">
        <v>501</v>
      </c>
      <c r="DL199" s="137" t="s">
        <v>501</v>
      </c>
      <c r="DM199" s="135">
        <f>DM$3</f>
        <v>46213</v>
      </c>
      <c r="DN199" s="136" t="s">
        <v>501</v>
      </c>
      <c r="DO199" s="137" t="s">
        <v>501</v>
      </c>
      <c r="DP199" s="135">
        <f>DP$3</f>
        <v>46214</v>
      </c>
      <c r="DQ199" s="136" t="s">
        <v>501</v>
      </c>
      <c r="DR199" s="137" t="s">
        <v>501</v>
      </c>
    </row>
    <row r="200" spans="1:122" outlineLevel="1">
      <c r="A200" s="122" t="str">
        <f>$A$175</f>
        <v>Trần Văn Toản</v>
      </c>
      <c r="B200" s="157" t="s">
        <v>699</v>
      </c>
      <c r="C200" s="81" t="str">
        <f>IF($B200="","",INDEX('Bảng 3'!C:C,MATCH($B200,'Bảng 3'!$A:$A,0)))</f>
        <v>Quản lý BIM</v>
      </c>
      <c r="D200" s="81" t="str">
        <f>IF($B200="","",INDEX('Bảng 3'!D:D,MATCH($B200,'Bảng 3'!$A:$A,0)))</f>
        <v>N.HCM.CGIO.KSMN</v>
      </c>
      <c r="E200" s="81" t="str">
        <f>IF($B200="","",INDEX('Bảng 3'!E:E,MATCH($B200,'Bảng 3'!$A:$A,0)))</f>
        <v>Lô A5.01.04, mẫu M2, M2G, M5, M5G</v>
      </c>
      <c r="F200" s="81" t="str">
        <f>IF($B200="","",INDEX('Bảng 3'!F:F,MATCH($B200,'Bảng 3'!$A:$A,0)))</f>
        <v>KC</v>
      </c>
      <c r="G200" s="81" t="str">
        <f>IF($B200="","",INDEX('Bảng 3'!G:G,MATCH($B200,'Bảng 3'!$A:$A,0)))</f>
        <v>KSCL mô hình BIM</v>
      </c>
      <c r="H200" s="121"/>
      <c r="I200" s="135"/>
      <c r="J200" s="135">
        <f>J$3</f>
        <v>46174</v>
      </c>
      <c r="K200" s="148" t="s">
        <v>501</v>
      </c>
      <c r="L200" s="168" t="s">
        <v>501</v>
      </c>
      <c r="M200" s="135">
        <f>M$3</f>
        <v>46175</v>
      </c>
      <c r="N200" s="148" t="s">
        <v>501</v>
      </c>
      <c r="O200" s="137" t="s">
        <v>501</v>
      </c>
      <c r="P200" s="135">
        <f>P$3</f>
        <v>46176</v>
      </c>
      <c r="Q200" s="136" t="s">
        <v>501</v>
      </c>
      <c r="R200" s="137" t="s">
        <v>501</v>
      </c>
      <c r="S200" s="135">
        <f>S$3</f>
        <v>46177</v>
      </c>
      <c r="T200" s="136" t="s">
        <v>501</v>
      </c>
      <c r="U200" s="137" t="s">
        <v>501</v>
      </c>
      <c r="V200" s="135">
        <f>V$3</f>
        <v>46178</v>
      </c>
      <c r="W200" s="136" t="s">
        <v>501</v>
      </c>
      <c r="X200" s="137" t="s">
        <v>501</v>
      </c>
      <c r="Y200" s="135">
        <f>Y$3</f>
        <v>46179</v>
      </c>
      <c r="Z200" s="136" t="s">
        <v>501</v>
      </c>
      <c r="AA200" s="137" t="s">
        <v>501</v>
      </c>
      <c r="AB200" s="135"/>
      <c r="AC200" s="135">
        <f>AC$3</f>
        <v>46181</v>
      </c>
      <c r="AD200" s="136" t="s">
        <v>501</v>
      </c>
      <c r="AE200" s="137" t="s">
        <v>501</v>
      </c>
      <c r="AF200" s="135">
        <f>AF$3</f>
        <v>46182</v>
      </c>
      <c r="AG200" s="136" t="s">
        <v>501</v>
      </c>
      <c r="AH200" s="137" t="s">
        <v>501</v>
      </c>
      <c r="AI200" s="135">
        <f>AI$3</f>
        <v>46183</v>
      </c>
      <c r="AJ200" s="136" t="s">
        <v>501</v>
      </c>
      <c r="AK200" s="137" t="s">
        <v>501</v>
      </c>
      <c r="AL200" s="135">
        <f>AL$3</f>
        <v>46184</v>
      </c>
      <c r="AM200" s="136" t="s">
        <v>501</v>
      </c>
      <c r="AN200" s="137" t="s">
        <v>501</v>
      </c>
      <c r="AO200" s="135">
        <f>AO$3</f>
        <v>46185</v>
      </c>
      <c r="AP200" s="136" t="s">
        <v>501</v>
      </c>
      <c r="AQ200" s="137" t="s">
        <v>501</v>
      </c>
      <c r="AR200" s="135">
        <f>AR$3</f>
        <v>46186</v>
      </c>
      <c r="AS200" s="136" t="s">
        <v>501</v>
      </c>
      <c r="AT200" s="137" t="s">
        <v>501</v>
      </c>
      <c r="AU200" s="135"/>
      <c r="AV200" s="135">
        <f>AV$3</f>
        <v>46188</v>
      </c>
      <c r="AW200" s="148" t="s">
        <v>501</v>
      </c>
      <c r="AX200" s="137" t="s">
        <v>501</v>
      </c>
      <c r="AY200" s="135">
        <f>AY$3</f>
        <v>46189</v>
      </c>
      <c r="AZ200" s="136" t="s">
        <v>501</v>
      </c>
      <c r="BA200" s="137" t="s">
        <v>501</v>
      </c>
      <c r="BB200" s="135">
        <f>BB$3</f>
        <v>46190</v>
      </c>
      <c r="BC200" s="136" t="s">
        <v>501</v>
      </c>
      <c r="BD200" s="137" t="s">
        <v>501</v>
      </c>
      <c r="BE200" s="135">
        <f>BE$3</f>
        <v>46191</v>
      </c>
      <c r="BF200" s="136" t="s">
        <v>501</v>
      </c>
      <c r="BG200" s="137" t="s">
        <v>501</v>
      </c>
      <c r="BH200" s="135">
        <f>BH$3</f>
        <v>46192</v>
      </c>
      <c r="BI200" s="136" t="s">
        <v>501</v>
      </c>
      <c r="BJ200" s="137" t="s">
        <v>501</v>
      </c>
      <c r="BK200" s="135">
        <f>BK$3</f>
        <v>46193</v>
      </c>
      <c r="BL200" s="136" t="s">
        <v>501</v>
      </c>
      <c r="BM200" s="137" t="s">
        <v>501</v>
      </c>
      <c r="BN200" s="135"/>
      <c r="BO200" s="135">
        <f>BO$3</f>
        <v>46195</v>
      </c>
      <c r="BP200" s="136" t="s">
        <v>501</v>
      </c>
      <c r="BQ200" s="137" t="s">
        <v>501</v>
      </c>
      <c r="BR200" s="135">
        <f>BR$3</f>
        <v>46196</v>
      </c>
      <c r="BS200" s="136" t="s">
        <v>501</v>
      </c>
      <c r="BT200" s="137" t="s">
        <v>501</v>
      </c>
      <c r="BU200" s="135">
        <f>BU$3</f>
        <v>46197</v>
      </c>
      <c r="BV200" s="136" t="s">
        <v>501</v>
      </c>
      <c r="BW200" s="137" t="s">
        <v>501</v>
      </c>
      <c r="BX200" s="135">
        <f>BX$3</f>
        <v>46198</v>
      </c>
      <c r="BY200" s="136" t="s">
        <v>501</v>
      </c>
      <c r="BZ200" s="137" t="s">
        <v>501</v>
      </c>
      <c r="CA200" s="135">
        <f>CA$3</f>
        <v>46199</v>
      </c>
      <c r="CB200" s="136" t="s">
        <v>501</v>
      </c>
      <c r="CC200" s="137" t="s">
        <v>501</v>
      </c>
      <c r="CD200" s="135">
        <f>CD$3</f>
        <v>46200</v>
      </c>
      <c r="CE200" s="136" t="s">
        <v>501</v>
      </c>
      <c r="CF200" s="137" t="s">
        <v>501</v>
      </c>
      <c r="CG200" s="135"/>
      <c r="CH200" s="135">
        <f>CH$3</f>
        <v>46202</v>
      </c>
      <c r="CI200" s="148" t="s">
        <v>501</v>
      </c>
      <c r="CJ200" s="137" t="s">
        <v>501</v>
      </c>
      <c r="CK200" s="135">
        <f>CK$3</f>
        <v>46203</v>
      </c>
      <c r="CL200" s="136" t="s">
        <v>501</v>
      </c>
      <c r="CM200" s="137" t="s">
        <v>501</v>
      </c>
      <c r="CN200" s="135">
        <f>CN$3</f>
        <v>46204</v>
      </c>
      <c r="CO200" s="136" t="s">
        <v>501</v>
      </c>
      <c r="CP200" s="137" t="s">
        <v>501</v>
      </c>
      <c r="CQ200" s="135">
        <f>CQ$3</f>
        <v>46205</v>
      </c>
      <c r="CR200" s="136" t="s">
        <v>501</v>
      </c>
      <c r="CS200" s="137" t="s">
        <v>501</v>
      </c>
      <c r="CT200" s="135">
        <f>CT$3</f>
        <v>46206</v>
      </c>
      <c r="CU200" s="136" t="s">
        <v>501</v>
      </c>
      <c r="CV200" s="137" t="s">
        <v>501</v>
      </c>
      <c r="CW200" s="135">
        <f>CW$3</f>
        <v>46207</v>
      </c>
      <c r="CX200" s="136" t="s">
        <v>501</v>
      </c>
      <c r="CY200" s="137" t="s">
        <v>501</v>
      </c>
      <c r="CZ200" s="135"/>
      <c r="DA200" s="135">
        <f>DA$3</f>
        <v>46209</v>
      </c>
      <c r="DB200" s="136" t="s">
        <v>501</v>
      </c>
      <c r="DC200" s="137" t="s">
        <v>501</v>
      </c>
      <c r="DD200" s="135">
        <f>DD$3</f>
        <v>46210</v>
      </c>
      <c r="DE200" s="136" t="s">
        <v>501</v>
      </c>
      <c r="DF200" s="137" t="s">
        <v>501</v>
      </c>
      <c r="DG200" s="135">
        <f>DG$3</f>
        <v>46211</v>
      </c>
      <c r="DH200" s="136" t="s">
        <v>501</v>
      </c>
      <c r="DI200" s="137" t="s">
        <v>501</v>
      </c>
      <c r="DJ200" s="135">
        <f>DJ$3</f>
        <v>46212</v>
      </c>
      <c r="DK200" s="136" t="s">
        <v>501</v>
      </c>
      <c r="DL200" s="137" t="s">
        <v>501</v>
      </c>
      <c r="DM200" s="135">
        <f>DM$3</f>
        <v>46213</v>
      </c>
      <c r="DN200" s="136" t="s">
        <v>501</v>
      </c>
      <c r="DO200" s="137" t="s">
        <v>501</v>
      </c>
      <c r="DP200" s="135">
        <f>DP$3</f>
        <v>46214</v>
      </c>
      <c r="DQ200" s="136" t="s">
        <v>501</v>
      </c>
      <c r="DR200" s="137" t="s">
        <v>501</v>
      </c>
    </row>
    <row r="201" spans="1:122" outlineLevel="1">
      <c r="A201" s="122" t="str">
        <f>$A$175</f>
        <v>Trần Văn Toản</v>
      </c>
      <c r="B201" s="157"/>
      <c r="C201" s="81" t="str">
        <f>IF($B201="","",INDEX('Bảng 3'!C:C,MATCH($B201,'Bảng 3'!$A:$A,0)))</f>
        <v/>
      </c>
      <c r="D201" s="81" t="str">
        <f>IF($B201="","",INDEX('Bảng 3'!D:D,MATCH($B201,'Bảng 3'!$A:$A,0)))</f>
        <v/>
      </c>
      <c r="E201" s="81" t="str">
        <f>IF($B201="","",INDEX('Bảng 3'!E:E,MATCH($B201,'Bảng 3'!$A:$A,0)))</f>
        <v/>
      </c>
      <c r="F201" s="81" t="str">
        <f>IF($B201="","",INDEX('Bảng 3'!F:F,MATCH($B201,'Bảng 3'!$A:$A,0)))</f>
        <v/>
      </c>
      <c r="G201" s="81" t="str">
        <f>IF($B201="","",INDEX('Bảng 3'!G:G,MATCH($B201,'Bảng 3'!$A:$A,0)))</f>
        <v/>
      </c>
      <c r="H201" s="121"/>
      <c r="I201" s="135"/>
      <c r="J201" s="135">
        <f>J$3</f>
        <v>46174</v>
      </c>
      <c r="K201" s="148" t="s">
        <v>501</v>
      </c>
      <c r="L201" s="168" t="s">
        <v>501</v>
      </c>
      <c r="M201" s="135">
        <f>M$3</f>
        <v>46175</v>
      </c>
      <c r="N201" s="148" t="s">
        <v>501</v>
      </c>
      <c r="O201" s="137" t="s">
        <v>501</v>
      </c>
      <c r="P201" s="135">
        <f>P$3</f>
        <v>46176</v>
      </c>
      <c r="Q201" s="136" t="s">
        <v>501</v>
      </c>
      <c r="R201" s="137" t="s">
        <v>501</v>
      </c>
      <c r="S201" s="135">
        <f>S$3</f>
        <v>46177</v>
      </c>
      <c r="T201" s="136" t="s">
        <v>501</v>
      </c>
      <c r="U201" s="137" t="s">
        <v>501</v>
      </c>
      <c r="V201" s="135">
        <f>V$3</f>
        <v>46178</v>
      </c>
      <c r="W201" s="136" t="s">
        <v>501</v>
      </c>
      <c r="X201" s="137" t="s">
        <v>501</v>
      </c>
      <c r="Y201" s="135">
        <f>Y$3</f>
        <v>46179</v>
      </c>
      <c r="Z201" s="136" t="s">
        <v>501</v>
      </c>
      <c r="AA201" s="137" t="s">
        <v>501</v>
      </c>
      <c r="AB201" s="135"/>
      <c r="AC201" s="135">
        <f>AC$3</f>
        <v>46181</v>
      </c>
      <c r="AD201" s="136" t="s">
        <v>501</v>
      </c>
      <c r="AE201" s="137" t="s">
        <v>501</v>
      </c>
      <c r="AF201" s="135">
        <f>AF$3</f>
        <v>46182</v>
      </c>
      <c r="AG201" s="136" t="s">
        <v>501</v>
      </c>
      <c r="AH201" s="137" t="s">
        <v>501</v>
      </c>
      <c r="AI201" s="135">
        <f>AI$3</f>
        <v>46183</v>
      </c>
      <c r="AJ201" s="136" t="s">
        <v>501</v>
      </c>
      <c r="AK201" s="137" t="s">
        <v>501</v>
      </c>
      <c r="AL201" s="135">
        <f>AL$3</f>
        <v>46184</v>
      </c>
      <c r="AM201" s="136" t="s">
        <v>501</v>
      </c>
      <c r="AN201" s="137" t="s">
        <v>501</v>
      </c>
      <c r="AO201" s="135">
        <f>AO$3</f>
        <v>46185</v>
      </c>
      <c r="AP201" s="136" t="s">
        <v>501</v>
      </c>
      <c r="AQ201" s="137" t="s">
        <v>501</v>
      </c>
      <c r="AR201" s="135">
        <f>AR$3</f>
        <v>46186</v>
      </c>
      <c r="AS201" s="136" t="s">
        <v>501</v>
      </c>
      <c r="AT201" s="137" t="s">
        <v>501</v>
      </c>
      <c r="AU201" s="135"/>
      <c r="AV201" s="135">
        <f>AV$3</f>
        <v>46188</v>
      </c>
      <c r="AW201" s="148" t="s">
        <v>501</v>
      </c>
      <c r="AX201" s="137" t="s">
        <v>501</v>
      </c>
      <c r="AY201" s="135">
        <f>AY$3</f>
        <v>46189</v>
      </c>
      <c r="AZ201" s="136" t="s">
        <v>501</v>
      </c>
      <c r="BA201" s="137" t="s">
        <v>501</v>
      </c>
      <c r="BB201" s="135">
        <f>BB$3</f>
        <v>46190</v>
      </c>
      <c r="BC201" s="136" t="s">
        <v>501</v>
      </c>
      <c r="BD201" s="137" t="s">
        <v>501</v>
      </c>
      <c r="BE201" s="135">
        <f>BE$3</f>
        <v>46191</v>
      </c>
      <c r="BF201" s="136" t="s">
        <v>501</v>
      </c>
      <c r="BG201" s="137" t="s">
        <v>501</v>
      </c>
      <c r="BH201" s="135">
        <f>BH$3</f>
        <v>46192</v>
      </c>
      <c r="BI201" s="136" t="s">
        <v>501</v>
      </c>
      <c r="BJ201" s="137" t="s">
        <v>501</v>
      </c>
      <c r="BK201" s="135">
        <f>BK$3</f>
        <v>46193</v>
      </c>
      <c r="BL201" s="136" t="s">
        <v>501</v>
      </c>
      <c r="BM201" s="137" t="s">
        <v>501</v>
      </c>
      <c r="BN201" s="135"/>
      <c r="BO201" s="135">
        <f>BO$3</f>
        <v>46195</v>
      </c>
      <c r="BP201" s="136" t="s">
        <v>501</v>
      </c>
      <c r="BQ201" s="137" t="s">
        <v>501</v>
      </c>
      <c r="BR201" s="135">
        <f>BR$3</f>
        <v>46196</v>
      </c>
      <c r="BS201" s="136" t="s">
        <v>501</v>
      </c>
      <c r="BT201" s="137" t="s">
        <v>501</v>
      </c>
      <c r="BU201" s="135">
        <f>BU$3</f>
        <v>46197</v>
      </c>
      <c r="BV201" s="136" t="s">
        <v>501</v>
      </c>
      <c r="BW201" s="137" t="s">
        <v>501</v>
      </c>
      <c r="BX201" s="135">
        <f>BX$3</f>
        <v>46198</v>
      </c>
      <c r="BY201" s="136" t="s">
        <v>501</v>
      </c>
      <c r="BZ201" s="137" t="s">
        <v>501</v>
      </c>
      <c r="CA201" s="135">
        <f>CA$3</f>
        <v>46199</v>
      </c>
      <c r="CB201" s="136" t="s">
        <v>501</v>
      </c>
      <c r="CC201" s="137" t="s">
        <v>501</v>
      </c>
      <c r="CD201" s="135">
        <f>CD$3</f>
        <v>46200</v>
      </c>
      <c r="CE201" s="136" t="s">
        <v>501</v>
      </c>
      <c r="CF201" s="137" t="s">
        <v>501</v>
      </c>
      <c r="CG201" s="135"/>
      <c r="CH201" s="135">
        <f>CH$3</f>
        <v>46202</v>
      </c>
      <c r="CI201" s="148" t="s">
        <v>501</v>
      </c>
      <c r="CJ201" s="137" t="s">
        <v>501</v>
      </c>
      <c r="CK201" s="135">
        <f>CK$3</f>
        <v>46203</v>
      </c>
      <c r="CL201" s="136" t="s">
        <v>501</v>
      </c>
      <c r="CM201" s="137" t="s">
        <v>501</v>
      </c>
      <c r="CN201" s="135">
        <f>CN$3</f>
        <v>46204</v>
      </c>
      <c r="CO201" s="136" t="s">
        <v>501</v>
      </c>
      <c r="CP201" s="137" t="s">
        <v>501</v>
      </c>
      <c r="CQ201" s="135">
        <f>CQ$3</f>
        <v>46205</v>
      </c>
      <c r="CR201" s="136" t="s">
        <v>501</v>
      </c>
      <c r="CS201" s="137" t="s">
        <v>501</v>
      </c>
      <c r="CT201" s="135">
        <f>CT$3</f>
        <v>46206</v>
      </c>
      <c r="CU201" s="136" t="s">
        <v>501</v>
      </c>
      <c r="CV201" s="137" t="s">
        <v>501</v>
      </c>
      <c r="CW201" s="135">
        <f>CW$3</f>
        <v>46207</v>
      </c>
      <c r="CX201" s="136" t="s">
        <v>501</v>
      </c>
      <c r="CY201" s="137" t="s">
        <v>501</v>
      </c>
      <c r="CZ201" s="135"/>
      <c r="DA201" s="135">
        <f>DA$3</f>
        <v>46209</v>
      </c>
      <c r="DB201" s="136" t="s">
        <v>501</v>
      </c>
      <c r="DC201" s="137" t="s">
        <v>501</v>
      </c>
      <c r="DD201" s="135">
        <f>DD$3</f>
        <v>46210</v>
      </c>
      <c r="DE201" s="136" t="s">
        <v>501</v>
      </c>
      <c r="DF201" s="137" t="s">
        <v>501</v>
      </c>
      <c r="DG201" s="135">
        <f>DG$3</f>
        <v>46211</v>
      </c>
      <c r="DH201" s="136" t="s">
        <v>501</v>
      </c>
      <c r="DI201" s="137" t="s">
        <v>501</v>
      </c>
      <c r="DJ201" s="135">
        <f>DJ$3</f>
        <v>46212</v>
      </c>
      <c r="DK201" s="136" t="s">
        <v>501</v>
      </c>
      <c r="DL201" s="137" t="s">
        <v>501</v>
      </c>
      <c r="DM201" s="135">
        <f>DM$3</f>
        <v>46213</v>
      </c>
      <c r="DN201" s="136" t="s">
        <v>501</v>
      </c>
      <c r="DO201" s="137" t="s">
        <v>501</v>
      </c>
      <c r="DP201" s="135">
        <f>DP$3</f>
        <v>46214</v>
      </c>
      <c r="DQ201" s="136" t="s">
        <v>501</v>
      </c>
      <c r="DR201" s="137" t="s">
        <v>501</v>
      </c>
    </row>
    <row r="202" spans="1:122" outlineLevel="1">
      <c r="A202" s="122" t="str">
        <f>$A$175</f>
        <v>Trần Văn Toản</v>
      </c>
      <c r="B202" s="157"/>
      <c r="C202" s="81" t="str">
        <f>IF($B202="","",INDEX('Bảng 3'!C:C,MATCH($B202,'Bảng 3'!$A:$A,0)))</f>
        <v/>
      </c>
      <c r="D202" s="81" t="str">
        <f>IF($B202="","",INDEX('Bảng 3'!D:D,MATCH($B202,'Bảng 3'!$A:$A,0)))</f>
        <v/>
      </c>
      <c r="E202" s="81" t="str">
        <f>IF($B202="","",INDEX('Bảng 3'!E:E,MATCH($B202,'Bảng 3'!$A:$A,0)))</f>
        <v/>
      </c>
      <c r="F202" s="81" t="str">
        <f>IF($B202="","",INDEX('Bảng 3'!F:F,MATCH($B202,'Bảng 3'!$A:$A,0)))</f>
        <v/>
      </c>
      <c r="G202" s="81" t="str">
        <f>IF($B202="","",INDEX('Bảng 3'!G:G,MATCH($B202,'Bảng 3'!$A:$A,0)))</f>
        <v/>
      </c>
      <c r="H202" s="121"/>
      <c r="I202" s="135"/>
      <c r="J202" s="135">
        <f>J$3</f>
        <v>46174</v>
      </c>
      <c r="K202" s="148" t="s">
        <v>501</v>
      </c>
      <c r="L202" s="168" t="s">
        <v>501</v>
      </c>
      <c r="M202" s="135">
        <f>M$3</f>
        <v>46175</v>
      </c>
      <c r="N202" s="148" t="s">
        <v>501</v>
      </c>
      <c r="O202" s="137" t="s">
        <v>501</v>
      </c>
      <c r="P202" s="135">
        <f>P$3</f>
        <v>46176</v>
      </c>
      <c r="Q202" s="136" t="s">
        <v>501</v>
      </c>
      <c r="R202" s="137" t="s">
        <v>501</v>
      </c>
      <c r="S202" s="135">
        <f>S$3</f>
        <v>46177</v>
      </c>
      <c r="T202" s="136" t="s">
        <v>501</v>
      </c>
      <c r="U202" s="137" t="s">
        <v>501</v>
      </c>
      <c r="V202" s="135">
        <f>V$3</f>
        <v>46178</v>
      </c>
      <c r="W202" s="136" t="s">
        <v>501</v>
      </c>
      <c r="X202" s="137" t="s">
        <v>501</v>
      </c>
      <c r="Y202" s="135">
        <f>Y$3</f>
        <v>46179</v>
      </c>
      <c r="Z202" s="136" t="s">
        <v>501</v>
      </c>
      <c r="AA202" s="137" t="s">
        <v>501</v>
      </c>
      <c r="AB202" s="135"/>
      <c r="AC202" s="135">
        <f>AC$3</f>
        <v>46181</v>
      </c>
      <c r="AD202" s="136" t="s">
        <v>501</v>
      </c>
      <c r="AE202" s="137" t="s">
        <v>501</v>
      </c>
      <c r="AF202" s="135">
        <f>AF$3</f>
        <v>46182</v>
      </c>
      <c r="AG202" s="136" t="s">
        <v>501</v>
      </c>
      <c r="AH202" s="137" t="s">
        <v>501</v>
      </c>
      <c r="AI202" s="135">
        <f>AI$3</f>
        <v>46183</v>
      </c>
      <c r="AJ202" s="136" t="s">
        <v>501</v>
      </c>
      <c r="AK202" s="137" t="s">
        <v>501</v>
      </c>
      <c r="AL202" s="135">
        <f>AL$3</f>
        <v>46184</v>
      </c>
      <c r="AM202" s="136" t="s">
        <v>501</v>
      </c>
      <c r="AN202" s="137" t="s">
        <v>501</v>
      </c>
      <c r="AO202" s="135">
        <f>AO$3</f>
        <v>46185</v>
      </c>
      <c r="AP202" s="136" t="s">
        <v>501</v>
      </c>
      <c r="AQ202" s="137" t="s">
        <v>501</v>
      </c>
      <c r="AR202" s="135">
        <f>AR$3</f>
        <v>46186</v>
      </c>
      <c r="AS202" s="136" t="s">
        <v>501</v>
      </c>
      <c r="AT202" s="137" t="s">
        <v>501</v>
      </c>
      <c r="AU202" s="135"/>
      <c r="AV202" s="135">
        <f>AV$3</f>
        <v>46188</v>
      </c>
      <c r="AW202" s="148" t="s">
        <v>501</v>
      </c>
      <c r="AX202" s="137" t="s">
        <v>501</v>
      </c>
      <c r="AY202" s="135">
        <f>AY$3</f>
        <v>46189</v>
      </c>
      <c r="AZ202" s="136" t="s">
        <v>501</v>
      </c>
      <c r="BA202" s="137" t="s">
        <v>501</v>
      </c>
      <c r="BB202" s="135">
        <f>BB$3</f>
        <v>46190</v>
      </c>
      <c r="BC202" s="136" t="s">
        <v>501</v>
      </c>
      <c r="BD202" s="137" t="s">
        <v>501</v>
      </c>
      <c r="BE202" s="135">
        <f>BE$3</f>
        <v>46191</v>
      </c>
      <c r="BF202" s="136" t="s">
        <v>501</v>
      </c>
      <c r="BG202" s="137" t="s">
        <v>501</v>
      </c>
      <c r="BH202" s="135">
        <f>BH$3</f>
        <v>46192</v>
      </c>
      <c r="BI202" s="136" t="s">
        <v>501</v>
      </c>
      <c r="BJ202" s="137" t="s">
        <v>501</v>
      </c>
      <c r="BK202" s="135">
        <f>BK$3</f>
        <v>46193</v>
      </c>
      <c r="BL202" s="136" t="s">
        <v>501</v>
      </c>
      <c r="BM202" s="137" t="s">
        <v>501</v>
      </c>
      <c r="BN202" s="135"/>
      <c r="BO202" s="135">
        <f>BO$3</f>
        <v>46195</v>
      </c>
      <c r="BP202" s="136" t="s">
        <v>501</v>
      </c>
      <c r="BQ202" s="137" t="s">
        <v>501</v>
      </c>
      <c r="BR202" s="135">
        <f>BR$3</f>
        <v>46196</v>
      </c>
      <c r="BS202" s="136" t="s">
        <v>501</v>
      </c>
      <c r="BT202" s="137" t="s">
        <v>501</v>
      </c>
      <c r="BU202" s="135">
        <f>BU$3</f>
        <v>46197</v>
      </c>
      <c r="BV202" s="136" t="s">
        <v>501</v>
      </c>
      <c r="BW202" s="137" t="s">
        <v>501</v>
      </c>
      <c r="BX202" s="135">
        <f>BX$3</f>
        <v>46198</v>
      </c>
      <c r="BY202" s="136" t="s">
        <v>501</v>
      </c>
      <c r="BZ202" s="137" t="s">
        <v>501</v>
      </c>
      <c r="CA202" s="135">
        <f>CA$3</f>
        <v>46199</v>
      </c>
      <c r="CB202" s="136" t="s">
        <v>501</v>
      </c>
      <c r="CC202" s="137" t="s">
        <v>501</v>
      </c>
      <c r="CD202" s="135">
        <f>CD$3</f>
        <v>46200</v>
      </c>
      <c r="CE202" s="136" t="s">
        <v>501</v>
      </c>
      <c r="CF202" s="137" t="s">
        <v>501</v>
      </c>
      <c r="CG202" s="135"/>
      <c r="CH202" s="135">
        <f>CH$3</f>
        <v>46202</v>
      </c>
      <c r="CI202" s="148" t="s">
        <v>501</v>
      </c>
      <c r="CJ202" s="137" t="s">
        <v>501</v>
      </c>
      <c r="CK202" s="135">
        <f>CK$3</f>
        <v>46203</v>
      </c>
      <c r="CL202" s="136" t="s">
        <v>501</v>
      </c>
      <c r="CM202" s="137" t="s">
        <v>501</v>
      </c>
      <c r="CN202" s="135">
        <f>CN$3</f>
        <v>46204</v>
      </c>
      <c r="CO202" s="136" t="s">
        <v>501</v>
      </c>
      <c r="CP202" s="137" t="s">
        <v>501</v>
      </c>
      <c r="CQ202" s="135">
        <f>CQ$3</f>
        <v>46205</v>
      </c>
      <c r="CR202" s="136" t="s">
        <v>501</v>
      </c>
      <c r="CS202" s="137" t="s">
        <v>501</v>
      </c>
      <c r="CT202" s="135">
        <f>CT$3</f>
        <v>46206</v>
      </c>
      <c r="CU202" s="136" t="s">
        <v>501</v>
      </c>
      <c r="CV202" s="137" t="s">
        <v>501</v>
      </c>
      <c r="CW202" s="135">
        <f>CW$3</f>
        <v>46207</v>
      </c>
      <c r="CX202" s="136" t="s">
        <v>501</v>
      </c>
      <c r="CY202" s="137" t="s">
        <v>501</v>
      </c>
      <c r="CZ202" s="135"/>
      <c r="DA202" s="135">
        <f>DA$3</f>
        <v>46209</v>
      </c>
      <c r="DB202" s="136" t="s">
        <v>501</v>
      </c>
      <c r="DC202" s="137" t="s">
        <v>501</v>
      </c>
      <c r="DD202" s="135">
        <f>DD$3</f>
        <v>46210</v>
      </c>
      <c r="DE202" s="136" t="s">
        <v>501</v>
      </c>
      <c r="DF202" s="137" t="s">
        <v>501</v>
      </c>
      <c r="DG202" s="135">
        <f>DG$3</f>
        <v>46211</v>
      </c>
      <c r="DH202" s="136" t="s">
        <v>501</v>
      </c>
      <c r="DI202" s="137" t="s">
        <v>501</v>
      </c>
      <c r="DJ202" s="135">
        <f>DJ$3</f>
        <v>46212</v>
      </c>
      <c r="DK202" s="136" t="s">
        <v>501</v>
      </c>
      <c r="DL202" s="137" t="s">
        <v>501</v>
      </c>
      <c r="DM202" s="135">
        <f>DM$3</f>
        <v>46213</v>
      </c>
      <c r="DN202" s="136" t="s">
        <v>501</v>
      </c>
      <c r="DO202" s="137" t="s">
        <v>501</v>
      </c>
      <c r="DP202" s="135">
        <f>DP$3</f>
        <v>46214</v>
      </c>
      <c r="DQ202" s="136" t="s">
        <v>501</v>
      </c>
      <c r="DR202" s="137" t="s">
        <v>501</v>
      </c>
    </row>
    <row r="203" spans="1:122" outlineLevel="1">
      <c r="A203" s="122" t="s">
        <v>36</v>
      </c>
      <c r="B203" s="82"/>
      <c r="C203" s="81" t="s">
        <v>38</v>
      </c>
      <c r="D203" s="81" t="s">
        <v>53</v>
      </c>
      <c r="E203" s="81" t="s">
        <v>53</v>
      </c>
      <c r="F203" s="81" t="s">
        <v>53</v>
      </c>
      <c r="G203" s="81" t="s">
        <v>53</v>
      </c>
      <c r="H203" s="121"/>
      <c r="I203" s="135"/>
      <c r="J203" s="135">
        <f>J$3</f>
        <v>46174</v>
      </c>
      <c r="K203" s="148" t="s">
        <v>645</v>
      </c>
      <c r="L203" s="168">
        <v>0.25</v>
      </c>
      <c r="M203" s="135">
        <f>M$3</f>
        <v>46175</v>
      </c>
      <c r="N203" s="148" t="s">
        <v>501</v>
      </c>
      <c r="O203" s="137" t="s">
        <v>501</v>
      </c>
      <c r="P203" s="135">
        <f>P$3</f>
        <v>46176</v>
      </c>
      <c r="Q203" s="136" t="s">
        <v>501</v>
      </c>
      <c r="R203" s="137" t="s">
        <v>501</v>
      </c>
      <c r="S203" s="135">
        <f>S$3</f>
        <v>46177</v>
      </c>
      <c r="T203" s="136" t="s">
        <v>501</v>
      </c>
      <c r="U203" s="137" t="s">
        <v>501</v>
      </c>
      <c r="V203" s="135">
        <f>V$3</f>
        <v>46178</v>
      </c>
      <c r="W203" s="136" t="s">
        <v>501</v>
      </c>
      <c r="X203" s="137" t="s">
        <v>501</v>
      </c>
      <c r="Y203" s="135">
        <f>Y$3</f>
        <v>46179</v>
      </c>
      <c r="Z203" s="136" t="s">
        <v>501</v>
      </c>
      <c r="AA203" s="137" t="s">
        <v>501</v>
      </c>
      <c r="AB203" s="135"/>
      <c r="AC203" s="135">
        <f>AC$3</f>
        <v>46181</v>
      </c>
      <c r="AD203" s="136" t="s">
        <v>501</v>
      </c>
      <c r="AE203" s="137" t="s">
        <v>501</v>
      </c>
      <c r="AF203" s="135">
        <f>AF$3</f>
        <v>46182</v>
      </c>
      <c r="AG203" s="136" t="s">
        <v>501</v>
      </c>
      <c r="AH203" s="137" t="s">
        <v>501</v>
      </c>
      <c r="AI203" s="135">
        <f>AI$3</f>
        <v>46183</v>
      </c>
      <c r="AJ203" s="136" t="s">
        <v>501</v>
      </c>
      <c r="AK203" s="137" t="s">
        <v>501</v>
      </c>
      <c r="AL203" s="135">
        <f>AL$3</f>
        <v>46184</v>
      </c>
      <c r="AM203" s="136" t="s">
        <v>501</v>
      </c>
      <c r="AN203" s="137" t="s">
        <v>501</v>
      </c>
      <c r="AO203" s="135">
        <f>AO$3</f>
        <v>46185</v>
      </c>
      <c r="AP203" s="136" t="s">
        <v>501</v>
      </c>
      <c r="AQ203" s="137" t="s">
        <v>501</v>
      </c>
      <c r="AR203" s="135">
        <f>AR$3</f>
        <v>46186</v>
      </c>
      <c r="AS203" s="136" t="s">
        <v>501</v>
      </c>
      <c r="AT203" s="137" t="s">
        <v>501</v>
      </c>
      <c r="AU203" s="135"/>
      <c r="AV203" s="135">
        <f>AV$3</f>
        <v>46188</v>
      </c>
      <c r="AW203" s="148" t="s">
        <v>501</v>
      </c>
      <c r="AX203" s="137" t="s">
        <v>501</v>
      </c>
      <c r="AY203" s="135">
        <f>AY$3</f>
        <v>46189</v>
      </c>
      <c r="AZ203" s="136" t="s">
        <v>501</v>
      </c>
      <c r="BA203" s="137" t="s">
        <v>501</v>
      </c>
      <c r="BB203" s="135">
        <f>BB$3</f>
        <v>46190</v>
      </c>
      <c r="BC203" s="136" t="s">
        <v>501</v>
      </c>
      <c r="BD203" s="137" t="s">
        <v>501</v>
      </c>
      <c r="BE203" s="135">
        <f>BE$3</f>
        <v>46191</v>
      </c>
      <c r="BF203" s="136" t="s">
        <v>501</v>
      </c>
      <c r="BG203" s="137" t="s">
        <v>501</v>
      </c>
      <c r="BH203" s="135">
        <f>BH$3</f>
        <v>46192</v>
      </c>
      <c r="BI203" s="136" t="s">
        <v>501</v>
      </c>
      <c r="BJ203" s="137" t="s">
        <v>501</v>
      </c>
      <c r="BK203" s="135">
        <f>BK$3</f>
        <v>46193</v>
      </c>
      <c r="BL203" s="136" t="s">
        <v>501</v>
      </c>
      <c r="BM203" s="137" t="s">
        <v>501</v>
      </c>
      <c r="BN203" s="135"/>
      <c r="BO203" s="135">
        <f>BO$3</f>
        <v>46195</v>
      </c>
      <c r="BP203" s="136" t="s">
        <v>501</v>
      </c>
      <c r="BQ203" s="137" t="s">
        <v>501</v>
      </c>
      <c r="BR203" s="135">
        <f>BR$3</f>
        <v>46196</v>
      </c>
      <c r="BS203" s="136" t="s">
        <v>501</v>
      </c>
      <c r="BT203" s="137" t="s">
        <v>501</v>
      </c>
      <c r="BU203" s="135">
        <f>BU$3</f>
        <v>46197</v>
      </c>
      <c r="BV203" s="136" t="s">
        <v>501</v>
      </c>
      <c r="BW203" s="137" t="s">
        <v>501</v>
      </c>
      <c r="BX203" s="135">
        <f>BX$3</f>
        <v>46198</v>
      </c>
      <c r="BY203" s="136" t="s">
        <v>501</v>
      </c>
      <c r="BZ203" s="137" t="s">
        <v>501</v>
      </c>
      <c r="CA203" s="135">
        <f>CA$3</f>
        <v>46199</v>
      </c>
      <c r="CB203" s="136" t="s">
        <v>501</v>
      </c>
      <c r="CC203" s="137" t="s">
        <v>501</v>
      </c>
      <c r="CD203" s="135">
        <f>CD$3</f>
        <v>46200</v>
      </c>
      <c r="CE203" s="136" t="s">
        <v>501</v>
      </c>
      <c r="CF203" s="137" t="s">
        <v>501</v>
      </c>
      <c r="CG203" s="135"/>
      <c r="CH203" s="135">
        <f>CH$3</f>
        <v>46202</v>
      </c>
      <c r="CI203" s="148" t="s">
        <v>501</v>
      </c>
      <c r="CJ203" s="137" t="s">
        <v>501</v>
      </c>
      <c r="CK203" s="135">
        <f>CK$3</f>
        <v>46203</v>
      </c>
      <c r="CL203" s="136" t="s">
        <v>501</v>
      </c>
      <c r="CM203" s="137" t="s">
        <v>501</v>
      </c>
      <c r="CN203" s="135">
        <f>CN$3</f>
        <v>46204</v>
      </c>
      <c r="CO203" s="136" t="s">
        <v>501</v>
      </c>
      <c r="CP203" s="137" t="s">
        <v>501</v>
      </c>
      <c r="CQ203" s="135">
        <f>CQ$3</f>
        <v>46205</v>
      </c>
      <c r="CR203" s="136" t="s">
        <v>501</v>
      </c>
      <c r="CS203" s="137" t="s">
        <v>501</v>
      </c>
      <c r="CT203" s="135">
        <f>CT$3</f>
        <v>46206</v>
      </c>
      <c r="CU203" s="136" t="s">
        <v>501</v>
      </c>
      <c r="CV203" s="137" t="s">
        <v>501</v>
      </c>
      <c r="CW203" s="135">
        <f>CW$3</f>
        <v>46207</v>
      </c>
      <c r="CX203" s="136" t="s">
        <v>501</v>
      </c>
      <c r="CY203" s="137" t="s">
        <v>501</v>
      </c>
      <c r="CZ203" s="135"/>
      <c r="DA203" s="135">
        <f>DA$3</f>
        <v>46209</v>
      </c>
      <c r="DB203" s="136" t="s">
        <v>501</v>
      </c>
      <c r="DC203" s="137" t="s">
        <v>501</v>
      </c>
      <c r="DD203" s="135">
        <f>DD$3</f>
        <v>46210</v>
      </c>
      <c r="DE203" s="136" t="s">
        <v>501</v>
      </c>
      <c r="DF203" s="137" t="s">
        <v>501</v>
      </c>
      <c r="DG203" s="135">
        <f>DG$3</f>
        <v>46211</v>
      </c>
      <c r="DH203" s="136" t="s">
        <v>501</v>
      </c>
      <c r="DI203" s="137" t="s">
        <v>501</v>
      </c>
      <c r="DJ203" s="135">
        <f>DJ$3</f>
        <v>46212</v>
      </c>
      <c r="DK203" s="136" t="s">
        <v>501</v>
      </c>
      <c r="DL203" s="137" t="s">
        <v>501</v>
      </c>
      <c r="DM203" s="135">
        <f>DM$3</f>
        <v>46213</v>
      </c>
      <c r="DN203" s="136" t="s">
        <v>501</v>
      </c>
      <c r="DO203" s="137" t="s">
        <v>501</v>
      </c>
      <c r="DP203" s="135">
        <f>DP$3</f>
        <v>46214</v>
      </c>
      <c r="DQ203" s="136" t="s">
        <v>501</v>
      </c>
      <c r="DR203" s="137" t="s">
        <v>501</v>
      </c>
    </row>
    <row r="204" spans="1:122">
      <c r="A204" s="152"/>
      <c r="B204" s="12"/>
      <c r="C204" s="12"/>
      <c r="D204" s="12"/>
      <c r="E204" s="75"/>
      <c r="F204" s="12"/>
      <c r="G204" s="75"/>
      <c r="H204" s="93"/>
      <c r="I204" s="153"/>
      <c r="J204" s="153"/>
      <c r="K204" s="154"/>
      <c r="L204" s="169"/>
      <c r="M204" s="153"/>
      <c r="N204" s="154"/>
      <c r="O204" s="155"/>
      <c r="P204" s="153"/>
      <c r="Q204" s="156"/>
      <c r="R204" s="155"/>
      <c r="S204" s="153"/>
      <c r="T204" s="156"/>
      <c r="U204" s="155"/>
      <c r="V204" s="153"/>
      <c r="W204" s="156"/>
      <c r="X204" s="155"/>
      <c r="Y204" s="153"/>
      <c r="Z204" s="156"/>
      <c r="AA204" s="155"/>
      <c r="AB204" s="153"/>
      <c r="AC204" s="153"/>
      <c r="AD204" s="156"/>
      <c r="AE204" s="155"/>
      <c r="AF204" s="153"/>
      <c r="AG204" s="156"/>
      <c r="AH204" s="155"/>
      <c r="AI204" s="153"/>
      <c r="AJ204" s="156"/>
      <c r="AK204" s="155"/>
      <c r="AL204" s="153"/>
      <c r="AM204" s="156"/>
      <c r="AN204" s="155"/>
      <c r="AO204" s="153"/>
      <c r="AP204" s="156"/>
      <c r="AQ204" s="155"/>
      <c r="AR204" s="153"/>
      <c r="AS204" s="156"/>
      <c r="AT204" s="155"/>
      <c r="AU204" s="153"/>
      <c r="AV204" s="153"/>
      <c r="AW204" s="154"/>
      <c r="AX204" s="155"/>
      <c r="AY204" s="153"/>
      <c r="AZ204" s="156"/>
      <c r="BA204" s="155"/>
      <c r="BB204" s="153"/>
      <c r="BC204" s="156"/>
      <c r="BD204" s="155"/>
      <c r="BE204" s="153"/>
      <c r="BF204" s="156"/>
      <c r="BG204" s="155"/>
      <c r="BH204" s="153"/>
      <c r="BI204" s="156"/>
      <c r="BJ204" s="155"/>
      <c r="BK204" s="153"/>
      <c r="BL204" s="156"/>
      <c r="BM204" s="155"/>
      <c r="BN204" s="153"/>
      <c r="BO204" s="153"/>
      <c r="BP204" s="156"/>
      <c r="BQ204" s="155"/>
      <c r="BR204" s="153"/>
      <c r="BS204" s="156"/>
      <c r="BT204" s="155"/>
      <c r="BU204" s="153"/>
      <c r="BV204" s="156"/>
      <c r="BW204" s="155"/>
      <c r="BX204" s="153"/>
      <c r="BY204" s="156"/>
      <c r="BZ204" s="155"/>
      <c r="CA204" s="153"/>
      <c r="CB204" s="156"/>
      <c r="CC204" s="155"/>
      <c r="CD204" s="153"/>
      <c r="CE204" s="156"/>
      <c r="CF204" s="155"/>
      <c r="CG204" s="153"/>
      <c r="CH204" s="153"/>
      <c r="CI204" s="154"/>
      <c r="CJ204" s="155"/>
      <c r="CK204" s="153"/>
      <c r="CL204" s="156"/>
      <c r="CM204" s="155"/>
      <c r="CN204" s="153"/>
      <c r="CO204" s="156"/>
      <c r="CP204" s="155"/>
      <c r="CQ204" s="153"/>
      <c r="CR204" s="156"/>
      <c r="CS204" s="155"/>
      <c r="CT204" s="153"/>
      <c r="CU204" s="156"/>
      <c r="CV204" s="155"/>
      <c r="CW204" s="153"/>
      <c r="CX204" s="156"/>
      <c r="CY204" s="155"/>
      <c r="CZ204" s="153"/>
      <c r="DA204" s="153"/>
      <c r="DB204" s="156"/>
      <c r="DC204" s="155"/>
      <c r="DD204" s="153"/>
      <c r="DE204" s="156"/>
      <c r="DF204" s="155"/>
      <c r="DG204" s="153"/>
      <c r="DH204" s="156"/>
      <c r="DI204" s="155"/>
      <c r="DJ204" s="153"/>
      <c r="DK204" s="156"/>
      <c r="DL204" s="155"/>
      <c r="DM204" s="153"/>
      <c r="DN204" s="156"/>
      <c r="DO204" s="155"/>
      <c r="DP204" s="153"/>
      <c r="DQ204" s="156"/>
      <c r="DR204" s="155"/>
    </row>
  </sheetData>
  <autoFilter ref="A3:H152" xr:uid="{D67015DE-D1F2-49CB-BB0A-DEC642B2460A}"/>
  <mergeCells count="1">
    <mergeCell ref="A1:H1"/>
  </mergeCells>
  <conditionalFormatting sqref="B42:B79">
    <cfRule type="duplicateValues" dxfId="23" priority="20"/>
  </conditionalFormatting>
  <conditionalFormatting sqref="B113:B149">
    <cfRule type="duplicateValues" dxfId="22" priority="18"/>
  </conditionalFormatting>
  <conditionalFormatting sqref="B4:B15">
    <cfRule type="duplicateValues" dxfId="21" priority="187"/>
  </conditionalFormatting>
  <conditionalFormatting sqref="K157">
    <cfRule type="expression" dxfId="20" priority="15">
      <formula>$K157="Đến hạn"</formula>
    </cfRule>
  </conditionalFormatting>
  <conditionalFormatting sqref="K157">
    <cfRule type="expression" dxfId="19" priority="9">
      <formula>$K157="Hủy"</formula>
    </cfRule>
  </conditionalFormatting>
  <conditionalFormatting sqref="K157">
    <cfRule type="expression" dxfId="18" priority="10">
      <formula>$K157="Quá hạn"</formula>
    </cfRule>
  </conditionalFormatting>
  <conditionalFormatting sqref="K157">
    <cfRule type="expression" dxfId="17" priority="11">
      <formula>$K157="Tạm dừng"</formula>
    </cfRule>
  </conditionalFormatting>
  <conditionalFormatting sqref="K157">
    <cfRule type="expression" dxfId="16" priority="12">
      <formula>$K157="Đã hoàn thành"</formula>
    </cfRule>
  </conditionalFormatting>
  <conditionalFormatting sqref="K157">
    <cfRule type="expression" dxfId="15" priority="13">
      <formula>$K157="Đang tiến hành"</formula>
    </cfRule>
  </conditionalFormatting>
  <conditionalFormatting sqref="K157">
    <cfRule type="expression" dxfId="14" priority="14">
      <formula>$K157="Chưa bắt đầu"</formula>
    </cfRule>
  </conditionalFormatting>
  <conditionalFormatting sqref="K157">
    <cfRule type="expression" dxfId="13" priority="8">
      <formula>$K157="Chưa triển khai"</formula>
    </cfRule>
  </conditionalFormatting>
  <conditionalFormatting sqref="B17">
    <cfRule type="duplicateValues" dxfId="12" priority="6"/>
  </conditionalFormatting>
  <conditionalFormatting sqref="B203">
    <cfRule type="duplicateValues" dxfId="11" priority="4"/>
  </conditionalFormatting>
  <conditionalFormatting sqref="B175:B202">
    <cfRule type="duplicateValues" dxfId="10" priority="192"/>
  </conditionalFormatting>
  <conditionalFormatting sqref="B16 B18:B41">
    <cfRule type="duplicateValues" dxfId="9" priority="193"/>
  </conditionalFormatting>
  <conditionalFormatting sqref="B150:B174">
    <cfRule type="duplicateValues" dxfId="8" priority="214"/>
  </conditionalFormatting>
  <conditionalFormatting sqref="B80:B112">
    <cfRule type="duplicateValues" dxfId="7" priority="216"/>
  </conditionalFormatting>
  <dataValidations count="1">
    <dataValidation allowBlank="1" showInputMessage="1" showErrorMessage="1" sqref="K157" xr:uid="{EAA8C3CB-CF84-4F69-942B-BC81D01FBF70}"/>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2C6B3BF-C93D-46D7-B608-BA2EA5E8A189}">
          <x14:formula1>
            <xm:f>Data!$Y:$Y</xm:f>
          </x14:formula1>
          <xm:sqref>A4:A204</xm:sqref>
        </x14:dataValidation>
        <x14:dataValidation type="list" allowBlank="1" showInputMessage="1" showErrorMessage="1" xr:uid="{C572E7FF-3F51-4E54-BA5C-CD893938DA10}">
          <x14:formula1>
            <xm:f>'Bảng 3'!$A:$A</xm:f>
          </x14:formula1>
          <xm:sqref>B4:B205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ED854-0463-45BF-A10C-D253788F1854}">
  <dimension ref="A1:AU54"/>
  <sheetViews>
    <sheetView workbookViewId="0">
      <pane xSplit="8" ySplit="3" topLeftCell="I4" activePane="bottomRight" state="frozen"/>
      <selection pane="bottomRight" activeCell="K18" sqref="K18"/>
      <selection pane="bottomLeft"/>
      <selection pane="topRight"/>
    </sheetView>
  </sheetViews>
  <sheetFormatPr defaultRowHeight="15" outlineLevelCol="2"/>
  <cols>
    <col min="1" max="1" width="19.7109375" customWidth="1"/>
    <col min="2" max="2" width="30.85546875" customWidth="1"/>
    <col min="3" max="4" width="15.85546875" customWidth="1"/>
    <col min="5" max="5" width="35" style="129" bestFit="1" customWidth="1"/>
    <col min="6" max="6" width="9.28515625" customWidth="1"/>
    <col min="7" max="7" width="33.85546875" customWidth="1"/>
    <col min="8" max="8" width="11.42578125" customWidth="1"/>
    <col min="9" max="9" width="11.7109375" customWidth="1"/>
    <col min="10" max="10" width="11.7109375" customWidth="1" outlineLevel="1"/>
    <col min="11" max="11" width="19.5703125" customWidth="1" outlineLevel="2"/>
    <col min="12" max="12" width="11.7109375" customWidth="1" outlineLevel="2"/>
    <col min="13" max="13" width="11.7109375" customWidth="1" outlineLevel="1"/>
    <col min="14" max="14" width="18.28515625" customWidth="1" outlineLevel="2"/>
    <col min="15" max="15" width="11.7109375" customWidth="1" outlineLevel="2"/>
    <col min="16" max="16" width="11.7109375" customWidth="1" outlineLevel="1"/>
    <col min="17" max="18" width="11.7109375" customWidth="1" outlineLevel="2"/>
    <col min="19" max="19" width="11.7109375" customWidth="1" outlineLevel="1"/>
    <col min="20" max="21" width="11.7109375" customWidth="1" outlineLevel="2"/>
    <col min="22" max="22" width="11.7109375" customWidth="1" outlineLevel="1"/>
    <col min="23" max="24" width="11.7109375" customWidth="1" outlineLevel="2"/>
    <col min="25" max="25" width="11.7109375" customWidth="1" outlineLevel="1"/>
    <col min="26" max="27" width="11.7109375" customWidth="1" outlineLevel="2"/>
    <col min="28" max="28" width="11.7109375" customWidth="1"/>
    <col min="29" max="29" width="11.7109375" customWidth="1" outlineLevel="1"/>
    <col min="30" max="31" width="11.7109375" customWidth="1" outlineLevel="2"/>
    <col min="32" max="32" width="11.7109375" customWidth="1" outlineLevel="1"/>
    <col min="33" max="34" width="11.7109375" customWidth="1" outlineLevel="2"/>
    <col min="35" max="35" width="11.7109375" customWidth="1" outlineLevel="1"/>
    <col min="36" max="37" width="11.7109375" customWidth="1" outlineLevel="2"/>
    <col min="38" max="38" width="11.7109375" customWidth="1" outlineLevel="1"/>
    <col min="39" max="40" width="11.7109375" customWidth="1" outlineLevel="2"/>
    <col min="41" max="41" width="11.7109375" customWidth="1" outlineLevel="1"/>
    <col min="42" max="43" width="11.7109375" customWidth="1" outlineLevel="2"/>
    <col min="44" max="44" width="11.7109375" customWidth="1" outlineLevel="1"/>
    <col min="45" max="46" width="11.7109375" customWidth="1" outlineLevel="2"/>
    <col min="47" max="47" width="9.140625" bestFit="1" customWidth="1"/>
  </cols>
  <sheetData>
    <row r="1" spans="1:47" ht="15.75">
      <c r="A1" s="285" t="s">
        <v>700</v>
      </c>
      <c r="B1" s="285"/>
      <c r="C1" s="285"/>
      <c r="D1" s="285"/>
      <c r="E1" s="285"/>
      <c r="F1" s="285"/>
      <c r="G1" s="285"/>
      <c r="H1" s="28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12"/>
    </row>
    <row r="2" spans="1:47" s="129" customFormat="1" ht="48.75">
      <c r="A2" s="124" t="s">
        <v>16</v>
      </c>
      <c r="B2" s="124" t="s">
        <v>596</v>
      </c>
      <c r="C2" s="124" t="s">
        <v>398</v>
      </c>
      <c r="D2" s="124" t="s">
        <v>40</v>
      </c>
      <c r="E2" s="124" t="s">
        <v>41</v>
      </c>
      <c r="F2" s="124" t="s">
        <v>399</v>
      </c>
      <c r="G2" s="124" t="s">
        <v>42</v>
      </c>
      <c r="H2" s="112" t="s">
        <v>701</v>
      </c>
      <c r="I2" s="125" t="s">
        <v>598</v>
      </c>
      <c r="J2" s="125" t="s">
        <v>599</v>
      </c>
      <c r="K2" s="126" t="s">
        <v>600</v>
      </c>
      <c r="L2" s="126" t="s">
        <v>601</v>
      </c>
      <c r="M2" s="125" t="s">
        <v>599</v>
      </c>
      <c r="N2" s="126" t="s">
        <v>600</v>
      </c>
      <c r="O2" s="126" t="s">
        <v>601</v>
      </c>
      <c r="P2" s="125" t="s">
        <v>599</v>
      </c>
      <c r="Q2" s="126" t="s">
        <v>600</v>
      </c>
      <c r="R2" s="126" t="s">
        <v>601</v>
      </c>
      <c r="S2" s="125" t="s">
        <v>599</v>
      </c>
      <c r="T2" s="126" t="s">
        <v>600</v>
      </c>
      <c r="U2" s="126" t="s">
        <v>601</v>
      </c>
      <c r="V2" s="125" t="s">
        <v>599</v>
      </c>
      <c r="W2" s="126" t="s">
        <v>600</v>
      </c>
      <c r="X2" s="126" t="s">
        <v>601</v>
      </c>
      <c r="Y2" s="125" t="s">
        <v>599</v>
      </c>
      <c r="Z2" s="126" t="s">
        <v>600</v>
      </c>
      <c r="AA2" s="126" t="s">
        <v>601</v>
      </c>
      <c r="AB2" s="127" t="s">
        <v>602</v>
      </c>
      <c r="AC2" s="127" t="s">
        <v>599</v>
      </c>
      <c r="AD2" s="128" t="s">
        <v>600</v>
      </c>
      <c r="AE2" s="128" t="s">
        <v>601</v>
      </c>
      <c r="AF2" s="127" t="s">
        <v>599</v>
      </c>
      <c r="AG2" s="128" t="s">
        <v>600</v>
      </c>
      <c r="AH2" s="128" t="s">
        <v>601</v>
      </c>
      <c r="AI2" s="127" t="s">
        <v>599</v>
      </c>
      <c r="AJ2" s="128" t="s">
        <v>600</v>
      </c>
      <c r="AK2" s="128" t="s">
        <v>601</v>
      </c>
      <c r="AL2" s="127" t="s">
        <v>599</v>
      </c>
      <c r="AM2" s="128" t="s">
        <v>600</v>
      </c>
      <c r="AN2" s="128" t="s">
        <v>601</v>
      </c>
      <c r="AO2" s="127" t="s">
        <v>599</v>
      </c>
      <c r="AP2" s="128" t="s">
        <v>600</v>
      </c>
      <c r="AQ2" s="128" t="s">
        <v>601</v>
      </c>
      <c r="AR2" s="127" t="s">
        <v>599</v>
      </c>
      <c r="AS2" s="128" t="s">
        <v>600</v>
      </c>
      <c r="AT2" s="128" t="s">
        <v>601</v>
      </c>
      <c r="AU2" s="12"/>
    </row>
    <row r="3" spans="1:47">
      <c r="A3" s="113"/>
      <c r="B3" s="113"/>
      <c r="C3" s="114"/>
      <c r="D3" s="115"/>
      <c r="E3" s="149"/>
      <c r="F3" s="114"/>
      <c r="G3" s="114"/>
      <c r="H3" s="116"/>
      <c r="I3" s="117"/>
      <c r="J3" s="117">
        <v>46174</v>
      </c>
      <c r="K3" s="118" t="s">
        <v>501</v>
      </c>
      <c r="L3" s="118" t="s">
        <v>501</v>
      </c>
      <c r="M3" s="117">
        <f>J3+1</f>
        <v>46175</v>
      </c>
      <c r="N3" s="118" t="s">
        <v>501</v>
      </c>
      <c r="O3" s="118" t="s">
        <v>501</v>
      </c>
      <c r="P3" s="117">
        <f>J3+2</f>
        <v>46176</v>
      </c>
      <c r="Q3" s="118" t="s">
        <v>501</v>
      </c>
      <c r="R3" s="118" t="s">
        <v>501</v>
      </c>
      <c r="S3" s="117">
        <f>J3+3</f>
        <v>46177</v>
      </c>
      <c r="T3" s="118" t="s">
        <v>501</v>
      </c>
      <c r="U3" s="118" t="s">
        <v>501</v>
      </c>
      <c r="V3" s="117">
        <f>J3+4</f>
        <v>46178</v>
      </c>
      <c r="W3" s="118" t="s">
        <v>501</v>
      </c>
      <c r="X3" s="118" t="s">
        <v>501</v>
      </c>
      <c r="Y3" s="117">
        <f>J3+5</f>
        <v>46179</v>
      </c>
      <c r="Z3" s="118" t="s">
        <v>501</v>
      </c>
      <c r="AA3" s="118" t="s">
        <v>501</v>
      </c>
      <c r="AB3" s="119"/>
      <c r="AC3" s="119">
        <v>46181</v>
      </c>
      <c r="AD3" s="120" t="s">
        <v>501</v>
      </c>
      <c r="AE3" s="120" t="s">
        <v>501</v>
      </c>
      <c r="AF3" s="130">
        <f>AC3+1</f>
        <v>46182</v>
      </c>
      <c r="AG3" s="131" t="s">
        <v>501</v>
      </c>
      <c r="AH3" s="131" t="s">
        <v>501</v>
      </c>
      <c r="AI3" s="130">
        <f>AC3+2</f>
        <v>46183</v>
      </c>
      <c r="AJ3" s="131" t="s">
        <v>501</v>
      </c>
      <c r="AK3" s="131" t="s">
        <v>501</v>
      </c>
      <c r="AL3" s="130">
        <f>AC3+3</f>
        <v>46184</v>
      </c>
      <c r="AM3" s="131" t="s">
        <v>501</v>
      </c>
      <c r="AN3" s="131" t="s">
        <v>501</v>
      </c>
      <c r="AO3" s="130">
        <f>AC3+4</f>
        <v>46185</v>
      </c>
      <c r="AP3" s="131" t="s">
        <v>501</v>
      </c>
      <c r="AQ3" s="131" t="s">
        <v>501</v>
      </c>
      <c r="AR3" s="130">
        <f>AC3+5</f>
        <v>46186</v>
      </c>
      <c r="AS3" s="120" t="s">
        <v>501</v>
      </c>
      <c r="AT3" s="120" t="s">
        <v>501</v>
      </c>
      <c r="AU3" s="12"/>
    </row>
    <row r="4" spans="1:47">
      <c r="A4" s="36" t="s">
        <v>160</v>
      </c>
      <c r="B4" s="82"/>
      <c r="C4" s="81" t="str">
        <f>IF($B4="","",INDEX('Bảng 3'!C:C,MATCH($B4,'Bảng 3'!$A:$A,0)))</f>
        <v/>
      </c>
      <c r="D4" s="81" t="str">
        <f>IF($B4="","",INDEX('Bảng 3'!D:D,MATCH($B4,'Bảng 3'!$A:$A,0)))</f>
        <v/>
      </c>
      <c r="E4" s="150" t="str">
        <f>IF($B4="","",INDEX('Bảng 3'!E:E,MATCH($B4,'Bảng 3'!$A:$A,0)))</f>
        <v/>
      </c>
      <c r="F4" s="81" t="str">
        <f>IF($B4="","",INDEX('Bảng 3'!F:F,MATCH($B4,'Bảng 3'!$A:$A,0)))</f>
        <v/>
      </c>
      <c r="G4" s="81" t="str">
        <f>IF($B4="","",INDEX('Bảng 3'!G:G,MATCH($B4,'Bảng 3'!$A:$A,0)))</f>
        <v/>
      </c>
      <c r="H4" s="121"/>
      <c r="I4" s="138"/>
      <c r="J4" s="138">
        <f>J$3</f>
        <v>46174</v>
      </c>
      <c r="K4" s="132" t="s">
        <v>501</v>
      </c>
      <c r="L4" s="133">
        <f>SUM(L5:L15)</f>
        <v>4.3</v>
      </c>
      <c r="M4" s="138">
        <f>M$3</f>
        <v>46175</v>
      </c>
      <c r="N4" s="132" t="s">
        <v>501</v>
      </c>
      <c r="O4" s="133">
        <f>SUM(O5:O15)</f>
        <v>0</v>
      </c>
      <c r="P4" s="138">
        <f>P$3</f>
        <v>46176</v>
      </c>
      <c r="Q4" s="132" t="s">
        <v>501</v>
      </c>
      <c r="R4" s="133">
        <f>SUM(R5:R15)</f>
        <v>0</v>
      </c>
      <c r="S4" s="138">
        <f>S$3</f>
        <v>46177</v>
      </c>
      <c r="T4" s="132" t="s">
        <v>501</v>
      </c>
      <c r="U4" s="133">
        <f>SUM(U5:U15)</f>
        <v>0</v>
      </c>
      <c r="V4" s="138">
        <f>V$3</f>
        <v>46178</v>
      </c>
      <c r="W4" s="132" t="s">
        <v>501</v>
      </c>
      <c r="X4" s="133">
        <f>SUM(X5:X15)</f>
        <v>0</v>
      </c>
      <c r="Y4" s="138">
        <f>Y$3</f>
        <v>46179</v>
      </c>
      <c r="Z4" s="132" t="s">
        <v>501</v>
      </c>
      <c r="AA4" s="133">
        <f>SUM(AA5:AA15)</f>
        <v>0</v>
      </c>
      <c r="AB4" s="138"/>
      <c r="AC4" s="138">
        <f>AC$3</f>
        <v>46181</v>
      </c>
      <c r="AD4" s="132" t="s">
        <v>501</v>
      </c>
      <c r="AE4" s="133">
        <f>SUM(AE5:AE15)</f>
        <v>0</v>
      </c>
      <c r="AF4" s="138">
        <f>AF$3</f>
        <v>46182</v>
      </c>
      <c r="AG4" s="132" t="s">
        <v>501</v>
      </c>
      <c r="AH4" s="133">
        <f>SUM(AH5:AH15)</f>
        <v>0</v>
      </c>
      <c r="AI4" s="138">
        <f>AI$3</f>
        <v>46183</v>
      </c>
      <c r="AJ4" s="132" t="s">
        <v>501</v>
      </c>
      <c r="AK4" s="133">
        <f>SUM(AK5:AK15)</f>
        <v>0</v>
      </c>
      <c r="AL4" s="138">
        <f>AL$3</f>
        <v>46184</v>
      </c>
      <c r="AM4" s="132" t="s">
        <v>501</v>
      </c>
      <c r="AN4" s="133">
        <f>SUM(AN5:AN15)</f>
        <v>0</v>
      </c>
      <c r="AO4" s="138">
        <f>AO$3</f>
        <v>46185</v>
      </c>
      <c r="AP4" s="132" t="s">
        <v>501</v>
      </c>
      <c r="AQ4" s="133">
        <f>SUM(AQ5:AQ15)</f>
        <v>0</v>
      </c>
      <c r="AR4" s="138">
        <f>AR$3</f>
        <v>46186</v>
      </c>
      <c r="AS4" s="132" t="s">
        <v>501</v>
      </c>
      <c r="AT4" s="133">
        <f>SUM(AT5:AT15)</f>
        <v>0</v>
      </c>
      <c r="AU4" s="134"/>
    </row>
    <row r="5" spans="1:47">
      <c r="A5" s="122" t="str">
        <f>$A$4</f>
        <v>Ngô Tuấn Vũ</v>
      </c>
      <c r="B5" s="82" t="s">
        <v>702</v>
      </c>
      <c r="C5" s="81" t="str">
        <f>IF($B5="","",INDEX('Bảng 1'!C:C,MATCH($B5,'Bảng 1'!$A:$A,0)))</f>
        <v>Xây dựng HTTC BIM</v>
      </c>
      <c r="D5" s="81" t="str">
        <f>IF($B5="","",INDEX('Bảng 1'!D:D,MATCH($B5,'Bảng 1'!$A:$A,0)))</f>
        <v>Quy định</v>
      </c>
      <c r="E5" s="150" t="str">
        <f>IF($B5="","",INDEX('Bảng 1'!E:E,MATCH($B5,'Bảng 1'!$A:$A,0)))</f>
        <v>Quy định triển khai BIM</v>
      </c>
      <c r="F5" s="81" t="str">
        <f>IF($B5="","",INDEX('Bảng 1'!F:F,MATCH($B5,'Bảng 1'!$A:$A,0)))</f>
        <v>BIM</v>
      </c>
      <c r="G5" s="81" t="str">
        <f>IF($B5="","",INDEX('Bảng 1'!G:G,MATCH($B5,'Bảng 1'!$A:$A,0)))</f>
        <v>Rà soát</v>
      </c>
      <c r="H5" s="121"/>
      <c r="I5" s="135"/>
      <c r="J5" s="135">
        <f>J$3</f>
        <v>46174</v>
      </c>
      <c r="K5" s="136" t="s">
        <v>501</v>
      </c>
      <c r="L5" s="137">
        <v>0.5</v>
      </c>
      <c r="M5" s="135">
        <f>M$3</f>
        <v>46175</v>
      </c>
      <c r="N5" s="136" t="s">
        <v>501</v>
      </c>
      <c r="O5" s="137" t="s">
        <v>501</v>
      </c>
      <c r="P5" s="135">
        <f>P$3</f>
        <v>46176</v>
      </c>
      <c r="Q5" s="136" t="s">
        <v>501</v>
      </c>
      <c r="R5" s="137" t="s">
        <v>501</v>
      </c>
      <c r="S5" s="135">
        <f>S$3</f>
        <v>46177</v>
      </c>
      <c r="T5" s="136" t="s">
        <v>501</v>
      </c>
      <c r="U5" s="137" t="s">
        <v>501</v>
      </c>
      <c r="V5" s="135">
        <f>V$3</f>
        <v>46178</v>
      </c>
      <c r="W5" s="136" t="s">
        <v>501</v>
      </c>
      <c r="X5" s="137" t="s">
        <v>501</v>
      </c>
      <c r="Y5" s="135">
        <f>Y$3</f>
        <v>46179</v>
      </c>
      <c r="Z5" s="136" t="s">
        <v>501</v>
      </c>
      <c r="AA5" s="137" t="s">
        <v>501</v>
      </c>
      <c r="AB5" s="135"/>
      <c r="AC5" s="135">
        <f>AC$3</f>
        <v>46181</v>
      </c>
      <c r="AD5" s="136" t="s">
        <v>501</v>
      </c>
      <c r="AE5" s="137" t="s">
        <v>501</v>
      </c>
      <c r="AF5" s="135">
        <f>AF$3</f>
        <v>46182</v>
      </c>
      <c r="AG5" s="136" t="s">
        <v>501</v>
      </c>
      <c r="AH5" s="137" t="s">
        <v>501</v>
      </c>
      <c r="AI5" s="135">
        <f>AI$3</f>
        <v>46183</v>
      </c>
      <c r="AJ5" s="136" t="s">
        <v>501</v>
      </c>
      <c r="AK5" s="137" t="s">
        <v>501</v>
      </c>
      <c r="AL5" s="135">
        <f>AL$3</f>
        <v>46184</v>
      </c>
      <c r="AM5" s="136" t="s">
        <v>501</v>
      </c>
      <c r="AN5" s="137" t="s">
        <v>501</v>
      </c>
      <c r="AO5" s="135">
        <f>AO$3</f>
        <v>46185</v>
      </c>
      <c r="AP5" s="136" t="s">
        <v>501</v>
      </c>
      <c r="AQ5" s="137" t="s">
        <v>501</v>
      </c>
      <c r="AR5" s="135">
        <f>AR$3</f>
        <v>46186</v>
      </c>
      <c r="AS5" s="136" t="s">
        <v>501</v>
      </c>
      <c r="AT5" s="137" t="s">
        <v>501</v>
      </c>
      <c r="AU5" s="12"/>
    </row>
    <row r="6" spans="1:47">
      <c r="A6" s="122" t="str">
        <f>$A$4</f>
        <v>Ngô Tuấn Vũ</v>
      </c>
      <c r="B6" s="28" t="s">
        <v>703</v>
      </c>
      <c r="C6" s="81" t="str">
        <f>IF($B6="","",INDEX('Bảng 3'!C:C,MATCH($B6,'Bảng 3'!$A:$A,0)))</f>
        <v>Quản lý BIM</v>
      </c>
      <c r="D6" s="81" t="str">
        <f>IF($B6="","",INDEX('Bảng 3'!D:D,MATCH($B6,'Bảng 3'!$A:$A,0)))</f>
        <v>B.HYE.NOXHHY.CT</v>
      </c>
      <c r="E6" s="150" t="str">
        <f>IF($B6="","",INDEX('Bảng 3'!E:E,MATCH($B6,'Bảng 3'!$A:$A,0)))</f>
        <v>NOXH02 (09 tòa)</v>
      </c>
      <c r="F6" s="81" t="str">
        <f>IF($B6="","",INDEX('Bảng 3'!F:F,MATCH($B6,'Bảng 3'!$A:$A,0)))</f>
        <v>DI</v>
      </c>
      <c r="G6" s="81" t="str">
        <f>IF($B6="","",INDEX('Bảng 3'!G:G,MATCH($B6,'Bảng 3'!$A:$A,0)))</f>
        <v>KSCL mô hình BIM</v>
      </c>
      <c r="H6" s="121"/>
      <c r="I6" s="135"/>
      <c r="J6" s="135">
        <f>J$3</f>
        <v>46174</v>
      </c>
      <c r="K6" s="136" t="s">
        <v>501</v>
      </c>
      <c r="L6" s="137">
        <v>0.2</v>
      </c>
      <c r="M6" s="135">
        <f>M$3</f>
        <v>46175</v>
      </c>
      <c r="N6" s="136" t="s">
        <v>501</v>
      </c>
      <c r="O6" s="137" t="s">
        <v>501</v>
      </c>
      <c r="P6" s="135">
        <f>P$3</f>
        <v>46176</v>
      </c>
      <c r="Q6" s="136" t="s">
        <v>501</v>
      </c>
      <c r="R6" s="137" t="s">
        <v>501</v>
      </c>
      <c r="S6" s="135">
        <f>S$3</f>
        <v>46177</v>
      </c>
      <c r="T6" s="136" t="s">
        <v>501</v>
      </c>
      <c r="U6" s="137" t="s">
        <v>501</v>
      </c>
      <c r="V6" s="135">
        <f>V$3</f>
        <v>46178</v>
      </c>
      <c r="W6" s="136" t="s">
        <v>501</v>
      </c>
      <c r="X6" s="137" t="s">
        <v>501</v>
      </c>
      <c r="Y6" s="135">
        <f>Y$3</f>
        <v>46179</v>
      </c>
      <c r="Z6" s="136" t="s">
        <v>501</v>
      </c>
      <c r="AA6" s="137" t="s">
        <v>501</v>
      </c>
      <c r="AB6" s="135"/>
      <c r="AC6" s="135">
        <f>AC$3</f>
        <v>46181</v>
      </c>
      <c r="AD6" s="136" t="s">
        <v>501</v>
      </c>
      <c r="AE6" s="137" t="s">
        <v>501</v>
      </c>
      <c r="AF6" s="135">
        <f>AF$3</f>
        <v>46182</v>
      </c>
      <c r="AG6" s="136" t="s">
        <v>501</v>
      </c>
      <c r="AH6" s="137" t="s">
        <v>501</v>
      </c>
      <c r="AI6" s="135">
        <f>AI$3</f>
        <v>46183</v>
      </c>
      <c r="AJ6" s="136" t="s">
        <v>501</v>
      </c>
      <c r="AK6" s="137" t="s">
        <v>501</v>
      </c>
      <c r="AL6" s="135">
        <f>AL$3</f>
        <v>46184</v>
      </c>
      <c r="AM6" s="136" t="s">
        <v>501</v>
      </c>
      <c r="AN6" s="137" t="s">
        <v>501</v>
      </c>
      <c r="AO6" s="135">
        <f>AO$3</f>
        <v>46185</v>
      </c>
      <c r="AP6" s="136" t="s">
        <v>501</v>
      </c>
      <c r="AQ6" s="137" t="s">
        <v>501</v>
      </c>
      <c r="AR6" s="135">
        <f>AR$3</f>
        <v>46186</v>
      </c>
      <c r="AS6" s="136" t="s">
        <v>501</v>
      </c>
      <c r="AT6" s="137" t="s">
        <v>501</v>
      </c>
      <c r="AU6" s="12"/>
    </row>
    <row r="7" spans="1:47">
      <c r="A7" s="122" t="str">
        <f>$A$4</f>
        <v>Ngô Tuấn Vũ</v>
      </c>
      <c r="B7" s="28" t="s">
        <v>704</v>
      </c>
      <c r="C7" s="81" t="str">
        <f>IF($B7="","",INDEX('Bảng 3'!C:C,MATCH($B7,'Bảng 3'!$A:$A,0)))</f>
        <v>Quản lý BIM</v>
      </c>
      <c r="D7" s="81" t="str">
        <f>IF($B7="","",INDEX('Bảng 3'!D:D,MATCH($B7,'Bảng 3'!$A:$A,0)))</f>
        <v>B.HYE.NOXHHY.CT</v>
      </c>
      <c r="E7" s="150" t="str">
        <f>IF($B7="","",INDEX('Bảng 3'!E:E,MATCH($B7,'Bảng 3'!$A:$A,0)))</f>
        <v>NOXH02 (09 tòa)</v>
      </c>
      <c r="F7" s="81" t="str">
        <f>IF($B7="","",INDEX('Bảng 3'!F:F,MATCH($B7,'Bảng 3'!$A:$A,0)))</f>
        <v>DN</v>
      </c>
      <c r="G7" s="81" t="str">
        <f>IF($B7="","",INDEX('Bảng 3'!G:G,MATCH($B7,'Bảng 3'!$A:$A,0)))</f>
        <v>KSCL mô hình BIM</v>
      </c>
      <c r="H7" s="121"/>
      <c r="I7" s="135"/>
      <c r="J7" s="135">
        <f>J$3</f>
        <v>46174</v>
      </c>
      <c r="K7" s="136" t="s">
        <v>501</v>
      </c>
      <c r="L7" s="137">
        <v>0.2</v>
      </c>
      <c r="M7" s="135">
        <f>M$3</f>
        <v>46175</v>
      </c>
      <c r="N7" s="136" t="s">
        <v>501</v>
      </c>
      <c r="O7" s="137" t="s">
        <v>501</v>
      </c>
      <c r="P7" s="135">
        <f>P$3</f>
        <v>46176</v>
      </c>
      <c r="Q7" s="136" t="s">
        <v>501</v>
      </c>
      <c r="R7" s="137" t="s">
        <v>501</v>
      </c>
      <c r="S7" s="135">
        <f>S$3</f>
        <v>46177</v>
      </c>
      <c r="T7" s="136" t="s">
        <v>501</v>
      </c>
      <c r="U7" s="137" t="s">
        <v>501</v>
      </c>
      <c r="V7" s="135">
        <f>V$3</f>
        <v>46178</v>
      </c>
      <c r="W7" s="136" t="s">
        <v>501</v>
      </c>
      <c r="X7" s="137" t="s">
        <v>501</v>
      </c>
      <c r="Y7" s="135">
        <f>Y$3</f>
        <v>46179</v>
      </c>
      <c r="Z7" s="136" t="s">
        <v>501</v>
      </c>
      <c r="AA7" s="137" t="s">
        <v>501</v>
      </c>
      <c r="AB7" s="135"/>
      <c r="AC7" s="135">
        <f>AC$3</f>
        <v>46181</v>
      </c>
      <c r="AD7" s="136" t="s">
        <v>501</v>
      </c>
      <c r="AE7" s="137" t="s">
        <v>501</v>
      </c>
      <c r="AF7" s="135">
        <f>AF$3</f>
        <v>46182</v>
      </c>
      <c r="AG7" s="136" t="s">
        <v>501</v>
      </c>
      <c r="AH7" s="137" t="s">
        <v>501</v>
      </c>
      <c r="AI7" s="135">
        <f>AI$3</f>
        <v>46183</v>
      </c>
      <c r="AJ7" s="136" t="s">
        <v>501</v>
      </c>
      <c r="AK7" s="137" t="s">
        <v>501</v>
      </c>
      <c r="AL7" s="135">
        <f>AL$3</f>
        <v>46184</v>
      </c>
      <c r="AM7" s="136" t="s">
        <v>501</v>
      </c>
      <c r="AN7" s="137" t="s">
        <v>501</v>
      </c>
      <c r="AO7" s="135">
        <f>AO$3</f>
        <v>46185</v>
      </c>
      <c r="AP7" s="136" t="s">
        <v>501</v>
      </c>
      <c r="AQ7" s="137" t="s">
        <v>501</v>
      </c>
      <c r="AR7" s="135">
        <f>AR$3</f>
        <v>46186</v>
      </c>
      <c r="AS7" s="136" t="s">
        <v>501</v>
      </c>
      <c r="AT7" s="137" t="s">
        <v>501</v>
      </c>
      <c r="AU7" s="12"/>
    </row>
    <row r="8" spans="1:47">
      <c r="A8" s="122" t="str">
        <f>$A$4</f>
        <v>Ngô Tuấn Vũ</v>
      </c>
      <c r="B8" s="28" t="s">
        <v>705</v>
      </c>
      <c r="C8" s="81" t="str">
        <f>IF($B8="","",INDEX('Bảng 3'!C:C,MATCH($B8,'Bảng 3'!$A:$A,0)))</f>
        <v>Quản lý BIM</v>
      </c>
      <c r="D8" s="81" t="str">
        <f>IF($B8="","",INDEX('Bảng 3'!D:D,MATCH($B8,'Bảng 3'!$A:$A,0)))</f>
        <v>B.HYE.NOXHHY.CT</v>
      </c>
      <c r="E8" s="150" t="str">
        <f>IF($B8="","",INDEX('Bảng 3'!E:E,MATCH($B8,'Bảng 3'!$A:$A,0)))</f>
        <v>NOXH02 (09 tòa)</v>
      </c>
      <c r="F8" s="81" t="str">
        <f>IF($B8="","",INDEX('Bảng 3'!F:F,MATCH($B8,'Bảng 3'!$A:$A,0)))</f>
        <v>NU</v>
      </c>
      <c r="G8" s="81" t="str">
        <f>IF($B8="","",INDEX('Bảng 3'!G:G,MATCH($B8,'Bảng 3'!$A:$A,0)))</f>
        <v>KSCL mô hình BIM</v>
      </c>
      <c r="H8" s="121"/>
      <c r="I8" s="135"/>
      <c r="J8" s="135">
        <f>J$3</f>
        <v>46174</v>
      </c>
      <c r="K8" s="136" t="s">
        <v>501</v>
      </c>
      <c r="L8" s="137">
        <v>0.2</v>
      </c>
      <c r="M8" s="135">
        <f>M$3</f>
        <v>46175</v>
      </c>
      <c r="N8" s="136" t="s">
        <v>501</v>
      </c>
      <c r="O8" s="137" t="s">
        <v>501</v>
      </c>
      <c r="P8" s="135">
        <f>P$3</f>
        <v>46176</v>
      </c>
      <c r="Q8" s="136" t="s">
        <v>501</v>
      </c>
      <c r="R8" s="137" t="s">
        <v>501</v>
      </c>
      <c r="S8" s="135">
        <f>S$3</f>
        <v>46177</v>
      </c>
      <c r="T8" s="136" t="s">
        <v>501</v>
      </c>
      <c r="U8" s="137" t="s">
        <v>501</v>
      </c>
      <c r="V8" s="135">
        <f>V$3</f>
        <v>46178</v>
      </c>
      <c r="W8" s="136" t="s">
        <v>501</v>
      </c>
      <c r="X8" s="137" t="s">
        <v>501</v>
      </c>
      <c r="Y8" s="135">
        <f>Y$3</f>
        <v>46179</v>
      </c>
      <c r="Z8" s="136" t="s">
        <v>501</v>
      </c>
      <c r="AA8" s="137" t="s">
        <v>501</v>
      </c>
      <c r="AB8" s="135"/>
      <c r="AC8" s="135">
        <f>AC$3</f>
        <v>46181</v>
      </c>
      <c r="AD8" s="136" t="s">
        <v>501</v>
      </c>
      <c r="AE8" s="137" t="s">
        <v>501</v>
      </c>
      <c r="AF8" s="135">
        <f>AF$3</f>
        <v>46182</v>
      </c>
      <c r="AG8" s="136" t="s">
        <v>501</v>
      </c>
      <c r="AH8" s="137" t="s">
        <v>501</v>
      </c>
      <c r="AI8" s="135">
        <f>AI$3</f>
        <v>46183</v>
      </c>
      <c r="AJ8" s="136" t="s">
        <v>501</v>
      </c>
      <c r="AK8" s="137" t="s">
        <v>501</v>
      </c>
      <c r="AL8" s="135">
        <f>AL$3</f>
        <v>46184</v>
      </c>
      <c r="AM8" s="136" t="s">
        <v>501</v>
      </c>
      <c r="AN8" s="137" t="s">
        <v>501</v>
      </c>
      <c r="AO8" s="135">
        <f>AO$3</f>
        <v>46185</v>
      </c>
      <c r="AP8" s="136" t="s">
        <v>501</v>
      </c>
      <c r="AQ8" s="137" t="s">
        <v>501</v>
      </c>
      <c r="AR8" s="135">
        <f>AR$3</f>
        <v>46186</v>
      </c>
      <c r="AS8" s="136" t="s">
        <v>501</v>
      </c>
      <c r="AT8" s="137" t="s">
        <v>501</v>
      </c>
      <c r="AU8" s="12"/>
    </row>
    <row r="9" spans="1:47">
      <c r="A9" s="122" t="str">
        <f>$A$4</f>
        <v>Ngô Tuấn Vũ</v>
      </c>
      <c r="B9" s="28" t="s">
        <v>706</v>
      </c>
      <c r="C9" s="81" t="str">
        <f>IF($B9="","",INDEX('Bảng 3'!C:C,MATCH($B9,'Bảng 3'!$A:$A,0)))</f>
        <v>Quản lý BIM</v>
      </c>
      <c r="D9" s="81" t="str">
        <f>IF($B9="","",INDEX('Bảng 3'!D:D,MATCH($B9,'Bảng 3'!$A:$A,0)))</f>
        <v>B.HYE.NOXHHY.CT</v>
      </c>
      <c r="E9" s="150" t="str">
        <f>IF($B9="","",INDEX('Bảng 3'!E:E,MATCH($B9,'Bảng 3'!$A:$A,0)))</f>
        <v>NOXH02 (09 tòa)</v>
      </c>
      <c r="F9" s="81" t="str">
        <f>IF($B9="","",INDEX('Bảng 3'!F:F,MATCH($B9,'Bảng 3'!$A:$A,0)))</f>
        <v>DH</v>
      </c>
      <c r="G9" s="81" t="str">
        <f>IF($B9="","",INDEX('Bảng 3'!G:G,MATCH($B9,'Bảng 3'!$A:$A,0)))</f>
        <v>KSCL mô hình BIM</v>
      </c>
      <c r="H9" s="121"/>
      <c r="I9" s="135"/>
      <c r="J9" s="135">
        <f>J$3</f>
        <v>46174</v>
      </c>
      <c r="K9" s="136" t="s">
        <v>501</v>
      </c>
      <c r="L9" s="137">
        <v>0.2</v>
      </c>
      <c r="M9" s="135">
        <f>M$3</f>
        <v>46175</v>
      </c>
      <c r="N9" s="136" t="s">
        <v>501</v>
      </c>
      <c r="O9" s="137" t="s">
        <v>501</v>
      </c>
      <c r="P9" s="135">
        <f>P$3</f>
        <v>46176</v>
      </c>
      <c r="Q9" s="136" t="s">
        <v>501</v>
      </c>
      <c r="R9" s="137" t="s">
        <v>501</v>
      </c>
      <c r="S9" s="135">
        <f>S$3</f>
        <v>46177</v>
      </c>
      <c r="T9" s="136" t="s">
        <v>501</v>
      </c>
      <c r="U9" s="137" t="s">
        <v>501</v>
      </c>
      <c r="V9" s="135">
        <f>V$3</f>
        <v>46178</v>
      </c>
      <c r="W9" s="136" t="s">
        <v>501</v>
      </c>
      <c r="X9" s="137" t="s">
        <v>501</v>
      </c>
      <c r="Y9" s="135">
        <f>Y$3</f>
        <v>46179</v>
      </c>
      <c r="Z9" s="136" t="s">
        <v>501</v>
      </c>
      <c r="AA9" s="137" t="s">
        <v>501</v>
      </c>
      <c r="AB9" s="135"/>
      <c r="AC9" s="135">
        <f>AC$3</f>
        <v>46181</v>
      </c>
      <c r="AD9" s="136" t="s">
        <v>501</v>
      </c>
      <c r="AE9" s="137" t="s">
        <v>501</v>
      </c>
      <c r="AF9" s="135">
        <f>AF$3</f>
        <v>46182</v>
      </c>
      <c r="AG9" s="136" t="s">
        <v>501</v>
      </c>
      <c r="AH9" s="137" t="s">
        <v>501</v>
      </c>
      <c r="AI9" s="135">
        <f>AI$3</f>
        <v>46183</v>
      </c>
      <c r="AJ9" s="136" t="s">
        <v>501</v>
      </c>
      <c r="AK9" s="137" t="s">
        <v>501</v>
      </c>
      <c r="AL9" s="135">
        <f>AL$3</f>
        <v>46184</v>
      </c>
      <c r="AM9" s="136" t="s">
        <v>501</v>
      </c>
      <c r="AN9" s="137" t="s">
        <v>501</v>
      </c>
      <c r="AO9" s="135">
        <f>AO$3</f>
        <v>46185</v>
      </c>
      <c r="AP9" s="136" t="s">
        <v>501</v>
      </c>
      <c r="AQ9" s="137" t="s">
        <v>501</v>
      </c>
      <c r="AR9" s="135">
        <f>AR$3</f>
        <v>46186</v>
      </c>
      <c r="AS9" s="136" t="s">
        <v>501</v>
      </c>
      <c r="AT9" s="137" t="s">
        <v>501</v>
      </c>
      <c r="AU9" s="12"/>
    </row>
    <row r="10" spans="1:47">
      <c r="A10" s="122" t="str">
        <f>$A$4</f>
        <v>Ngô Tuấn Vũ</v>
      </c>
      <c r="B10" s="28" t="s">
        <v>707</v>
      </c>
      <c r="C10" s="81" t="str">
        <f>IF($B10="","",INDEX('Bảng 3'!C:C,MATCH($B10,'Bảng 3'!$A:$A,0)))</f>
        <v>Quản lý BIM</v>
      </c>
      <c r="D10" s="81" t="str">
        <f>IF($B10="","",INDEX('Bảng 3'!D:D,MATCH($B10,'Bảng 3'!$A:$A,0)))</f>
        <v>B.HYE.NOXHHY.CT</v>
      </c>
      <c r="E10" s="150" t="str">
        <f>IF($B10="","",INDEX('Bảng 3'!E:E,MATCH($B10,'Bảng 3'!$A:$A,0)))</f>
        <v>NOXH02 (09 tòa)</v>
      </c>
      <c r="F10" s="81" t="str">
        <f>IF($B10="","",INDEX('Bảng 3'!F:F,MATCH($B10,'Bảng 3'!$A:$A,0)))</f>
        <v>PC</v>
      </c>
      <c r="G10" s="81" t="str">
        <f>IF($B10="","",INDEX('Bảng 3'!G:G,MATCH($B10,'Bảng 3'!$A:$A,0)))</f>
        <v>KSCL mô hình BIM</v>
      </c>
      <c r="H10" s="121"/>
      <c r="I10" s="135"/>
      <c r="J10" s="135">
        <f>J$3</f>
        <v>46174</v>
      </c>
      <c r="K10" s="136" t="s">
        <v>501</v>
      </c>
      <c r="L10" s="137">
        <v>0.2</v>
      </c>
      <c r="M10" s="135">
        <f>M$3</f>
        <v>46175</v>
      </c>
      <c r="N10" s="136" t="s">
        <v>501</v>
      </c>
      <c r="O10" s="137" t="s">
        <v>501</v>
      </c>
      <c r="P10" s="135">
        <f>P$3</f>
        <v>46176</v>
      </c>
      <c r="Q10" s="136" t="s">
        <v>501</v>
      </c>
      <c r="R10" s="137" t="s">
        <v>501</v>
      </c>
      <c r="S10" s="135">
        <f>S$3</f>
        <v>46177</v>
      </c>
      <c r="T10" s="136" t="s">
        <v>501</v>
      </c>
      <c r="U10" s="137" t="s">
        <v>501</v>
      </c>
      <c r="V10" s="135">
        <f>V$3</f>
        <v>46178</v>
      </c>
      <c r="W10" s="136" t="s">
        <v>501</v>
      </c>
      <c r="X10" s="137" t="s">
        <v>501</v>
      </c>
      <c r="Y10" s="135">
        <f>Y$3</f>
        <v>46179</v>
      </c>
      <c r="Z10" s="136" t="s">
        <v>501</v>
      </c>
      <c r="AA10" s="137" t="s">
        <v>501</v>
      </c>
      <c r="AB10" s="135"/>
      <c r="AC10" s="135">
        <f>AC$3</f>
        <v>46181</v>
      </c>
      <c r="AD10" s="136" t="s">
        <v>501</v>
      </c>
      <c r="AE10" s="137" t="s">
        <v>501</v>
      </c>
      <c r="AF10" s="135">
        <f>AF$3</f>
        <v>46182</v>
      </c>
      <c r="AG10" s="136" t="s">
        <v>501</v>
      </c>
      <c r="AH10" s="137" t="s">
        <v>501</v>
      </c>
      <c r="AI10" s="135">
        <f>AI$3</f>
        <v>46183</v>
      </c>
      <c r="AJ10" s="136" t="s">
        <v>501</v>
      </c>
      <c r="AK10" s="137" t="s">
        <v>501</v>
      </c>
      <c r="AL10" s="135">
        <f>AL$3</f>
        <v>46184</v>
      </c>
      <c r="AM10" s="136" t="s">
        <v>501</v>
      </c>
      <c r="AN10" s="137" t="s">
        <v>501</v>
      </c>
      <c r="AO10" s="135">
        <f>AO$3</f>
        <v>46185</v>
      </c>
      <c r="AP10" s="136" t="s">
        <v>501</v>
      </c>
      <c r="AQ10" s="137" t="s">
        <v>501</v>
      </c>
      <c r="AR10" s="135">
        <f>AR$3</f>
        <v>46186</v>
      </c>
      <c r="AS10" s="136" t="s">
        <v>501</v>
      </c>
      <c r="AT10" s="137" t="s">
        <v>501</v>
      </c>
      <c r="AU10" s="12"/>
    </row>
    <row r="11" spans="1:47">
      <c r="A11" s="122" t="str">
        <f>$A$4</f>
        <v>Ngô Tuấn Vũ</v>
      </c>
      <c r="B11" s="28" t="s">
        <v>708</v>
      </c>
      <c r="C11" s="81" t="str">
        <f>IF($B11="","",INDEX('Bảng 3'!C:C,MATCH($B11,'Bảng 3'!$A:$A,0)))</f>
        <v>Quản lý BIM</v>
      </c>
      <c r="D11" s="81" t="str">
        <f>IF($B11="","",INDEX('Bảng 3'!D:D,MATCH($B11,'Bảng 3'!$A:$A,0)))</f>
        <v>T.HTI.STHT.NOXH.CT</v>
      </c>
      <c r="E11" s="150" t="str">
        <f>IF($B11="","",INDEX('Bảng 3'!E:E,MATCH($B11,'Bảng 3'!$A:$A,0)))</f>
        <v>NOXH-01 (03 tòa)</v>
      </c>
      <c r="F11" s="81" t="str">
        <f>IF($B11="","",INDEX('Bảng 3'!F:F,MATCH($B11,'Bảng 3'!$A:$A,0)))</f>
        <v>DI</v>
      </c>
      <c r="G11" s="81" t="str">
        <f>IF($B11="","",INDEX('Bảng 3'!G:G,MATCH($B11,'Bảng 3'!$A:$A,0)))</f>
        <v>KSCL mô hình BIM</v>
      </c>
      <c r="H11" s="121"/>
      <c r="I11" s="135"/>
      <c r="J11" s="135">
        <f>J$3</f>
        <v>46174</v>
      </c>
      <c r="K11" s="136" t="s">
        <v>501</v>
      </c>
      <c r="L11" s="137">
        <v>0.2</v>
      </c>
      <c r="M11" s="135">
        <f>M$3</f>
        <v>46175</v>
      </c>
      <c r="N11" s="136" t="s">
        <v>501</v>
      </c>
      <c r="O11" s="137" t="s">
        <v>501</v>
      </c>
      <c r="P11" s="135">
        <f>P$3</f>
        <v>46176</v>
      </c>
      <c r="Q11" s="136" t="s">
        <v>501</v>
      </c>
      <c r="R11" s="137" t="s">
        <v>501</v>
      </c>
      <c r="S11" s="135">
        <f>S$3</f>
        <v>46177</v>
      </c>
      <c r="T11" s="136" t="s">
        <v>501</v>
      </c>
      <c r="U11" s="137" t="s">
        <v>501</v>
      </c>
      <c r="V11" s="135">
        <f>V$3</f>
        <v>46178</v>
      </c>
      <c r="W11" s="136" t="s">
        <v>501</v>
      </c>
      <c r="X11" s="137" t="s">
        <v>501</v>
      </c>
      <c r="Y11" s="135">
        <f>Y$3</f>
        <v>46179</v>
      </c>
      <c r="Z11" s="136" t="s">
        <v>501</v>
      </c>
      <c r="AA11" s="137" t="s">
        <v>501</v>
      </c>
      <c r="AB11" s="135"/>
      <c r="AC11" s="135">
        <f>AC$3</f>
        <v>46181</v>
      </c>
      <c r="AD11" s="136" t="s">
        <v>501</v>
      </c>
      <c r="AE11" s="137" t="s">
        <v>501</v>
      </c>
      <c r="AF11" s="135">
        <f>AF$3</f>
        <v>46182</v>
      </c>
      <c r="AG11" s="136" t="s">
        <v>501</v>
      </c>
      <c r="AH11" s="137" t="s">
        <v>501</v>
      </c>
      <c r="AI11" s="135">
        <f>AI$3</f>
        <v>46183</v>
      </c>
      <c r="AJ11" s="136" t="s">
        <v>501</v>
      </c>
      <c r="AK11" s="137" t="s">
        <v>501</v>
      </c>
      <c r="AL11" s="135">
        <f>AL$3</f>
        <v>46184</v>
      </c>
      <c r="AM11" s="136" t="s">
        <v>501</v>
      </c>
      <c r="AN11" s="137" t="s">
        <v>501</v>
      </c>
      <c r="AO11" s="135">
        <f>AO$3</f>
        <v>46185</v>
      </c>
      <c r="AP11" s="136" t="s">
        <v>501</v>
      </c>
      <c r="AQ11" s="137" t="s">
        <v>501</v>
      </c>
      <c r="AR11" s="135">
        <f>AR$3</f>
        <v>46186</v>
      </c>
      <c r="AS11" s="136" t="s">
        <v>501</v>
      </c>
      <c r="AT11" s="137" t="s">
        <v>501</v>
      </c>
      <c r="AU11" s="12"/>
    </row>
    <row r="12" spans="1:47">
      <c r="A12" s="122" t="str">
        <f>$A$4</f>
        <v>Ngô Tuấn Vũ</v>
      </c>
      <c r="B12" s="28" t="s">
        <v>709</v>
      </c>
      <c r="C12" s="81" t="str">
        <f>IF($B12="","",INDEX('Bảng 3'!C:C,MATCH($B12,'Bảng 3'!$A:$A,0)))</f>
        <v>Quản lý BIM</v>
      </c>
      <c r="D12" s="81" t="str">
        <f>IF($B12="","",INDEX('Bảng 3'!D:D,MATCH($B12,'Bảng 3'!$A:$A,0)))</f>
        <v>T.HTI.STHT.NOXH.CT</v>
      </c>
      <c r="E12" s="150" t="str">
        <f>IF($B12="","",INDEX('Bảng 3'!E:E,MATCH($B12,'Bảng 3'!$A:$A,0)))</f>
        <v>NOXH-01 (03 tòa)</v>
      </c>
      <c r="F12" s="81" t="str">
        <f>IF($B12="","",INDEX('Bảng 3'!F:F,MATCH($B12,'Bảng 3'!$A:$A,0)))</f>
        <v>DN</v>
      </c>
      <c r="G12" s="81" t="str">
        <f>IF($B12="","",INDEX('Bảng 3'!G:G,MATCH($B12,'Bảng 3'!$A:$A,0)))</f>
        <v>KSCL mô hình BIM</v>
      </c>
      <c r="H12" s="121"/>
      <c r="I12" s="135"/>
      <c r="J12" s="135">
        <f>J$3</f>
        <v>46174</v>
      </c>
      <c r="K12" s="136" t="s">
        <v>501</v>
      </c>
      <c r="L12" s="137">
        <v>0.2</v>
      </c>
      <c r="M12" s="135">
        <f>M$3</f>
        <v>46175</v>
      </c>
      <c r="N12" s="136" t="s">
        <v>501</v>
      </c>
      <c r="O12" s="137" t="s">
        <v>501</v>
      </c>
      <c r="P12" s="135">
        <f>P$3</f>
        <v>46176</v>
      </c>
      <c r="Q12" s="136" t="s">
        <v>501</v>
      </c>
      <c r="R12" s="137" t="s">
        <v>501</v>
      </c>
      <c r="S12" s="135">
        <f>S$3</f>
        <v>46177</v>
      </c>
      <c r="T12" s="136" t="s">
        <v>501</v>
      </c>
      <c r="U12" s="137" t="s">
        <v>501</v>
      </c>
      <c r="V12" s="135">
        <f>V$3</f>
        <v>46178</v>
      </c>
      <c r="W12" s="136" t="s">
        <v>501</v>
      </c>
      <c r="X12" s="137" t="s">
        <v>501</v>
      </c>
      <c r="Y12" s="135">
        <f>Y$3</f>
        <v>46179</v>
      </c>
      <c r="Z12" s="136" t="s">
        <v>501</v>
      </c>
      <c r="AA12" s="137" t="s">
        <v>501</v>
      </c>
      <c r="AB12" s="135"/>
      <c r="AC12" s="135">
        <f>AC$3</f>
        <v>46181</v>
      </c>
      <c r="AD12" s="136" t="s">
        <v>501</v>
      </c>
      <c r="AE12" s="137" t="s">
        <v>501</v>
      </c>
      <c r="AF12" s="135">
        <f>AF$3</f>
        <v>46182</v>
      </c>
      <c r="AG12" s="136" t="s">
        <v>501</v>
      </c>
      <c r="AH12" s="137" t="s">
        <v>501</v>
      </c>
      <c r="AI12" s="135">
        <f>AI$3</f>
        <v>46183</v>
      </c>
      <c r="AJ12" s="136" t="s">
        <v>501</v>
      </c>
      <c r="AK12" s="137" t="s">
        <v>501</v>
      </c>
      <c r="AL12" s="135">
        <f>AL$3</f>
        <v>46184</v>
      </c>
      <c r="AM12" s="136" t="s">
        <v>501</v>
      </c>
      <c r="AN12" s="137" t="s">
        <v>501</v>
      </c>
      <c r="AO12" s="135">
        <f>AO$3</f>
        <v>46185</v>
      </c>
      <c r="AP12" s="136" t="s">
        <v>501</v>
      </c>
      <c r="AQ12" s="137" t="s">
        <v>501</v>
      </c>
      <c r="AR12" s="135">
        <f>AR$3</f>
        <v>46186</v>
      </c>
      <c r="AS12" s="136" t="s">
        <v>501</v>
      </c>
      <c r="AT12" s="137" t="s">
        <v>501</v>
      </c>
      <c r="AU12" s="12"/>
    </row>
    <row r="13" spans="1:47">
      <c r="A13" s="122" t="str">
        <f>$A$4</f>
        <v>Ngô Tuấn Vũ</v>
      </c>
      <c r="B13" s="28" t="s">
        <v>710</v>
      </c>
      <c r="C13" s="81" t="str">
        <f>IF($B13="","",INDEX('Bảng 3'!C:C,MATCH($B13,'Bảng 3'!$A:$A,0)))</f>
        <v>Quản lý BIM</v>
      </c>
      <c r="D13" s="81" t="str">
        <f>IF($B13="","",INDEX('Bảng 3'!D:D,MATCH($B13,'Bảng 3'!$A:$A,0)))</f>
        <v>T.HTI.STHT.NOXH.CT</v>
      </c>
      <c r="E13" s="150" t="str">
        <f>IF($B13="","",INDEX('Bảng 3'!E:E,MATCH($B13,'Bảng 3'!$A:$A,0)))</f>
        <v>NOXH-01 (03 tòa)</v>
      </c>
      <c r="F13" s="81" t="str">
        <f>IF($B13="","",INDEX('Bảng 3'!F:F,MATCH($B13,'Bảng 3'!$A:$A,0)))</f>
        <v>NU</v>
      </c>
      <c r="G13" s="81" t="str">
        <f>IF($B13="","",INDEX('Bảng 3'!G:G,MATCH($B13,'Bảng 3'!$A:$A,0)))</f>
        <v>KSCL mô hình BIM</v>
      </c>
      <c r="H13" s="121"/>
      <c r="I13" s="135"/>
      <c r="J13" s="135">
        <f>J$3</f>
        <v>46174</v>
      </c>
      <c r="K13" s="136" t="s">
        <v>501</v>
      </c>
      <c r="L13" s="137">
        <v>0.2</v>
      </c>
      <c r="M13" s="135">
        <f>M$3</f>
        <v>46175</v>
      </c>
      <c r="N13" s="136" t="s">
        <v>501</v>
      </c>
      <c r="O13" s="137" t="s">
        <v>501</v>
      </c>
      <c r="P13" s="135">
        <f>P$3</f>
        <v>46176</v>
      </c>
      <c r="Q13" s="136" t="s">
        <v>501</v>
      </c>
      <c r="R13" s="137" t="s">
        <v>501</v>
      </c>
      <c r="S13" s="135">
        <f>S$3</f>
        <v>46177</v>
      </c>
      <c r="T13" s="136" t="s">
        <v>501</v>
      </c>
      <c r="U13" s="137" t="s">
        <v>501</v>
      </c>
      <c r="V13" s="135">
        <f>V$3</f>
        <v>46178</v>
      </c>
      <c r="W13" s="136" t="s">
        <v>501</v>
      </c>
      <c r="X13" s="137" t="s">
        <v>501</v>
      </c>
      <c r="Y13" s="135">
        <f>Y$3</f>
        <v>46179</v>
      </c>
      <c r="Z13" s="136" t="s">
        <v>501</v>
      </c>
      <c r="AA13" s="137" t="s">
        <v>501</v>
      </c>
      <c r="AB13" s="135"/>
      <c r="AC13" s="135">
        <f>AC$3</f>
        <v>46181</v>
      </c>
      <c r="AD13" s="136" t="s">
        <v>501</v>
      </c>
      <c r="AE13" s="137" t="s">
        <v>501</v>
      </c>
      <c r="AF13" s="135">
        <f>AF$3</f>
        <v>46182</v>
      </c>
      <c r="AG13" s="136" t="s">
        <v>501</v>
      </c>
      <c r="AH13" s="137" t="s">
        <v>501</v>
      </c>
      <c r="AI13" s="135">
        <f>AI$3</f>
        <v>46183</v>
      </c>
      <c r="AJ13" s="136" t="s">
        <v>501</v>
      </c>
      <c r="AK13" s="137" t="s">
        <v>501</v>
      </c>
      <c r="AL13" s="135">
        <f>AL$3</f>
        <v>46184</v>
      </c>
      <c r="AM13" s="136" t="s">
        <v>501</v>
      </c>
      <c r="AN13" s="137" t="s">
        <v>501</v>
      </c>
      <c r="AO13" s="135">
        <f>AO$3</f>
        <v>46185</v>
      </c>
      <c r="AP13" s="136" t="s">
        <v>501</v>
      </c>
      <c r="AQ13" s="137" t="s">
        <v>501</v>
      </c>
      <c r="AR13" s="135">
        <f>AR$3</f>
        <v>46186</v>
      </c>
      <c r="AS13" s="136" t="s">
        <v>501</v>
      </c>
      <c r="AT13" s="137" t="s">
        <v>501</v>
      </c>
      <c r="AU13" s="12"/>
    </row>
    <row r="14" spans="1:47">
      <c r="A14" s="122" t="str">
        <f>$A$4</f>
        <v>Ngô Tuấn Vũ</v>
      </c>
      <c r="B14" s="28" t="s">
        <v>711</v>
      </c>
      <c r="C14" s="81" t="str">
        <f>IF($B14="","",INDEX('Bảng 3'!C:C,MATCH($B14,'Bảng 3'!$A:$A,0)))</f>
        <v>Quản lý BIM</v>
      </c>
      <c r="D14" s="81" t="str">
        <f>IF($B14="","",INDEX('Bảng 3'!D:D,MATCH($B14,'Bảng 3'!$A:$A,0)))</f>
        <v>T.HTI.STHT.NOXH.CT</v>
      </c>
      <c r="E14" s="150" t="str">
        <f>IF($B14="","",INDEX('Bảng 3'!E:E,MATCH($B14,'Bảng 3'!$A:$A,0)))</f>
        <v>NOXH-01 (03 tòa)</v>
      </c>
      <c r="F14" s="81" t="str">
        <f>IF($B14="","",INDEX('Bảng 3'!F:F,MATCH($B14,'Bảng 3'!$A:$A,0)))</f>
        <v>DH</v>
      </c>
      <c r="G14" s="81" t="str">
        <f>IF($B14="","",INDEX('Bảng 3'!G:G,MATCH($B14,'Bảng 3'!$A:$A,0)))</f>
        <v>KSCL mô hình BIM</v>
      </c>
      <c r="H14" s="121"/>
      <c r="I14" s="135"/>
      <c r="J14" s="135">
        <f>J$3</f>
        <v>46174</v>
      </c>
      <c r="K14" s="136" t="s">
        <v>501</v>
      </c>
      <c r="L14" s="137">
        <v>0.2</v>
      </c>
      <c r="M14" s="135">
        <f>M$3</f>
        <v>46175</v>
      </c>
      <c r="N14" s="136" t="s">
        <v>501</v>
      </c>
      <c r="O14" s="137" t="s">
        <v>501</v>
      </c>
      <c r="P14" s="135">
        <f>P$3</f>
        <v>46176</v>
      </c>
      <c r="Q14" s="136" t="s">
        <v>501</v>
      </c>
      <c r="R14" s="137" t="s">
        <v>501</v>
      </c>
      <c r="S14" s="135">
        <f>S$3</f>
        <v>46177</v>
      </c>
      <c r="T14" s="136" t="s">
        <v>501</v>
      </c>
      <c r="U14" s="137" t="s">
        <v>501</v>
      </c>
      <c r="V14" s="135">
        <f>V$3</f>
        <v>46178</v>
      </c>
      <c r="W14" s="136" t="s">
        <v>501</v>
      </c>
      <c r="X14" s="137" t="s">
        <v>501</v>
      </c>
      <c r="Y14" s="135">
        <f>Y$3</f>
        <v>46179</v>
      </c>
      <c r="Z14" s="136" t="s">
        <v>501</v>
      </c>
      <c r="AA14" s="137" t="s">
        <v>501</v>
      </c>
      <c r="AB14" s="135"/>
      <c r="AC14" s="135">
        <f>AC$3</f>
        <v>46181</v>
      </c>
      <c r="AD14" s="136" t="s">
        <v>501</v>
      </c>
      <c r="AE14" s="137" t="s">
        <v>501</v>
      </c>
      <c r="AF14" s="135">
        <f>AF$3</f>
        <v>46182</v>
      </c>
      <c r="AG14" s="136" t="s">
        <v>501</v>
      </c>
      <c r="AH14" s="137" t="s">
        <v>501</v>
      </c>
      <c r="AI14" s="135">
        <f>AI$3</f>
        <v>46183</v>
      </c>
      <c r="AJ14" s="136" t="s">
        <v>501</v>
      </c>
      <c r="AK14" s="137" t="s">
        <v>501</v>
      </c>
      <c r="AL14" s="135">
        <f>AL$3</f>
        <v>46184</v>
      </c>
      <c r="AM14" s="136" t="s">
        <v>501</v>
      </c>
      <c r="AN14" s="137" t="s">
        <v>501</v>
      </c>
      <c r="AO14" s="135">
        <f>AO$3</f>
        <v>46185</v>
      </c>
      <c r="AP14" s="136" t="s">
        <v>501</v>
      </c>
      <c r="AQ14" s="137" t="s">
        <v>501</v>
      </c>
      <c r="AR14" s="135">
        <f>AR$3</f>
        <v>46186</v>
      </c>
      <c r="AS14" s="136" t="s">
        <v>501</v>
      </c>
      <c r="AT14" s="137" t="s">
        <v>501</v>
      </c>
      <c r="AU14" s="12"/>
    </row>
    <row r="15" spans="1:47">
      <c r="A15" s="122" t="str">
        <f>$A$4</f>
        <v>Ngô Tuấn Vũ</v>
      </c>
      <c r="B15" s="28" t="s">
        <v>712</v>
      </c>
      <c r="C15" s="81" t="str">
        <f>IF($B15="","",INDEX('Bảng 3'!C:C,MATCH($B15,'Bảng 3'!$A:$A,0)))</f>
        <v>Quản lý BIM</v>
      </c>
      <c r="D15" s="81" t="str">
        <f>IF($B15="","",INDEX('Bảng 3'!D:D,MATCH($B15,'Bảng 3'!$A:$A,0)))</f>
        <v>N.HCM.Q9.VP</v>
      </c>
      <c r="E15" s="150" t="str">
        <f>IF($B15="","",INDEX('Bảng 3'!E:E,MATCH($B15,'Bảng 3'!$A:$A,0)))</f>
        <v>Toà văn phòng 43 tầng</v>
      </c>
      <c r="F15" s="81" t="str">
        <f>IF($B15="","",INDEX('Bảng 3'!F:F,MATCH($B15,'Bảng 3'!$A:$A,0)))</f>
        <v>PC</v>
      </c>
      <c r="G15" s="81" t="str">
        <f>IF($B15="","",INDEX('Bảng 3'!G:G,MATCH($B15,'Bảng 3'!$A:$A,0)))</f>
        <v>Cập nhật thông tin mô hình BIM</v>
      </c>
      <c r="H15" s="121"/>
      <c r="I15" s="135"/>
      <c r="J15" s="135">
        <f>J$3</f>
        <v>46174</v>
      </c>
      <c r="K15" s="136" t="s">
        <v>501</v>
      </c>
      <c r="L15" s="137">
        <v>2</v>
      </c>
      <c r="M15" s="135">
        <f>M$3</f>
        <v>46175</v>
      </c>
      <c r="N15" s="136" t="s">
        <v>501</v>
      </c>
      <c r="O15" s="137" t="s">
        <v>501</v>
      </c>
      <c r="P15" s="135">
        <f>P$3</f>
        <v>46176</v>
      </c>
      <c r="Q15" s="136" t="s">
        <v>501</v>
      </c>
      <c r="R15" s="137" t="s">
        <v>501</v>
      </c>
      <c r="S15" s="135">
        <f>S$3</f>
        <v>46177</v>
      </c>
      <c r="T15" s="136" t="s">
        <v>501</v>
      </c>
      <c r="U15" s="137" t="s">
        <v>501</v>
      </c>
      <c r="V15" s="135">
        <f>V$3</f>
        <v>46178</v>
      </c>
      <c r="W15" s="136" t="s">
        <v>501</v>
      </c>
      <c r="X15" s="137" t="s">
        <v>501</v>
      </c>
      <c r="Y15" s="135">
        <f>Y$3</f>
        <v>46179</v>
      </c>
      <c r="Z15" s="136" t="s">
        <v>501</v>
      </c>
      <c r="AA15" s="137" t="s">
        <v>501</v>
      </c>
      <c r="AB15" s="135"/>
      <c r="AC15" s="135">
        <f>AC$3</f>
        <v>46181</v>
      </c>
      <c r="AD15" s="136" t="s">
        <v>501</v>
      </c>
      <c r="AE15" s="137" t="s">
        <v>501</v>
      </c>
      <c r="AF15" s="135">
        <f>AF$3</f>
        <v>46182</v>
      </c>
      <c r="AG15" s="136" t="s">
        <v>501</v>
      </c>
      <c r="AH15" s="137" t="s">
        <v>501</v>
      </c>
      <c r="AI15" s="135">
        <f>AI$3</f>
        <v>46183</v>
      </c>
      <c r="AJ15" s="136" t="s">
        <v>501</v>
      </c>
      <c r="AK15" s="137" t="s">
        <v>501</v>
      </c>
      <c r="AL15" s="135">
        <f>AL$3</f>
        <v>46184</v>
      </c>
      <c r="AM15" s="136" t="s">
        <v>501</v>
      </c>
      <c r="AN15" s="137" t="s">
        <v>501</v>
      </c>
      <c r="AO15" s="135">
        <f>AO$3</f>
        <v>46185</v>
      </c>
      <c r="AP15" s="136" t="s">
        <v>501</v>
      </c>
      <c r="AQ15" s="137" t="s">
        <v>501</v>
      </c>
      <c r="AR15" s="135">
        <f>AR$3</f>
        <v>46186</v>
      </c>
      <c r="AS15" s="136" t="s">
        <v>501</v>
      </c>
      <c r="AT15" s="137" t="s">
        <v>501</v>
      </c>
      <c r="AU15" s="12"/>
    </row>
    <row r="16" spans="1:47">
      <c r="A16" s="36" t="s">
        <v>175</v>
      </c>
      <c r="B16" s="82"/>
      <c r="C16" s="81" t="str">
        <f>IF($B16="","",INDEX('Bảng 3'!C:C,MATCH($B16,'Bảng 3'!$A:$A,0)))</f>
        <v/>
      </c>
      <c r="D16" s="81" t="str">
        <f>IF($B16="","",INDEX('Bảng 3'!D:D,MATCH($B16,'Bảng 3'!$A:$A,0)))</f>
        <v/>
      </c>
      <c r="E16" s="150" t="str">
        <f>IF($B16="","",INDEX('Bảng 3'!E:E,MATCH($B16,'Bảng 3'!$A:$A,0)))</f>
        <v/>
      </c>
      <c r="F16" s="81" t="str">
        <f>IF($B16="","",INDEX('Bảng 3'!F:F,MATCH($B16,'Bảng 3'!$A:$A,0)))</f>
        <v/>
      </c>
      <c r="G16" s="81" t="str">
        <f>IF($B16="","",INDEX('Bảng 3'!G:G,MATCH($B16,'Bảng 3'!$A:$A,0)))</f>
        <v/>
      </c>
      <c r="H16" s="121"/>
      <c r="I16" s="138"/>
      <c r="J16" s="138">
        <f>J$3</f>
        <v>46174</v>
      </c>
      <c r="K16" s="132" t="s">
        <v>501</v>
      </c>
      <c r="L16" s="133">
        <f>SUM(L17:L32)</f>
        <v>10</v>
      </c>
      <c r="M16" s="138">
        <f>M$3</f>
        <v>46175</v>
      </c>
      <c r="N16" s="132" t="s">
        <v>501</v>
      </c>
      <c r="O16" s="133">
        <f>SUM(O17:O32)</f>
        <v>8</v>
      </c>
      <c r="P16" s="138">
        <f>P$3</f>
        <v>46176</v>
      </c>
      <c r="Q16" s="132" t="s">
        <v>501</v>
      </c>
      <c r="R16" s="133">
        <f>SUM(R17:R32)</f>
        <v>0</v>
      </c>
      <c r="S16" s="138">
        <f>S$3</f>
        <v>46177</v>
      </c>
      <c r="T16" s="132" t="s">
        <v>501</v>
      </c>
      <c r="U16" s="133">
        <f>SUM(U17:U32)</f>
        <v>0</v>
      </c>
      <c r="V16" s="138">
        <f>V$3</f>
        <v>46178</v>
      </c>
      <c r="W16" s="132" t="s">
        <v>501</v>
      </c>
      <c r="X16" s="133">
        <f>SUM(X17:X32)</f>
        <v>0</v>
      </c>
      <c r="Y16" s="138">
        <f>Y$3</f>
        <v>46179</v>
      </c>
      <c r="Z16" s="132" t="s">
        <v>501</v>
      </c>
      <c r="AA16" s="133">
        <f>SUM(AA17:AA32)</f>
        <v>0</v>
      </c>
      <c r="AB16" s="138"/>
      <c r="AC16" s="138">
        <f>AC$3</f>
        <v>46181</v>
      </c>
      <c r="AD16" s="132" t="s">
        <v>501</v>
      </c>
      <c r="AE16" s="133">
        <f>SUM(AE17:AE32)</f>
        <v>0</v>
      </c>
      <c r="AF16" s="138">
        <f>AF$3</f>
        <v>46182</v>
      </c>
      <c r="AG16" s="132" t="s">
        <v>501</v>
      </c>
      <c r="AH16" s="133">
        <f>SUM(AH17:AH32)</f>
        <v>0</v>
      </c>
      <c r="AI16" s="138">
        <f>AI$3</f>
        <v>46183</v>
      </c>
      <c r="AJ16" s="132" t="s">
        <v>501</v>
      </c>
      <c r="AK16" s="133">
        <f>SUM(AK17:AK32)</f>
        <v>0</v>
      </c>
      <c r="AL16" s="138">
        <f>AL$3</f>
        <v>46184</v>
      </c>
      <c r="AM16" s="132" t="s">
        <v>501</v>
      </c>
      <c r="AN16" s="133">
        <f>SUM(AN17:AN32)</f>
        <v>0</v>
      </c>
      <c r="AO16" s="138">
        <f>AO$3</f>
        <v>46185</v>
      </c>
      <c r="AP16" s="132" t="s">
        <v>501</v>
      </c>
      <c r="AQ16" s="133">
        <f>SUM(AQ17:AQ32)</f>
        <v>0</v>
      </c>
      <c r="AR16" s="138">
        <f>AR$3</f>
        <v>46186</v>
      </c>
      <c r="AS16" s="132" t="s">
        <v>501</v>
      </c>
      <c r="AT16" s="133">
        <f>SUM(AT17:AT32)</f>
        <v>0</v>
      </c>
      <c r="AU16" s="134"/>
    </row>
    <row r="17" spans="1:47" ht="30.75">
      <c r="A17" s="122" t="str">
        <f>$A$16</f>
        <v>Đặng Thái Sơn</v>
      </c>
      <c r="B17" s="82" t="s">
        <v>713</v>
      </c>
      <c r="C17" s="81" t="str">
        <f>IF($B17="","",INDEX('Bảng 3'!C:C,MATCH($B17,'Bảng 3'!$A:$A,0)))</f>
        <v>Quản lý BIM</v>
      </c>
      <c r="D17" s="81" t="str">
        <f>IF($B17="","",INDEX('Bảng 3'!D:D,MATCH($B17,'Bảng 3'!$A:$A,0)))</f>
        <v>B.HYE.PVF</v>
      </c>
      <c r="E17" s="150" t="str">
        <f>IF($B17="","",INDEX('Bảng 3'!E:E,MATCH($B17,'Bảng 3'!$A:$A,0)))</f>
        <v>Sân vận động TDTT01</v>
      </c>
      <c r="F17" s="81" t="str">
        <f>IF($B17="","",INDEX('Bảng 3'!F:F,MATCH($B17,'Bảng 3'!$A:$A,0)))</f>
        <v>DH</v>
      </c>
      <c r="G17" s="81" t="str">
        <f>IF($B17="","",INDEX('Bảng 3'!G:G,MATCH($B17,'Bảng 3'!$A:$A,0)))</f>
        <v>Tạo lập mô hình BIM</v>
      </c>
      <c r="H17" s="121">
        <v>46174</v>
      </c>
      <c r="I17" s="135"/>
      <c r="J17" s="135">
        <f>J$3</f>
        <v>46174</v>
      </c>
      <c r="K17" s="148" t="s">
        <v>21</v>
      </c>
      <c r="L17" s="137">
        <v>6</v>
      </c>
      <c r="M17" s="135">
        <f>M$3</f>
        <v>46175</v>
      </c>
      <c r="N17" s="136" t="s">
        <v>501</v>
      </c>
      <c r="O17" s="137" t="s">
        <v>501</v>
      </c>
      <c r="P17" s="135">
        <f>P$3</f>
        <v>46176</v>
      </c>
      <c r="Q17" s="136" t="s">
        <v>501</v>
      </c>
      <c r="R17" s="137" t="s">
        <v>501</v>
      </c>
      <c r="S17" s="135">
        <f>S$3</f>
        <v>46177</v>
      </c>
      <c r="T17" s="136" t="s">
        <v>501</v>
      </c>
      <c r="U17" s="137" t="s">
        <v>501</v>
      </c>
      <c r="V17" s="135">
        <f>V$3</f>
        <v>46178</v>
      </c>
      <c r="W17" s="136" t="s">
        <v>501</v>
      </c>
      <c r="X17" s="137" t="s">
        <v>501</v>
      </c>
      <c r="Y17" s="135">
        <f>Y$3</f>
        <v>46179</v>
      </c>
      <c r="Z17" s="136" t="s">
        <v>501</v>
      </c>
      <c r="AA17" s="137" t="s">
        <v>501</v>
      </c>
      <c r="AB17" s="135"/>
      <c r="AC17" s="135">
        <f>AC$3</f>
        <v>46181</v>
      </c>
      <c r="AD17" s="136" t="s">
        <v>501</v>
      </c>
      <c r="AE17" s="137" t="s">
        <v>501</v>
      </c>
      <c r="AF17" s="135">
        <f>AF$3</f>
        <v>46182</v>
      </c>
      <c r="AG17" s="136" t="s">
        <v>501</v>
      </c>
      <c r="AH17" s="137" t="s">
        <v>501</v>
      </c>
      <c r="AI17" s="135">
        <f>AI$3</f>
        <v>46183</v>
      </c>
      <c r="AJ17" s="136" t="s">
        <v>501</v>
      </c>
      <c r="AK17" s="137" t="s">
        <v>501</v>
      </c>
      <c r="AL17" s="135">
        <f>AL$3</f>
        <v>46184</v>
      </c>
      <c r="AM17" s="136" t="s">
        <v>501</v>
      </c>
      <c r="AN17" s="137" t="s">
        <v>501</v>
      </c>
      <c r="AO17" s="135">
        <f>AO$3</f>
        <v>46185</v>
      </c>
      <c r="AP17" s="136" t="s">
        <v>501</v>
      </c>
      <c r="AQ17" s="137" t="s">
        <v>501</v>
      </c>
      <c r="AR17" s="135">
        <f>AR$3</f>
        <v>46186</v>
      </c>
      <c r="AS17" s="136" t="s">
        <v>501</v>
      </c>
      <c r="AT17" s="137" t="s">
        <v>501</v>
      </c>
      <c r="AU17" s="12"/>
    </row>
    <row r="18" spans="1:47" ht="60.75">
      <c r="A18" s="122" t="str">
        <f>$A$16</f>
        <v>Đặng Thái Sơn</v>
      </c>
      <c r="B18" s="82" t="s">
        <v>714</v>
      </c>
      <c r="C18" s="81" t="str">
        <f>IF($B18="","",INDEX('Bảng 3'!C:C,MATCH($B18,'Bảng 3'!$A:$A,0)))</f>
        <v>Quản lý BIM</v>
      </c>
      <c r="D18" s="81" t="str">
        <f>IF($B18="","",INDEX('Bảng 3'!D:D,MATCH($B18,'Bảng 3'!$A:$A,0)))</f>
        <v>N.HCM.Q9.VP</v>
      </c>
      <c r="E18" s="150" t="str">
        <f>IF($B18="","",INDEX('Bảng 3'!E:E,MATCH($B18,'Bảng 3'!$A:$A,0)))</f>
        <v>Toà văn phòng 43 tầng</v>
      </c>
      <c r="F18" s="81" t="str">
        <f>IF($B18="","",INDEX('Bảng 3'!F:F,MATCH($B18,'Bảng 3'!$A:$A,0)))</f>
        <v>DH</v>
      </c>
      <c r="G18" s="81" t="str">
        <f>IF($B18="","",INDEX('Bảng 3'!G:G,MATCH($B18,'Bảng 3'!$A:$A,0)))</f>
        <v>Xuất khối lượng từ mô hình BIM</v>
      </c>
      <c r="H18" s="121">
        <v>46174</v>
      </c>
      <c r="I18" s="135"/>
      <c r="J18" s="135">
        <f>J$3</f>
        <v>46174</v>
      </c>
      <c r="K18" s="148" t="s">
        <v>715</v>
      </c>
      <c r="L18" s="137">
        <v>4</v>
      </c>
      <c r="M18" s="135">
        <f>M$3</f>
        <v>46175</v>
      </c>
      <c r="N18" s="136" t="s">
        <v>501</v>
      </c>
      <c r="O18" s="137" t="s">
        <v>501</v>
      </c>
      <c r="P18" s="135">
        <f>P$3</f>
        <v>46176</v>
      </c>
      <c r="Q18" s="136" t="s">
        <v>501</v>
      </c>
      <c r="R18" s="137" t="s">
        <v>501</v>
      </c>
      <c r="S18" s="135">
        <f>S$3</f>
        <v>46177</v>
      </c>
      <c r="T18" s="136" t="s">
        <v>501</v>
      </c>
      <c r="U18" s="137" t="s">
        <v>501</v>
      </c>
      <c r="V18" s="135">
        <f>V$3</f>
        <v>46178</v>
      </c>
      <c r="W18" s="136" t="s">
        <v>501</v>
      </c>
      <c r="X18" s="137" t="s">
        <v>501</v>
      </c>
      <c r="Y18" s="135">
        <f>Y$3</f>
        <v>46179</v>
      </c>
      <c r="Z18" s="136" t="s">
        <v>501</v>
      </c>
      <c r="AA18" s="137" t="s">
        <v>501</v>
      </c>
      <c r="AB18" s="135"/>
      <c r="AC18" s="135">
        <f>AC$3</f>
        <v>46181</v>
      </c>
      <c r="AD18" s="136" t="s">
        <v>501</v>
      </c>
      <c r="AE18" s="137" t="s">
        <v>501</v>
      </c>
      <c r="AF18" s="135">
        <f>AF$3</f>
        <v>46182</v>
      </c>
      <c r="AG18" s="136" t="s">
        <v>501</v>
      </c>
      <c r="AH18" s="137" t="s">
        <v>501</v>
      </c>
      <c r="AI18" s="135">
        <f>AI$3</f>
        <v>46183</v>
      </c>
      <c r="AJ18" s="136" t="s">
        <v>501</v>
      </c>
      <c r="AK18" s="137" t="s">
        <v>501</v>
      </c>
      <c r="AL18" s="135">
        <f>AL$3</f>
        <v>46184</v>
      </c>
      <c r="AM18" s="136" t="s">
        <v>501</v>
      </c>
      <c r="AN18" s="137" t="s">
        <v>501</v>
      </c>
      <c r="AO18" s="135">
        <f>AO$3</f>
        <v>46185</v>
      </c>
      <c r="AP18" s="136" t="s">
        <v>501</v>
      </c>
      <c r="AQ18" s="137" t="s">
        <v>501</v>
      </c>
      <c r="AR18" s="135">
        <f>AR$3</f>
        <v>46186</v>
      </c>
      <c r="AS18" s="136" t="s">
        <v>501</v>
      </c>
      <c r="AT18" s="137" t="s">
        <v>501</v>
      </c>
      <c r="AU18" s="12"/>
    </row>
    <row r="19" spans="1:47">
      <c r="A19" s="122" t="str">
        <f>$A$16</f>
        <v>Đặng Thái Sơn</v>
      </c>
      <c r="B19" s="82" t="s">
        <v>716</v>
      </c>
      <c r="C19" s="81" t="str">
        <f>IF($B19="","",INDEX('Bảng 3'!C:C,MATCH($B19,'Bảng 3'!$A:$A,0)))</f>
        <v>Quản lý BIM</v>
      </c>
      <c r="D19" s="81" t="str">
        <f>IF($B19="","",INDEX('Bảng 3'!D:D,MATCH($B19,'Bảng 3'!$A:$A,0)))</f>
        <v>B.HYE.NOXHHY.CT</v>
      </c>
      <c r="E19" s="150" t="str">
        <f>IF($B19="","",INDEX('Bảng 3'!E:E,MATCH($B19,'Bảng 3'!$A:$A,0)))</f>
        <v>NOXH01 (04 tòa)</v>
      </c>
      <c r="F19" s="81" t="str">
        <f>IF($B19="","",INDEX('Bảng 3'!F:F,MATCH($B19,'Bảng 3'!$A:$A,0)))</f>
        <v>DI</v>
      </c>
      <c r="G19" s="81" t="str">
        <f>IF($B19="","",INDEX('Bảng 3'!G:G,MATCH($B19,'Bảng 3'!$A:$A,0)))</f>
        <v>KSCL mô hình BIM</v>
      </c>
      <c r="H19" s="121"/>
      <c r="I19" s="135"/>
      <c r="J19" s="135">
        <f>J$3</f>
        <v>46174</v>
      </c>
      <c r="K19" s="136" t="s">
        <v>501</v>
      </c>
      <c r="L19" s="137" t="s">
        <v>501</v>
      </c>
      <c r="M19" s="135">
        <f>M$3</f>
        <v>46175</v>
      </c>
      <c r="N19" s="136" t="s">
        <v>501</v>
      </c>
      <c r="O19" s="137">
        <v>0.5</v>
      </c>
      <c r="P19" s="135">
        <f>P$3</f>
        <v>46176</v>
      </c>
      <c r="Q19" s="136" t="s">
        <v>501</v>
      </c>
      <c r="R19" s="137" t="s">
        <v>501</v>
      </c>
      <c r="S19" s="135">
        <f>S$3</f>
        <v>46177</v>
      </c>
      <c r="T19" s="136" t="s">
        <v>501</v>
      </c>
      <c r="U19" s="137" t="s">
        <v>501</v>
      </c>
      <c r="V19" s="135">
        <f>V$3</f>
        <v>46178</v>
      </c>
      <c r="W19" s="136" t="s">
        <v>501</v>
      </c>
      <c r="X19" s="137" t="s">
        <v>501</v>
      </c>
      <c r="Y19" s="135">
        <f>Y$3</f>
        <v>46179</v>
      </c>
      <c r="Z19" s="136" t="s">
        <v>501</v>
      </c>
      <c r="AA19" s="137" t="s">
        <v>501</v>
      </c>
      <c r="AB19" s="135"/>
      <c r="AC19" s="135">
        <f>AC$3</f>
        <v>46181</v>
      </c>
      <c r="AD19" s="136" t="s">
        <v>501</v>
      </c>
      <c r="AE19" s="137" t="s">
        <v>501</v>
      </c>
      <c r="AF19" s="135">
        <f>AF$3</f>
        <v>46182</v>
      </c>
      <c r="AG19" s="136" t="s">
        <v>501</v>
      </c>
      <c r="AH19" s="137" t="s">
        <v>501</v>
      </c>
      <c r="AI19" s="135">
        <f>AI$3</f>
        <v>46183</v>
      </c>
      <c r="AJ19" s="136" t="s">
        <v>501</v>
      </c>
      <c r="AK19" s="137" t="s">
        <v>501</v>
      </c>
      <c r="AL19" s="135">
        <f>AL$3</f>
        <v>46184</v>
      </c>
      <c r="AM19" s="136" t="s">
        <v>501</v>
      </c>
      <c r="AN19" s="137" t="s">
        <v>501</v>
      </c>
      <c r="AO19" s="135">
        <f>AO$3</f>
        <v>46185</v>
      </c>
      <c r="AP19" s="136" t="s">
        <v>501</v>
      </c>
      <c r="AQ19" s="137" t="s">
        <v>501</v>
      </c>
      <c r="AR19" s="135">
        <f>AR$3</f>
        <v>46186</v>
      </c>
      <c r="AS19" s="136" t="s">
        <v>501</v>
      </c>
      <c r="AT19" s="137" t="s">
        <v>501</v>
      </c>
      <c r="AU19" s="12"/>
    </row>
    <row r="20" spans="1:47">
      <c r="A20" s="122" t="str">
        <f>$A$16</f>
        <v>Đặng Thái Sơn</v>
      </c>
      <c r="B20" s="82" t="s">
        <v>717</v>
      </c>
      <c r="C20" s="81" t="str">
        <f>IF($B20="","",INDEX('Bảng 3'!C:C,MATCH($B20,'Bảng 3'!$A:$A,0)))</f>
        <v>Quản lý BIM</v>
      </c>
      <c r="D20" s="81" t="str">
        <f>IF($B20="","",INDEX('Bảng 3'!D:D,MATCH($B20,'Bảng 3'!$A:$A,0)))</f>
        <v>B.HYE.NOXHHY.CT</v>
      </c>
      <c r="E20" s="150" t="str">
        <f>IF($B20="","",INDEX('Bảng 3'!E:E,MATCH($B20,'Bảng 3'!$A:$A,0)))</f>
        <v>NOXH01 (04 tòa)</v>
      </c>
      <c r="F20" s="81" t="str">
        <f>IF($B20="","",INDEX('Bảng 3'!F:F,MATCH($B20,'Bảng 3'!$A:$A,0)))</f>
        <v>DN</v>
      </c>
      <c r="G20" s="81" t="str">
        <f>IF($B20="","",INDEX('Bảng 3'!G:G,MATCH($B20,'Bảng 3'!$A:$A,0)))</f>
        <v>KSCL mô hình BIM</v>
      </c>
      <c r="H20" s="121"/>
      <c r="I20" s="135"/>
      <c r="J20" s="135">
        <f>J$3</f>
        <v>46174</v>
      </c>
      <c r="K20" s="136" t="s">
        <v>501</v>
      </c>
      <c r="L20" s="137" t="s">
        <v>501</v>
      </c>
      <c r="M20" s="135">
        <f>M$3</f>
        <v>46175</v>
      </c>
      <c r="N20" s="136" t="s">
        <v>501</v>
      </c>
      <c r="O20" s="137">
        <v>0.5</v>
      </c>
      <c r="P20" s="135">
        <f>P$3</f>
        <v>46176</v>
      </c>
      <c r="Q20" s="136" t="s">
        <v>501</v>
      </c>
      <c r="R20" s="137" t="s">
        <v>501</v>
      </c>
      <c r="S20" s="135">
        <f>S$3</f>
        <v>46177</v>
      </c>
      <c r="T20" s="136" t="s">
        <v>501</v>
      </c>
      <c r="U20" s="137" t="s">
        <v>501</v>
      </c>
      <c r="V20" s="135">
        <f>V$3</f>
        <v>46178</v>
      </c>
      <c r="W20" s="136" t="s">
        <v>501</v>
      </c>
      <c r="X20" s="137" t="s">
        <v>501</v>
      </c>
      <c r="Y20" s="135">
        <f>Y$3</f>
        <v>46179</v>
      </c>
      <c r="Z20" s="136" t="s">
        <v>501</v>
      </c>
      <c r="AA20" s="137" t="s">
        <v>501</v>
      </c>
      <c r="AB20" s="135"/>
      <c r="AC20" s="135">
        <f>AC$3</f>
        <v>46181</v>
      </c>
      <c r="AD20" s="136" t="s">
        <v>501</v>
      </c>
      <c r="AE20" s="137" t="s">
        <v>501</v>
      </c>
      <c r="AF20" s="135">
        <f>AF$3</f>
        <v>46182</v>
      </c>
      <c r="AG20" s="136" t="s">
        <v>501</v>
      </c>
      <c r="AH20" s="137" t="s">
        <v>501</v>
      </c>
      <c r="AI20" s="135">
        <f>AI$3</f>
        <v>46183</v>
      </c>
      <c r="AJ20" s="136" t="s">
        <v>501</v>
      </c>
      <c r="AK20" s="137" t="s">
        <v>501</v>
      </c>
      <c r="AL20" s="135">
        <f>AL$3</f>
        <v>46184</v>
      </c>
      <c r="AM20" s="136" t="s">
        <v>501</v>
      </c>
      <c r="AN20" s="137" t="s">
        <v>501</v>
      </c>
      <c r="AO20" s="135">
        <f>AO$3</f>
        <v>46185</v>
      </c>
      <c r="AP20" s="136" t="s">
        <v>501</v>
      </c>
      <c r="AQ20" s="137" t="s">
        <v>501</v>
      </c>
      <c r="AR20" s="135">
        <f>AR$3</f>
        <v>46186</v>
      </c>
      <c r="AS20" s="136" t="s">
        <v>501</v>
      </c>
      <c r="AT20" s="137" t="s">
        <v>501</v>
      </c>
      <c r="AU20" s="12"/>
    </row>
    <row r="21" spans="1:47">
      <c r="A21" s="122" t="str">
        <f>$A$16</f>
        <v>Đặng Thái Sơn</v>
      </c>
      <c r="B21" s="82" t="s">
        <v>718</v>
      </c>
      <c r="C21" s="81" t="str">
        <f>IF($B21="","",INDEX('Bảng 3'!C:C,MATCH($B21,'Bảng 3'!$A:$A,0)))</f>
        <v>Quản lý BIM</v>
      </c>
      <c r="D21" s="81" t="str">
        <f>IF($B21="","",INDEX('Bảng 3'!D:D,MATCH($B21,'Bảng 3'!$A:$A,0)))</f>
        <v>B.HYE.NOXHHY.CT</v>
      </c>
      <c r="E21" s="150" t="str">
        <f>IF($B21="","",INDEX('Bảng 3'!E:E,MATCH($B21,'Bảng 3'!$A:$A,0)))</f>
        <v>NOXH01 (04 tòa)</v>
      </c>
      <c r="F21" s="81" t="str">
        <f>IF($B21="","",INDEX('Bảng 3'!F:F,MATCH($B21,'Bảng 3'!$A:$A,0)))</f>
        <v>NU</v>
      </c>
      <c r="G21" s="81" t="str">
        <f>IF($B21="","",INDEX('Bảng 3'!G:G,MATCH($B21,'Bảng 3'!$A:$A,0)))</f>
        <v>KSCL mô hình BIM</v>
      </c>
      <c r="H21" s="121"/>
      <c r="I21" s="135"/>
      <c r="J21" s="135">
        <f>J$3</f>
        <v>46174</v>
      </c>
      <c r="K21" s="136" t="s">
        <v>501</v>
      </c>
      <c r="L21" s="137" t="s">
        <v>501</v>
      </c>
      <c r="M21" s="135">
        <f>M$3</f>
        <v>46175</v>
      </c>
      <c r="N21" s="136" t="s">
        <v>501</v>
      </c>
      <c r="O21" s="137">
        <v>0.5</v>
      </c>
      <c r="P21" s="135">
        <f>P$3</f>
        <v>46176</v>
      </c>
      <c r="Q21" s="136" t="s">
        <v>501</v>
      </c>
      <c r="R21" s="137" t="s">
        <v>501</v>
      </c>
      <c r="S21" s="135">
        <f>S$3</f>
        <v>46177</v>
      </c>
      <c r="T21" s="136" t="s">
        <v>501</v>
      </c>
      <c r="U21" s="137" t="s">
        <v>501</v>
      </c>
      <c r="V21" s="135">
        <f>V$3</f>
        <v>46178</v>
      </c>
      <c r="W21" s="136" t="s">
        <v>501</v>
      </c>
      <c r="X21" s="137" t="s">
        <v>501</v>
      </c>
      <c r="Y21" s="135">
        <f>Y$3</f>
        <v>46179</v>
      </c>
      <c r="Z21" s="136" t="s">
        <v>501</v>
      </c>
      <c r="AA21" s="137" t="s">
        <v>501</v>
      </c>
      <c r="AB21" s="135"/>
      <c r="AC21" s="135">
        <f>AC$3</f>
        <v>46181</v>
      </c>
      <c r="AD21" s="136" t="s">
        <v>501</v>
      </c>
      <c r="AE21" s="137" t="s">
        <v>501</v>
      </c>
      <c r="AF21" s="135">
        <f>AF$3</f>
        <v>46182</v>
      </c>
      <c r="AG21" s="136" t="s">
        <v>501</v>
      </c>
      <c r="AH21" s="137" t="s">
        <v>501</v>
      </c>
      <c r="AI21" s="135">
        <f>AI$3</f>
        <v>46183</v>
      </c>
      <c r="AJ21" s="136" t="s">
        <v>501</v>
      </c>
      <c r="AK21" s="137" t="s">
        <v>501</v>
      </c>
      <c r="AL21" s="135">
        <f>AL$3</f>
        <v>46184</v>
      </c>
      <c r="AM21" s="136" t="s">
        <v>501</v>
      </c>
      <c r="AN21" s="137" t="s">
        <v>501</v>
      </c>
      <c r="AO21" s="135">
        <f>AO$3</f>
        <v>46185</v>
      </c>
      <c r="AP21" s="136" t="s">
        <v>501</v>
      </c>
      <c r="AQ21" s="137" t="s">
        <v>501</v>
      </c>
      <c r="AR21" s="135">
        <f>AR$3</f>
        <v>46186</v>
      </c>
      <c r="AS21" s="136" t="s">
        <v>501</v>
      </c>
      <c r="AT21" s="137" t="s">
        <v>501</v>
      </c>
      <c r="AU21" s="12"/>
    </row>
    <row r="22" spans="1:47">
      <c r="A22" s="122" t="str">
        <f>$A$16</f>
        <v>Đặng Thái Sơn</v>
      </c>
      <c r="B22" s="82" t="s">
        <v>719</v>
      </c>
      <c r="C22" s="81" t="str">
        <f>IF($B22="","",INDEX('Bảng 3'!C:C,MATCH($B22,'Bảng 3'!$A:$A,0)))</f>
        <v>Quản lý BIM</v>
      </c>
      <c r="D22" s="81" t="str">
        <f>IF($B22="","",INDEX('Bảng 3'!D:D,MATCH($B22,'Bảng 3'!$A:$A,0)))</f>
        <v>B.HYE.NOXHHY.CT</v>
      </c>
      <c r="E22" s="150" t="str">
        <f>IF($B22="","",INDEX('Bảng 3'!E:E,MATCH($B22,'Bảng 3'!$A:$A,0)))</f>
        <v>NOXH01 (04 tòa)</v>
      </c>
      <c r="F22" s="81" t="str">
        <f>IF($B22="","",INDEX('Bảng 3'!F:F,MATCH($B22,'Bảng 3'!$A:$A,0)))</f>
        <v>DH</v>
      </c>
      <c r="G22" s="81" t="str">
        <f>IF($B22="","",INDEX('Bảng 3'!G:G,MATCH($B22,'Bảng 3'!$A:$A,0)))</f>
        <v>KSCL mô hình BIM</v>
      </c>
      <c r="H22" s="121"/>
      <c r="I22" s="135"/>
      <c r="J22" s="135">
        <f>J$3</f>
        <v>46174</v>
      </c>
      <c r="K22" s="136" t="s">
        <v>501</v>
      </c>
      <c r="L22" s="137" t="s">
        <v>501</v>
      </c>
      <c r="M22" s="135">
        <f>M$3</f>
        <v>46175</v>
      </c>
      <c r="N22" s="136" t="s">
        <v>501</v>
      </c>
      <c r="O22" s="137">
        <v>0.5</v>
      </c>
      <c r="P22" s="135">
        <f>P$3</f>
        <v>46176</v>
      </c>
      <c r="Q22" s="136" t="s">
        <v>501</v>
      </c>
      <c r="R22" s="137" t="s">
        <v>501</v>
      </c>
      <c r="S22" s="135">
        <f>S$3</f>
        <v>46177</v>
      </c>
      <c r="T22" s="136" t="s">
        <v>501</v>
      </c>
      <c r="U22" s="137" t="s">
        <v>501</v>
      </c>
      <c r="V22" s="135">
        <f>V$3</f>
        <v>46178</v>
      </c>
      <c r="W22" s="136" t="s">
        <v>501</v>
      </c>
      <c r="X22" s="137" t="s">
        <v>501</v>
      </c>
      <c r="Y22" s="135">
        <f>Y$3</f>
        <v>46179</v>
      </c>
      <c r="Z22" s="136" t="s">
        <v>501</v>
      </c>
      <c r="AA22" s="137" t="s">
        <v>501</v>
      </c>
      <c r="AB22" s="135"/>
      <c r="AC22" s="135">
        <f>AC$3</f>
        <v>46181</v>
      </c>
      <c r="AD22" s="136" t="s">
        <v>501</v>
      </c>
      <c r="AE22" s="137" t="s">
        <v>501</v>
      </c>
      <c r="AF22" s="135">
        <f>AF$3</f>
        <v>46182</v>
      </c>
      <c r="AG22" s="136" t="s">
        <v>501</v>
      </c>
      <c r="AH22" s="137" t="s">
        <v>501</v>
      </c>
      <c r="AI22" s="135">
        <f>AI$3</f>
        <v>46183</v>
      </c>
      <c r="AJ22" s="136" t="s">
        <v>501</v>
      </c>
      <c r="AK22" s="137" t="s">
        <v>501</v>
      </c>
      <c r="AL22" s="135">
        <f>AL$3</f>
        <v>46184</v>
      </c>
      <c r="AM22" s="136" t="s">
        <v>501</v>
      </c>
      <c r="AN22" s="137" t="s">
        <v>501</v>
      </c>
      <c r="AO22" s="135">
        <f>AO$3</f>
        <v>46185</v>
      </c>
      <c r="AP22" s="136" t="s">
        <v>501</v>
      </c>
      <c r="AQ22" s="137" t="s">
        <v>501</v>
      </c>
      <c r="AR22" s="135">
        <f>AR$3</f>
        <v>46186</v>
      </c>
      <c r="AS22" s="136" t="s">
        <v>501</v>
      </c>
      <c r="AT22" s="137" t="s">
        <v>501</v>
      </c>
      <c r="AU22" s="12"/>
    </row>
    <row r="23" spans="1:47">
      <c r="A23" s="122" t="str">
        <f>$A$16</f>
        <v>Đặng Thái Sơn</v>
      </c>
      <c r="B23" s="82" t="s">
        <v>720</v>
      </c>
      <c r="C23" s="81" t="str">
        <f>IF($B23="","",INDEX('Bảng 3'!C:C,MATCH($B23,'Bảng 3'!$A:$A,0)))</f>
        <v>Quản lý BIM</v>
      </c>
      <c r="D23" s="81" t="str">
        <f>IF($B23="","",INDEX('Bảng 3'!D:D,MATCH($B23,'Bảng 3'!$A:$A,0)))</f>
        <v>B.HYE.NOXHHY.CT</v>
      </c>
      <c r="E23" s="150" t="str">
        <f>IF($B23="","",INDEX('Bảng 3'!E:E,MATCH($B23,'Bảng 3'!$A:$A,0)))</f>
        <v>NOXH01 (04 tòa)</v>
      </c>
      <c r="F23" s="81" t="str">
        <f>IF($B23="","",INDEX('Bảng 3'!F:F,MATCH($B23,'Bảng 3'!$A:$A,0)))</f>
        <v>PC</v>
      </c>
      <c r="G23" s="81" t="str">
        <f>IF($B23="","",INDEX('Bảng 3'!G:G,MATCH($B23,'Bảng 3'!$A:$A,0)))</f>
        <v>KSCL mô hình BIM</v>
      </c>
      <c r="H23" s="121"/>
      <c r="I23" s="135"/>
      <c r="J23" s="135">
        <f>J$3</f>
        <v>46174</v>
      </c>
      <c r="K23" s="136" t="s">
        <v>501</v>
      </c>
      <c r="L23" s="137" t="s">
        <v>501</v>
      </c>
      <c r="M23" s="135">
        <f>M$3</f>
        <v>46175</v>
      </c>
      <c r="N23" s="136" t="s">
        <v>501</v>
      </c>
      <c r="O23" s="137">
        <v>0.5</v>
      </c>
      <c r="P23" s="135">
        <f>P$3</f>
        <v>46176</v>
      </c>
      <c r="Q23" s="136" t="s">
        <v>501</v>
      </c>
      <c r="R23" s="137" t="s">
        <v>501</v>
      </c>
      <c r="S23" s="135">
        <f>S$3</f>
        <v>46177</v>
      </c>
      <c r="T23" s="136" t="s">
        <v>501</v>
      </c>
      <c r="U23" s="137" t="s">
        <v>501</v>
      </c>
      <c r="V23" s="135">
        <f>V$3</f>
        <v>46178</v>
      </c>
      <c r="W23" s="136" t="s">
        <v>501</v>
      </c>
      <c r="X23" s="137" t="s">
        <v>501</v>
      </c>
      <c r="Y23" s="135">
        <f>Y$3</f>
        <v>46179</v>
      </c>
      <c r="Z23" s="136" t="s">
        <v>501</v>
      </c>
      <c r="AA23" s="137" t="s">
        <v>501</v>
      </c>
      <c r="AB23" s="135"/>
      <c r="AC23" s="135">
        <f>AC$3</f>
        <v>46181</v>
      </c>
      <c r="AD23" s="136" t="s">
        <v>501</v>
      </c>
      <c r="AE23" s="137" t="s">
        <v>501</v>
      </c>
      <c r="AF23" s="135">
        <f>AF$3</f>
        <v>46182</v>
      </c>
      <c r="AG23" s="136" t="s">
        <v>501</v>
      </c>
      <c r="AH23" s="137" t="s">
        <v>501</v>
      </c>
      <c r="AI23" s="135">
        <f>AI$3</f>
        <v>46183</v>
      </c>
      <c r="AJ23" s="136" t="s">
        <v>501</v>
      </c>
      <c r="AK23" s="137" t="s">
        <v>501</v>
      </c>
      <c r="AL23" s="135">
        <f>AL$3</f>
        <v>46184</v>
      </c>
      <c r="AM23" s="136" t="s">
        <v>501</v>
      </c>
      <c r="AN23" s="137" t="s">
        <v>501</v>
      </c>
      <c r="AO23" s="135">
        <f>AO$3</f>
        <v>46185</v>
      </c>
      <c r="AP23" s="136" t="s">
        <v>501</v>
      </c>
      <c r="AQ23" s="137" t="s">
        <v>501</v>
      </c>
      <c r="AR23" s="135">
        <f>AR$3</f>
        <v>46186</v>
      </c>
      <c r="AS23" s="136" t="s">
        <v>501</v>
      </c>
      <c r="AT23" s="137" t="s">
        <v>501</v>
      </c>
      <c r="AU23" s="12"/>
    </row>
    <row r="24" spans="1:47" ht="30.75">
      <c r="A24" s="122" t="str">
        <f>$A$16</f>
        <v>Đặng Thái Sơn</v>
      </c>
      <c r="B24" s="82" t="s">
        <v>721</v>
      </c>
      <c r="C24" s="81" t="str">
        <f>IF($B24="","",INDEX('Bảng 3'!C:C,MATCH($B24,'Bảng 3'!$A:$A,0)))</f>
        <v>Quản lý BIM</v>
      </c>
      <c r="D24" s="81" t="str">
        <f>IF($B24="","",INDEX('Bảng 3'!D:D,MATCH($B24,'Bảng 3'!$A:$A,0)))</f>
        <v>N.HCM.Q9.VP</v>
      </c>
      <c r="E24" s="150" t="str">
        <f>IF($B24="","",INDEX('Bảng 3'!E:E,MATCH($B24,'Bảng 3'!$A:$A,0)))</f>
        <v>Toà văn phòng 43 tầng</v>
      </c>
      <c r="F24" s="81" t="str">
        <f>IF($B24="","",INDEX('Bảng 3'!F:F,MATCH($B24,'Bảng 3'!$A:$A,0)))</f>
        <v>DH</v>
      </c>
      <c r="G24" s="81" t="str">
        <f>IF($B24="","",INDEX('Bảng 3'!G:G,MATCH($B24,'Bảng 3'!$A:$A,0)))</f>
        <v>Cập nhật thông tin mô hình BIM</v>
      </c>
      <c r="H24" s="121"/>
      <c r="I24" s="135"/>
      <c r="J24" s="135">
        <f>J$3</f>
        <v>46174</v>
      </c>
      <c r="K24" s="136" t="s">
        <v>501</v>
      </c>
      <c r="L24" s="137" t="s">
        <v>501</v>
      </c>
      <c r="M24" s="135">
        <f>M$3</f>
        <v>46175</v>
      </c>
      <c r="N24" s="148" t="s">
        <v>722</v>
      </c>
      <c r="O24" s="137">
        <v>1.5</v>
      </c>
      <c r="P24" s="135">
        <f>P$3</f>
        <v>46176</v>
      </c>
      <c r="Q24" s="136" t="s">
        <v>501</v>
      </c>
      <c r="R24" s="137" t="s">
        <v>501</v>
      </c>
      <c r="S24" s="135">
        <f>S$3</f>
        <v>46177</v>
      </c>
      <c r="T24" s="136" t="s">
        <v>501</v>
      </c>
      <c r="U24" s="137" t="s">
        <v>501</v>
      </c>
      <c r="V24" s="135">
        <f>V$3</f>
        <v>46178</v>
      </c>
      <c r="W24" s="136" t="s">
        <v>501</v>
      </c>
      <c r="X24" s="137" t="s">
        <v>501</v>
      </c>
      <c r="Y24" s="135">
        <f>Y$3</f>
        <v>46179</v>
      </c>
      <c r="Z24" s="136" t="s">
        <v>501</v>
      </c>
      <c r="AA24" s="137" t="s">
        <v>501</v>
      </c>
      <c r="AB24" s="135"/>
      <c r="AC24" s="135">
        <f>AC$3</f>
        <v>46181</v>
      </c>
      <c r="AD24" s="136" t="s">
        <v>501</v>
      </c>
      <c r="AE24" s="137" t="s">
        <v>501</v>
      </c>
      <c r="AF24" s="135">
        <f>AF$3</f>
        <v>46182</v>
      </c>
      <c r="AG24" s="136" t="s">
        <v>501</v>
      </c>
      <c r="AH24" s="137" t="s">
        <v>501</v>
      </c>
      <c r="AI24" s="135">
        <f>AI$3</f>
        <v>46183</v>
      </c>
      <c r="AJ24" s="136" t="s">
        <v>501</v>
      </c>
      <c r="AK24" s="137" t="s">
        <v>501</v>
      </c>
      <c r="AL24" s="135">
        <f>AL$3</f>
        <v>46184</v>
      </c>
      <c r="AM24" s="136" t="s">
        <v>501</v>
      </c>
      <c r="AN24" s="137" t="s">
        <v>501</v>
      </c>
      <c r="AO24" s="135">
        <f>AO$3</f>
        <v>46185</v>
      </c>
      <c r="AP24" s="136" t="s">
        <v>501</v>
      </c>
      <c r="AQ24" s="137" t="s">
        <v>501</v>
      </c>
      <c r="AR24" s="135">
        <f>AR$3</f>
        <v>46186</v>
      </c>
      <c r="AS24" s="136" t="s">
        <v>501</v>
      </c>
      <c r="AT24" s="137" t="s">
        <v>501</v>
      </c>
      <c r="AU24" s="12"/>
    </row>
    <row r="25" spans="1:47" ht="45.75">
      <c r="A25" s="122" t="str">
        <f>$A$16</f>
        <v>Đặng Thái Sơn</v>
      </c>
      <c r="B25" s="82" t="s">
        <v>723</v>
      </c>
      <c r="C25" s="81" t="str">
        <f>IF($B25="","",INDEX('Bảng 3'!C:C,MATCH($B25,'Bảng 3'!$A:$A,0)))</f>
        <v>Quản lý BIM</v>
      </c>
      <c r="D25" s="81" t="str">
        <f>IF($B25="","",INDEX('Bảng 3'!D:D,MATCH($B25,'Bảng 3'!$A:$A,0)))</f>
        <v>N.HCM.Q9.VP</v>
      </c>
      <c r="E25" s="150" t="str">
        <f>IF($B25="","",INDEX('Bảng 3'!E:E,MATCH($B25,'Bảng 3'!$A:$A,0)))</f>
        <v>Toà văn phòng 43 tầng</v>
      </c>
      <c r="F25" s="81" t="str">
        <f>IF($B25="","",INDEX('Bảng 3'!F:F,MATCH($B25,'Bảng 3'!$A:$A,0)))</f>
        <v>DH</v>
      </c>
      <c r="G25" s="81" t="str">
        <f>IF($B25="","",INDEX('Bảng 3'!G:G,MATCH($B25,'Bảng 3'!$A:$A,0)))</f>
        <v>Xuất khối lượng từ mô hình BIM</v>
      </c>
      <c r="H25" s="121"/>
      <c r="I25" s="135"/>
      <c r="J25" s="135">
        <f>J$3</f>
        <v>46174</v>
      </c>
      <c r="K25" s="136" t="s">
        <v>501</v>
      </c>
      <c r="L25" s="137" t="s">
        <v>501</v>
      </c>
      <c r="M25" s="135">
        <f>M$3</f>
        <v>46175</v>
      </c>
      <c r="N25" s="148" t="s">
        <v>724</v>
      </c>
      <c r="O25" s="137"/>
      <c r="P25" s="135">
        <f>P$3</f>
        <v>46176</v>
      </c>
      <c r="Q25" s="136" t="s">
        <v>501</v>
      </c>
      <c r="R25" s="137" t="s">
        <v>501</v>
      </c>
      <c r="S25" s="135">
        <f>S$3</f>
        <v>46177</v>
      </c>
      <c r="T25" s="136" t="s">
        <v>501</v>
      </c>
      <c r="U25" s="137" t="s">
        <v>501</v>
      </c>
      <c r="V25" s="135">
        <f>V$3</f>
        <v>46178</v>
      </c>
      <c r="W25" s="136" t="s">
        <v>501</v>
      </c>
      <c r="X25" s="137" t="s">
        <v>501</v>
      </c>
      <c r="Y25" s="135">
        <f>Y$3</f>
        <v>46179</v>
      </c>
      <c r="Z25" s="136" t="s">
        <v>501</v>
      </c>
      <c r="AA25" s="137" t="s">
        <v>501</v>
      </c>
      <c r="AB25" s="135"/>
      <c r="AC25" s="135">
        <f>AC$3</f>
        <v>46181</v>
      </c>
      <c r="AD25" s="136" t="s">
        <v>501</v>
      </c>
      <c r="AE25" s="137" t="s">
        <v>501</v>
      </c>
      <c r="AF25" s="135">
        <f>AF$3</f>
        <v>46182</v>
      </c>
      <c r="AG25" s="136" t="s">
        <v>501</v>
      </c>
      <c r="AH25" s="137" t="s">
        <v>501</v>
      </c>
      <c r="AI25" s="135">
        <f>AI$3</f>
        <v>46183</v>
      </c>
      <c r="AJ25" s="136" t="s">
        <v>501</v>
      </c>
      <c r="AK25" s="137" t="s">
        <v>501</v>
      </c>
      <c r="AL25" s="135">
        <f>AL$3</f>
        <v>46184</v>
      </c>
      <c r="AM25" s="136" t="s">
        <v>501</v>
      </c>
      <c r="AN25" s="137" t="s">
        <v>501</v>
      </c>
      <c r="AO25" s="135">
        <f>AO$3</f>
        <v>46185</v>
      </c>
      <c r="AP25" s="136" t="s">
        <v>501</v>
      </c>
      <c r="AQ25" s="137" t="s">
        <v>501</v>
      </c>
      <c r="AR25" s="135">
        <f>AR$3</f>
        <v>46186</v>
      </c>
      <c r="AS25" s="136" t="s">
        <v>501</v>
      </c>
      <c r="AT25" s="137" t="s">
        <v>501</v>
      </c>
      <c r="AU25" s="12"/>
    </row>
    <row r="26" spans="1:47">
      <c r="A26" s="122" t="str">
        <f>$A$16</f>
        <v>Đặng Thái Sơn</v>
      </c>
      <c r="B26" s="82" t="s">
        <v>725</v>
      </c>
      <c r="C26" s="81" t="str">
        <f>IF($B26="","",INDEX('Bảng 3'!C:C,MATCH($B26,'Bảng 3'!$A:$A,0)))</f>
        <v>Quản lý BIM</v>
      </c>
      <c r="D26" s="81" t="str">
        <f>IF($B26="","",INDEX('Bảng 3'!D:D,MATCH($B26,'Bảng 3'!$A:$A,0)))</f>
        <v>B.HYE.PVF</v>
      </c>
      <c r="E26" s="150" t="str">
        <f>IF($B26="","",INDEX('Bảng 3'!E:E,MATCH($B26,'Bảng 3'!$A:$A,0)))</f>
        <v>Sân vận động TDTT01</v>
      </c>
      <c r="F26" s="81" t="str">
        <f>IF($B26="","",INDEX('Bảng 3'!F:F,MATCH($B26,'Bảng 3'!$A:$A,0)))</f>
        <v>DI</v>
      </c>
      <c r="G26" s="81" t="str">
        <f>IF($B26="","",INDEX('Bảng 3'!G:G,MATCH($B26,'Bảng 3'!$A:$A,0)))</f>
        <v>KSCL mô hình BIM</v>
      </c>
      <c r="H26" s="121"/>
      <c r="I26" s="135"/>
      <c r="J26" s="135">
        <f>J$3</f>
        <v>46174</v>
      </c>
      <c r="K26" s="136" t="s">
        <v>501</v>
      </c>
      <c r="L26" s="137" t="s">
        <v>501</v>
      </c>
      <c r="M26" s="135">
        <f>M$3</f>
        <v>46175</v>
      </c>
      <c r="N26" s="136" t="s">
        <v>501</v>
      </c>
      <c r="O26" s="137">
        <v>0.5</v>
      </c>
      <c r="P26" s="135">
        <f>P$3</f>
        <v>46176</v>
      </c>
      <c r="Q26" s="136" t="s">
        <v>501</v>
      </c>
      <c r="R26" s="137" t="s">
        <v>501</v>
      </c>
      <c r="S26" s="135">
        <f>S$3</f>
        <v>46177</v>
      </c>
      <c r="T26" s="136" t="s">
        <v>501</v>
      </c>
      <c r="U26" s="137" t="s">
        <v>501</v>
      </c>
      <c r="V26" s="135">
        <f>V$3</f>
        <v>46178</v>
      </c>
      <c r="W26" s="136" t="s">
        <v>501</v>
      </c>
      <c r="X26" s="137" t="s">
        <v>501</v>
      </c>
      <c r="Y26" s="135">
        <f>Y$3</f>
        <v>46179</v>
      </c>
      <c r="Z26" s="136" t="s">
        <v>501</v>
      </c>
      <c r="AA26" s="137" t="s">
        <v>501</v>
      </c>
      <c r="AB26" s="135"/>
      <c r="AC26" s="135">
        <f>AC$3</f>
        <v>46181</v>
      </c>
      <c r="AD26" s="136" t="s">
        <v>501</v>
      </c>
      <c r="AE26" s="137" t="s">
        <v>501</v>
      </c>
      <c r="AF26" s="135">
        <f>AF$3</f>
        <v>46182</v>
      </c>
      <c r="AG26" s="136" t="s">
        <v>501</v>
      </c>
      <c r="AH26" s="137" t="s">
        <v>501</v>
      </c>
      <c r="AI26" s="135">
        <f>AI$3</f>
        <v>46183</v>
      </c>
      <c r="AJ26" s="136" t="s">
        <v>501</v>
      </c>
      <c r="AK26" s="137" t="s">
        <v>501</v>
      </c>
      <c r="AL26" s="135">
        <f>AL$3</f>
        <v>46184</v>
      </c>
      <c r="AM26" s="136" t="s">
        <v>501</v>
      </c>
      <c r="AN26" s="137" t="s">
        <v>501</v>
      </c>
      <c r="AO26" s="135">
        <f>AO$3</f>
        <v>46185</v>
      </c>
      <c r="AP26" s="136" t="s">
        <v>501</v>
      </c>
      <c r="AQ26" s="137" t="s">
        <v>501</v>
      </c>
      <c r="AR26" s="135">
        <f>AR$3</f>
        <v>46186</v>
      </c>
      <c r="AS26" s="136" t="s">
        <v>501</v>
      </c>
      <c r="AT26" s="137" t="s">
        <v>501</v>
      </c>
      <c r="AU26" s="12"/>
    </row>
    <row r="27" spans="1:47">
      <c r="A27" s="122" t="str">
        <f>$A$16</f>
        <v>Đặng Thái Sơn</v>
      </c>
      <c r="B27" s="82" t="s">
        <v>726</v>
      </c>
      <c r="C27" s="81" t="str">
        <f>IF($B27="","",INDEX('Bảng 3'!C:C,MATCH($B27,'Bảng 3'!$A:$A,0)))</f>
        <v>Quản lý BIM</v>
      </c>
      <c r="D27" s="81" t="str">
        <f>IF($B27="","",INDEX('Bảng 3'!D:D,MATCH($B27,'Bảng 3'!$A:$A,0)))</f>
        <v>B.HYE.PVF</v>
      </c>
      <c r="E27" s="150" t="str">
        <f>IF($B27="","",INDEX('Bảng 3'!E:E,MATCH($B27,'Bảng 3'!$A:$A,0)))</f>
        <v>Sân vận động TDTT01</v>
      </c>
      <c r="F27" s="81" t="str">
        <f>IF($B27="","",INDEX('Bảng 3'!F:F,MATCH($B27,'Bảng 3'!$A:$A,0)))</f>
        <v>DN</v>
      </c>
      <c r="G27" s="81" t="str">
        <f>IF($B27="","",INDEX('Bảng 3'!G:G,MATCH($B27,'Bảng 3'!$A:$A,0)))</f>
        <v>KSCL mô hình BIM</v>
      </c>
      <c r="H27" s="121"/>
      <c r="I27" s="135"/>
      <c r="J27" s="135">
        <f>J$3</f>
        <v>46174</v>
      </c>
      <c r="K27" s="136" t="s">
        <v>501</v>
      </c>
      <c r="L27" s="137" t="s">
        <v>501</v>
      </c>
      <c r="M27" s="135">
        <f>M$3</f>
        <v>46175</v>
      </c>
      <c r="N27" s="136" t="s">
        <v>501</v>
      </c>
      <c r="O27" s="137">
        <v>0.5</v>
      </c>
      <c r="P27" s="135">
        <f>P$3</f>
        <v>46176</v>
      </c>
      <c r="Q27" s="136" t="s">
        <v>501</v>
      </c>
      <c r="R27" s="137" t="s">
        <v>501</v>
      </c>
      <c r="S27" s="135">
        <f>S$3</f>
        <v>46177</v>
      </c>
      <c r="T27" s="136" t="s">
        <v>501</v>
      </c>
      <c r="U27" s="137" t="s">
        <v>501</v>
      </c>
      <c r="V27" s="135">
        <f>V$3</f>
        <v>46178</v>
      </c>
      <c r="W27" s="136" t="s">
        <v>501</v>
      </c>
      <c r="X27" s="137" t="s">
        <v>501</v>
      </c>
      <c r="Y27" s="135">
        <f>Y$3</f>
        <v>46179</v>
      </c>
      <c r="Z27" s="136" t="s">
        <v>501</v>
      </c>
      <c r="AA27" s="137" t="s">
        <v>501</v>
      </c>
      <c r="AB27" s="135"/>
      <c r="AC27" s="135">
        <f>AC$3</f>
        <v>46181</v>
      </c>
      <c r="AD27" s="136" t="s">
        <v>501</v>
      </c>
      <c r="AE27" s="137" t="s">
        <v>501</v>
      </c>
      <c r="AF27" s="135">
        <f>AF$3</f>
        <v>46182</v>
      </c>
      <c r="AG27" s="136" t="s">
        <v>501</v>
      </c>
      <c r="AH27" s="137" t="s">
        <v>501</v>
      </c>
      <c r="AI27" s="135">
        <f>AI$3</f>
        <v>46183</v>
      </c>
      <c r="AJ27" s="136" t="s">
        <v>501</v>
      </c>
      <c r="AK27" s="137" t="s">
        <v>501</v>
      </c>
      <c r="AL27" s="135">
        <f>AL$3</f>
        <v>46184</v>
      </c>
      <c r="AM27" s="136" t="s">
        <v>501</v>
      </c>
      <c r="AN27" s="137" t="s">
        <v>501</v>
      </c>
      <c r="AO27" s="135">
        <f>AO$3</f>
        <v>46185</v>
      </c>
      <c r="AP27" s="136" t="s">
        <v>501</v>
      </c>
      <c r="AQ27" s="137" t="s">
        <v>501</v>
      </c>
      <c r="AR27" s="135">
        <f>AR$3</f>
        <v>46186</v>
      </c>
      <c r="AS27" s="136" t="s">
        <v>501</v>
      </c>
      <c r="AT27" s="137" t="s">
        <v>501</v>
      </c>
      <c r="AU27" s="12"/>
    </row>
    <row r="28" spans="1:47">
      <c r="A28" s="122" t="str">
        <f>$A$16</f>
        <v>Đặng Thái Sơn</v>
      </c>
      <c r="B28" s="82" t="s">
        <v>727</v>
      </c>
      <c r="C28" s="81" t="str">
        <f>IF($B28="","",INDEX('Bảng 3'!C:C,MATCH($B28,'Bảng 3'!$A:$A,0)))</f>
        <v>Quản lý BIM</v>
      </c>
      <c r="D28" s="81" t="str">
        <f>IF($B28="","",INDEX('Bảng 3'!D:D,MATCH($B28,'Bảng 3'!$A:$A,0)))</f>
        <v>B.HYE.PVF</v>
      </c>
      <c r="E28" s="150" t="str">
        <f>IF($B28="","",INDEX('Bảng 3'!E:E,MATCH($B28,'Bảng 3'!$A:$A,0)))</f>
        <v>Sân vận động TDTT01</v>
      </c>
      <c r="F28" s="81" t="str">
        <f>IF($B28="","",INDEX('Bảng 3'!F:F,MATCH($B28,'Bảng 3'!$A:$A,0)))</f>
        <v>NU</v>
      </c>
      <c r="G28" s="81" t="str">
        <f>IF($B28="","",INDEX('Bảng 3'!G:G,MATCH($B28,'Bảng 3'!$A:$A,0)))</f>
        <v>KSCL mô hình BIM</v>
      </c>
      <c r="H28" s="121"/>
      <c r="I28" s="135"/>
      <c r="J28" s="135">
        <f>J$3</f>
        <v>46174</v>
      </c>
      <c r="K28" s="136" t="s">
        <v>501</v>
      </c>
      <c r="L28" s="137" t="s">
        <v>501</v>
      </c>
      <c r="M28" s="135">
        <f>M$3</f>
        <v>46175</v>
      </c>
      <c r="N28" s="136" t="s">
        <v>501</v>
      </c>
      <c r="O28" s="137">
        <v>0.5</v>
      </c>
      <c r="P28" s="135">
        <f>P$3</f>
        <v>46176</v>
      </c>
      <c r="Q28" s="136" t="s">
        <v>501</v>
      </c>
      <c r="R28" s="137" t="s">
        <v>501</v>
      </c>
      <c r="S28" s="135">
        <f>S$3</f>
        <v>46177</v>
      </c>
      <c r="T28" s="136" t="s">
        <v>501</v>
      </c>
      <c r="U28" s="137" t="s">
        <v>501</v>
      </c>
      <c r="V28" s="135">
        <f>V$3</f>
        <v>46178</v>
      </c>
      <c r="W28" s="136" t="s">
        <v>501</v>
      </c>
      <c r="X28" s="137" t="s">
        <v>501</v>
      </c>
      <c r="Y28" s="135">
        <f>Y$3</f>
        <v>46179</v>
      </c>
      <c r="Z28" s="136" t="s">
        <v>501</v>
      </c>
      <c r="AA28" s="137" t="s">
        <v>501</v>
      </c>
      <c r="AB28" s="135"/>
      <c r="AC28" s="135">
        <f>AC$3</f>
        <v>46181</v>
      </c>
      <c r="AD28" s="136" t="s">
        <v>501</v>
      </c>
      <c r="AE28" s="137" t="s">
        <v>501</v>
      </c>
      <c r="AF28" s="135">
        <f>AF$3</f>
        <v>46182</v>
      </c>
      <c r="AG28" s="136" t="s">
        <v>501</v>
      </c>
      <c r="AH28" s="137" t="s">
        <v>501</v>
      </c>
      <c r="AI28" s="135">
        <f>AI$3</f>
        <v>46183</v>
      </c>
      <c r="AJ28" s="136" t="s">
        <v>501</v>
      </c>
      <c r="AK28" s="137" t="s">
        <v>501</v>
      </c>
      <c r="AL28" s="135">
        <f>AL$3</f>
        <v>46184</v>
      </c>
      <c r="AM28" s="136" t="s">
        <v>501</v>
      </c>
      <c r="AN28" s="137" t="s">
        <v>501</v>
      </c>
      <c r="AO28" s="135">
        <f>AO$3</f>
        <v>46185</v>
      </c>
      <c r="AP28" s="136" t="s">
        <v>501</v>
      </c>
      <c r="AQ28" s="137" t="s">
        <v>501</v>
      </c>
      <c r="AR28" s="135">
        <f>AR$3</f>
        <v>46186</v>
      </c>
      <c r="AS28" s="136" t="s">
        <v>501</v>
      </c>
      <c r="AT28" s="137" t="s">
        <v>501</v>
      </c>
      <c r="AU28" s="12"/>
    </row>
    <row r="29" spans="1:47">
      <c r="A29" s="122" t="str">
        <f>$A$16</f>
        <v>Đặng Thái Sơn</v>
      </c>
      <c r="B29" s="82" t="s">
        <v>728</v>
      </c>
      <c r="C29" s="81" t="str">
        <f>IF($B29="","",INDEX('Bảng 3'!C:C,MATCH($B29,'Bảng 3'!$A:$A,0)))</f>
        <v>Quản lý BIM</v>
      </c>
      <c r="D29" s="81" t="str">
        <f>IF($B29="","",INDEX('Bảng 3'!D:D,MATCH($B29,'Bảng 3'!$A:$A,0)))</f>
        <v>B.HYE.PVF</v>
      </c>
      <c r="E29" s="150" t="str">
        <f>IF($B29="","",INDEX('Bảng 3'!E:E,MATCH($B29,'Bảng 3'!$A:$A,0)))</f>
        <v>Sân vận động TDTT01</v>
      </c>
      <c r="F29" s="81" t="str">
        <f>IF($B29="","",INDEX('Bảng 3'!F:F,MATCH($B29,'Bảng 3'!$A:$A,0)))</f>
        <v>DH</v>
      </c>
      <c r="G29" s="81" t="str">
        <f>IF($B29="","",INDEX('Bảng 3'!G:G,MATCH($B29,'Bảng 3'!$A:$A,0)))</f>
        <v>KSCL mô hình BIM</v>
      </c>
      <c r="H29" s="121"/>
      <c r="I29" s="135"/>
      <c r="J29" s="135">
        <f>J$3</f>
        <v>46174</v>
      </c>
      <c r="K29" s="136" t="s">
        <v>501</v>
      </c>
      <c r="L29" s="137" t="s">
        <v>501</v>
      </c>
      <c r="M29" s="135">
        <f>M$3</f>
        <v>46175</v>
      </c>
      <c r="N29" s="136" t="s">
        <v>501</v>
      </c>
      <c r="O29" s="137">
        <v>0.5</v>
      </c>
      <c r="P29" s="135">
        <f>P$3</f>
        <v>46176</v>
      </c>
      <c r="Q29" s="136" t="s">
        <v>501</v>
      </c>
      <c r="R29" s="137" t="s">
        <v>501</v>
      </c>
      <c r="S29" s="135">
        <f>S$3</f>
        <v>46177</v>
      </c>
      <c r="T29" s="136" t="s">
        <v>501</v>
      </c>
      <c r="U29" s="137" t="s">
        <v>501</v>
      </c>
      <c r="V29" s="135">
        <f>V$3</f>
        <v>46178</v>
      </c>
      <c r="W29" s="136" t="s">
        <v>501</v>
      </c>
      <c r="X29" s="137" t="s">
        <v>501</v>
      </c>
      <c r="Y29" s="135">
        <f>Y$3</f>
        <v>46179</v>
      </c>
      <c r="Z29" s="136" t="s">
        <v>501</v>
      </c>
      <c r="AA29" s="137" t="s">
        <v>501</v>
      </c>
      <c r="AB29" s="135"/>
      <c r="AC29" s="135">
        <f>AC$3</f>
        <v>46181</v>
      </c>
      <c r="AD29" s="136" t="s">
        <v>501</v>
      </c>
      <c r="AE29" s="137" t="s">
        <v>501</v>
      </c>
      <c r="AF29" s="135">
        <f>AF$3</f>
        <v>46182</v>
      </c>
      <c r="AG29" s="136" t="s">
        <v>501</v>
      </c>
      <c r="AH29" s="137" t="s">
        <v>501</v>
      </c>
      <c r="AI29" s="135">
        <f>AI$3</f>
        <v>46183</v>
      </c>
      <c r="AJ29" s="136" t="s">
        <v>501</v>
      </c>
      <c r="AK29" s="137" t="s">
        <v>501</v>
      </c>
      <c r="AL29" s="135">
        <f>AL$3</f>
        <v>46184</v>
      </c>
      <c r="AM29" s="136" t="s">
        <v>501</v>
      </c>
      <c r="AN29" s="137" t="s">
        <v>501</v>
      </c>
      <c r="AO29" s="135">
        <f>AO$3</f>
        <v>46185</v>
      </c>
      <c r="AP29" s="136" t="s">
        <v>501</v>
      </c>
      <c r="AQ29" s="137" t="s">
        <v>501</v>
      </c>
      <c r="AR29" s="135">
        <f>AR$3</f>
        <v>46186</v>
      </c>
      <c r="AS29" s="136" t="s">
        <v>501</v>
      </c>
      <c r="AT29" s="137" t="s">
        <v>501</v>
      </c>
      <c r="AU29" s="12"/>
    </row>
    <row r="30" spans="1:47">
      <c r="A30" s="122" t="str">
        <f>$A$16</f>
        <v>Đặng Thái Sơn</v>
      </c>
      <c r="B30" s="82" t="s">
        <v>729</v>
      </c>
      <c r="C30" s="81" t="str">
        <f>IF($B30="","",INDEX('Bảng 3'!C:C,MATCH($B30,'Bảng 3'!$A:$A,0)))</f>
        <v>Quản lý BIM</v>
      </c>
      <c r="D30" s="81" t="str">
        <f>IF($B30="","",INDEX('Bảng 3'!D:D,MATCH($B30,'Bảng 3'!$A:$A,0)))</f>
        <v>B.HYE.PVF</v>
      </c>
      <c r="E30" s="150" t="str">
        <f>IF($B30="","",INDEX('Bảng 3'!E:E,MATCH($B30,'Bảng 3'!$A:$A,0)))</f>
        <v>Sân vận động TDTT01</v>
      </c>
      <c r="F30" s="81" t="str">
        <f>IF($B30="","",INDEX('Bảng 3'!F:F,MATCH($B30,'Bảng 3'!$A:$A,0)))</f>
        <v>PC</v>
      </c>
      <c r="G30" s="81" t="str">
        <f>IF($B30="","",INDEX('Bảng 3'!G:G,MATCH($B30,'Bảng 3'!$A:$A,0)))</f>
        <v>KSCL mô hình BIM</v>
      </c>
      <c r="H30" s="121"/>
      <c r="I30" s="135"/>
      <c r="J30" s="135">
        <f>J$3</f>
        <v>46174</v>
      </c>
      <c r="K30" s="136" t="s">
        <v>501</v>
      </c>
      <c r="L30" s="137" t="s">
        <v>501</v>
      </c>
      <c r="M30" s="135">
        <f>M$3</f>
        <v>46175</v>
      </c>
      <c r="N30" s="136" t="s">
        <v>501</v>
      </c>
      <c r="O30" s="137">
        <v>0.5</v>
      </c>
      <c r="P30" s="135">
        <f>P$3</f>
        <v>46176</v>
      </c>
      <c r="Q30" s="136" t="s">
        <v>501</v>
      </c>
      <c r="R30" s="137" t="s">
        <v>501</v>
      </c>
      <c r="S30" s="135">
        <f>S$3</f>
        <v>46177</v>
      </c>
      <c r="T30" s="136" t="s">
        <v>501</v>
      </c>
      <c r="U30" s="137" t="s">
        <v>501</v>
      </c>
      <c r="V30" s="135">
        <f>V$3</f>
        <v>46178</v>
      </c>
      <c r="W30" s="136" t="s">
        <v>501</v>
      </c>
      <c r="X30" s="137" t="s">
        <v>501</v>
      </c>
      <c r="Y30" s="135">
        <f>Y$3</f>
        <v>46179</v>
      </c>
      <c r="Z30" s="136" t="s">
        <v>501</v>
      </c>
      <c r="AA30" s="137" t="s">
        <v>501</v>
      </c>
      <c r="AB30" s="135"/>
      <c r="AC30" s="135">
        <f>AC$3</f>
        <v>46181</v>
      </c>
      <c r="AD30" s="136" t="s">
        <v>501</v>
      </c>
      <c r="AE30" s="137" t="s">
        <v>501</v>
      </c>
      <c r="AF30" s="135">
        <f>AF$3</f>
        <v>46182</v>
      </c>
      <c r="AG30" s="136" t="s">
        <v>501</v>
      </c>
      <c r="AH30" s="137" t="s">
        <v>501</v>
      </c>
      <c r="AI30" s="135">
        <f>AI$3</f>
        <v>46183</v>
      </c>
      <c r="AJ30" s="136" t="s">
        <v>501</v>
      </c>
      <c r="AK30" s="137" t="s">
        <v>501</v>
      </c>
      <c r="AL30" s="135">
        <f>AL$3</f>
        <v>46184</v>
      </c>
      <c r="AM30" s="136" t="s">
        <v>501</v>
      </c>
      <c r="AN30" s="137" t="s">
        <v>501</v>
      </c>
      <c r="AO30" s="135">
        <f>AO$3</f>
        <v>46185</v>
      </c>
      <c r="AP30" s="136" t="s">
        <v>501</v>
      </c>
      <c r="AQ30" s="137" t="s">
        <v>501</v>
      </c>
      <c r="AR30" s="135">
        <f>AR$3</f>
        <v>46186</v>
      </c>
      <c r="AS30" s="136" t="s">
        <v>501</v>
      </c>
      <c r="AT30" s="137" t="s">
        <v>501</v>
      </c>
      <c r="AU30" s="12"/>
    </row>
    <row r="31" spans="1:47">
      <c r="A31" s="122" t="str">
        <f>$A$16</f>
        <v>Đặng Thái Sơn</v>
      </c>
      <c r="B31" s="82" t="s">
        <v>730</v>
      </c>
      <c r="C31" s="81" t="str">
        <f>IF($B31="","",INDEX('Bảng 3'!C:C,MATCH($B31,'Bảng 3'!$A:$A,0)))</f>
        <v>Quản lý BIM</v>
      </c>
      <c r="D31" s="81" t="str">
        <f>IF($B31="","",INDEX('Bảng 3'!D:D,MATCH($B31,'Bảng 3'!$A:$A,0)))</f>
        <v>N.HCM.CGIO.KS</v>
      </c>
      <c r="E31" s="150" t="str">
        <f>IF($B31="","",INDEX('Bảng 3'!E:E,MATCH($B31,'Bảng 3'!$A:$A,0)))</f>
        <v>Khách sạn Vinpearl A5.02.13</v>
      </c>
      <c r="F31" s="81" t="str">
        <f>IF($B31="","",INDEX('Bảng 3'!F:F,MATCH($B31,'Bảng 3'!$A:$A,0)))</f>
        <v>DH</v>
      </c>
      <c r="G31" s="81" t="str">
        <f>IF($B31="","",INDEX('Bảng 3'!G:G,MATCH($B31,'Bảng 3'!$A:$A,0)))</f>
        <v>Cập nhật thông tin mô hình BIM</v>
      </c>
      <c r="H31" s="121"/>
      <c r="I31" s="135"/>
      <c r="J31" s="135">
        <f>J$3</f>
        <v>46174</v>
      </c>
      <c r="K31" s="136" t="s">
        <v>501</v>
      </c>
      <c r="L31" s="137" t="s">
        <v>501</v>
      </c>
      <c r="M31" s="135">
        <f>M$3</f>
        <v>46175</v>
      </c>
      <c r="N31" s="136" t="s">
        <v>501</v>
      </c>
      <c r="O31" s="137">
        <v>1.5</v>
      </c>
      <c r="P31" s="135">
        <f>P$3</f>
        <v>46176</v>
      </c>
      <c r="Q31" s="136" t="s">
        <v>501</v>
      </c>
      <c r="R31" s="137" t="s">
        <v>501</v>
      </c>
      <c r="S31" s="135">
        <f>S$3</f>
        <v>46177</v>
      </c>
      <c r="T31" s="136" t="s">
        <v>501</v>
      </c>
      <c r="U31" s="137" t="s">
        <v>501</v>
      </c>
      <c r="V31" s="135">
        <f>V$3</f>
        <v>46178</v>
      </c>
      <c r="W31" s="136" t="s">
        <v>501</v>
      </c>
      <c r="X31" s="137" t="s">
        <v>501</v>
      </c>
      <c r="Y31" s="135">
        <f>Y$3</f>
        <v>46179</v>
      </c>
      <c r="Z31" s="136" t="s">
        <v>501</v>
      </c>
      <c r="AA31" s="137" t="s">
        <v>501</v>
      </c>
      <c r="AB31" s="135"/>
      <c r="AC31" s="135">
        <f>AC$3</f>
        <v>46181</v>
      </c>
      <c r="AD31" s="136" t="s">
        <v>501</v>
      </c>
      <c r="AE31" s="137" t="s">
        <v>501</v>
      </c>
      <c r="AF31" s="135">
        <f>AF$3</f>
        <v>46182</v>
      </c>
      <c r="AG31" s="136" t="s">
        <v>501</v>
      </c>
      <c r="AH31" s="137" t="s">
        <v>501</v>
      </c>
      <c r="AI31" s="135">
        <f>AI$3</f>
        <v>46183</v>
      </c>
      <c r="AJ31" s="136" t="s">
        <v>501</v>
      </c>
      <c r="AK31" s="137" t="s">
        <v>501</v>
      </c>
      <c r="AL31" s="135">
        <f>AL$3</f>
        <v>46184</v>
      </c>
      <c r="AM31" s="136" t="s">
        <v>501</v>
      </c>
      <c r="AN31" s="137" t="s">
        <v>501</v>
      </c>
      <c r="AO31" s="135">
        <f>AO$3</f>
        <v>46185</v>
      </c>
      <c r="AP31" s="136" t="s">
        <v>501</v>
      </c>
      <c r="AQ31" s="137" t="s">
        <v>501</v>
      </c>
      <c r="AR31" s="135">
        <f>AR$3</f>
        <v>46186</v>
      </c>
      <c r="AS31" s="136" t="s">
        <v>501</v>
      </c>
      <c r="AT31" s="137" t="s">
        <v>501</v>
      </c>
      <c r="AU31" s="12"/>
    </row>
    <row r="32" spans="1:47">
      <c r="A32" s="122" t="str">
        <f>$A$16</f>
        <v>Đặng Thái Sơn</v>
      </c>
      <c r="B32" s="82" t="s">
        <v>731</v>
      </c>
      <c r="C32" s="81" t="str">
        <f>IF($B32="","",INDEX('Bảng 3'!C:C,MATCH($B32,'Bảng 3'!$A:$A,0)))</f>
        <v>Quản lý BIM</v>
      </c>
      <c r="D32" s="81" t="str">
        <f>IF($B32="","",INDEX('Bảng 3'!D:D,MATCH($B32,'Bảng 3'!$A:$A,0)))</f>
        <v>N.HCM.CGIO.KS</v>
      </c>
      <c r="E32" s="150" t="str">
        <f>IF($B32="","",INDEX('Bảng 3'!E:E,MATCH($B32,'Bảng 3'!$A:$A,0)))</f>
        <v>Khách sạn Vinpearl A5.02.13</v>
      </c>
      <c r="F32" s="81" t="str">
        <f>IF($B32="","",INDEX('Bảng 3'!F:F,MATCH($B32,'Bảng 3'!$A:$A,0)))</f>
        <v>DH</v>
      </c>
      <c r="G32" s="81" t="str">
        <f>IF($B32="","",INDEX('Bảng 3'!G:G,MATCH($B32,'Bảng 3'!$A:$A,0)))</f>
        <v>Xuất khối lượng từ mô hình BIM</v>
      </c>
      <c r="H32" s="121"/>
      <c r="I32" s="135"/>
      <c r="J32" s="135">
        <f>J$3</f>
        <v>46174</v>
      </c>
      <c r="K32" s="136" t="s">
        <v>501</v>
      </c>
      <c r="L32" s="137" t="s">
        <v>501</v>
      </c>
      <c r="M32" s="135">
        <f>M$3</f>
        <v>46175</v>
      </c>
      <c r="N32" s="136" t="s">
        <v>501</v>
      </c>
      <c r="O32" s="137" t="s">
        <v>501</v>
      </c>
      <c r="P32" s="135">
        <f>P$3</f>
        <v>46176</v>
      </c>
      <c r="Q32" s="136" t="s">
        <v>501</v>
      </c>
      <c r="R32" s="137" t="s">
        <v>501</v>
      </c>
      <c r="S32" s="135">
        <f>S$3</f>
        <v>46177</v>
      </c>
      <c r="T32" s="136" t="s">
        <v>501</v>
      </c>
      <c r="U32" s="137" t="s">
        <v>501</v>
      </c>
      <c r="V32" s="135">
        <f>V$3</f>
        <v>46178</v>
      </c>
      <c r="W32" s="136" t="s">
        <v>501</v>
      </c>
      <c r="X32" s="137" t="s">
        <v>501</v>
      </c>
      <c r="Y32" s="135">
        <f>Y$3</f>
        <v>46179</v>
      </c>
      <c r="Z32" s="136" t="s">
        <v>501</v>
      </c>
      <c r="AA32" s="137" t="s">
        <v>501</v>
      </c>
      <c r="AB32" s="135"/>
      <c r="AC32" s="135">
        <f>AC$3</f>
        <v>46181</v>
      </c>
      <c r="AD32" s="136" t="s">
        <v>501</v>
      </c>
      <c r="AE32" s="137" t="s">
        <v>501</v>
      </c>
      <c r="AF32" s="135">
        <f>AF$3</f>
        <v>46182</v>
      </c>
      <c r="AG32" s="136" t="s">
        <v>501</v>
      </c>
      <c r="AH32" s="137" t="s">
        <v>501</v>
      </c>
      <c r="AI32" s="135">
        <f>AI$3</f>
        <v>46183</v>
      </c>
      <c r="AJ32" s="136" t="s">
        <v>501</v>
      </c>
      <c r="AK32" s="137" t="s">
        <v>501</v>
      </c>
      <c r="AL32" s="135">
        <f>AL$3</f>
        <v>46184</v>
      </c>
      <c r="AM32" s="136" t="s">
        <v>501</v>
      </c>
      <c r="AN32" s="137" t="s">
        <v>501</v>
      </c>
      <c r="AO32" s="135">
        <f>AO$3</f>
        <v>46185</v>
      </c>
      <c r="AP32" s="136" t="s">
        <v>501</v>
      </c>
      <c r="AQ32" s="137" t="s">
        <v>501</v>
      </c>
      <c r="AR32" s="135">
        <f>AR$3</f>
        <v>46186</v>
      </c>
      <c r="AS32" s="136" t="s">
        <v>501</v>
      </c>
      <c r="AT32" s="137" t="s">
        <v>501</v>
      </c>
      <c r="AU32" s="12"/>
    </row>
    <row r="33" spans="1:47">
      <c r="A33" s="122" t="str">
        <f>$A$16</f>
        <v>Đặng Thái Sơn</v>
      </c>
      <c r="B33" s="82"/>
      <c r="C33" s="81" t="str">
        <f>IF($B33="","",INDEX('Bảng 3'!C:C,MATCH($B33,'Bảng 3'!$A:$A,0)))</f>
        <v/>
      </c>
      <c r="D33" s="81" t="str">
        <f>IF($B33="","",INDEX('Bảng 3'!D:D,MATCH($B33,'Bảng 3'!$A:$A,0)))</f>
        <v/>
      </c>
      <c r="E33" s="150" t="str">
        <f>IF($B33="","",INDEX('Bảng 3'!E:E,MATCH($B33,'Bảng 3'!$A:$A,0)))</f>
        <v/>
      </c>
      <c r="F33" s="81" t="str">
        <f>IF($B33="","",INDEX('Bảng 3'!F:F,MATCH($B33,'Bảng 3'!$A:$A,0)))</f>
        <v/>
      </c>
      <c r="G33" s="81" t="str">
        <f>IF($B33="","",INDEX('Bảng 3'!G:G,MATCH($B33,'Bảng 3'!$A:$A,0)))</f>
        <v/>
      </c>
      <c r="H33" s="121"/>
      <c r="I33" s="135"/>
      <c r="J33" s="135">
        <f>J$3</f>
        <v>46174</v>
      </c>
      <c r="K33" s="136" t="s">
        <v>501</v>
      </c>
      <c r="L33" s="137" t="s">
        <v>501</v>
      </c>
      <c r="M33" s="135">
        <f>M$3</f>
        <v>46175</v>
      </c>
      <c r="N33" s="136" t="s">
        <v>501</v>
      </c>
      <c r="O33" s="137" t="s">
        <v>501</v>
      </c>
      <c r="P33" s="135">
        <f>P$3</f>
        <v>46176</v>
      </c>
      <c r="Q33" s="136" t="s">
        <v>501</v>
      </c>
      <c r="R33" s="137" t="s">
        <v>501</v>
      </c>
      <c r="S33" s="135">
        <f>S$3</f>
        <v>46177</v>
      </c>
      <c r="T33" s="136" t="s">
        <v>501</v>
      </c>
      <c r="U33" s="137" t="s">
        <v>501</v>
      </c>
      <c r="V33" s="135">
        <f>V$3</f>
        <v>46178</v>
      </c>
      <c r="W33" s="136" t="s">
        <v>501</v>
      </c>
      <c r="X33" s="137" t="s">
        <v>501</v>
      </c>
      <c r="Y33" s="135">
        <f>Y$3</f>
        <v>46179</v>
      </c>
      <c r="Z33" s="136" t="s">
        <v>501</v>
      </c>
      <c r="AA33" s="137" t="s">
        <v>501</v>
      </c>
      <c r="AB33" s="135"/>
      <c r="AC33" s="135">
        <f>AC$3</f>
        <v>46181</v>
      </c>
      <c r="AD33" s="136" t="s">
        <v>501</v>
      </c>
      <c r="AE33" s="137" t="s">
        <v>501</v>
      </c>
      <c r="AF33" s="135">
        <f>AF$3</f>
        <v>46182</v>
      </c>
      <c r="AG33" s="136" t="s">
        <v>501</v>
      </c>
      <c r="AH33" s="137" t="s">
        <v>501</v>
      </c>
      <c r="AI33" s="135">
        <f>AI$3</f>
        <v>46183</v>
      </c>
      <c r="AJ33" s="136" t="s">
        <v>501</v>
      </c>
      <c r="AK33" s="137" t="s">
        <v>501</v>
      </c>
      <c r="AL33" s="135">
        <f>AL$3</f>
        <v>46184</v>
      </c>
      <c r="AM33" s="136" t="s">
        <v>501</v>
      </c>
      <c r="AN33" s="137" t="s">
        <v>501</v>
      </c>
      <c r="AO33" s="135">
        <f>AO$3</f>
        <v>46185</v>
      </c>
      <c r="AP33" s="136" t="s">
        <v>501</v>
      </c>
      <c r="AQ33" s="137" t="s">
        <v>501</v>
      </c>
      <c r="AR33" s="135">
        <f>AR$3</f>
        <v>46186</v>
      </c>
      <c r="AS33" s="136" t="s">
        <v>501</v>
      </c>
      <c r="AT33" s="137" t="s">
        <v>501</v>
      </c>
      <c r="AU33" s="12"/>
    </row>
    <row r="34" spans="1:47">
      <c r="A34" s="122" t="str">
        <f>$A$16</f>
        <v>Đặng Thái Sơn</v>
      </c>
      <c r="B34" s="82"/>
      <c r="C34" s="81" t="str">
        <f>IF($B34="","",INDEX('Bảng 3'!C:C,MATCH($B34,'Bảng 3'!$A:$A,0)))</f>
        <v/>
      </c>
      <c r="D34" s="81" t="str">
        <f>IF($B34="","",INDEX('Bảng 3'!D:D,MATCH($B34,'Bảng 3'!$A:$A,0)))</f>
        <v/>
      </c>
      <c r="E34" s="150" t="str">
        <f>IF($B34="","",INDEX('Bảng 3'!E:E,MATCH($B34,'Bảng 3'!$A:$A,0)))</f>
        <v/>
      </c>
      <c r="F34" s="81" t="str">
        <f>IF($B34="","",INDEX('Bảng 3'!F:F,MATCH($B34,'Bảng 3'!$A:$A,0)))</f>
        <v/>
      </c>
      <c r="G34" s="81" t="str">
        <f>IF($B34="","",INDEX('Bảng 3'!G:G,MATCH($B34,'Bảng 3'!$A:$A,0)))</f>
        <v/>
      </c>
      <c r="H34" s="121"/>
      <c r="I34" s="135"/>
      <c r="J34" s="135">
        <f>J$3</f>
        <v>46174</v>
      </c>
      <c r="K34" s="136" t="s">
        <v>501</v>
      </c>
      <c r="L34" s="137" t="s">
        <v>501</v>
      </c>
      <c r="M34" s="135">
        <f>M$3</f>
        <v>46175</v>
      </c>
      <c r="N34" s="136" t="s">
        <v>501</v>
      </c>
      <c r="O34" s="137" t="s">
        <v>501</v>
      </c>
      <c r="P34" s="135">
        <f>P$3</f>
        <v>46176</v>
      </c>
      <c r="Q34" s="136" t="s">
        <v>501</v>
      </c>
      <c r="R34" s="137" t="s">
        <v>501</v>
      </c>
      <c r="S34" s="135">
        <f>S$3</f>
        <v>46177</v>
      </c>
      <c r="T34" s="136" t="s">
        <v>501</v>
      </c>
      <c r="U34" s="137" t="s">
        <v>501</v>
      </c>
      <c r="V34" s="135">
        <f>V$3</f>
        <v>46178</v>
      </c>
      <c r="W34" s="136" t="s">
        <v>501</v>
      </c>
      <c r="X34" s="137" t="s">
        <v>501</v>
      </c>
      <c r="Y34" s="135">
        <f>Y$3</f>
        <v>46179</v>
      </c>
      <c r="Z34" s="136" t="s">
        <v>501</v>
      </c>
      <c r="AA34" s="137" t="s">
        <v>501</v>
      </c>
      <c r="AB34" s="135"/>
      <c r="AC34" s="135">
        <f>AC$3</f>
        <v>46181</v>
      </c>
      <c r="AD34" s="136" t="s">
        <v>501</v>
      </c>
      <c r="AE34" s="137" t="s">
        <v>501</v>
      </c>
      <c r="AF34" s="135">
        <f>AF$3</f>
        <v>46182</v>
      </c>
      <c r="AG34" s="136" t="s">
        <v>501</v>
      </c>
      <c r="AH34" s="137" t="s">
        <v>501</v>
      </c>
      <c r="AI34" s="135">
        <f>AI$3</f>
        <v>46183</v>
      </c>
      <c r="AJ34" s="136" t="s">
        <v>501</v>
      </c>
      <c r="AK34" s="137" t="s">
        <v>501</v>
      </c>
      <c r="AL34" s="135">
        <f>AL$3</f>
        <v>46184</v>
      </c>
      <c r="AM34" s="136" t="s">
        <v>501</v>
      </c>
      <c r="AN34" s="137" t="s">
        <v>501</v>
      </c>
      <c r="AO34" s="135">
        <f>AO$3</f>
        <v>46185</v>
      </c>
      <c r="AP34" s="136" t="s">
        <v>501</v>
      </c>
      <c r="AQ34" s="137" t="s">
        <v>501</v>
      </c>
      <c r="AR34" s="135">
        <f>AR$3</f>
        <v>46186</v>
      </c>
      <c r="AS34" s="136" t="s">
        <v>501</v>
      </c>
      <c r="AT34" s="137" t="s">
        <v>501</v>
      </c>
      <c r="AU34" s="12"/>
    </row>
    <row r="35" spans="1:47">
      <c r="A35" s="122" t="str">
        <f>$A$16</f>
        <v>Đặng Thái Sơn</v>
      </c>
      <c r="B35" s="82"/>
      <c r="C35" s="81" t="str">
        <f>IF($B35="","",INDEX('Bảng 3'!C:C,MATCH($B35,'Bảng 3'!$A:$A,0)))</f>
        <v/>
      </c>
      <c r="D35" s="81" t="str">
        <f>IF($B35="","",INDEX('Bảng 3'!D:D,MATCH($B35,'Bảng 3'!$A:$A,0)))</f>
        <v/>
      </c>
      <c r="E35" s="150" t="str">
        <f>IF($B35="","",INDEX('Bảng 3'!E:E,MATCH($B35,'Bảng 3'!$A:$A,0)))</f>
        <v/>
      </c>
      <c r="F35" s="81" t="str">
        <f>IF($B35="","",INDEX('Bảng 3'!F:F,MATCH($B35,'Bảng 3'!$A:$A,0)))</f>
        <v/>
      </c>
      <c r="G35" s="81" t="str">
        <f>IF($B35="","",INDEX('Bảng 3'!G:G,MATCH($B35,'Bảng 3'!$A:$A,0)))</f>
        <v/>
      </c>
      <c r="H35" s="121"/>
      <c r="I35" s="135"/>
      <c r="J35" s="135">
        <f>J$3</f>
        <v>46174</v>
      </c>
      <c r="K35" s="136" t="s">
        <v>501</v>
      </c>
      <c r="L35" s="137" t="s">
        <v>501</v>
      </c>
      <c r="M35" s="135">
        <f>M$3</f>
        <v>46175</v>
      </c>
      <c r="N35" s="136" t="s">
        <v>501</v>
      </c>
      <c r="O35" s="137" t="s">
        <v>501</v>
      </c>
      <c r="P35" s="135">
        <f>P$3</f>
        <v>46176</v>
      </c>
      <c r="Q35" s="136" t="s">
        <v>501</v>
      </c>
      <c r="R35" s="137" t="s">
        <v>501</v>
      </c>
      <c r="S35" s="135">
        <f>S$3</f>
        <v>46177</v>
      </c>
      <c r="T35" s="136" t="s">
        <v>501</v>
      </c>
      <c r="U35" s="137" t="s">
        <v>501</v>
      </c>
      <c r="V35" s="135">
        <f>V$3</f>
        <v>46178</v>
      </c>
      <c r="W35" s="136" t="s">
        <v>501</v>
      </c>
      <c r="X35" s="137" t="s">
        <v>501</v>
      </c>
      <c r="Y35" s="135">
        <f>Y$3</f>
        <v>46179</v>
      </c>
      <c r="Z35" s="136" t="s">
        <v>501</v>
      </c>
      <c r="AA35" s="137" t="s">
        <v>501</v>
      </c>
      <c r="AB35" s="135"/>
      <c r="AC35" s="135">
        <f>AC$3</f>
        <v>46181</v>
      </c>
      <c r="AD35" s="136" t="s">
        <v>501</v>
      </c>
      <c r="AE35" s="137" t="s">
        <v>501</v>
      </c>
      <c r="AF35" s="135">
        <f>AF$3</f>
        <v>46182</v>
      </c>
      <c r="AG35" s="136" t="s">
        <v>501</v>
      </c>
      <c r="AH35" s="137" t="s">
        <v>501</v>
      </c>
      <c r="AI35" s="135">
        <f>AI$3</f>
        <v>46183</v>
      </c>
      <c r="AJ35" s="136" t="s">
        <v>501</v>
      </c>
      <c r="AK35" s="137" t="s">
        <v>501</v>
      </c>
      <c r="AL35" s="135">
        <f>AL$3</f>
        <v>46184</v>
      </c>
      <c r="AM35" s="136" t="s">
        <v>501</v>
      </c>
      <c r="AN35" s="137" t="s">
        <v>501</v>
      </c>
      <c r="AO35" s="135">
        <f>AO$3</f>
        <v>46185</v>
      </c>
      <c r="AP35" s="136" t="s">
        <v>501</v>
      </c>
      <c r="AQ35" s="137" t="s">
        <v>501</v>
      </c>
      <c r="AR35" s="135">
        <f>AR$3</f>
        <v>46186</v>
      </c>
      <c r="AS35" s="136" t="s">
        <v>501</v>
      </c>
      <c r="AT35" s="137" t="s">
        <v>501</v>
      </c>
      <c r="AU35" s="12"/>
    </row>
    <row r="36" spans="1:47">
      <c r="A36" s="122" t="str">
        <f>$A$16</f>
        <v>Đặng Thái Sơn</v>
      </c>
      <c r="B36" s="82"/>
      <c r="C36" s="81" t="str">
        <f>IF($B36="","",INDEX('Bảng 3'!C:C,MATCH($B36,'Bảng 3'!$A:$A,0)))</f>
        <v/>
      </c>
      <c r="D36" s="81" t="str">
        <f>IF($B36="","",INDEX('Bảng 3'!D:D,MATCH($B36,'Bảng 3'!$A:$A,0)))</f>
        <v/>
      </c>
      <c r="E36" s="150" t="str">
        <f>IF($B36="","",INDEX('Bảng 3'!E:E,MATCH($B36,'Bảng 3'!$A:$A,0)))</f>
        <v/>
      </c>
      <c r="F36" s="81" t="str">
        <f>IF($B36="","",INDEX('Bảng 3'!F:F,MATCH($B36,'Bảng 3'!$A:$A,0)))</f>
        <v/>
      </c>
      <c r="G36" s="81" t="str">
        <f>IF($B36="","",INDEX('Bảng 3'!G:G,MATCH($B36,'Bảng 3'!$A:$A,0)))</f>
        <v/>
      </c>
      <c r="H36" s="121"/>
      <c r="I36" s="135"/>
      <c r="J36" s="135">
        <f>J$3</f>
        <v>46174</v>
      </c>
      <c r="K36" s="136" t="s">
        <v>501</v>
      </c>
      <c r="L36" s="137" t="s">
        <v>501</v>
      </c>
      <c r="M36" s="135">
        <f>M$3</f>
        <v>46175</v>
      </c>
      <c r="N36" s="136" t="s">
        <v>501</v>
      </c>
      <c r="O36" s="137" t="s">
        <v>501</v>
      </c>
      <c r="P36" s="135">
        <f>P$3</f>
        <v>46176</v>
      </c>
      <c r="Q36" s="136" t="s">
        <v>501</v>
      </c>
      <c r="R36" s="137" t="s">
        <v>501</v>
      </c>
      <c r="S36" s="135">
        <f>S$3</f>
        <v>46177</v>
      </c>
      <c r="T36" s="136" t="s">
        <v>501</v>
      </c>
      <c r="U36" s="137" t="s">
        <v>501</v>
      </c>
      <c r="V36" s="135">
        <f>V$3</f>
        <v>46178</v>
      </c>
      <c r="W36" s="136" t="s">
        <v>501</v>
      </c>
      <c r="X36" s="137" t="s">
        <v>501</v>
      </c>
      <c r="Y36" s="135">
        <f>Y$3</f>
        <v>46179</v>
      </c>
      <c r="Z36" s="136" t="s">
        <v>501</v>
      </c>
      <c r="AA36" s="137" t="s">
        <v>501</v>
      </c>
      <c r="AB36" s="135"/>
      <c r="AC36" s="135">
        <f>AC$3</f>
        <v>46181</v>
      </c>
      <c r="AD36" s="136" t="s">
        <v>501</v>
      </c>
      <c r="AE36" s="137" t="s">
        <v>501</v>
      </c>
      <c r="AF36" s="135">
        <f>AF$3</f>
        <v>46182</v>
      </c>
      <c r="AG36" s="136" t="s">
        <v>501</v>
      </c>
      <c r="AH36" s="137" t="s">
        <v>501</v>
      </c>
      <c r="AI36" s="135">
        <f>AI$3</f>
        <v>46183</v>
      </c>
      <c r="AJ36" s="136" t="s">
        <v>501</v>
      </c>
      <c r="AK36" s="137" t="s">
        <v>501</v>
      </c>
      <c r="AL36" s="135">
        <f>AL$3</f>
        <v>46184</v>
      </c>
      <c r="AM36" s="136" t="s">
        <v>501</v>
      </c>
      <c r="AN36" s="137" t="s">
        <v>501</v>
      </c>
      <c r="AO36" s="135">
        <f>AO$3</f>
        <v>46185</v>
      </c>
      <c r="AP36" s="136" t="s">
        <v>501</v>
      </c>
      <c r="AQ36" s="137" t="s">
        <v>501</v>
      </c>
      <c r="AR36" s="135">
        <f>AR$3</f>
        <v>46186</v>
      </c>
      <c r="AS36" s="136" t="s">
        <v>501</v>
      </c>
      <c r="AT36" s="137" t="s">
        <v>501</v>
      </c>
      <c r="AU36" s="12"/>
    </row>
    <row r="37" spans="1:47">
      <c r="A37" s="36" t="s">
        <v>165</v>
      </c>
      <c r="B37" s="28"/>
      <c r="C37" s="81" t="str">
        <f>IF($B37="","",INDEX('Bảng 3'!C:C,MATCH($B37,'Bảng 3'!$A:$A,0)))</f>
        <v/>
      </c>
      <c r="D37" s="81" t="str">
        <f>IF($B37="","",INDEX('Bảng 3'!D:D,MATCH($B37,'Bảng 3'!$A:$A,0)))</f>
        <v/>
      </c>
      <c r="E37" s="150" t="str">
        <f>IF($B37="","",INDEX('Bảng 3'!E:E,MATCH($B37,'Bảng 3'!$A:$A,0)))</f>
        <v/>
      </c>
      <c r="F37" s="81" t="str">
        <f>IF($B37="","",INDEX('Bảng 3'!F:F,MATCH($B37,'Bảng 3'!$A:$A,0)))</f>
        <v/>
      </c>
      <c r="G37" s="81" t="str">
        <f>IF($B37="","",INDEX('Bảng 3'!G:G,MATCH($B37,'Bảng 3'!$A:$A,0)))</f>
        <v/>
      </c>
      <c r="H37" s="121"/>
      <c r="I37" s="138"/>
      <c r="J37" s="138">
        <f>J$3</f>
        <v>46174</v>
      </c>
      <c r="K37" s="132" t="s">
        <v>501</v>
      </c>
      <c r="L37" s="133">
        <f>SUM(L38:L43)</f>
        <v>8</v>
      </c>
      <c r="M37" s="138">
        <f>M$3</f>
        <v>46175</v>
      </c>
      <c r="N37" s="132" t="s">
        <v>501</v>
      </c>
      <c r="O37" s="133">
        <f>SUM(O38:O43)</f>
        <v>4</v>
      </c>
      <c r="P37" s="138">
        <f>P$3</f>
        <v>46176</v>
      </c>
      <c r="Q37" s="132" t="s">
        <v>501</v>
      </c>
      <c r="R37" s="133">
        <f>SUM(R38:R43)</f>
        <v>0</v>
      </c>
      <c r="S37" s="138">
        <f>S$3</f>
        <v>46177</v>
      </c>
      <c r="T37" s="132" t="s">
        <v>501</v>
      </c>
      <c r="U37" s="133">
        <f>SUM(U38:U43)</f>
        <v>0</v>
      </c>
      <c r="V37" s="138">
        <f>V$3</f>
        <v>46178</v>
      </c>
      <c r="W37" s="132" t="s">
        <v>501</v>
      </c>
      <c r="X37" s="133">
        <f>SUM(X38:X43)</f>
        <v>0</v>
      </c>
      <c r="Y37" s="138">
        <f>Y$3</f>
        <v>46179</v>
      </c>
      <c r="Z37" s="132" t="s">
        <v>501</v>
      </c>
      <c r="AA37" s="133">
        <f>SUM(AA38:AA43)</f>
        <v>0</v>
      </c>
      <c r="AB37" s="138"/>
      <c r="AC37" s="138">
        <f>AC$3</f>
        <v>46181</v>
      </c>
      <c r="AD37" s="132" t="s">
        <v>501</v>
      </c>
      <c r="AE37" s="133">
        <f>SUM(AE38:AE43)</f>
        <v>0</v>
      </c>
      <c r="AF37" s="138">
        <f>AF$3</f>
        <v>46182</v>
      </c>
      <c r="AG37" s="132" t="s">
        <v>501</v>
      </c>
      <c r="AH37" s="133">
        <f>SUM(AH38:AH43)</f>
        <v>0</v>
      </c>
      <c r="AI37" s="138">
        <f>AI$3</f>
        <v>46183</v>
      </c>
      <c r="AJ37" s="132" t="s">
        <v>501</v>
      </c>
      <c r="AK37" s="133">
        <f>SUM(AK38:AK43)</f>
        <v>0</v>
      </c>
      <c r="AL37" s="138">
        <f>AL$3</f>
        <v>46184</v>
      </c>
      <c r="AM37" s="132" t="s">
        <v>501</v>
      </c>
      <c r="AN37" s="133">
        <f>SUM(AN38:AN43)</f>
        <v>0</v>
      </c>
      <c r="AO37" s="138">
        <f>AO$3</f>
        <v>46185</v>
      </c>
      <c r="AP37" s="132" t="s">
        <v>501</v>
      </c>
      <c r="AQ37" s="133">
        <f>SUM(AQ38:AQ43)</f>
        <v>0</v>
      </c>
      <c r="AR37" s="138">
        <f>AR$3</f>
        <v>46186</v>
      </c>
      <c r="AS37" s="132" t="s">
        <v>501</v>
      </c>
      <c r="AT37" s="133">
        <f>SUM(AT38:AT43)</f>
        <v>0</v>
      </c>
      <c r="AU37" s="134"/>
    </row>
    <row r="38" spans="1:47">
      <c r="A38" s="122" t="str">
        <f>$A$37</f>
        <v>Nguyễn Văn Hải</v>
      </c>
      <c r="B38" t="s">
        <v>732</v>
      </c>
      <c r="C38" s="81" t="str">
        <f>IF($B38="","",INDEX('Bảng 3'!C:C,MATCH($B38,'Bảng 3'!$A:$A,0)))</f>
        <v>Quản lý BIM</v>
      </c>
      <c r="D38" s="81" t="str">
        <f>IF($B38="","",INDEX('Bảng 3'!D:D,MATCH($B38,'Bảng 3'!$A:$A,0)))</f>
        <v>B.HYE.PVF</v>
      </c>
      <c r="E38" s="150" t="str">
        <f>IF($B38="","",INDEX('Bảng 3'!E:E,MATCH($B38,'Bảng 3'!$A:$A,0)))</f>
        <v>Sân vận động TDTT01</v>
      </c>
      <c r="F38" s="81" t="str">
        <f>IF($B38="","",INDEX('Bảng 3'!F:F,MATCH($B38,'Bảng 3'!$A:$A,0)))</f>
        <v>NU</v>
      </c>
      <c r="G38" s="81" t="str">
        <f>IF($B38="","",INDEX('Bảng 3'!G:G,MATCH($B38,'Bảng 3'!$A:$A,0)))</f>
        <v>Tạo lập mô hình BIM</v>
      </c>
      <c r="H38" s="121"/>
      <c r="I38" s="135"/>
      <c r="J38" s="135">
        <f>J$3</f>
        <v>46174</v>
      </c>
      <c r="K38" s="136" t="s">
        <v>501</v>
      </c>
      <c r="L38" s="137">
        <v>3.5</v>
      </c>
      <c r="M38" s="135">
        <f>M$3</f>
        <v>46175</v>
      </c>
      <c r="N38" s="136" t="s">
        <v>501</v>
      </c>
      <c r="O38" s="137">
        <v>4</v>
      </c>
      <c r="P38" s="135">
        <f>P$3</f>
        <v>46176</v>
      </c>
      <c r="Q38" s="136" t="s">
        <v>501</v>
      </c>
      <c r="R38" s="137" t="s">
        <v>501</v>
      </c>
      <c r="S38" s="135">
        <f>S$3</f>
        <v>46177</v>
      </c>
      <c r="T38" s="136" t="s">
        <v>501</v>
      </c>
      <c r="U38" s="137" t="s">
        <v>501</v>
      </c>
      <c r="V38" s="135">
        <f>V$3</f>
        <v>46178</v>
      </c>
      <c r="W38" s="136" t="s">
        <v>501</v>
      </c>
      <c r="X38" s="137" t="s">
        <v>501</v>
      </c>
      <c r="Y38" s="135">
        <f>Y$3</f>
        <v>46179</v>
      </c>
      <c r="Z38" s="136" t="s">
        <v>501</v>
      </c>
      <c r="AA38" s="137" t="s">
        <v>501</v>
      </c>
      <c r="AB38" s="135"/>
      <c r="AC38" s="135">
        <f>AC$3</f>
        <v>46181</v>
      </c>
      <c r="AD38" s="136" t="s">
        <v>501</v>
      </c>
      <c r="AE38" s="137" t="s">
        <v>501</v>
      </c>
      <c r="AF38" s="135">
        <f>AF$3</f>
        <v>46182</v>
      </c>
      <c r="AG38" s="136" t="s">
        <v>501</v>
      </c>
      <c r="AH38" s="137" t="s">
        <v>501</v>
      </c>
      <c r="AI38" s="135">
        <f>AI$3</f>
        <v>46183</v>
      </c>
      <c r="AJ38" s="136" t="s">
        <v>501</v>
      </c>
      <c r="AK38" s="137" t="s">
        <v>501</v>
      </c>
      <c r="AL38" s="135">
        <f>AL$3</f>
        <v>46184</v>
      </c>
      <c r="AM38" s="136" t="s">
        <v>501</v>
      </c>
      <c r="AN38" s="137" t="s">
        <v>501</v>
      </c>
      <c r="AO38" s="135">
        <f>AO$3</f>
        <v>46185</v>
      </c>
      <c r="AP38" s="136" t="s">
        <v>501</v>
      </c>
      <c r="AQ38" s="137" t="s">
        <v>501</v>
      </c>
      <c r="AR38" s="135">
        <f>AR$3</f>
        <v>46186</v>
      </c>
      <c r="AS38" s="136" t="s">
        <v>501</v>
      </c>
      <c r="AT38" s="137" t="s">
        <v>501</v>
      </c>
      <c r="AU38" s="12"/>
    </row>
    <row r="39" spans="1:47">
      <c r="A39" s="122" t="str">
        <f>$A$37</f>
        <v>Nguyễn Văn Hải</v>
      </c>
      <c r="B39" s="28" t="s">
        <v>733</v>
      </c>
      <c r="C39" s="81" t="str">
        <f>IF($B39="","",INDEX('Bảng 3'!C:C,MATCH($B39,'Bảng 3'!$A:$A,0)))</f>
        <v>Quản lý BIM</v>
      </c>
      <c r="D39" s="81" t="str">
        <f>IF($B39="","",INDEX('Bảng 3'!D:D,MATCH($B39,'Bảng 3'!$A:$A,0)))</f>
        <v>N.HCM.Q9.VP</v>
      </c>
      <c r="E39" s="150" t="str">
        <f>IF($B39="","",INDEX('Bảng 3'!E:E,MATCH($B39,'Bảng 3'!$A:$A,0)))</f>
        <v>Toà văn phòng 43 tầng</v>
      </c>
      <c r="F39" s="81" t="str">
        <f>IF($B39="","",INDEX('Bảng 3'!F:F,MATCH($B39,'Bảng 3'!$A:$A,0)))</f>
        <v>NU</v>
      </c>
      <c r="G39" s="81" t="str">
        <f>IF($B39="","",INDEX('Bảng 3'!G:G,MATCH($B39,'Bảng 3'!$A:$A,0)))</f>
        <v>Xuất khối lượng từ mô hình BIM</v>
      </c>
      <c r="H39" s="121"/>
      <c r="I39" s="135"/>
      <c r="J39" s="135">
        <f>J$3</f>
        <v>46174</v>
      </c>
      <c r="K39" s="136" t="s">
        <v>501</v>
      </c>
      <c r="L39" s="137">
        <v>4</v>
      </c>
      <c r="M39" s="135">
        <f>M$3</f>
        <v>46175</v>
      </c>
      <c r="N39" s="136" t="s">
        <v>501</v>
      </c>
      <c r="O39" s="137" t="s">
        <v>501</v>
      </c>
      <c r="P39" s="135">
        <f>P$3</f>
        <v>46176</v>
      </c>
      <c r="Q39" s="136" t="s">
        <v>501</v>
      </c>
      <c r="R39" s="137" t="s">
        <v>501</v>
      </c>
      <c r="S39" s="135">
        <f>S$3</f>
        <v>46177</v>
      </c>
      <c r="T39" s="136" t="s">
        <v>501</v>
      </c>
      <c r="U39" s="137" t="s">
        <v>501</v>
      </c>
      <c r="V39" s="135">
        <f>V$3</f>
        <v>46178</v>
      </c>
      <c r="W39" s="136" t="s">
        <v>501</v>
      </c>
      <c r="X39" s="137" t="s">
        <v>501</v>
      </c>
      <c r="Y39" s="135">
        <f>Y$3</f>
        <v>46179</v>
      </c>
      <c r="Z39" s="136" t="s">
        <v>501</v>
      </c>
      <c r="AA39" s="137" t="s">
        <v>501</v>
      </c>
      <c r="AB39" s="135"/>
      <c r="AC39" s="135">
        <f>AC$3</f>
        <v>46181</v>
      </c>
      <c r="AD39" s="136" t="s">
        <v>501</v>
      </c>
      <c r="AE39" s="137" t="s">
        <v>501</v>
      </c>
      <c r="AF39" s="135">
        <f>AF$3</f>
        <v>46182</v>
      </c>
      <c r="AG39" s="136" t="s">
        <v>501</v>
      </c>
      <c r="AH39" s="137" t="s">
        <v>501</v>
      </c>
      <c r="AI39" s="135">
        <f>AI$3</f>
        <v>46183</v>
      </c>
      <c r="AJ39" s="136" t="s">
        <v>501</v>
      </c>
      <c r="AK39" s="137" t="s">
        <v>501</v>
      </c>
      <c r="AL39" s="135">
        <f>AL$3</f>
        <v>46184</v>
      </c>
      <c r="AM39" s="136" t="s">
        <v>501</v>
      </c>
      <c r="AN39" s="137" t="s">
        <v>501</v>
      </c>
      <c r="AO39" s="135">
        <f>AO$3</f>
        <v>46185</v>
      </c>
      <c r="AP39" s="136" t="s">
        <v>501</v>
      </c>
      <c r="AQ39" s="137" t="s">
        <v>501</v>
      </c>
      <c r="AR39" s="135">
        <f>AR$3</f>
        <v>46186</v>
      </c>
      <c r="AS39" s="136" t="s">
        <v>501</v>
      </c>
      <c r="AT39" s="137" t="s">
        <v>501</v>
      </c>
      <c r="AU39" s="12"/>
    </row>
    <row r="40" spans="1:47">
      <c r="A40" s="122" t="str">
        <f>$A$37</f>
        <v>Nguyễn Văn Hải</v>
      </c>
      <c r="B40" s="28" t="s">
        <v>734</v>
      </c>
      <c r="C40" s="81" t="str">
        <f>IF($B40="","",INDEX('Bảng 3'!C:C,MATCH($B40,'Bảng 3'!$A:$A,0)))</f>
        <v>Quản lý BIM</v>
      </c>
      <c r="D40" s="81" t="str">
        <f>IF($B40="","",INDEX('Bảng 3'!D:D,MATCH($B40,'Bảng 3'!$A:$A,0)))</f>
        <v>T.HTI.STHT.NOXH.CT</v>
      </c>
      <c r="E40" s="150" t="str">
        <f>IF($B40="","",INDEX('Bảng 3'!E:E,MATCH($B40,'Bảng 3'!$A:$A,0)))</f>
        <v>NOXH-01 (03 tòa)</v>
      </c>
      <c r="F40" s="81" t="str">
        <f>IF($B40="","",INDEX('Bảng 3'!F:F,MATCH($B40,'Bảng 3'!$A:$A,0)))</f>
        <v>NU</v>
      </c>
      <c r="G40" s="81" t="str">
        <f>IF($B40="","",INDEX('Bảng 3'!G:G,MATCH($B40,'Bảng 3'!$A:$A,0)))</f>
        <v>Khởi tạo mô hình BIM</v>
      </c>
      <c r="H40" s="121"/>
      <c r="I40" s="135"/>
      <c r="J40" s="135">
        <f>J$3</f>
        <v>46174</v>
      </c>
      <c r="K40" s="136" t="s">
        <v>501</v>
      </c>
      <c r="L40" s="137">
        <v>0.5</v>
      </c>
      <c r="M40" s="135">
        <f>M$3</f>
        <v>46175</v>
      </c>
      <c r="N40" s="136" t="s">
        <v>501</v>
      </c>
      <c r="O40" s="137" t="s">
        <v>501</v>
      </c>
      <c r="P40" s="135">
        <f>P$3</f>
        <v>46176</v>
      </c>
      <c r="Q40" s="136" t="s">
        <v>501</v>
      </c>
      <c r="R40" s="137" t="s">
        <v>501</v>
      </c>
      <c r="S40" s="135">
        <f>S$3</f>
        <v>46177</v>
      </c>
      <c r="T40" s="136" t="s">
        <v>501</v>
      </c>
      <c r="U40" s="137" t="s">
        <v>501</v>
      </c>
      <c r="V40" s="135">
        <f>V$3</f>
        <v>46178</v>
      </c>
      <c r="W40" s="136" t="s">
        <v>501</v>
      </c>
      <c r="X40" s="137" t="s">
        <v>501</v>
      </c>
      <c r="Y40" s="135">
        <f>Y$3</f>
        <v>46179</v>
      </c>
      <c r="Z40" s="136" t="s">
        <v>501</v>
      </c>
      <c r="AA40" s="137" t="s">
        <v>501</v>
      </c>
      <c r="AB40" s="135"/>
      <c r="AC40" s="135">
        <f>AC$3</f>
        <v>46181</v>
      </c>
      <c r="AD40" s="136" t="s">
        <v>501</v>
      </c>
      <c r="AE40" s="137" t="s">
        <v>501</v>
      </c>
      <c r="AF40" s="135">
        <f>AF$3</f>
        <v>46182</v>
      </c>
      <c r="AG40" s="136" t="s">
        <v>501</v>
      </c>
      <c r="AH40" s="137" t="s">
        <v>501</v>
      </c>
      <c r="AI40" s="135">
        <f>AI$3</f>
        <v>46183</v>
      </c>
      <c r="AJ40" s="136" t="s">
        <v>501</v>
      </c>
      <c r="AK40" s="137" t="s">
        <v>501</v>
      </c>
      <c r="AL40" s="135">
        <f>AL$3</f>
        <v>46184</v>
      </c>
      <c r="AM40" s="136" t="s">
        <v>501</v>
      </c>
      <c r="AN40" s="137" t="s">
        <v>501</v>
      </c>
      <c r="AO40" s="135">
        <f>AO$3</f>
        <v>46185</v>
      </c>
      <c r="AP40" s="136" t="s">
        <v>501</v>
      </c>
      <c r="AQ40" s="137" t="s">
        <v>501</v>
      </c>
      <c r="AR40" s="135">
        <f>AR$3</f>
        <v>46186</v>
      </c>
      <c r="AS40" s="136" t="s">
        <v>501</v>
      </c>
      <c r="AT40" s="137" t="s">
        <v>501</v>
      </c>
      <c r="AU40" s="12"/>
    </row>
    <row r="41" spans="1:47">
      <c r="A41" s="122" t="str">
        <f>$A$37</f>
        <v>Nguyễn Văn Hải</v>
      </c>
      <c r="B41" s="28"/>
      <c r="C41" s="81" t="str">
        <f>IF($B41="","",INDEX('Bảng 3'!C:C,MATCH($B41,'Bảng 3'!$A:$A,0)))</f>
        <v/>
      </c>
      <c r="D41" s="81" t="str">
        <f>IF($B41="","",INDEX('Bảng 3'!D:D,MATCH($B41,'Bảng 3'!$A:$A,0)))</f>
        <v/>
      </c>
      <c r="E41" s="150" t="str">
        <f>IF($B41="","",INDEX('Bảng 3'!E:E,MATCH($B41,'Bảng 3'!$A:$A,0)))</f>
        <v/>
      </c>
      <c r="F41" s="81" t="str">
        <f>IF($B41="","",INDEX('Bảng 3'!F:F,MATCH($B41,'Bảng 3'!$A:$A,0)))</f>
        <v/>
      </c>
      <c r="G41" s="81" t="str">
        <f>IF($B41="","",INDEX('Bảng 3'!G:G,MATCH($B41,'Bảng 3'!$A:$A,0)))</f>
        <v/>
      </c>
      <c r="H41" s="121"/>
      <c r="I41" s="135"/>
      <c r="J41" s="135">
        <f>J$3</f>
        <v>46174</v>
      </c>
      <c r="K41" s="136" t="s">
        <v>501</v>
      </c>
      <c r="L41" s="137" t="s">
        <v>501</v>
      </c>
      <c r="M41" s="135">
        <f>M$3</f>
        <v>46175</v>
      </c>
      <c r="N41" s="136" t="s">
        <v>501</v>
      </c>
      <c r="O41" s="137" t="s">
        <v>501</v>
      </c>
      <c r="P41" s="135">
        <f>P$3</f>
        <v>46176</v>
      </c>
      <c r="Q41" s="136" t="s">
        <v>501</v>
      </c>
      <c r="R41" s="137" t="s">
        <v>501</v>
      </c>
      <c r="S41" s="135">
        <f>S$3</f>
        <v>46177</v>
      </c>
      <c r="T41" s="136" t="s">
        <v>501</v>
      </c>
      <c r="U41" s="137" t="s">
        <v>501</v>
      </c>
      <c r="V41" s="135">
        <f>V$3</f>
        <v>46178</v>
      </c>
      <c r="W41" s="136" t="s">
        <v>501</v>
      </c>
      <c r="X41" s="137" t="s">
        <v>501</v>
      </c>
      <c r="Y41" s="135">
        <f>Y$3</f>
        <v>46179</v>
      </c>
      <c r="Z41" s="136" t="s">
        <v>501</v>
      </c>
      <c r="AA41" s="137" t="s">
        <v>501</v>
      </c>
      <c r="AB41" s="135"/>
      <c r="AC41" s="135">
        <f>AC$3</f>
        <v>46181</v>
      </c>
      <c r="AD41" s="136" t="s">
        <v>501</v>
      </c>
      <c r="AE41" s="137" t="s">
        <v>501</v>
      </c>
      <c r="AF41" s="135">
        <f>AF$3</f>
        <v>46182</v>
      </c>
      <c r="AG41" s="136" t="s">
        <v>501</v>
      </c>
      <c r="AH41" s="137" t="s">
        <v>501</v>
      </c>
      <c r="AI41" s="135">
        <f>AI$3</f>
        <v>46183</v>
      </c>
      <c r="AJ41" s="136" t="s">
        <v>501</v>
      </c>
      <c r="AK41" s="137" t="s">
        <v>501</v>
      </c>
      <c r="AL41" s="135">
        <f>AL$3</f>
        <v>46184</v>
      </c>
      <c r="AM41" s="136" t="s">
        <v>501</v>
      </c>
      <c r="AN41" s="137" t="s">
        <v>501</v>
      </c>
      <c r="AO41" s="135">
        <f>AO$3</f>
        <v>46185</v>
      </c>
      <c r="AP41" s="136" t="s">
        <v>501</v>
      </c>
      <c r="AQ41" s="137" t="s">
        <v>501</v>
      </c>
      <c r="AR41" s="135">
        <f>AR$3</f>
        <v>46186</v>
      </c>
      <c r="AS41" s="136" t="s">
        <v>501</v>
      </c>
      <c r="AT41" s="137" t="s">
        <v>501</v>
      </c>
      <c r="AU41" s="12"/>
    </row>
    <row r="42" spans="1:47">
      <c r="A42" s="122" t="str">
        <f>$A$37</f>
        <v>Nguyễn Văn Hải</v>
      </c>
      <c r="B42" s="28"/>
      <c r="C42" s="81" t="str">
        <f>IF($B42="","",INDEX('Bảng 3'!C:C,MATCH($B42,'Bảng 3'!$A:$A,0)))</f>
        <v/>
      </c>
      <c r="D42" s="81" t="str">
        <f>IF($B42="","",INDEX('Bảng 3'!D:D,MATCH($B42,'Bảng 3'!$A:$A,0)))</f>
        <v/>
      </c>
      <c r="E42" s="150" t="str">
        <f>IF($B42="","",INDEX('Bảng 3'!E:E,MATCH($B42,'Bảng 3'!$A:$A,0)))</f>
        <v/>
      </c>
      <c r="F42" s="81" t="str">
        <f>IF($B42="","",INDEX('Bảng 3'!F:F,MATCH($B42,'Bảng 3'!$A:$A,0)))</f>
        <v/>
      </c>
      <c r="G42" s="81" t="str">
        <f>IF($B42="","",INDEX('Bảng 3'!G:G,MATCH($B42,'Bảng 3'!$A:$A,0)))</f>
        <v/>
      </c>
      <c r="H42" s="121"/>
      <c r="I42" s="135"/>
      <c r="J42" s="135">
        <f>J$3</f>
        <v>46174</v>
      </c>
      <c r="K42" s="136" t="s">
        <v>501</v>
      </c>
      <c r="L42" s="137" t="s">
        <v>501</v>
      </c>
      <c r="M42" s="135">
        <f>M$3</f>
        <v>46175</v>
      </c>
      <c r="N42" s="136" t="s">
        <v>501</v>
      </c>
      <c r="O42" s="137" t="s">
        <v>501</v>
      </c>
      <c r="P42" s="135">
        <f>P$3</f>
        <v>46176</v>
      </c>
      <c r="Q42" s="136" t="s">
        <v>501</v>
      </c>
      <c r="R42" s="137" t="s">
        <v>501</v>
      </c>
      <c r="S42" s="135">
        <f>S$3</f>
        <v>46177</v>
      </c>
      <c r="T42" s="136" t="s">
        <v>501</v>
      </c>
      <c r="U42" s="137" t="s">
        <v>501</v>
      </c>
      <c r="V42" s="135">
        <f>V$3</f>
        <v>46178</v>
      </c>
      <c r="W42" s="136" t="s">
        <v>501</v>
      </c>
      <c r="X42" s="137" t="s">
        <v>501</v>
      </c>
      <c r="Y42" s="135">
        <f>Y$3</f>
        <v>46179</v>
      </c>
      <c r="Z42" s="136" t="s">
        <v>501</v>
      </c>
      <c r="AA42" s="137" t="s">
        <v>501</v>
      </c>
      <c r="AB42" s="135"/>
      <c r="AC42" s="135">
        <f>AC$3</f>
        <v>46181</v>
      </c>
      <c r="AD42" s="136" t="s">
        <v>501</v>
      </c>
      <c r="AE42" s="137" t="s">
        <v>501</v>
      </c>
      <c r="AF42" s="135">
        <f>AF$3</f>
        <v>46182</v>
      </c>
      <c r="AG42" s="136" t="s">
        <v>501</v>
      </c>
      <c r="AH42" s="137" t="s">
        <v>501</v>
      </c>
      <c r="AI42" s="135">
        <f>AI$3</f>
        <v>46183</v>
      </c>
      <c r="AJ42" s="136" t="s">
        <v>501</v>
      </c>
      <c r="AK42" s="137" t="s">
        <v>501</v>
      </c>
      <c r="AL42" s="135">
        <f>AL$3</f>
        <v>46184</v>
      </c>
      <c r="AM42" s="136" t="s">
        <v>501</v>
      </c>
      <c r="AN42" s="137" t="s">
        <v>501</v>
      </c>
      <c r="AO42" s="135">
        <f>AO$3</f>
        <v>46185</v>
      </c>
      <c r="AP42" s="136" t="s">
        <v>501</v>
      </c>
      <c r="AQ42" s="137" t="s">
        <v>501</v>
      </c>
      <c r="AR42" s="135">
        <f>AR$3</f>
        <v>46186</v>
      </c>
      <c r="AS42" s="136" t="s">
        <v>501</v>
      </c>
      <c r="AT42" s="137" t="s">
        <v>501</v>
      </c>
      <c r="AU42" s="12"/>
    </row>
    <row r="43" spans="1:47">
      <c r="A43" s="122" t="str">
        <f>$A$37</f>
        <v>Nguyễn Văn Hải</v>
      </c>
      <c r="B43" s="28"/>
      <c r="C43" s="81" t="str">
        <f>IF($B43="","",INDEX('Bảng 3'!C:C,MATCH($B43,'Bảng 3'!$A:$A,0)))</f>
        <v/>
      </c>
      <c r="D43" s="81" t="str">
        <f>IF($B43="","",INDEX('Bảng 3'!D:D,MATCH($B43,'Bảng 3'!$A:$A,0)))</f>
        <v/>
      </c>
      <c r="E43" s="150" t="str">
        <f>IF($B43="","",INDEX('Bảng 3'!E:E,MATCH($B43,'Bảng 3'!$A:$A,0)))</f>
        <v/>
      </c>
      <c r="F43" s="81" t="str">
        <f>IF($B43="","",INDEX('Bảng 3'!F:F,MATCH($B43,'Bảng 3'!$A:$A,0)))</f>
        <v/>
      </c>
      <c r="G43" s="81" t="str">
        <f>IF($B43="","",INDEX('Bảng 3'!G:G,MATCH($B43,'Bảng 3'!$A:$A,0)))</f>
        <v/>
      </c>
      <c r="H43" s="121"/>
      <c r="I43" s="135"/>
      <c r="J43" s="135">
        <f>J$3</f>
        <v>46174</v>
      </c>
      <c r="K43" s="136" t="s">
        <v>501</v>
      </c>
      <c r="L43" s="137" t="s">
        <v>501</v>
      </c>
      <c r="M43" s="135">
        <f>M$3</f>
        <v>46175</v>
      </c>
      <c r="N43" s="136" t="s">
        <v>501</v>
      </c>
      <c r="O43" s="137" t="s">
        <v>501</v>
      </c>
      <c r="P43" s="135">
        <f>P$3</f>
        <v>46176</v>
      </c>
      <c r="Q43" s="136" t="s">
        <v>501</v>
      </c>
      <c r="R43" s="137" t="s">
        <v>501</v>
      </c>
      <c r="S43" s="135">
        <f>S$3</f>
        <v>46177</v>
      </c>
      <c r="T43" s="136" t="s">
        <v>501</v>
      </c>
      <c r="U43" s="137" t="s">
        <v>501</v>
      </c>
      <c r="V43" s="135">
        <f>V$3</f>
        <v>46178</v>
      </c>
      <c r="W43" s="136" t="s">
        <v>501</v>
      </c>
      <c r="X43" s="137" t="s">
        <v>501</v>
      </c>
      <c r="Y43" s="135">
        <f>Y$3</f>
        <v>46179</v>
      </c>
      <c r="Z43" s="136" t="s">
        <v>501</v>
      </c>
      <c r="AA43" s="137" t="s">
        <v>501</v>
      </c>
      <c r="AB43" s="135"/>
      <c r="AC43" s="135">
        <f>AC$3</f>
        <v>46181</v>
      </c>
      <c r="AD43" s="136" t="s">
        <v>501</v>
      </c>
      <c r="AE43" s="137" t="s">
        <v>501</v>
      </c>
      <c r="AF43" s="135">
        <f>AF$3</f>
        <v>46182</v>
      </c>
      <c r="AG43" s="136" t="s">
        <v>501</v>
      </c>
      <c r="AH43" s="137" t="s">
        <v>501</v>
      </c>
      <c r="AI43" s="135">
        <f>AI$3</f>
        <v>46183</v>
      </c>
      <c r="AJ43" s="136" t="s">
        <v>501</v>
      </c>
      <c r="AK43" s="137" t="s">
        <v>501</v>
      </c>
      <c r="AL43" s="135">
        <f>AL$3</f>
        <v>46184</v>
      </c>
      <c r="AM43" s="136" t="s">
        <v>501</v>
      </c>
      <c r="AN43" s="137" t="s">
        <v>501</v>
      </c>
      <c r="AO43" s="135">
        <f>AO$3</f>
        <v>46185</v>
      </c>
      <c r="AP43" s="136" t="s">
        <v>501</v>
      </c>
      <c r="AQ43" s="137" t="s">
        <v>501</v>
      </c>
      <c r="AR43" s="135">
        <f>AR$3</f>
        <v>46186</v>
      </c>
      <c r="AS43" s="136" t="s">
        <v>501</v>
      </c>
      <c r="AT43" s="137" t="s">
        <v>501</v>
      </c>
      <c r="AU43" s="12"/>
    </row>
    <row r="44" spans="1:47">
      <c r="A44" s="36" t="s">
        <v>180</v>
      </c>
      <c r="B44" s="28"/>
      <c r="C44" s="81" t="str">
        <f>IF($B44="","",INDEX('Bảng 3'!C:C,MATCH($B44,'Bảng 3'!$A:$A,0)))</f>
        <v/>
      </c>
      <c r="D44" s="81" t="str">
        <f>IF($B44="","",INDEX('Bảng 3'!D:D,MATCH($B44,'Bảng 3'!$A:$A,0)))</f>
        <v/>
      </c>
      <c r="E44" s="150" t="str">
        <f>IF($B44="","",INDEX('Bảng 3'!E:E,MATCH($B44,'Bảng 3'!$A:$A,0)))</f>
        <v/>
      </c>
      <c r="F44" s="81" t="str">
        <f>IF($B44="","",INDEX('Bảng 3'!F:F,MATCH($B44,'Bảng 3'!$A:$A,0)))</f>
        <v/>
      </c>
      <c r="G44" s="81" t="str">
        <f>IF($B44="","",INDEX('Bảng 3'!G:G,MATCH($B44,'Bảng 3'!$A:$A,0)))</f>
        <v/>
      </c>
      <c r="H44" s="121"/>
      <c r="I44" s="138"/>
      <c r="J44" s="138">
        <f>J$3</f>
        <v>46174</v>
      </c>
      <c r="K44" s="132" t="s">
        <v>501</v>
      </c>
      <c r="L44" s="133">
        <f>SUM(L45:L54)</f>
        <v>8</v>
      </c>
      <c r="M44" s="138">
        <f>M$3</f>
        <v>46175</v>
      </c>
      <c r="N44" s="132" t="s">
        <v>501</v>
      </c>
      <c r="O44" s="133">
        <f>SUM(O45:O54)</f>
        <v>4</v>
      </c>
      <c r="P44" s="138">
        <f>P$3</f>
        <v>46176</v>
      </c>
      <c r="Q44" s="132" t="s">
        <v>501</v>
      </c>
      <c r="R44" s="133">
        <f>SUM(R45:R49)</f>
        <v>0</v>
      </c>
      <c r="S44" s="138">
        <f>S$3</f>
        <v>46177</v>
      </c>
      <c r="T44" s="132" t="s">
        <v>501</v>
      </c>
      <c r="U44" s="133">
        <f>SUM(U45:U49)</f>
        <v>0</v>
      </c>
      <c r="V44" s="138">
        <f>V$3</f>
        <v>46178</v>
      </c>
      <c r="W44" s="132" t="s">
        <v>501</v>
      </c>
      <c r="X44" s="133">
        <f>SUM(X45:X49)</f>
        <v>0</v>
      </c>
      <c r="Y44" s="138">
        <f>Y$3</f>
        <v>46179</v>
      </c>
      <c r="Z44" s="132" t="s">
        <v>501</v>
      </c>
      <c r="AA44" s="133">
        <f>SUM(AA45:AA49)</f>
        <v>0</v>
      </c>
      <c r="AB44" s="138"/>
      <c r="AC44" s="138">
        <f>AC$3</f>
        <v>46181</v>
      </c>
      <c r="AD44" s="132" t="s">
        <v>501</v>
      </c>
      <c r="AE44" s="133">
        <f>SUM(AE45:AE49)</f>
        <v>0</v>
      </c>
      <c r="AF44" s="138">
        <f>AF$3</f>
        <v>46182</v>
      </c>
      <c r="AG44" s="132" t="s">
        <v>501</v>
      </c>
      <c r="AH44" s="133">
        <f>SUM(AH45:AH49)</f>
        <v>0</v>
      </c>
      <c r="AI44" s="138">
        <f>AI$3</f>
        <v>46183</v>
      </c>
      <c r="AJ44" s="132" t="s">
        <v>501</v>
      </c>
      <c r="AK44" s="133">
        <f>SUM(AK45:AK49)</f>
        <v>0</v>
      </c>
      <c r="AL44" s="138">
        <f>AL$3</f>
        <v>46184</v>
      </c>
      <c r="AM44" s="132" t="s">
        <v>501</v>
      </c>
      <c r="AN44" s="133">
        <f>SUM(AN45:AN49)</f>
        <v>0</v>
      </c>
      <c r="AO44" s="138">
        <f>AO$3</f>
        <v>46185</v>
      </c>
      <c r="AP44" s="132" t="s">
        <v>501</v>
      </c>
      <c r="AQ44" s="133">
        <f>SUM(AQ45:AQ49)</f>
        <v>0</v>
      </c>
      <c r="AR44" s="138">
        <f>AR$3</f>
        <v>46186</v>
      </c>
      <c r="AS44" s="132" t="s">
        <v>501</v>
      </c>
      <c r="AT44" s="133">
        <f>SUM(AT45:AT49)</f>
        <v>0</v>
      </c>
      <c r="AU44" s="134"/>
    </row>
    <row r="45" spans="1:47">
      <c r="A45" s="122" t="str">
        <f>$A$44</f>
        <v>Phan Trường Giang</v>
      </c>
      <c r="B45" s="28" t="s">
        <v>735</v>
      </c>
      <c r="C45" s="81" t="str">
        <f>IF($B45="","",INDEX('Bảng 3'!C:C,MATCH($B45,'Bảng 3'!$A:$A,0)))</f>
        <v>Quản lý BIM</v>
      </c>
      <c r="D45" s="81" t="str">
        <f>IF($B45="","",INDEX('Bảng 3'!D:D,MATCH($B45,'Bảng 3'!$A:$A,0)))</f>
        <v>N.HCM.CGIO.NTD</v>
      </c>
      <c r="E45" s="150" t="str">
        <f>IF($B45="","",INDEX('Bảng 3'!E:E,MATCH($B45,'Bảng 3'!$A:$A,0)))</f>
        <v>Nhà thi đấu lô B5.03.2</v>
      </c>
      <c r="F45" s="81" t="str">
        <f>IF($B45="","",INDEX('Bảng 3'!F:F,MATCH($B45,'Bảng 3'!$A:$A,0)))</f>
        <v>DH</v>
      </c>
      <c r="G45" s="81" t="str">
        <f>IF($B45="","",INDEX('Bảng 3'!G:G,MATCH($B45,'Bảng 3'!$A:$A,0)))</f>
        <v>KSCL mô hình BIM</v>
      </c>
      <c r="H45" s="121"/>
      <c r="I45" s="135"/>
      <c r="J45" s="135">
        <f>J$3</f>
        <v>46174</v>
      </c>
      <c r="K45" s="136" t="s">
        <v>501</v>
      </c>
      <c r="L45" s="137">
        <v>0.25</v>
      </c>
      <c r="M45" s="135">
        <f>M$3</f>
        <v>46175</v>
      </c>
      <c r="N45" s="136" t="s">
        <v>501</v>
      </c>
      <c r="O45" s="137" t="s">
        <v>501</v>
      </c>
      <c r="P45" s="135">
        <f>P$3</f>
        <v>46176</v>
      </c>
      <c r="Q45" s="136" t="s">
        <v>501</v>
      </c>
      <c r="R45" s="137" t="s">
        <v>501</v>
      </c>
      <c r="S45" s="135">
        <f>S$3</f>
        <v>46177</v>
      </c>
      <c r="T45" s="136" t="s">
        <v>501</v>
      </c>
      <c r="U45" s="137" t="s">
        <v>501</v>
      </c>
      <c r="V45" s="135">
        <f>V$3</f>
        <v>46178</v>
      </c>
      <c r="W45" s="136" t="s">
        <v>501</v>
      </c>
      <c r="X45" s="137" t="s">
        <v>501</v>
      </c>
      <c r="Y45" s="135">
        <f>Y$3</f>
        <v>46179</v>
      </c>
      <c r="Z45" s="136" t="s">
        <v>501</v>
      </c>
      <c r="AA45" s="137" t="s">
        <v>501</v>
      </c>
      <c r="AB45" s="135"/>
      <c r="AC45" s="135">
        <f>AC$3</f>
        <v>46181</v>
      </c>
      <c r="AD45" s="136" t="s">
        <v>501</v>
      </c>
      <c r="AE45" s="137" t="s">
        <v>501</v>
      </c>
      <c r="AF45" s="135">
        <f>AF$3</f>
        <v>46182</v>
      </c>
      <c r="AG45" s="136" t="s">
        <v>501</v>
      </c>
      <c r="AH45" s="137" t="s">
        <v>501</v>
      </c>
      <c r="AI45" s="135">
        <f>AI$3</f>
        <v>46183</v>
      </c>
      <c r="AJ45" s="136" t="s">
        <v>501</v>
      </c>
      <c r="AK45" s="137" t="s">
        <v>501</v>
      </c>
      <c r="AL45" s="135">
        <f>AL$3</f>
        <v>46184</v>
      </c>
      <c r="AM45" s="136" t="s">
        <v>501</v>
      </c>
      <c r="AN45" s="137" t="s">
        <v>501</v>
      </c>
      <c r="AO45" s="135">
        <f>AO$3</f>
        <v>46185</v>
      </c>
      <c r="AP45" s="136" t="s">
        <v>501</v>
      </c>
      <c r="AQ45" s="137" t="s">
        <v>501</v>
      </c>
      <c r="AR45" s="135">
        <f>AR$3</f>
        <v>46186</v>
      </c>
      <c r="AS45" s="136" t="s">
        <v>501</v>
      </c>
      <c r="AT45" s="137" t="s">
        <v>501</v>
      </c>
      <c r="AU45" s="12"/>
    </row>
    <row r="46" spans="1:47">
      <c r="A46" s="122" t="str">
        <f>$A$44</f>
        <v>Phan Trường Giang</v>
      </c>
      <c r="B46" s="28" t="s">
        <v>736</v>
      </c>
      <c r="C46" s="81" t="str">
        <f>IF($B46="","",INDEX('Bảng 3'!C:C,MATCH($B46,'Bảng 3'!$A:$A,0)))</f>
        <v>Quản lý BIM</v>
      </c>
      <c r="D46" s="81" t="str">
        <f>IF($B46="","",INDEX('Bảng 3'!D:D,MATCH($B46,'Bảng 3'!$A:$A,0)))</f>
        <v>N.HCM.CGIO.KS</v>
      </c>
      <c r="E46" s="150" t="str">
        <f>IF($B46="","",INDEX('Bảng 3'!E:E,MATCH($B46,'Bảng 3'!$A:$A,0)))</f>
        <v>Khách sạn Vinpearl A5.02.13</v>
      </c>
      <c r="F46" s="81" t="str">
        <f>IF($B46="","",INDEX('Bảng 3'!F:F,MATCH($B46,'Bảng 3'!$A:$A,0)))</f>
        <v>DI</v>
      </c>
      <c r="G46" s="81" t="str">
        <f>IF($B46="","",INDEX('Bảng 3'!G:G,MATCH($B46,'Bảng 3'!$A:$A,0)))</f>
        <v>KSCL mô hình BIM</v>
      </c>
      <c r="H46" s="121"/>
      <c r="I46" s="135"/>
      <c r="J46" s="135">
        <f>J$3</f>
        <v>46174</v>
      </c>
      <c r="K46" s="136" t="s">
        <v>501</v>
      </c>
      <c r="L46" s="137">
        <v>1</v>
      </c>
      <c r="M46" s="135">
        <f>M$3</f>
        <v>46175</v>
      </c>
      <c r="N46" s="136"/>
      <c r="O46" s="137">
        <v>1.5</v>
      </c>
      <c r="P46" s="135">
        <f>P$3</f>
        <v>46176</v>
      </c>
      <c r="Q46" s="136" t="s">
        <v>501</v>
      </c>
      <c r="R46" s="137" t="s">
        <v>501</v>
      </c>
      <c r="S46" s="135">
        <f>S$3</f>
        <v>46177</v>
      </c>
      <c r="T46" s="136" t="s">
        <v>501</v>
      </c>
      <c r="U46" s="137" t="s">
        <v>501</v>
      </c>
      <c r="V46" s="135">
        <f>V$3</f>
        <v>46178</v>
      </c>
      <c r="W46" s="136" t="s">
        <v>501</v>
      </c>
      <c r="X46" s="137" t="s">
        <v>501</v>
      </c>
      <c r="Y46" s="135">
        <f>Y$3</f>
        <v>46179</v>
      </c>
      <c r="Z46" s="136" t="s">
        <v>501</v>
      </c>
      <c r="AA46" s="137" t="s">
        <v>501</v>
      </c>
      <c r="AB46" s="135"/>
      <c r="AC46" s="135">
        <f>AC$3</f>
        <v>46181</v>
      </c>
      <c r="AD46" s="136" t="s">
        <v>501</v>
      </c>
      <c r="AE46" s="137" t="s">
        <v>501</v>
      </c>
      <c r="AF46" s="135">
        <f>AF$3</f>
        <v>46182</v>
      </c>
      <c r="AG46" s="136" t="s">
        <v>501</v>
      </c>
      <c r="AH46" s="137" t="s">
        <v>501</v>
      </c>
      <c r="AI46" s="135">
        <f>AI$3</f>
        <v>46183</v>
      </c>
      <c r="AJ46" s="136" t="s">
        <v>501</v>
      </c>
      <c r="AK46" s="137" t="s">
        <v>501</v>
      </c>
      <c r="AL46" s="135">
        <f>AL$3</f>
        <v>46184</v>
      </c>
      <c r="AM46" s="136" t="s">
        <v>501</v>
      </c>
      <c r="AN46" s="137" t="s">
        <v>501</v>
      </c>
      <c r="AO46" s="135">
        <f>AO$3</f>
        <v>46185</v>
      </c>
      <c r="AP46" s="136" t="s">
        <v>501</v>
      </c>
      <c r="AQ46" s="137" t="s">
        <v>501</v>
      </c>
      <c r="AR46" s="135">
        <f>AR$3</f>
        <v>46186</v>
      </c>
      <c r="AS46" s="136" t="s">
        <v>501</v>
      </c>
      <c r="AT46" s="137" t="s">
        <v>501</v>
      </c>
      <c r="AU46" s="12"/>
    </row>
    <row r="47" spans="1:47">
      <c r="A47" s="122" t="str">
        <f>$A$44</f>
        <v>Phan Trường Giang</v>
      </c>
      <c r="B47" s="82" t="s">
        <v>737</v>
      </c>
      <c r="C47" s="81" t="str">
        <f>IF($B47="","",INDEX('Bảng 3'!C:C,MATCH($B47,'Bảng 3'!$A:$A,0)))</f>
        <v>Quản lý BIM</v>
      </c>
      <c r="D47" s="81" t="str">
        <f>IF($B47="","",INDEX('Bảng 3'!D:D,MATCH($B47,'Bảng 3'!$A:$A,0)))</f>
        <v>N.HCM.CGIO.KS</v>
      </c>
      <c r="E47" s="150" t="str">
        <f>IF($B47="","",INDEX('Bảng 3'!E:E,MATCH($B47,'Bảng 3'!$A:$A,0)))</f>
        <v>Khách sạn Vinpearl A5.02.13</v>
      </c>
      <c r="F47" s="81" t="str">
        <f>IF($B47="","",INDEX('Bảng 3'!F:F,MATCH($B47,'Bảng 3'!$A:$A,0)))</f>
        <v>DN</v>
      </c>
      <c r="G47" s="81" t="str">
        <f>IF($B47="","",INDEX('Bảng 3'!G:G,MATCH($B47,'Bảng 3'!$A:$A,0)))</f>
        <v>KSCL mô hình BIM</v>
      </c>
      <c r="H47" s="121"/>
      <c r="I47" s="135"/>
      <c r="J47" s="135">
        <f>J$3</f>
        <v>46174</v>
      </c>
      <c r="K47" s="136" t="s">
        <v>501</v>
      </c>
      <c r="L47" s="137">
        <v>1</v>
      </c>
      <c r="M47" s="135">
        <f>M$3</f>
        <v>46175</v>
      </c>
      <c r="N47" s="136" t="s">
        <v>501</v>
      </c>
      <c r="O47" s="137">
        <v>0.25</v>
      </c>
      <c r="P47" s="135">
        <f>P$3</f>
        <v>46176</v>
      </c>
      <c r="Q47" s="136" t="s">
        <v>501</v>
      </c>
      <c r="R47" s="137" t="s">
        <v>501</v>
      </c>
      <c r="S47" s="135">
        <f>S$3</f>
        <v>46177</v>
      </c>
      <c r="T47" s="136" t="s">
        <v>501</v>
      </c>
      <c r="U47" s="137" t="s">
        <v>501</v>
      </c>
      <c r="V47" s="135">
        <f>V$3</f>
        <v>46178</v>
      </c>
      <c r="W47" s="136" t="s">
        <v>501</v>
      </c>
      <c r="X47" s="137" t="s">
        <v>501</v>
      </c>
      <c r="Y47" s="135">
        <f>Y$3</f>
        <v>46179</v>
      </c>
      <c r="Z47" s="136" t="s">
        <v>501</v>
      </c>
      <c r="AA47" s="137" t="s">
        <v>501</v>
      </c>
      <c r="AB47" s="135"/>
      <c r="AC47" s="135">
        <f>AC$3</f>
        <v>46181</v>
      </c>
      <c r="AD47" s="136" t="s">
        <v>501</v>
      </c>
      <c r="AE47" s="137" t="s">
        <v>501</v>
      </c>
      <c r="AF47" s="135">
        <f>AF$3</f>
        <v>46182</v>
      </c>
      <c r="AG47" s="136" t="s">
        <v>501</v>
      </c>
      <c r="AH47" s="137" t="s">
        <v>501</v>
      </c>
      <c r="AI47" s="135">
        <f>AI$3</f>
        <v>46183</v>
      </c>
      <c r="AJ47" s="136" t="s">
        <v>501</v>
      </c>
      <c r="AK47" s="137" t="s">
        <v>501</v>
      </c>
      <c r="AL47" s="135">
        <f>AL$3</f>
        <v>46184</v>
      </c>
      <c r="AM47" s="136" t="s">
        <v>501</v>
      </c>
      <c r="AN47" s="137" t="s">
        <v>501</v>
      </c>
      <c r="AO47" s="135">
        <f>AO$3</f>
        <v>46185</v>
      </c>
      <c r="AP47" s="136" t="s">
        <v>501</v>
      </c>
      <c r="AQ47" s="137" t="s">
        <v>501</v>
      </c>
      <c r="AR47" s="135">
        <f>AR$3</f>
        <v>46186</v>
      </c>
      <c r="AS47" s="136" t="s">
        <v>501</v>
      </c>
      <c r="AT47" s="137" t="s">
        <v>501</v>
      </c>
      <c r="AU47" s="12"/>
    </row>
    <row r="48" spans="1:47">
      <c r="A48" s="122" t="str">
        <f>$A$44</f>
        <v>Phan Trường Giang</v>
      </c>
      <c r="B48" s="82" t="s">
        <v>738</v>
      </c>
      <c r="C48" s="81" t="str">
        <f>IF($B48="","",INDEX('Bảng 3'!C:C,MATCH($B48,'Bảng 3'!$A:$A,0)))</f>
        <v>Quản lý BIM</v>
      </c>
      <c r="D48" s="81" t="str">
        <f>IF($B48="","",INDEX('Bảng 3'!D:D,MATCH($B48,'Bảng 3'!$A:$A,0)))</f>
        <v>N.HCM.CGIO.KS</v>
      </c>
      <c r="E48" s="150" t="str">
        <f>IF($B48="","",INDEX('Bảng 3'!E:E,MATCH($B48,'Bảng 3'!$A:$A,0)))</f>
        <v>Khách sạn Vinpearl A5.02.13</v>
      </c>
      <c r="F48" s="81" t="str">
        <f>IF($B48="","",INDEX('Bảng 3'!F:F,MATCH($B48,'Bảng 3'!$A:$A,0)))</f>
        <v>NU</v>
      </c>
      <c r="G48" s="81" t="str">
        <f>IF($B48="","",INDEX('Bảng 3'!G:G,MATCH($B48,'Bảng 3'!$A:$A,0)))</f>
        <v>KSCL mô hình BIM</v>
      </c>
      <c r="H48" s="121"/>
      <c r="I48" s="135"/>
      <c r="J48" s="135">
        <f>J$3</f>
        <v>46174</v>
      </c>
      <c r="K48" s="136" t="s">
        <v>501</v>
      </c>
      <c r="L48" s="137">
        <v>1</v>
      </c>
      <c r="M48" s="135">
        <f>M$3</f>
        <v>46175</v>
      </c>
      <c r="N48" s="136" t="s">
        <v>501</v>
      </c>
      <c r="O48" s="137">
        <v>0.25</v>
      </c>
      <c r="P48" s="135">
        <f>P$3</f>
        <v>46176</v>
      </c>
      <c r="Q48" s="136" t="s">
        <v>501</v>
      </c>
      <c r="R48" s="137" t="s">
        <v>501</v>
      </c>
      <c r="S48" s="135">
        <f>S$3</f>
        <v>46177</v>
      </c>
      <c r="T48" s="136" t="s">
        <v>501</v>
      </c>
      <c r="U48" s="137" t="s">
        <v>501</v>
      </c>
      <c r="V48" s="135">
        <f>V$3</f>
        <v>46178</v>
      </c>
      <c r="W48" s="136" t="s">
        <v>501</v>
      </c>
      <c r="X48" s="137" t="s">
        <v>501</v>
      </c>
      <c r="Y48" s="135">
        <f>Y$3</f>
        <v>46179</v>
      </c>
      <c r="Z48" s="136" t="s">
        <v>501</v>
      </c>
      <c r="AA48" s="137" t="s">
        <v>501</v>
      </c>
      <c r="AB48" s="135"/>
      <c r="AC48" s="135">
        <f>AC$3</f>
        <v>46181</v>
      </c>
      <c r="AD48" s="136" t="s">
        <v>501</v>
      </c>
      <c r="AE48" s="137" t="s">
        <v>501</v>
      </c>
      <c r="AF48" s="135">
        <f>AF$3</f>
        <v>46182</v>
      </c>
      <c r="AG48" s="136" t="s">
        <v>501</v>
      </c>
      <c r="AH48" s="137" t="s">
        <v>501</v>
      </c>
      <c r="AI48" s="135">
        <f>AI$3</f>
        <v>46183</v>
      </c>
      <c r="AJ48" s="136" t="s">
        <v>501</v>
      </c>
      <c r="AK48" s="137" t="s">
        <v>501</v>
      </c>
      <c r="AL48" s="135">
        <f>AL$3</f>
        <v>46184</v>
      </c>
      <c r="AM48" s="136" t="s">
        <v>501</v>
      </c>
      <c r="AN48" s="137" t="s">
        <v>501</v>
      </c>
      <c r="AO48" s="135">
        <f>AO$3</f>
        <v>46185</v>
      </c>
      <c r="AP48" s="136" t="s">
        <v>501</v>
      </c>
      <c r="AQ48" s="137" t="s">
        <v>501</v>
      </c>
      <c r="AR48" s="135">
        <f>AR$3</f>
        <v>46186</v>
      </c>
      <c r="AS48" s="136" t="s">
        <v>501</v>
      </c>
      <c r="AT48" s="137" t="s">
        <v>501</v>
      </c>
      <c r="AU48" s="12"/>
    </row>
    <row r="49" spans="1:47">
      <c r="A49" s="122" t="str">
        <f>$A$44</f>
        <v>Phan Trường Giang</v>
      </c>
      <c r="B49" s="82" t="s">
        <v>739</v>
      </c>
      <c r="C49" s="81" t="str">
        <f>IF($B49="","",INDEX('Bảng 3'!C:C,MATCH($B49,'Bảng 3'!$A:$A,0)))</f>
        <v>Quản lý BIM</v>
      </c>
      <c r="D49" s="81" t="str">
        <f>IF($B49="","",INDEX('Bảng 3'!D:D,MATCH($B49,'Bảng 3'!$A:$A,0)))</f>
        <v>N.HCM.CGIO.KS</v>
      </c>
      <c r="E49" s="150" t="str">
        <f>IF($B49="","",INDEX('Bảng 3'!E:E,MATCH($B49,'Bảng 3'!$A:$A,0)))</f>
        <v>Khách sạn Vinpearl A5.02.13</v>
      </c>
      <c r="F49" s="81" t="str">
        <f>IF($B49="","",INDEX('Bảng 3'!F:F,MATCH($B49,'Bảng 3'!$A:$A,0)))</f>
        <v>DH</v>
      </c>
      <c r="G49" s="81" t="str">
        <f>IF($B49="","",INDEX('Bảng 3'!G:G,MATCH($B49,'Bảng 3'!$A:$A,0)))</f>
        <v>KSCL mô hình BIM</v>
      </c>
      <c r="H49" s="121"/>
      <c r="I49" s="135"/>
      <c r="J49" s="135">
        <f>J$3</f>
        <v>46174</v>
      </c>
      <c r="K49" s="136" t="s">
        <v>501</v>
      </c>
      <c r="L49" s="137">
        <v>1</v>
      </c>
      <c r="M49" s="135">
        <f>M$3</f>
        <v>46175</v>
      </c>
      <c r="N49" s="136" t="s">
        <v>501</v>
      </c>
      <c r="O49" s="137">
        <v>0.25</v>
      </c>
      <c r="P49" s="135">
        <f>P$3</f>
        <v>46176</v>
      </c>
      <c r="Q49" s="136" t="s">
        <v>501</v>
      </c>
      <c r="R49" s="137" t="s">
        <v>501</v>
      </c>
      <c r="S49" s="135">
        <f>S$3</f>
        <v>46177</v>
      </c>
      <c r="T49" s="136" t="s">
        <v>501</v>
      </c>
      <c r="U49" s="137" t="s">
        <v>501</v>
      </c>
      <c r="V49" s="135">
        <f>V$3</f>
        <v>46178</v>
      </c>
      <c r="W49" s="136" t="s">
        <v>501</v>
      </c>
      <c r="X49" s="137" t="s">
        <v>501</v>
      </c>
      <c r="Y49" s="135">
        <f>Y$3</f>
        <v>46179</v>
      </c>
      <c r="Z49" s="136" t="s">
        <v>501</v>
      </c>
      <c r="AA49" s="137" t="s">
        <v>501</v>
      </c>
      <c r="AB49" s="135"/>
      <c r="AC49" s="135">
        <f>AC$3</f>
        <v>46181</v>
      </c>
      <c r="AD49" s="136" t="s">
        <v>501</v>
      </c>
      <c r="AE49" s="137" t="s">
        <v>501</v>
      </c>
      <c r="AF49" s="135">
        <f>AF$3</f>
        <v>46182</v>
      </c>
      <c r="AG49" s="136" t="s">
        <v>501</v>
      </c>
      <c r="AH49" s="137" t="s">
        <v>501</v>
      </c>
      <c r="AI49" s="135">
        <f>AI$3</f>
        <v>46183</v>
      </c>
      <c r="AJ49" s="136" t="s">
        <v>501</v>
      </c>
      <c r="AK49" s="137" t="s">
        <v>501</v>
      </c>
      <c r="AL49" s="135">
        <f>AL$3</f>
        <v>46184</v>
      </c>
      <c r="AM49" s="136" t="s">
        <v>501</v>
      </c>
      <c r="AN49" s="137" t="s">
        <v>501</v>
      </c>
      <c r="AO49" s="135">
        <f>AO$3</f>
        <v>46185</v>
      </c>
      <c r="AP49" s="136" t="s">
        <v>501</v>
      </c>
      <c r="AQ49" s="137" t="s">
        <v>501</v>
      </c>
      <c r="AR49" s="135">
        <f>AR$3</f>
        <v>46186</v>
      </c>
      <c r="AS49" s="136" t="s">
        <v>501</v>
      </c>
      <c r="AT49" s="137" t="s">
        <v>501</v>
      </c>
      <c r="AU49" s="12"/>
    </row>
    <row r="50" spans="1:47">
      <c r="A50" s="122" t="str">
        <f>$A$44</f>
        <v>Phan Trường Giang</v>
      </c>
      <c r="B50" s="82" t="s">
        <v>740</v>
      </c>
      <c r="C50" s="81" t="str">
        <f>IF($B50="","",INDEX('Bảng 3'!C:C,MATCH($B50,'Bảng 3'!$A:$A,0)))</f>
        <v>Quản lý BIM</v>
      </c>
      <c r="D50" s="81" t="str">
        <f>IF($B50="","",INDEX('Bảng 3'!D:D,MATCH($B50,'Bảng 3'!$A:$A,0)))</f>
        <v>N.HCM.CGIO.KS</v>
      </c>
      <c r="E50" s="150" t="str">
        <f>IF($B50="","",INDEX('Bảng 3'!E:E,MATCH($B50,'Bảng 3'!$A:$A,0)))</f>
        <v>Khách sạn Vinpearl A5.02.13</v>
      </c>
      <c r="F50" s="81" t="str">
        <f>IF($B50="","",INDEX('Bảng 3'!F:F,MATCH($B50,'Bảng 3'!$A:$A,0)))</f>
        <v>PC</v>
      </c>
      <c r="G50" s="81" t="str">
        <f>IF($B50="","",INDEX('Bảng 3'!G:G,MATCH($B50,'Bảng 3'!$A:$A,0)))</f>
        <v>KSCL mô hình BIM</v>
      </c>
      <c r="H50" s="121"/>
      <c r="I50" s="135"/>
      <c r="J50" s="135">
        <f>J$3</f>
        <v>46174</v>
      </c>
      <c r="K50" s="136" t="s">
        <v>501</v>
      </c>
      <c r="L50" s="137">
        <v>1</v>
      </c>
      <c r="M50" s="135">
        <f>M$3</f>
        <v>46175</v>
      </c>
      <c r="N50" s="136" t="s">
        <v>501</v>
      </c>
      <c r="O50" s="137">
        <v>0.25</v>
      </c>
      <c r="P50" s="135">
        <f>P$3</f>
        <v>46176</v>
      </c>
      <c r="Q50" s="136" t="s">
        <v>501</v>
      </c>
      <c r="R50" s="137" t="s">
        <v>501</v>
      </c>
      <c r="S50" s="135">
        <f>S$3</f>
        <v>46177</v>
      </c>
      <c r="T50" s="136" t="s">
        <v>501</v>
      </c>
      <c r="U50" s="137" t="s">
        <v>501</v>
      </c>
      <c r="V50" s="135">
        <f>V$3</f>
        <v>46178</v>
      </c>
      <c r="W50" s="136" t="s">
        <v>501</v>
      </c>
      <c r="X50" s="137" t="s">
        <v>501</v>
      </c>
      <c r="Y50" s="135">
        <f>Y$3</f>
        <v>46179</v>
      </c>
      <c r="Z50" s="136" t="s">
        <v>501</v>
      </c>
      <c r="AA50" s="137" t="s">
        <v>501</v>
      </c>
      <c r="AB50" s="135"/>
      <c r="AC50" s="135">
        <f>AC$3</f>
        <v>46181</v>
      </c>
      <c r="AD50" s="136" t="s">
        <v>501</v>
      </c>
      <c r="AE50" s="137" t="s">
        <v>501</v>
      </c>
      <c r="AF50" s="135">
        <f>AF$3</f>
        <v>46182</v>
      </c>
      <c r="AG50" s="136" t="s">
        <v>501</v>
      </c>
      <c r="AH50" s="137" t="s">
        <v>501</v>
      </c>
      <c r="AI50" s="135">
        <f>AI$3</f>
        <v>46183</v>
      </c>
      <c r="AJ50" s="136" t="s">
        <v>501</v>
      </c>
      <c r="AK50" s="137" t="s">
        <v>501</v>
      </c>
      <c r="AL50" s="135">
        <f>AL$3</f>
        <v>46184</v>
      </c>
      <c r="AM50" s="136" t="s">
        <v>501</v>
      </c>
      <c r="AN50" s="137" t="s">
        <v>501</v>
      </c>
      <c r="AO50" s="135">
        <f>AO$3</f>
        <v>46185</v>
      </c>
      <c r="AP50" s="136" t="s">
        <v>501</v>
      </c>
      <c r="AQ50" s="137" t="s">
        <v>501</v>
      </c>
      <c r="AR50" s="135">
        <f>AR$3</f>
        <v>46186</v>
      </c>
      <c r="AS50" s="136" t="s">
        <v>501</v>
      </c>
      <c r="AT50" s="137" t="s">
        <v>501</v>
      </c>
      <c r="AU50" s="12"/>
    </row>
    <row r="51" spans="1:47">
      <c r="A51" s="122" t="str">
        <f>$A$44</f>
        <v>Phan Trường Giang</v>
      </c>
      <c r="B51" s="28" t="s">
        <v>741</v>
      </c>
      <c r="C51" s="81" t="str">
        <f>IF($B51="","",INDEX('Bảng 3'!C:C,MATCH($B51,'Bảng 3'!$A:$A,0)))</f>
        <v>Quản lý BIM</v>
      </c>
      <c r="D51" s="81" t="str">
        <f>IF($B51="","",INDEX('Bảng 3'!D:D,MATCH($B51,'Bảng 3'!$A:$A,0)))</f>
        <v>B.HYE.PVF</v>
      </c>
      <c r="E51" s="150" t="str">
        <f>IF($B51="","",INDEX('Bảng 3'!E:E,MATCH($B51,'Bảng 3'!$A:$A,0)))</f>
        <v>Nhà thi đấu TDTT03</v>
      </c>
      <c r="F51" s="81" t="str">
        <f>IF($B51="","",INDEX('Bảng 3'!F:F,MATCH($B51,'Bảng 3'!$A:$A,0)))</f>
        <v>NU</v>
      </c>
      <c r="G51" s="81" t="str">
        <f>IF($B51="","",INDEX('Bảng 3'!G:G,MATCH($B51,'Bảng 3'!$A:$A,0)))</f>
        <v>KSCL mô hình BIM</v>
      </c>
      <c r="H51" s="121"/>
      <c r="I51" s="135"/>
      <c r="J51" s="135">
        <f>J$3</f>
        <v>46174</v>
      </c>
      <c r="K51" s="136" t="s">
        <v>501</v>
      </c>
      <c r="L51" s="137">
        <v>0.25</v>
      </c>
      <c r="M51" s="135">
        <f>M$3</f>
        <v>46175</v>
      </c>
      <c r="N51" s="136" t="s">
        <v>501</v>
      </c>
      <c r="O51" s="137" t="s">
        <v>501</v>
      </c>
      <c r="P51" s="135">
        <f>P$3</f>
        <v>46176</v>
      </c>
      <c r="Q51" s="136" t="s">
        <v>501</v>
      </c>
      <c r="R51" s="137" t="s">
        <v>501</v>
      </c>
      <c r="S51" s="135">
        <f>S$3</f>
        <v>46177</v>
      </c>
      <c r="T51" s="136" t="s">
        <v>501</v>
      </c>
      <c r="U51" s="137" t="s">
        <v>501</v>
      </c>
      <c r="V51" s="135">
        <f>V$3</f>
        <v>46178</v>
      </c>
      <c r="W51" s="136" t="s">
        <v>501</v>
      </c>
      <c r="X51" s="137" t="s">
        <v>501</v>
      </c>
      <c r="Y51" s="135">
        <f>Y$3</f>
        <v>46179</v>
      </c>
      <c r="Z51" s="136" t="s">
        <v>501</v>
      </c>
      <c r="AA51" s="137" t="s">
        <v>501</v>
      </c>
      <c r="AB51" s="135"/>
      <c r="AC51" s="135">
        <f>AC$3</f>
        <v>46181</v>
      </c>
      <c r="AD51" s="136" t="s">
        <v>501</v>
      </c>
      <c r="AE51" s="137" t="s">
        <v>501</v>
      </c>
      <c r="AF51" s="135">
        <f>AF$3</f>
        <v>46182</v>
      </c>
      <c r="AG51" s="136" t="s">
        <v>501</v>
      </c>
      <c r="AH51" s="137" t="s">
        <v>501</v>
      </c>
      <c r="AI51" s="135">
        <f>AI$3</f>
        <v>46183</v>
      </c>
      <c r="AJ51" s="136" t="s">
        <v>501</v>
      </c>
      <c r="AK51" s="137" t="s">
        <v>501</v>
      </c>
      <c r="AL51" s="135">
        <f>AL$3</f>
        <v>46184</v>
      </c>
      <c r="AM51" s="136" t="s">
        <v>501</v>
      </c>
      <c r="AN51" s="137" t="s">
        <v>501</v>
      </c>
      <c r="AO51" s="135">
        <f>AO$3</f>
        <v>46185</v>
      </c>
      <c r="AP51" s="136" t="s">
        <v>501</v>
      </c>
      <c r="AQ51" s="137" t="s">
        <v>501</v>
      </c>
      <c r="AR51" s="135">
        <f>AR$3</f>
        <v>46186</v>
      </c>
      <c r="AS51" s="136" t="s">
        <v>501</v>
      </c>
      <c r="AT51" s="137" t="s">
        <v>501</v>
      </c>
      <c r="AU51" s="12"/>
    </row>
    <row r="52" spans="1:47">
      <c r="A52" s="122" t="str">
        <f>$A$44</f>
        <v>Phan Trường Giang</v>
      </c>
      <c r="B52" s="28" t="s">
        <v>742</v>
      </c>
      <c r="C52" s="81" t="str">
        <f>IF($B52="","",INDEX('Bảng 3'!C:C,MATCH($B52,'Bảng 3'!$A:$A,0)))</f>
        <v>Quản lý BIM</v>
      </c>
      <c r="D52" s="81" t="str">
        <f>IF($B52="","",INDEX('Bảng 3'!D:D,MATCH($B52,'Bảng 3'!$A:$A,0)))</f>
        <v>B.HYE.PVF</v>
      </c>
      <c r="E52" s="150" t="str">
        <f>IF($B52="","",INDEX('Bảng 3'!E:E,MATCH($B52,'Bảng 3'!$A:$A,0)))</f>
        <v>Nhà thi đấu TDTT03</v>
      </c>
      <c r="F52" s="81" t="str">
        <f>IF($B52="","",INDEX('Bảng 3'!F:F,MATCH($B52,'Bảng 3'!$A:$A,0)))</f>
        <v>DH</v>
      </c>
      <c r="G52" s="81" t="str">
        <f>IF($B52="","",INDEX('Bảng 3'!G:G,MATCH($B52,'Bảng 3'!$A:$A,0)))</f>
        <v>KSCL mô hình BIM</v>
      </c>
      <c r="H52" s="121"/>
      <c r="I52" s="135"/>
      <c r="J52" s="135">
        <f>J$3</f>
        <v>46174</v>
      </c>
      <c r="K52" s="136" t="s">
        <v>501</v>
      </c>
      <c r="L52" s="137">
        <v>0.25</v>
      </c>
      <c r="M52" s="135">
        <f>M$3</f>
        <v>46175</v>
      </c>
      <c r="N52" s="136" t="s">
        <v>501</v>
      </c>
      <c r="O52" s="137" t="s">
        <v>501</v>
      </c>
      <c r="P52" s="135">
        <f>P$3</f>
        <v>46176</v>
      </c>
      <c r="Q52" s="136" t="s">
        <v>501</v>
      </c>
      <c r="R52" s="137" t="s">
        <v>501</v>
      </c>
      <c r="S52" s="135">
        <f>S$3</f>
        <v>46177</v>
      </c>
      <c r="T52" s="136" t="s">
        <v>501</v>
      </c>
      <c r="U52" s="137" t="s">
        <v>501</v>
      </c>
      <c r="V52" s="135">
        <f>V$3</f>
        <v>46178</v>
      </c>
      <c r="W52" s="136" t="s">
        <v>501</v>
      </c>
      <c r="X52" s="137" t="s">
        <v>501</v>
      </c>
      <c r="Y52" s="135">
        <f>Y$3</f>
        <v>46179</v>
      </c>
      <c r="Z52" s="136" t="s">
        <v>501</v>
      </c>
      <c r="AA52" s="137" t="s">
        <v>501</v>
      </c>
      <c r="AB52" s="135"/>
      <c r="AC52" s="135">
        <f>AC$3</f>
        <v>46181</v>
      </c>
      <c r="AD52" s="136" t="s">
        <v>501</v>
      </c>
      <c r="AE52" s="137" t="s">
        <v>501</v>
      </c>
      <c r="AF52" s="135">
        <f>AF$3</f>
        <v>46182</v>
      </c>
      <c r="AG52" s="136" t="s">
        <v>501</v>
      </c>
      <c r="AH52" s="137" t="s">
        <v>501</v>
      </c>
      <c r="AI52" s="135">
        <f>AI$3</f>
        <v>46183</v>
      </c>
      <c r="AJ52" s="136" t="s">
        <v>501</v>
      </c>
      <c r="AK52" s="137" t="s">
        <v>501</v>
      </c>
      <c r="AL52" s="135">
        <f>AL$3</f>
        <v>46184</v>
      </c>
      <c r="AM52" s="136" t="s">
        <v>501</v>
      </c>
      <c r="AN52" s="137" t="s">
        <v>501</v>
      </c>
      <c r="AO52" s="135">
        <f>AO$3</f>
        <v>46185</v>
      </c>
      <c r="AP52" s="136" t="s">
        <v>501</v>
      </c>
      <c r="AQ52" s="137" t="s">
        <v>501</v>
      </c>
      <c r="AR52" s="135">
        <f>AR$3</f>
        <v>46186</v>
      </c>
      <c r="AS52" s="136" t="s">
        <v>501</v>
      </c>
      <c r="AT52" s="137" t="s">
        <v>501</v>
      </c>
      <c r="AU52" s="12"/>
    </row>
    <row r="53" spans="1:47">
      <c r="A53" s="122" t="str">
        <f>$A$44</f>
        <v>Phan Trường Giang</v>
      </c>
      <c r="B53" s="28" t="s">
        <v>743</v>
      </c>
      <c r="C53" s="81" t="str">
        <f>IF($B53="","",INDEX('Bảng 3'!C:C,MATCH($B53,'Bảng 3'!$A:$A,0)))</f>
        <v>Quản lý BIM</v>
      </c>
      <c r="D53" s="81" t="str">
        <f>IF($B53="","",INDEX('Bảng 3'!D:D,MATCH($B53,'Bảng 3'!$A:$A,0)))</f>
        <v>B.HYE.PVF</v>
      </c>
      <c r="E53" s="150" t="str">
        <f>IF($B53="","",INDEX('Bảng 3'!E:E,MATCH($B53,'Bảng 3'!$A:$A,0)))</f>
        <v>Nhà thi đấu TDTT03</v>
      </c>
      <c r="F53" s="81" t="str">
        <f>IF($B53="","",INDEX('Bảng 3'!F:F,MATCH($B53,'Bảng 3'!$A:$A,0)))</f>
        <v>PC</v>
      </c>
      <c r="G53" s="81" t="str">
        <f>IF($B53="","",INDEX('Bảng 3'!G:G,MATCH($B53,'Bảng 3'!$A:$A,0)))</f>
        <v>KSCL mô hình BIM</v>
      </c>
      <c r="H53" s="121"/>
      <c r="I53" s="135"/>
      <c r="J53" s="135">
        <f>J$3</f>
        <v>46174</v>
      </c>
      <c r="K53" s="136" t="s">
        <v>501</v>
      </c>
      <c r="L53" s="137">
        <v>0.25</v>
      </c>
      <c r="M53" s="135">
        <f>M$3</f>
        <v>46175</v>
      </c>
      <c r="N53" s="136" t="s">
        <v>501</v>
      </c>
      <c r="O53" s="137" t="s">
        <v>501</v>
      </c>
      <c r="P53" s="135">
        <f>P$3</f>
        <v>46176</v>
      </c>
      <c r="Q53" s="136" t="s">
        <v>501</v>
      </c>
      <c r="R53" s="137" t="s">
        <v>501</v>
      </c>
      <c r="S53" s="135">
        <f>S$3</f>
        <v>46177</v>
      </c>
      <c r="T53" s="136" t="s">
        <v>501</v>
      </c>
      <c r="U53" s="137" t="s">
        <v>501</v>
      </c>
      <c r="V53" s="135">
        <f>V$3</f>
        <v>46178</v>
      </c>
      <c r="W53" s="136" t="s">
        <v>501</v>
      </c>
      <c r="X53" s="137" t="s">
        <v>501</v>
      </c>
      <c r="Y53" s="135">
        <f>Y$3</f>
        <v>46179</v>
      </c>
      <c r="Z53" s="136" t="s">
        <v>501</v>
      </c>
      <c r="AA53" s="137" t="s">
        <v>501</v>
      </c>
      <c r="AB53" s="135"/>
      <c r="AC53" s="135">
        <f>AC$3</f>
        <v>46181</v>
      </c>
      <c r="AD53" s="136" t="s">
        <v>501</v>
      </c>
      <c r="AE53" s="137" t="s">
        <v>501</v>
      </c>
      <c r="AF53" s="135">
        <f>AF$3</f>
        <v>46182</v>
      </c>
      <c r="AG53" s="136" t="s">
        <v>501</v>
      </c>
      <c r="AH53" s="137" t="s">
        <v>501</v>
      </c>
      <c r="AI53" s="135">
        <f>AI$3</f>
        <v>46183</v>
      </c>
      <c r="AJ53" s="136" t="s">
        <v>501</v>
      </c>
      <c r="AK53" s="137" t="s">
        <v>501</v>
      </c>
      <c r="AL53" s="135">
        <f>AL$3</f>
        <v>46184</v>
      </c>
      <c r="AM53" s="136" t="s">
        <v>501</v>
      </c>
      <c r="AN53" s="137" t="s">
        <v>501</v>
      </c>
      <c r="AO53" s="135">
        <f>AO$3</f>
        <v>46185</v>
      </c>
      <c r="AP53" s="136" t="s">
        <v>501</v>
      </c>
      <c r="AQ53" s="137" t="s">
        <v>501</v>
      </c>
      <c r="AR53" s="135">
        <f>AR$3</f>
        <v>46186</v>
      </c>
      <c r="AS53" s="136" t="s">
        <v>501</v>
      </c>
      <c r="AT53" s="137" t="s">
        <v>501</v>
      </c>
      <c r="AU53" s="12"/>
    </row>
    <row r="54" spans="1:47">
      <c r="A54" s="122" t="str">
        <f>$A$44</f>
        <v>Phan Trường Giang</v>
      </c>
      <c r="B54" s="82" t="s">
        <v>744</v>
      </c>
      <c r="C54" s="81" t="str">
        <f>IF($B54="","",INDEX('Bảng 2'!C:C,MATCH($B54,'Bảng 2'!$A:$A,0)))</f>
        <v>Đào tạo BIM</v>
      </c>
      <c r="D54" s="81" t="str">
        <f>IF($B54="","",INDEX('Bảng 2'!D:D,MATCH($B54,'Bảng 2'!$A:$A,0)))</f>
        <v>Công cụ tạo lập mô hình</v>
      </c>
      <c r="E54" s="150" t="str">
        <f>IF($B54="","",INDEX('Bảng 2'!E:E,MATCH($B54,'Bảng 2'!$A:$A,0)))</f>
        <v>Revit cơ bản</v>
      </c>
      <c r="F54" s="81" t="str">
        <f>IF($B54="","",INDEX('Bảng 2'!F:F,MATCH($B54,'Bảng 2'!$A:$A,0)))</f>
        <v>BIM MEPF</v>
      </c>
      <c r="G54" s="81" t="str">
        <f>IF($B54="","",INDEX('Bảng 2'!G:G,MATCH($B54,'Bảng 2'!$A:$A,0)))</f>
        <v>Tổ chức thi và đánh giá</v>
      </c>
      <c r="H54" s="121"/>
      <c r="I54" s="135"/>
      <c r="J54" s="135">
        <f>J$3</f>
        <v>46174</v>
      </c>
      <c r="K54" s="136" t="s">
        <v>501</v>
      </c>
      <c r="L54" s="137">
        <v>2</v>
      </c>
      <c r="M54" s="135">
        <f>M$3</f>
        <v>46175</v>
      </c>
      <c r="N54" s="136"/>
      <c r="O54" s="137">
        <v>1.5</v>
      </c>
      <c r="P54" s="135">
        <f>P$3</f>
        <v>46176</v>
      </c>
      <c r="Q54" s="136" t="s">
        <v>501</v>
      </c>
      <c r="R54" s="137" t="s">
        <v>501</v>
      </c>
      <c r="S54" s="135">
        <f>S$3</f>
        <v>46177</v>
      </c>
      <c r="T54" s="136" t="s">
        <v>501</v>
      </c>
      <c r="U54" s="137" t="s">
        <v>501</v>
      </c>
      <c r="V54" s="135">
        <f>V$3</f>
        <v>46178</v>
      </c>
      <c r="W54" s="136" t="s">
        <v>501</v>
      </c>
      <c r="X54" s="137" t="s">
        <v>501</v>
      </c>
      <c r="Y54" s="135">
        <f>Y$3</f>
        <v>46179</v>
      </c>
      <c r="Z54" s="136" t="s">
        <v>501</v>
      </c>
      <c r="AA54" s="137" t="s">
        <v>501</v>
      </c>
      <c r="AB54" s="135"/>
      <c r="AC54" s="135">
        <f>AC$3</f>
        <v>46181</v>
      </c>
      <c r="AD54" s="136" t="s">
        <v>501</v>
      </c>
      <c r="AE54" s="137" t="s">
        <v>501</v>
      </c>
      <c r="AF54" s="135">
        <f>AF$3</f>
        <v>46182</v>
      </c>
      <c r="AG54" s="136" t="s">
        <v>501</v>
      </c>
      <c r="AH54" s="137" t="s">
        <v>501</v>
      </c>
      <c r="AI54" s="135">
        <f>AI$3</f>
        <v>46183</v>
      </c>
      <c r="AJ54" s="136" t="s">
        <v>501</v>
      </c>
      <c r="AK54" s="137" t="s">
        <v>501</v>
      </c>
      <c r="AL54" s="135">
        <f>AL$3</f>
        <v>46184</v>
      </c>
      <c r="AM54" s="136" t="s">
        <v>501</v>
      </c>
      <c r="AN54" s="137" t="s">
        <v>501</v>
      </c>
      <c r="AO54" s="135">
        <f>AO$3</f>
        <v>46185</v>
      </c>
      <c r="AP54" s="136" t="s">
        <v>501</v>
      </c>
      <c r="AQ54" s="137" t="s">
        <v>501</v>
      </c>
      <c r="AR54" s="135">
        <f>AR$3</f>
        <v>46186</v>
      </c>
      <c r="AS54" s="136" t="s">
        <v>501</v>
      </c>
      <c r="AT54" s="137" t="s">
        <v>501</v>
      </c>
      <c r="AU54" s="12"/>
    </row>
  </sheetData>
  <autoFilter ref="A3:H84" xr:uid="{500ED854-0463-45BF-A10C-D253788F1854}"/>
  <sortState xmlns:xlrd2="http://schemas.microsoft.com/office/spreadsheetml/2017/richdata2" ref="A5:AU14">
    <sortCondition ref="B5:B14"/>
  </sortState>
  <mergeCells count="1">
    <mergeCell ref="A1:H1"/>
  </mergeCells>
  <conditionalFormatting sqref="B16:B36">
    <cfRule type="duplicateValues" dxfId="6" priority="7"/>
  </conditionalFormatting>
  <conditionalFormatting sqref="B37 B39:B43">
    <cfRule type="duplicateValues" dxfId="5" priority="6"/>
  </conditionalFormatting>
  <conditionalFormatting sqref="B46">
    <cfRule type="duplicateValues" dxfId="4" priority="4"/>
  </conditionalFormatting>
  <conditionalFormatting sqref="B53">
    <cfRule type="duplicateValues" dxfId="3" priority="3"/>
  </conditionalFormatting>
  <conditionalFormatting sqref="B4:B15">
    <cfRule type="duplicateValues" dxfId="2" priority="215"/>
  </conditionalFormatting>
  <conditionalFormatting sqref="B47:B52 B44:B45 B54">
    <cfRule type="duplicateValues" dxfId="1" priority="217"/>
  </conditionalFormatting>
  <pageMargins left="0.7" right="0.7" top="0.75" bottom="0.75" header="0.3" footer="0.3"/>
  <extLst>
    <ext xmlns:x14="http://schemas.microsoft.com/office/spreadsheetml/2009/9/main" uri="{CCE6A557-97BC-4b89-ADB6-D9C93CAAB3DF}">
      <x14:dataValidations xmlns:xm="http://schemas.microsoft.com/office/excel/2006/main" count="18">
        <x14:dataValidation type="list" allowBlank="1" showInputMessage="1" showErrorMessage="1" xr:uid="{DC70F223-579F-4563-BCBC-08C3F7DFBDA8}">
          <x14:formula1>
            <xm:f>Data!$Y:$Y</xm:f>
          </x14:formula1>
          <xm:sqref>A4:A54</xm:sqref>
        </x14:dataValidation>
        <x14:dataValidation type="list" allowBlank="1" showInputMessage="1" showErrorMessage="1" xr:uid="{A40C8550-ED5B-4FB6-9AFB-707734A9D244}">
          <x14:formula1>
            <xm:f>'Bảng 3'!$A45:$A1000225</xm:f>
          </x14:formula1>
          <xm:sqref>B47 B54</xm:sqref>
        </x14:dataValidation>
        <x14:dataValidation type="list" allowBlank="1" showInputMessage="1" showErrorMessage="1" xr:uid="{4361E192-4B0A-41FF-ABB4-0F3C17F1F19D}">
          <x14:formula1>
            <xm:f>'Bảng 3'!$A18:$A1000214</xm:f>
          </x14:formula1>
          <xm:sqref>B37</xm:sqref>
        </x14:dataValidation>
        <x14:dataValidation type="list" allowBlank="1" showInputMessage="1" showErrorMessage="1" xr:uid="{C9B8D652-1057-4BE3-8631-6D2B94B84156}">
          <x14:formula1>
            <xm:f>'Bảng 3'!$A17:$A1000213</xm:f>
          </x14:formula1>
          <xm:sqref>B15</xm:sqref>
        </x14:dataValidation>
        <x14:dataValidation type="list" allowBlank="1" showInputMessage="1" showErrorMessage="1" xr:uid="{D402717F-0922-44F2-AF3D-FBDB61A5C9AA}">
          <x14:formula1>
            <xm:f>'Bảng 3'!$A5:$A1000209</xm:f>
          </x14:formula1>
          <xm:sqref>B10</xm:sqref>
        </x14:dataValidation>
        <x14:dataValidation type="list" allowBlank="1" showInputMessage="1" showErrorMessage="1" xr:uid="{BC8D71F9-CA03-4FE9-87F4-1262B161EF77}">
          <x14:formula1>
            <xm:f>'Bảng 3'!$A3:$A1000206</xm:f>
          </x14:formula1>
          <xm:sqref>B4</xm:sqref>
        </x14:dataValidation>
        <x14:dataValidation type="list" allowBlank="1" showInputMessage="1" showErrorMessage="1" xr:uid="{6FD4F087-1A33-4338-A3E8-5399F151D849}">
          <x14:formula1>
            <xm:f>'Bảng 3'!$A3:$A1000207</xm:f>
          </x14:formula1>
          <xm:sqref>B5</xm:sqref>
        </x14:dataValidation>
        <x14:dataValidation type="list" allowBlank="1" showInputMessage="1" showErrorMessage="1" xr:uid="{41231892-981B-4ED1-932F-6672AD67BE81}">
          <x14:formula1>
            <xm:f>'Bảng 3'!$A50:$A1000226</xm:f>
          </x14:formula1>
          <xm:sqref>B48:B50</xm:sqref>
        </x14:dataValidation>
        <x14:dataValidation type="list" allowBlank="1" showInputMessage="1" showErrorMessage="1" xr:uid="{7D29ABE1-E6B3-4EE5-97FB-F2D52E2CF7A8}">
          <x14:formula1>
            <xm:f>'Bảng 3'!$A77:$A1000237</xm:f>
          </x14:formula1>
          <xm:sqref>B35:B36</xm:sqref>
        </x14:dataValidation>
        <x14:dataValidation type="list" allowBlank="1" showInputMessage="1" showErrorMessage="1" xr:uid="{626ECCD3-9CAC-4B85-8155-BC8C0A371915}">
          <x14:formula1>
            <xm:f>'Bảng 3'!$A71:$A1000235</xm:f>
          </x14:formula1>
          <xm:sqref>B33:B34</xm:sqref>
        </x14:dataValidation>
        <x14:dataValidation type="list" allowBlank="1" showInputMessage="1" showErrorMessage="1" xr:uid="{7A0F2872-2F3C-4445-8AA3-1BD72BBC85B8}">
          <x14:formula1>
            <xm:f>'Bảng 3'!$A36:$A1000220</xm:f>
          </x14:formula1>
          <xm:sqref>B43:B44</xm:sqref>
        </x14:dataValidation>
        <x14:dataValidation type="list" allowBlank="1" showInputMessage="1" showErrorMessage="1" xr:uid="{FFBA5CB7-A7AC-491B-B6A2-C3D76B9FFB9F}">
          <x14:formula1>
            <xm:f>'Bảng 3'!$A28:$A1000216</xm:f>
          </x14:formula1>
          <xm:sqref>B39:B42</xm:sqref>
        </x14:dataValidation>
        <x14:dataValidation type="list" allowBlank="1" showInputMessage="1" showErrorMessage="1" xr:uid="{D65A991A-5829-4CDF-9D18-060DFA89FE03}">
          <x14:formula1>
            <xm:f>'Bảng 3'!$A64:$A1000232</xm:f>
          </x14:formula1>
          <xm:sqref>B24:B25</xm:sqref>
        </x14:dataValidation>
        <x14:dataValidation type="list" allowBlank="1" showInputMessage="1" showErrorMessage="1" xr:uid="{E07A9ED7-8B6B-4FA0-A302-06ED7CD1893F}">
          <x14:formula1>
            <xm:f>'Bảng 3'!$A65:$A1000233</xm:f>
          </x14:formula1>
          <xm:sqref>B26:B32</xm:sqref>
        </x14:dataValidation>
        <x14:dataValidation type="list" allowBlank="1" showInputMessage="1" showErrorMessage="1" xr:uid="{EE523614-F482-4093-9867-7714B004A107}">
          <x14:formula1>
            <xm:f>'Bảng 3'!$A64:$A1000231</xm:f>
          </x14:formula1>
          <xm:sqref>B19:B23</xm:sqref>
        </x14:dataValidation>
        <x14:dataValidation type="list" allowBlank="1" showInputMessage="1" showErrorMessage="1" xr:uid="{0B7389B1-ED49-4183-BD7D-CE00448BA81F}">
          <x14:formula1>
            <xm:f>'Bảng 3'!$A56:$A1000228</xm:f>
          </x14:formula1>
          <xm:sqref>B16:B18</xm:sqref>
        </x14:dataValidation>
        <x14:dataValidation type="list" allowBlank="1" showInputMessage="1" showErrorMessage="1" xr:uid="{730E28FC-F6F5-4678-9E80-249A5FE8F42A}">
          <x14:formula1>
            <xm:f>'Bảng 3'!$A10:$A1000210</xm:f>
          </x14:formula1>
          <xm:sqref>B11:B14</xm:sqref>
        </x14:dataValidation>
        <x14:dataValidation type="list" allowBlank="1" showInputMessage="1" showErrorMessage="1" xr:uid="{160067EF-DA65-48D8-9FF2-4C90EF46ECD5}">
          <x14:formula1>
            <xm:f>'Bảng 3'!$A5:$A1000209</xm:f>
          </x14:formula1>
          <xm:sqref>B6:B9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4C018-78BA-478F-A645-663A007A1F93}">
  <dimension ref="A1:AU34"/>
  <sheetViews>
    <sheetView workbookViewId="0">
      <pane xSplit="8" ySplit="3" topLeftCell="I4" activePane="bottomRight" state="frozen"/>
      <selection pane="bottomRight" activeCell="C14" sqref="C14"/>
      <selection pane="bottomLeft"/>
      <selection pane="topRight"/>
    </sheetView>
  </sheetViews>
  <sheetFormatPr defaultRowHeight="15" outlineLevelCol="2"/>
  <cols>
    <col min="1" max="1" width="22.140625" customWidth="1"/>
    <col min="2" max="2" width="27.85546875" customWidth="1"/>
    <col min="3" max="3" width="22" customWidth="1"/>
    <col min="4" max="4" width="20.85546875" customWidth="1"/>
    <col min="5" max="5" width="38.42578125" style="129" customWidth="1"/>
    <col min="6" max="6" width="9.140625" customWidth="1"/>
    <col min="7" max="7" width="44.7109375" style="129" customWidth="1"/>
    <col min="8" max="9" width="9.140625" customWidth="1"/>
    <col min="10" max="10" width="11.7109375" customWidth="1" outlineLevel="1"/>
    <col min="11" max="11" width="35.85546875" style="129" customWidth="1" outlineLevel="2"/>
    <col min="12" max="12" width="11.7109375" customWidth="1" outlineLevel="2"/>
    <col min="13" max="13" width="9.140625" customWidth="1" outlineLevel="1"/>
    <col min="14" max="15" width="11.7109375" customWidth="1" outlineLevel="2"/>
    <col min="16" max="16" width="9.140625" customWidth="1" outlineLevel="1"/>
    <col min="17" max="18" width="11.7109375" customWidth="1" outlineLevel="2"/>
    <col min="19" max="19" width="9.140625" customWidth="1" outlineLevel="1"/>
    <col min="20" max="21" width="11.7109375" customWidth="1" outlineLevel="2"/>
    <col min="22" max="22" width="9.140625" customWidth="1" outlineLevel="1"/>
    <col min="23" max="24" width="11.7109375" customWidth="1" outlineLevel="2"/>
    <col min="25" max="25" width="11.7109375" customWidth="1" outlineLevel="1"/>
    <col min="26" max="27" width="11.7109375" customWidth="1" outlineLevel="2"/>
    <col min="28" max="28" width="9.140625" customWidth="1"/>
    <col min="29" max="29" width="11.7109375" hidden="1" customWidth="1" outlineLevel="1"/>
    <col min="30" max="31" width="11.7109375" hidden="1" customWidth="1" outlineLevel="2"/>
    <col min="32" max="32" width="11.7109375" hidden="1" customWidth="1" outlineLevel="1" collapsed="1"/>
    <col min="33" max="34" width="11.7109375" hidden="1" customWidth="1" outlineLevel="2"/>
    <col min="35" max="35" width="11.7109375" hidden="1" customWidth="1" outlineLevel="1" collapsed="1"/>
    <col min="36" max="37" width="11.7109375" hidden="1" customWidth="1" outlineLevel="2"/>
    <col min="38" max="38" width="11.7109375" hidden="1" customWidth="1" outlineLevel="1" collapsed="1"/>
    <col min="39" max="40" width="11.7109375" hidden="1" customWidth="1" outlineLevel="2"/>
    <col min="41" max="41" width="11.7109375" hidden="1" customWidth="1" outlineLevel="1" collapsed="1"/>
    <col min="42" max="43" width="11.7109375" hidden="1" customWidth="1" outlineLevel="2"/>
    <col min="44" max="44" width="11.7109375" hidden="1" customWidth="1" outlineLevel="1" collapsed="1"/>
    <col min="45" max="46" width="11.7109375" hidden="1" customWidth="1" outlineLevel="2"/>
    <col min="47" max="47" width="9.140625" customWidth="1" collapsed="1"/>
    <col min="48" max="67" width="9.140625" customWidth="1"/>
  </cols>
  <sheetData>
    <row r="1" spans="1:47" ht="15.75" customHeight="1">
      <c r="A1" s="285" t="s">
        <v>595</v>
      </c>
      <c r="B1" s="285"/>
      <c r="C1" s="285"/>
      <c r="D1" s="285"/>
      <c r="E1" s="285"/>
      <c r="F1" s="285"/>
      <c r="G1" s="285"/>
      <c r="H1" s="285"/>
      <c r="I1" s="65"/>
      <c r="J1" s="65"/>
      <c r="K1" s="66"/>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12"/>
    </row>
    <row r="2" spans="1:47" s="129" customFormat="1" ht="48.75">
      <c r="A2" s="124" t="s">
        <v>16</v>
      </c>
      <c r="B2" s="124" t="s">
        <v>596</v>
      </c>
      <c r="C2" s="124" t="s">
        <v>398</v>
      </c>
      <c r="D2" s="124" t="s">
        <v>40</v>
      </c>
      <c r="E2" s="124" t="s">
        <v>41</v>
      </c>
      <c r="F2" s="124" t="s">
        <v>399</v>
      </c>
      <c r="G2" s="124" t="s">
        <v>42</v>
      </c>
      <c r="H2" s="112" t="s">
        <v>701</v>
      </c>
      <c r="I2" s="125" t="s">
        <v>598</v>
      </c>
      <c r="J2" s="125" t="s">
        <v>599</v>
      </c>
      <c r="K2" s="126" t="s">
        <v>600</v>
      </c>
      <c r="L2" s="126" t="s">
        <v>601</v>
      </c>
      <c r="M2" s="125" t="s">
        <v>599</v>
      </c>
      <c r="N2" s="126" t="s">
        <v>600</v>
      </c>
      <c r="O2" s="126" t="s">
        <v>601</v>
      </c>
      <c r="P2" s="125" t="s">
        <v>599</v>
      </c>
      <c r="Q2" s="126" t="s">
        <v>600</v>
      </c>
      <c r="R2" s="126" t="s">
        <v>601</v>
      </c>
      <c r="S2" s="125" t="s">
        <v>599</v>
      </c>
      <c r="T2" s="126" t="s">
        <v>600</v>
      </c>
      <c r="U2" s="126" t="s">
        <v>601</v>
      </c>
      <c r="V2" s="125" t="s">
        <v>599</v>
      </c>
      <c r="W2" s="126" t="s">
        <v>600</v>
      </c>
      <c r="X2" s="126" t="s">
        <v>601</v>
      </c>
      <c r="Y2" s="125" t="s">
        <v>599</v>
      </c>
      <c r="Z2" s="126" t="s">
        <v>600</v>
      </c>
      <c r="AA2" s="126" t="s">
        <v>601</v>
      </c>
      <c r="AB2" s="127" t="s">
        <v>602</v>
      </c>
      <c r="AC2" s="127" t="s">
        <v>599</v>
      </c>
      <c r="AD2" s="128" t="s">
        <v>600</v>
      </c>
      <c r="AE2" s="128" t="s">
        <v>601</v>
      </c>
      <c r="AF2" s="127" t="s">
        <v>599</v>
      </c>
      <c r="AG2" s="128" t="s">
        <v>600</v>
      </c>
      <c r="AH2" s="128" t="s">
        <v>601</v>
      </c>
      <c r="AI2" s="127" t="s">
        <v>599</v>
      </c>
      <c r="AJ2" s="128" t="s">
        <v>600</v>
      </c>
      <c r="AK2" s="128" t="s">
        <v>601</v>
      </c>
      <c r="AL2" s="127" t="s">
        <v>599</v>
      </c>
      <c r="AM2" s="128" t="s">
        <v>600</v>
      </c>
      <c r="AN2" s="128" t="s">
        <v>601</v>
      </c>
      <c r="AO2" s="127" t="s">
        <v>599</v>
      </c>
      <c r="AP2" s="128" t="s">
        <v>600</v>
      </c>
      <c r="AQ2" s="128" t="s">
        <v>601</v>
      </c>
      <c r="AR2" s="127" t="s">
        <v>599</v>
      </c>
      <c r="AS2" s="128" t="s">
        <v>600</v>
      </c>
      <c r="AT2" s="128" t="s">
        <v>601</v>
      </c>
      <c r="AU2" s="12"/>
    </row>
    <row r="3" spans="1:47">
      <c r="A3" s="113"/>
      <c r="B3" s="113"/>
      <c r="C3" s="114"/>
      <c r="D3" s="115"/>
      <c r="E3" s="149"/>
      <c r="F3" s="114"/>
      <c r="G3" s="151"/>
      <c r="H3" s="116"/>
      <c r="I3" s="117"/>
      <c r="J3" s="117">
        <v>46174</v>
      </c>
      <c r="K3" s="146" t="s">
        <v>501</v>
      </c>
      <c r="L3" s="118" t="s">
        <v>501</v>
      </c>
      <c r="M3" s="117">
        <f>J3+1</f>
        <v>46175</v>
      </c>
      <c r="N3" s="118" t="s">
        <v>501</v>
      </c>
      <c r="O3" s="118" t="s">
        <v>501</v>
      </c>
      <c r="P3" s="117">
        <f>J3+2</f>
        <v>46176</v>
      </c>
      <c r="Q3" s="118" t="s">
        <v>501</v>
      </c>
      <c r="R3" s="118" t="s">
        <v>501</v>
      </c>
      <c r="S3" s="117">
        <f>J3+3</f>
        <v>46177</v>
      </c>
      <c r="T3" s="118" t="s">
        <v>501</v>
      </c>
      <c r="U3" s="118" t="s">
        <v>501</v>
      </c>
      <c r="V3" s="117">
        <f>J3+4</f>
        <v>46178</v>
      </c>
      <c r="W3" s="118" t="s">
        <v>501</v>
      </c>
      <c r="X3" s="118" t="s">
        <v>501</v>
      </c>
      <c r="Y3" s="117">
        <f>J3+5</f>
        <v>46179</v>
      </c>
      <c r="Z3" s="118" t="s">
        <v>501</v>
      </c>
      <c r="AA3" s="118" t="s">
        <v>501</v>
      </c>
      <c r="AB3" s="119"/>
      <c r="AC3" s="119">
        <v>46181</v>
      </c>
      <c r="AD3" s="120" t="s">
        <v>501</v>
      </c>
      <c r="AE3" s="120" t="s">
        <v>501</v>
      </c>
      <c r="AF3" s="130">
        <f>AC3+1</f>
        <v>46182</v>
      </c>
      <c r="AG3" s="131" t="s">
        <v>501</v>
      </c>
      <c r="AH3" s="131" t="s">
        <v>501</v>
      </c>
      <c r="AI3" s="130">
        <f>AC3+2</f>
        <v>46183</v>
      </c>
      <c r="AJ3" s="131" t="s">
        <v>501</v>
      </c>
      <c r="AK3" s="131" t="s">
        <v>501</v>
      </c>
      <c r="AL3" s="130">
        <f>AC3+3</f>
        <v>46184</v>
      </c>
      <c r="AM3" s="131" t="s">
        <v>501</v>
      </c>
      <c r="AN3" s="131" t="s">
        <v>501</v>
      </c>
      <c r="AO3" s="130">
        <f>AC3+4</f>
        <v>46185</v>
      </c>
      <c r="AP3" s="131" t="s">
        <v>501</v>
      </c>
      <c r="AQ3" s="131" t="s">
        <v>501</v>
      </c>
      <c r="AR3" s="130">
        <f>AC3+5</f>
        <v>46186</v>
      </c>
      <c r="AS3" s="120" t="s">
        <v>501</v>
      </c>
      <c r="AT3" s="120" t="s">
        <v>501</v>
      </c>
      <c r="AU3" s="12"/>
    </row>
    <row r="4" spans="1:47">
      <c r="A4" s="36" t="s">
        <v>170</v>
      </c>
      <c r="B4" s="82" t="s">
        <v>745</v>
      </c>
      <c r="C4" s="81" t="e">
        <f>IF($B4="","",INDEX('Bảng 5'!C:C,MATCH(IT!$B4,'Bảng 5'!$A:$A,0)))</f>
        <v>#N/A</v>
      </c>
      <c r="D4" s="81" t="e">
        <f>IF($B4="","",INDEX('Bảng 5'!D:D,MATCH(IT!$B4,'Bảng 5'!$A:$A,0)))</f>
        <v>#N/A</v>
      </c>
      <c r="E4" s="81" t="e">
        <f>IF($B4="","",INDEX('Bảng 5'!E:E,MATCH(IT!$B4,'Bảng 5'!$A:$A,0)))</f>
        <v>#N/A</v>
      </c>
      <c r="F4" s="81" t="e">
        <f>IF($B4="","",INDEX('Bảng 5'!F:F,MATCH(IT!$B4,'Bảng 5'!$A:$A,0)))</f>
        <v>#N/A</v>
      </c>
      <c r="G4" s="81" t="e">
        <f>IF($B4="","",INDEX('Bảng 5'!G:G,MATCH(IT!$B4,'Bảng 5'!$A:$A,0)))</f>
        <v>#N/A</v>
      </c>
      <c r="H4" s="121"/>
      <c r="I4" s="138"/>
      <c r="J4" s="138">
        <f>J$3</f>
        <v>46174</v>
      </c>
      <c r="K4" s="147" t="s">
        <v>501</v>
      </c>
      <c r="L4" s="133">
        <v>4</v>
      </c>
      <c r="M4" s="138">
        <f>M$3</f>
        <v>46175</v>
      </c>
      <c r="N4" s="132" t="s">
        <v>501</v>
      </c>
      <c r="O4" s="133">
        <f>SUM(O5:O11)</f>
        <v>0</v>
      </c>
      <c r="P4" s="138">
        <f>P$3</f>
        <v>46176</v>
      </c>
      <c r="Q4" s="132" t="s">
        <v>501</v>
      </c>
      <c r="R4" s="133">
        <f>SUM(R5:R11)</f>
        <v>0</v>
      </c>
      <c r="S4" s="138">
        <f>S$3</f>
        <v>46177</v>
      </c>
      <c r="T4" s="132" t="s">
        <v>501</v>
      </c>
      <c r="U4" s="133">
        <f>SUM(U5:U11)</f>
        <v>0</v>
      </c>
      <c r="V4" s="138">
        <f>V$3</f>
        <v>46178</v>
      </c>
      <c r="W4" s="132" t="s">
        <v>501</v>
      </c>
      <c r="X4" s="133">
        <f>SUM(X5:X11)</f>
        <v>0</v>
      </c>
      <c r="Y4" s="138">
        <f>Y$3</f>
        <v>46179</v>
      </c>
      <c r="Z4" s="132" t="s">
        <v>501</v>
      </c>
      <c r="AA4" s="133">
        <f>SUM(AA5:AA11)</f>
        <v>0</v>
      </c>
      <c r="AB4" s="138"/>
      <c r="AC4" s="138">
        <f>AC$3</f>
        <v>46181</v>
      </c>
      <c r="AD4" s="132" t="s">
        <v>501</v>
      </c>
      <c r="AE4" s="133">
        <f>SUM(AE5:AE11)</f>
        <v>0</v>
      </c>
      <c r="AF4" s="138">
        <f>AF$3</f>
        <v>46182</v>
      </c>
      <c r="AG4" s="132" t="s">
        <v>501</v>
      </c>
      <c r="AH4" s="133">
        <f>SUM(AH5:AH11)</f>
        <v>0</v>
      </c>
      <c r="AI4" s="138">
        <f>AI$3</f>
        <v>46183</v>
      </c>
      <c r="AJ4" s="132" t="s">
        <v>501</v>
      </c>
      <c r="AK4" s="133">
        <f>SUM(AK5:AK11)</f>
        <v>0</v>
      </c>
      <c r="AL4" s="138">
        <f>AL$3</f>
        <v>46184</v>
      </c>
      <c r="AM4" s="132" t="s">
        <v>501</v>
      </c>
      <c r="AN4" s="133">
        <f>SUM(AN5:AN11)</f>
        <v>0</v>
      </c>
      <c r="AO4" s="138">
        <f>AO$3</f>
        <v>46185</v>
      </c>
      <c r="AP4" s="132" t="s">
        <v>501</v>
      </c>
      <c r="AQ4" s="133">
        <f>SUM(AQ5:AQ11)</f>
        <v>0</v>
      </c>
      <c r="AR4" s="138">
        <f>AR$3</f>
        <v>46186</v>
      </c>
      <c r="AS4" s="132" t="s">
        <v>501</v>
      </c>
      <c r="AT4" s="133">
        <f>SUM(AT5:AT11)</f>
        <v>0</v>
      </c>
      <c r="AU4" s="134"/>
    </row>
    <row r="5" spans="1:47">
      <c r="A5" s="122" t="str">
        <f>$A$4</f>
        <v>Lê Huy Toàn</v>
      </c>
      <c r="B5" s="82" t="s">
        <v>746</v>
      </c>
      <c r="C5" s="81" t="e">
        <f>IF($B5="","",INDEX('Bảng 5'!C:C,MATCH(IT!$B5,'Bảng 5'!$A:$A,0)))</f>
        <v>#N/A</v>
      </c>
      <c r="D5" s="81" t="e">
        <f>IF($B5="","",INDEX('Bảng 5'!D:D,MATCH(IT!$B5,'Bảng 5'!$A:$A,0)))</f>
        <v>#N/A</v>
      </c>
      <c r="E5" s="81" t="e">
        <f>IF($B5="","",INDEX('Bảng 5'!E:E,MATCH(IT!$B5,'Bảng 5'!$A:$A,0)))</f>
        <v>#N/A</v>
      </c>
      <c r="F5" s="81" t="e">
        <f>IF($B5="","",INDEX('Bảng 5'!F:F,MATCH(IT!$B5,'Bảng 5'!$A:$A,0)))</f>
        <v>#N/A</v>
      </c>
      <c r="G5" s="81" t="e">
        <f>IF($B5="","",INDEX('Bảng 5'!G:G,MATCH(IT!$B5,'Bảng 5'!$A:$A,0)))</f>
        <v>#N/A</v>
      </c>
      <c r="H5" s="121"/>
      <c r="I5" s="135"/>
      <c r="J5" s="135">
        <f>J$3</f>
        <v>46174</v>
      </c>
      <c r="K5" s="148" t="s">
        <v>501</v>
      </c>
      <c r="L5" s="137">
        <v>3</v>
      </c>
      <c r="M5" s="135">
        <f>M$3</f>
        <v>46175</v>
      </c>
      <c r="N5" s="136" t="s">
        <v>501</v>
      </c>
      <c r="O5" s="137" t="s">
        <v>501</v>
      </c>
      <c r="P5" s="135">
        <f>P$3</f>
        <v>46176</v>
      </c>
      <c r="Q5" s="136" t="s">
        <v>501</v>
      </c>
      <c r="R5" s="137" t="s">
        <v>501</v>
      </c>
      <c r="S5" s="135">
        <f>S$3</f>
        <v>46177</v>
      </c>
      <c r="T5" s="136" t="s">
        <v>501</v>
      </c>
      <c r="U5" s="137" t="s">
        <v>501</v>
      </c>
      <c r="V5" s="135">
        <f>V$3</f>
        <v>46178</v>
      </c>
      <c r="W5" s="136" t="s">
        <v>501</v>
      </c>
      <c r="X5" s="137" t="s">
        <v>501</v>
      </c>
      <c r="Y5" s="135">
        <f>Y$3</f>
        <v>46179</v>
      </c>
      <c r="Z5" s="136" t="s">
        <v>501</v>
      </c>
      <c r="AA5" s="137" t="s">
        <v>501</v>
      </c>
      <c r="AB5" s="135"/>
      <c r="AC5" s="135">
        <f>AC$3</f>
        <v>46181</v>
      </c>
      <c r="AD5" s="136" t="s">
        <v>501</v>
      </c>
      <c r="AE5" s="137" t="s">
        <v>501</v>
      </c>
      <c r="AF5" s="135">
        <f>AF$3</f>
        <v>46182</v>
      </c>
      <c r="AG5" s="136" t="s">
        <v>501</v>
      </c>
      <c r="AH5" s="137" t="s">
        <v>501</v>
      </c>
      <c r="AI5" s="135">
        <f>AI$3</f>
        <v>46183</v>
      </c>
      <c r="AJ5" s="136" t="s">
        <v>501</v>
      </c>
      <c r="AK5" s="137" t="s">
        <v>501</v>
      </c>
      <c r="AL5" s="135">
        <f>AL$3</f>
        <v>46184</v>
      </c>
      <c r="AM5" s="136" t="s">
        <v>501</v>
      </c>
      <c r="AN5" s="137" t="s">
        <v>501</v>
      </c>
      <c r="AO5" s="135">
        <f>AO$3</f>
        <v>46185</v>
      </c>
      <c r="AP5" s="136" t="s">
        <v>501</v>
      </c>
      <c r="AQ5" s="137" t="s">
        <v>501</v>
      </c>
      <c r="AR5" s="135">
        <f>AR$3</f>
        <v>46186</v>
      </c>
      <c r="AS5" s="136" t="s">
        <v>501</v>
      </c>
      <c r="AT5" s="137" t="s">
        <v>501</v>
      </c>
      <c r="AU5" s="12"/>
    </row>
    <row r="6" spans="1:47">
      <c r="A6" s="122" t="str">
        <f>$A$4</f>
        <v>Lê Huy Toàn</v>
      </c>
      <c r="B6" s="82" t="s">
        <v>747</v>
      </c>
      <c r="C6" s="81" t="e">
        <f>IF($B6="","",INDEX('Bảng 5'!C:C,MATCH(IT!$B6,'Bảng 5'!$A:$A,0)))</f>
        <v>#N/A</v>
      </c>
      <c r="D6" s="81" t="e">
        <f>IF($B6="","",INDEX('Bảng 5'!D:D,MATCH(IT!$B6,'Bảng 5'!$A:$A,0)))</f>
        <v>#N/A</v>
      </c>
      <c r="E6" s="81" t="e">
        <f>IF($B6="","",INDEX('Bảng 5'!E:E,MATCH(IT!$B6,'Bảng 5'!$A:$A,0)))</f>
        <v>#N/A</v>
      </c>
      <c r="F6" s="81" t="e">
        <f>IF($B6="","",INDEX('Bảng 5'!F:F,MATCH(IT!$B6,'Bảng 5'!$A:$A,0)))</f>
        <v>#N/A</v>
      </c>
      <c r="G6" s="81" t="e">
        <f>IF($B6="","",INDEX('Bảng 5'!G:G,MATCH(IT!$B6,'Bảng 5'!$A:$A,0)))</f>
        <v>#N/A</v>
      </c>
      <c r="H6" s="121"/>
      <c r="I6" s="135"/>
      <c r="J6" s="135">
        <f>J$3</f>
        <v>46174</v>
      </c>
      <c r="K6" s="148" t="s">
        <v>501</v>
      </c>
      <c r="L6" s="137">
        <v>0.5</v>
      </c>
      <c r="M6" s="135">
        <f>M$3</f>
        <v>46175</v>
      </c>
      <c r="N6" s="136" t="s">
        <v>501</v>
      </c>
      <c r="O6" s="137" t="s">
        <v>501</v>
      </c>
      <c r="P6" s="135">
        <f>P$3</f>
        <v>46176</v>
      </c>
      <c r="Q6" s="136" t="s">
        <v>501</v>
      </c>
      <c r="R6" s="137" t="s">
        <v>501</v>
      </c>
      <c r="S6" s="135">
        <f>S$3</f>
        <v>46177</v>
      </c>
      <c r="T6" s="136" t="s">
        <v>501</v>
      </c>
      <c r="U6" s="137" t="s">
        <v>501</v>
      </c>
      <c r="V6" s="135">
        <f>V$3</f>
        <v>46178</v>
      </c>
      <c r="W6" s="136" t="s">
        <v>501</v>
      </c>
      <c r="X6" s="137" t="s">
        <v>501</v>
      </c>
      <c r="Y6" s="135">
        <f>Y$3</f>
        <v>46179</v>
      </c>
      <c r="Z6" s="136" t="s">
        <v>501</v>
      </c>
      <c r="AA6" s="137" t="s">
        <v>501</v>
      </c>
      <c r="AB6" s="135"/>
      <c r="AC6" s="135">
        <f>AC$3</f>
        <v>46181</v>
      </c>
      <c r="AD6" s="136" t="s">
        <v>501</v>
      </c>
      <c r="AE6" s="137" t="s">
        <v>501</v>
      </c>
      <c r="AF6" s="135">
        <f>AF$3</f>
        <v>46182</v>
      </c>
      <c r="AG6" s="136" t="s">
        <v>501</v>
      </c>
      <c r="AH6" s="137" t="s">
        <v>501</v>
      </c>
      <c r="AI6" s="135">
        <f>AI$3</f>
        <v>46183</v>
      </c>
      <c r="AJ6" s="136" t="s">
        <v>501</v>
      </c>
      <c r="AK6" s="137" t="s">
        <v>501</v>
      </c>
      <c r="AL6" s="135">
        <f>AL$3</f>
        <v>46184</v>
      </c>
      <c r="AM6" s="136" t="s">
        <v>501</v>
      </c>
      <c r="AN6" s="137" t="s">
        <v>501</v>
      </c>
      <c r="AO6" s="135">
        <f>AO$3</f>
        <v>46185</v>
      </c>
      <c r="AP6" s="136" t="s">
        <v>501</v>
      </c>
      <c r="AQ6" s="137" t="s">
        <v>501</v>
      </c>
      <c r="AR6" s="135">
        <f>AR$3</f>
        <v>46186</v>
      </c>
      <c r="AS6" s="136" t="s">
        <v>501</v>
      </c>
      <c r="AT6" s="137" t="s">
        <v>501</v>
      </c>
      <c r="AU6" s="12"/>
    </row>
    <row r="7" spans="1:47">
      <c r="A7" s="122" t="str">
        <f>$A$4</f>
        <v>Lê Huy Toàn</v>
      </c>
      <c r="B7" s="82" t="s">
        <v>748</v>
      </c>
      <c r="C7" s="81" t="e">
        <f>IF($B7="","",INDEX('Bảng 5'!C:C,MATCH(IT!$B7,'Bảng 5'!$A:$A,0)))</f>
        <v>#N/A</v>
      </c>
      <c r="D7" s="81" t="e">
        <f>IF($B7="","",INDEX('Bảng 5'!D:D,MATCH(IT!$B7,'Bảng 5'!$A:$A,0)))</f>
        <v>#N/A</v>
      </c>
      <c r="E7" s="81" t="e">
        <f>IF($B7="","",INDEX('Bảng 5'!E:E,MATCH(IT!$B7,'Bảng 5'!$A:$A,0)))</f>
        <v>#N/A</v>
      </c>
      <c r="F7" s="81" t="e">
        <f>IF($B7="","",INDEX('Bảng 5'!F:F,MATCH(IT!$B7,'Bảng 5'!$A:$A,0)))</f>
        <v>#N/A</v>
      </c>
      <c r="G7" s="81" t="e">
        <f>IF($B7="","",INDEX('Bảng 5'!G:G,MATCH(IT!$B7,'Bảng 5'!$A:$A,0)))</f>
        <v>#N/A</v>
      </c>
      <c r="H7" s="121"/>
      <c r="I7" s="135"/>
      <c r="J7" s="135">
        <f>J$3</f>
        <v>46174</v>
      </c>
      <c r="K7" s="148" t="s">
        <v>501</v>
      </c>
      <c r="L7" s="137">
        <v>0.5</v>
      </c>
      <c r="M7" s="135">
        <f>M$3</f>
        <v>46175</v>
      </c>
      <c r="N7" s="136" t="s">
        <v>501</v>
      </c>
      <c r="O7" s="137" t="s">
        <v>501</v>
      </c>
      <c r="P7" s="135">
        <f>P$3</f>
        <v>46176</v>
      </c>
      <c r="Q7" s="136" t="s">
        <v>501</v>
      </c>
      <c r="R7" s="137" t="s">
        <v>501</v>
      </c>
      <c r="S7" s="135">
        <f>S$3</f>
        <v>46177</v>
      </c>
      <c r="T7" s="136" t="s">
        <v>501</v>
      </c>
      <c r="U7" s="137" t="s">
        <v>501</v>
      </c>
      <c r="V7" s="135">
        <f>V$3</f>
        <v>46178</v>
      </c>
      <c r="W7" s="136" t="s">
        <v>501</v>
      </c>
      <c r="X7" s="137" t="s">
        <v>501</v>
      </c>
      <c r="Y7" s="135">
        <f>Y$3</f>
        <v>46179</v>
      </c>
      <c r="Z7" s="136" t="s">
        <v>501</v>
      </c>
      <c r="AA7" s="137" t="s">
        <v>501</v>
      </c>
      <c r="AB7" s="135"/>
      <c r="AC7" s="135">
        <f>AC$3</f>
        <v>46181</v>
      </c>
      <c r="AD7" s="136" t="s">
        <v>501</v>
      </c>
      <c r="AE7" s="137" t="s">
        <v>501</v>
      </c>
      <c r="AF7" s="135">
        <f>AF$3</f>
        <v>46182</v>
      </c>
      <c r="AG7" s="136" t="s">
        <v>501</v>
      </c>
      <c r="AH7" s="137" t="s">
        <v>501</v>
      </c>
      <c r="AI7" s="135">
        <f>AI$3</f>
        <v>46183</v>
      </c>
      <c r="AJ7" s="136" t="s">
        <v>501</v>
      </c>
      <c r="AK7" s="137" t="s">
        <v>501</v>
      </c>
      <c r="AL7" s="135">
        <f>AL$3</f>
        <v>46184</v>
      </c>
      <c r="AM7" s="136" t="s">
        <v>501</v>
      </c>
      <c r="AN7" s="137" t="s">
        <v>501</v>
      </c>
      <c r="AO7" s="135">
        <f>AO$3</f>
        <v>46185</v>
      </c>
      <c r="AP7" s="136" t="s">
        <v>501</v>
      </c>
      <c r="AQ7" s="137" t="s">
        <v>501</v>
      </c>
      <c r="AR7" s="135">
        <f>AR$3</f>
        <v>46186</v>
      </c>
      <c r="AS7" s="136" t="s">
        <v>501</v>
      </c>
      <c r="AT7" s="137" t="s">
        <v>501</v>
      </c>
      <c r="AU7" s="12"/>
    </row>
    <row r="8" spans="1:47">
      <c r="A8" s="122" t="str">
        <f>$A$4</f>
        <v>Lê Huy Toàn</v>
      </c>
      <c r="B8" s="28"/>
      <c r="C8" s="81" t="str">
        <f>IF($B8="","",INDEX('Bảng 5'!C:C,MATCH(IT!$B8,'Bảng 5'!$A:$A,0)))</f>
        <v/>
      </c>
      <c r="D8" s="81" t="str">
        <f>IF($B8="","",INDEX('Bảng 5'!D:D,MATCH(IT!$B8,'Bảng 5'!$A:$A,0)))</f>
        <v/>
      </c>
      <c r="E8" s="81" t="str">
        <f>IF($B8="","",INDEX('Bảng 5'!E:E,MATCH(IT!$B8,'Bảng 5'!$A:$A,0)))</f>
        <v/>
      </c>
      <c r="F8" s="81" t="str">
        <f>IF($B8="","",INDEX('Bảng 5'!F:F,MATCH(IT!$B8,'Bảng 5'!$A:$A,0)))</f>
        <v/>
      </c>
      <c r="G8" s="81" t="str">
        <f>IF($B8="","",INDEX('Bảng 5'!G:G,MATCH(IT!$B8,'Bảng 5'!$A:$A,0)))</f>
        <v/>
      </c>
      <c r="H8" s="121"/>
      <c r="I8" s="135"/>
      <c r="J8" s="135">
        <f>J$3</f>
        <v>46174</v>
      </c>
      <c r="K8" s="148" t="s">
        <v>501</v>
      </c>
      <c r="L8" s="137" t="s">
        <v>501</v>
      </c>
      <c r="M8" s="135">
        <f>M$3</f>
        <v>46175</v>
      </c>
      <c r="N8" s="136" t="s">
        <v>501</v>
      </c>
      <c r="O8" s="137" t="s">
        <v>501</v>
      </c>
      <c r="P8" s="135">
        <f>P$3</f>
        <v>46176</v>
      </c>
      <c r="Q8" s="136" t="s">
        <v>501</v>
      </c>
      <c r="R8" s="137" t="s">
        <v>501</v>
      </c>
      <c r="S8" s="135">
        <f>S$3</f>
        <v>46177</v>
      </c>
      <c r="T8" s="136" t="s">
        <v>501</v>
      </c>
      <c r="U8" s="137" t="s">
        <v>501</v>
      </c>
      <c r="V8" s="135">
        <f>V$3</f>
        <v>46178</v>
      </c>
      <c r="W8" s="136" t="s">
        <v>501</v>
      </c>
      <c r="X8" s="137" t="s">
        <v>501</v>
      </c>
      <c r="Y8" s="135">
        <f>Y$3</f>
        <v>46179</v>
      </c>
      <c r="Z8" s="136" t="s">
        <v>501</v>
      </c>
      <c r="AA8" s="137" t="s">
        <v>501</v>
      </c>
      <c r="AB8" s="135"/>
      <c r="AC8" s="135">
        <f>AC$3</f>
        <v>46181</v>
      </c>
      <c r="AD8" s="136" t="s">
        <v>501</v>
      </c>
      <c r="AE8" s="137" t="s">
        <v>501</v>
      </c>
      <c r="AF8" s="135">
        <f>AF$3</f>
        <v>46182</v>
      </c>
      <c r="AG8" s="136" t="s">
        <v>501</v>
      </c>
      <c r="AH8" s="137" t="s">
        <v>501</v>
      </c>
      <c r="AI8" s="135">
        <f>AI$3</f>
        <v>46183</v>
      </c>
      <c r="AJ8" s="136" t="s">
        <v>501</v>
      </c>
      <c r="AK8" s="137" t="s">
        <v>501</v>
      </c>
      <c r="AL8" s="135">
        <f>AL$3</f>
        <v>46184</v>
      </c>
      <c r="AM8" s="136" t="s">
        <v>501</v>
      </c>
      <c r="AN8" s="137" t="s">
        <v>501</v>
      </c>
      <c r="AO8" s="135">
        <f>AO$3</f>
        <v>46185</v>
      </c>
      <c r="AP8" s="136" t="s">
        <v>501</v>
      </c>
      <c r="AQ8" s="137" t="s">
        <v>501</v>
      </c>
      <c r="AR8" s="135">
        <f>AR$3</f>
        <v>46186</v>
      </c>
      <c r="AS8" s="136" t="s">
        <v>501</v>
      </c>
      <c r="AT8" s="137" t="s">
        <v>501</v>
      </c>
      <c r="AU8" s="12"/>
    </row>
    <row r="9" spans="1:47">
      <c r="A9" s="122" t="str">
        <f>$A$4</f>
        <v>Lê Huy Toàn</v>
      </c>
      <c r="B9" s="28"/>
      <c r="C9" s="81" t="str">
        <f>IF($B9="","",INDEX('Bảng 5'!C:C,MATCH(IT!$B9,'Bảng 5'!$A:$A,0)))</f>
        <v/>
      </c>
      <c r="D9" s="81" t="str">
        <f>IF($B9="","",INDEX('Bảng 5'!D:D,MATCH(IT!$B9,'Bảng 5'!$A:$A,0)))</f>
        <v/>
      </c>
      <c r="E9" s="81" t="str">
        <f>IF($B9="","",INDEX('Bảng 5'!E:E,MATCH(IT!$B9,'Bảng 5'!$A:$A,0)))</f>
        <v/>
      </c>
      <c r="F9" s="81" t="str">
        <f>IF($B9="","",INDEX('Bảng 5'!F:F,MATCH(IT!$B9,'Bảng 5'!$A:$A,0)))</f>
        <v/>
      </c>
      <c r="G9" s="81" t="str">
        <f>IF($B9="","",INDEX('Bảng 5'!G:G,MATCH(IT!$B9,'Bảng 5'!$A:$A,0)))</f>
        <v/>
      </c>
      <c r="H9" s="121"/>
      <c r="I9" s="135"/>
      <c r="J9" s="135">
        <f>J$3</f>
        <v>46174</v>
      </c>
      <c r="K9" s="148" t="s">
        <v>501</v>
      </c>
      <c r="L9" s="137" t="s">
        <v>501</v>
      </c>
      <c r="M9" s="135">
        <f>M$3</f>
        <v>46175</v>
      </c>
      <c r="N9" s="136" t="s">
        <v>501</v>
      </c>
      <c r="O9" s="137" t="s">
        <v>501</v>
      </c>
      <c r="P9" s="135">
        <f>P$3</f>
        <v>46176</v>
      </c>
      <c r="Q9" s="136" t="s">
        <v>501</v>
      </c>
      <c r="R9" s="137" t="s">
        <v>501</v>
      </c>
      <c r="S9" s="135">
        <f>S$3</f>
        <v>46177</v>
      </c>
      <c r="T9" s="136" t="s">
        <v>501</v>
      </c>
      <c r="U9" s="137" t="s">
        <v>501</v>
      </c>
      <c r="V9" s="135">
        <f>V$3</f>
        <v>46178</v>
      </c>
      <c r="W9" s="136" t="s">
        <v>501</v>
      </c>
      <c r="X9" s="137" t="s">
        <v>501</v>
      </c>
      <c r="Y9" s="135">
        <f>Y$3</f>
        <v>46179</v>
      </c>
      <c r="Z9" s="136" t="s">
        <v>501</v>
      </c>
      <c r="AA9" s="137" t="s">
        <v>501</v>
      </c>
      <c r="AB9" s="135"/>
      <c r="AC9" s="135">
        <f>AC$3</f>
        <v>46181</v>
      </c>
      <c r="AD9" s="136" t="s">
        <v>501</v>
      </c>
      <c r="AE9" s="137" t="s">
        <v>501</v>
      </c>
      <c r="AF9" s="135">
        <f>AF$3</f>
        <v>46182</v>
      </c>
      <c r="AG9" s="136" t="s">
        <v>501</v>
      </c>
      <c r="AH9" s="137" t="s">
        <v>501</v>
      </c>
      <c r="AI9" s="135">
        <f>AI$3</f>
        <v>46183</v>
      </c>
      <c r="AJ9" s="136" t="s">
        <v>501</v>
      </c>
      <c r="AK9" s="137" t="s">
        <v>501</v>
      </c>
      <c r="AL9" s="135">
        <f>AL$3</f>
        <v>46184</v>
      </c>
      <c r="AM9" s="136" t="s">
        <v>501</v>
      </c>
      <c r="AN9" s="137" t="s">
        <v>501</v>
      </c>
      <c r="AO9" s="135">
        <f>AO$3</f>
        <v>46185</v>
      </c>
      <c r="AP9" s="136" t="s">
        <v>501</v>
      </c>
      <c r="AQ9" s="137" t="s">
        <v>501</v>
      </c>
      <c r="AR9" s="135">
        <f>AR$3</f>
        <v>46186</v>
      </c>
      <c r="AS9" s="136" t="s">
        <v>501</v>
      </c>
      <c r="AT9" s="137" t="s">
        <v>501</v>
      </c>
      <c r="AU9" s="12"/>
    </row>
    <row r="10" spans="1:47">
      <c r="A10" s="122" t="str">
        <f>$A$4</f>
        <v>Lê Huy Toàn</v>
      </c>
      <c r="B10" s="28"/>
      <c r="C10" s="81" t="str">
        <f>IF($B10="","",INDEX('Bảng 5'!C:C,MATCH(IT!$B10,'Bảng 5'!$A:$A,0)))</f>
        <v/>
      </c>
      <c r="D10" s="81" t="str">
        <f>IF($B10="","",INDEX('Bảng 5'!D:D,MATCH(IT!$B10,'Bảng 5'!$A:$A,0)))</f>
        <v/>
      </c>
      <c r="E10" s="81" t="str">
        <f>IF($B10="","",INDEX('Bảng 5'!E:E,MATCH(IT!$B10,'Bảng 5'!$A:$A,0)))</f>
        <v/>
      </c>
      <c r="F10" s="81" t="str">
        <f>IF($B10="","",INDEX('Bảng 5'!F:F,MATCH(IT!$B10,'Bảng 5'!$A:$A,0)))</f>
        <v/>
      </c>
      <c r="G10" s="81" t="str">
        <f>IF($B10="","",INDEX('Bảng 5'!G:G,MATCH(IT!$B10,'Bảng 5'!$A:$A,0)))</f>
        <v/>
      </c>
      <c r="H10" s="121"/>
      <c r="I10" s="135"/>
      <c r="J10" s="135">
        <f>J$3</f>
        <v>46174</v>
      </c>
      <c r="K10" s="148" t="s">
        <v>501</v>
      </c>
      <c r="L10" s="137" t="s">
        <v>501</v>
      </c>
      <c r="M10" s="135">
        <f>M$3</f>
        <v>46175</v>
      </c>
      <c r="N10" s="136" t="s">
        <v>501</v>
      </c>
      <c r="O10" s="137" t="s">
        <v>501</v>
      </c>
      <c r="P10" s="135">
        <f>P$3</f>
        <v>46176</v>
      </c>
      <c r="Q10" s="136" t="s">
        <v>501</v>
      </c>
      <c r="R10" s="137" t="s">
        <v>501</v>
      </c>
      <c r="S10" s="135">
        <f>S$3</f>
        <v>46177</v>
      </c>
      <c r="T10" s="136" t="s">
        <v>501</v>
      </c>
      <c r="U10" s="137" t="s">
        <v>501</v>
      </c>
      <c r="V10" s="135">
        <f>V$3</f>
        <v>46178</v>
      </c>
      <c r="W10" s="136" t="s">
        <v>501</v>
      </c>
      <c r="X10" s="137" t="s">
        <v>501</v>
      </c>
      <c r="Y10" s="135">
        <f>Y$3</f>
        <v>46179</v>
      </c>
      <c r="Z10" s="136" t="s">
        <v>501</v>
      </c>
      <c r="AA10" s="137" t="s">
        <v>501</v>
      </c>
      <c r="AB10" s="135"/>
      <c r="AC10" s="135">
        <f>AC$3</f>
        <v>46181</v>
      </c>
      <c r="AD10" s="136" t="s">
        <v>501</v>
      </c>
      <c r="AE10" s="137" t="s">
        <v>501</v>
      </c>
      <c r="AF10" s="135">
        <f>AF$3</f>
        <v>46182</v>
      </c>
      <c r="AG10" s="136" t="s">
        <v>501</v>
      </c>
      <c r="AH10" s="137" t="s">
        <v>501</v>
      </c>
      <c r="AI10" s="135">
        <f>AI$3</f>
        <v>46183</v>
      </c>
      <c r="AJ10" s="136" t="s">
        <v>501</v>
      </c>
      <c r="AK10" s="137" t="s">
        <v>501</v>
      </c>
      <c r="AL10" s="135">
        <f>AL$3</f>
        <v>46184</v>
      </c>
      <c r="AM10" s="136" t="s">
        <v>501</v>
      </c>
      <c r="AN10" s="137" t="s">
        <v>501</v>
      </c>
      <c r="AO10" s="135">
        <f>AO$3</f>
        <v>46185</v>
      </c>
      <c r="AP10" s="136" t="s">
        <v>501</v>
      </c>
      <c r="AQ10" s="137" t="s">
        <v>501</v>
      </c>
      <c r="AR10" s="135">
        <f>AR$3</f>
        <v>46186</v>
      </c>
      <c r="AS10" s="136" t="s">
        <v>501</v>
      </c>
      <c r="AT10" s="137" t="s">
        <v>501</v>
      </c>
      <c r="AU10" s="12"/>
    </row>
    <row r="11" spans="1:47">
      <c r="A11" s="122" t="str">
        <f>$A$4</f>
        <v>Lê Huy Toàn</v>
      </c>
      <c r="B11" s="28"/>
      <c r="C11" s="81" t="str">
        <f>IF($B11="","",INDEX('Bảng 5'!C:C,MATCH(IT!$B11,'Bảng 5'!$A:$A,0)))</f>
        <v/>
      </c>
      <c r="D11" s="81" t="str">
        <f>IF($B11="","",INDEX('Bảng 5'!D:D,MATCH(IT!$B11,'Bảng 5'!$A:$A,0)))</f>
        <v/>
      </c>
      <c r="E11" s="81" t="str">
        <f>IF($B11="","",INDEX('Bảng 5'!E:E,MATCH(IT!$B11,'Bảng 5'!$A:$A,0)))</f>
        <v/>
      </c>
      <c r="F11" s="81" t="str">
        <f>IF($B11="","",INDEX('Bảng 5'!F:F,MATCH(IT!$B11,'Bảng 5'!$A:$A,0)))</f>
        <v/>
      </c>
      <c r="G11" s="81" t="str">
        <f>IF($B11="","",INDEX('Bảng 5'!G:G,MATCH(IT!$B11,'Bảng 5'!$A:$A,0)))</f>
        <v/>
      </c>
      <c r="H11" s="121"/>
      <c r="I11" s="135"/>
      <c r="J11" s="135">
        <f>J$3</f>
        <v>46174</v>
      </c>
      <c r="K11" s="148" t="s">
        <v>501</v>
      </c>
      <c r="L11" s="137" t="s">
        <v>501</v>
      </c>
      <c r="M11" s="135">
        <f>M$3</f>
        <v>46175</v>
      </c>
      <c r="N11" s="136" t="s">
        <v>501</v>
      </c>
      <c r="O11" s="137" t="s">
        <v>501</v>
      </c>
      <c r="P11" s="135">
        <f>P$3</f>
        <v>46176</v>
      </c>
      <c r="Q11" s="136" t="s">
        <v>501</v>
      </c>
      <c r="R11" s="137" t="s">
        <v>501</v>
      </c>
      <c r="S11" s="135">
        <f>S$3</f>
        <v>46177</v>
      </c>
      <c r="T11" s="136" t="s">
        <v>501</v>
      </c>
      <c r="U11" s="137" t="s">
        <v>501</v>
      </c>
      <c r="V11" s="135">
        <f>V$3</f>
        <v>46178</v>
      </c>
      <c r="W11" s="136" t="s">
        <v>501</v>
      </c>
      <c r="X11" s="137" t="s">
        <v>501</v>
      </c>
      <c r="Y11" s="135">
        <f>Y$3</f>
        <v>46179</v>
      </c>
      <c r="Z11" s="136" t="s">
        <v>501</v>
      </c>
      <c r="AA11" s="137" t="s">
        <v>501</v>
      </c>
      <c r="AB11" s="135"/>
      <c r="AC11" s="135">
        <f>AC$3</f>
        <v>46181</v>
      </c>
      <c r="AD11" s="136" t="s">
        <v>501</v>
      </c>
      <c r="AE11" s="137" t="s">
        <v>501</v>
      </c>
      <c r="AF11" s="135">
        <f>AF$3</f>
        <v>46182</v>
      </c>
      <c r="AG11" s="136" t="s">
        <v>501</v>
      </c>
      <c r="AH11" s="137" t="s">
        <v>501</v>
      </c>
      <c r="AI11" s="135">
        <f>AI$3</f>
        <v>46183</v>
      </c>
      <c r="AJ11" s="136" t="s">
        <v>501</v>
      </c>
      <c r="AK11" s="137" t="s">
        <v>501</v>
      </c>
      <c r="AL11" s="135">
        <f>AL$3</f>
        <v>46184</v>
      </c>
      <c r="AM11" s="136" t="s">
        <v>501</v>
      </c>
      <c r="AN11" s="137" t="s">
        <v>501</v>
      </c>
      <c r="AO11" s="135">
        <f>AO$3</f>
        <v>46185</v>
      </c>
      <c r="AP11" s="136" t="s">
        <v>501</v>
      </c>
      <c r="AQ11" s="137" t="s">
        <v>501</v>
      </c>
      <c r="AR11" s="135">
        <f>AR$3</f>
        <v>46186</v>
      </c>
      <c r="AS11" s="136" t="s">
        <v>501</v>
      </c>
      <c r="AT11" s="137" t="s">
        <v>501</v>
      </c>
      <c r="AU11" s="12"/>
    </row>
    <row r="12" spans="1:47">
      <c r="A12" s="36" t="s">
        <v>228</v>
      </c>
      <c r="B12" s="28"/>
      <c r="C12" s="81" t="str">
        <f>IF($B12="","",INDEX('Bảng 5'!C:C,MATCH(IT!$B12,'Bảng 5'!$A:$A,0)))</f>
        <v/>
      </c>
      <c r="D12" s="81" t="str">
        <f>IF($B12="","",INDEX('Bảng 5'!D:D,MATCH(IT!$B12,'Bảng 5'!$A:$A,0)))</f>
        <v/>
      </c>
      <c r="E12" s="81" t="str">
        <f>IF($B12="","",INDEX('Bảng 5'!E:E,MATCH(IT!$B12,'Bảng 5'!$A:$A,0)))</f>
        <v/>
      </c>
      <c r="F12" s="81" t="str">
        <f>IF($B12="","",INDEX('Bảng 5'!F:F,MATCH(IT!$B12,'Bảng 5'!$A:$A,0)))</f>
        <v/>
      </c>
      <c r="G12" s="81" t="str">
        <f>IF($B12="","",INDEX('Bảng 5'!G:G,MATCH(IT!$B12,'Bảng 5'!$A:$A,0)))</f>
        <v/>
      </c>
      <c r="H12" s="121"/>
      <c r="I12" s="138"/>
      <c r="J12" s="138">
        <f>J$3</f>
        <v>46174</v>
      </c>
      <c r="K12" s="147" t="s">
        <v>501</v>
      </c>
      <c r="L12" s="133">
        <f>SUM(L13:L18)</f>
        <v>8.25</v>
      </c>
      <c r="M12" s="138">
        <f>M$3</f>
        <v>46175</v>
      </c>
      <c r="N12" s="132" t="s">
        <v>501</v>
      </c>
      <c r="O12" s="133">
        <f>SUM(O13:O18)</f>
        <v>8.5</v>
      </c>
      <c r="P12" s="138">
        <f>P$3</f>
        <v>46176</v>
      </c>
      <c r="Q12" s="132" t="s">
        <v>501</v>
      </c>
      <c r="R12" s="133">
        <f>SUM(R13:R25)</f>
        <v>8</v>
      </c>
      <c r="S12" s="138">
        <f>S$3</f>
        <v>46177</v>
      </c>
      <c r="T12" s="132" t="s">
        <v>501</v>
      </c>
      <c r="U12" s="133">
        <f>SUM(U13:U25)</f>
        <v>8</v>
      </c>
      <c r="V12" s="138">
        <f>V$3</f>
        <v>46178</v>
      </c>
      <c r="W12" s="132" t="s">
        <v>501</v>
      </c>
      <c r="X12" s="133">
        <f>SUM(X13:X18)</f>
        <v>0</v>
      </c>
      <c r="Y12" s="138">
        <f>Y$3</f>
        <v>46179</v>
      </c>
      <c r="Z12" s="132" t="s">
        <v>501</v>
      </c>
      <c r="AA12" s="133">
        <f>SUM(AA13:AA18)</f>
        <v>0</v>
      </c>
      <c r="AB12" s="138"/>
      <c r="AC12" s="138">
        <f>AC$3</f>
        <v>46181</v>
      </c>
      <c r="AD12" s="132" t="s">
        <v>501</v>
      </c>
      <c r="AE12" s="133">
        <f>SUM(AE13:AE18)</f>
        <v>0</v>
      </c>
      <c r="AF12" s="138">
        <f>AF$3</f>
        <v>46182</v>
      </c>
      <c r="AG12" s="132" t="s">
        <v>501</v>
      </c>
      <c r="AH12" s="133">
        <f>SUM(AH13:AH18)</f>
        <v>0</v>
      </c>
      <c r="AI12" s="138">
        <f>AI$3</f>
        <v>46183</v>
      </c>
      <c r="AJ12" s="132" t="s">
        <v>501</v>
      </c>
      <c r="AK12" s="133">
        <f>SUM(AK13:AK18)</f>
        <v>0</v>
      </c>
      <c r="AL12" s="138">
        <f>AL$3</f>
        <v>46184</v>
      </c>
      <c r="AM12" s="132" t="s">
        <v>501</v>
      </c>
      <c r="AN12" s="133">
        <f>SUM(AN13:AN18)</f>
        <v>0</v>
      </c>
      <c r="AO12" s="138">
        <f>AO$3</f>
        <v>46185</v>
      </c>
      <c r="AP12" s="132" t="s">
        <v>501</v>
      </c>
      <c r="AQ12" s="133">
        <f>SUM(AQ13:AQ18)</f>
        <v>0</v>
      </c>
      <c r="AR12" s="138">
        <f>AR$3</f>
        <v>46186</v>
      </c>
      <c r="AS12" s="132" t="s">
        <v>501</v>
      </c>
      <c r="AT12" s="133">
        <f>SUM(AT13:AT18)</f>
        <v>0</v>
      </c>
      <c r="AU12" s="134"/>
    </row>
    <row r="13" spans="1:47">
      <c r="A13" s="122" t="str">
        <f>$A$12</f>
        <v>Nguyễn Thanh Phương</v>
      </c>
      <c r="B13" s="28" t="s">
        <v>749</v>
      </c>
      <c r="C13" s="81" t="str">
        <f>IF($B13="","",INDEX('Bảng 5'!C:C,MATCH(IT!$B13,'Bảng 5'!$A:$A,0)))</f>
        <v>Phát triển BIM Tools</v>
      </c>
      <c r="D13" s="81" t="str">
        <f>IF($B13="","",INDEX('Bảng 5'!D:D,MATCH(IT!$B13,'Bảng 5'!$A:$A,0)))</f>
        <v>Revit</v>
      </c>
      <c r="E13" s="81" t="str">
        <f>IF($B13="","",INDEX('Bảng 5'!E:E,MATCH(IT!$B13,'Bảng 5'!$A:$A,0)))</f>
        <v xml:space="preserve">Edit Tường, Sàn KT </v>
      </c>
      <c r="F13" s="81" t="str">
        <f>IF($B13="","",INDEX('Bảng 5'!F:F,MATCH(IT!$B13,'Bảng 5'!$A:$A,0)))</f>
        <v>BIM IT</v>
      </c>
      <c r="G13" s="81" t="str">
        <f>IF($B13="","",INDEX('Bảng 5'!G:G,MATCH(IT!$B13,'Bảng 5'!$A:$A,0)))</f>
        <v>Thực hiện Code</v>
      </c>
      <c r="H13" s="121"/>
      <c r="I13" s="135"/>
      <c r="J13" s="135">
        <f>J$3</f>
        <v>46174</v>
      </c>
      <c r="K13" s="148" t="s">
        <v>501</v>
      </c>
      <c r="L13" s="137">
        <v>8</v>
      </c>
      <c r="M13" s="135">
        <f>M$3</f>
        <v>46175</v>
      </c>
      <c r="N13" s="136" t="s">
        <v>501</v>
      </c>
      <c r="O13" s="137" t="s">
        <v>501</v>
      </c>
      <c r="P13" s="135">
        <f>P$3</f>
        <v>46176</v>
      </c>
      <c r="Q13" s="136" t="s">
        <v>501</v>
      </c>
      <c r="R13" s="137" t="s">
        <v>501</v>
      </c>
      <c r="S13" s="135">
        <f>S$3</f>
        <v>46177</v>
      </c>
      <c r="T13" s="136" t="s">
        <v>501</v>
      </c>
      <c r="U13" s="137" t="s">
        <v>501</v>
      </c>
      <c r="V13" s="135">
        <f>V$3</f>
        <v>46178</v>
      </c>
      <c r="W13" s="136" t="s">
        <v>501</v>
      </c>
      <c r="X13" s="137" t="s">
        <v>501</v>
      </c>
      <c r="Y13" s="135">
        <f>Y$3</f>
        <v>46179</v>
      </c>
      <c r="Z13" s="136" t="s">
        <v>501</v>
      </c>
      <c r="AA13" s="137" t="s">
        <v>501</v>
      </c>
      <c r="AB13" s="135"/>
      <c r="AC13" s="135">
        <f>AC$3</f>
        <v>46181</v>
      </c>
      <c r="AD13" s="136" t="s">
        <v>501</v>
      </c>
      <c r="AE13" s="137" t="s">
        <v>501</v>
      </c>
      <c r="AF13" s="135">
        <f>AF$3</f>
        <v>46182</v>
      </c>
      <c r="AG13" s="136" t="s">
        <v>501</v>
      </c>
      <c r="AH13" s="137" t="s">
        <v>501</v>
      </c>
      <c r="AI13" s="135">
        <f>AI$3</f>
        <v>46183</v>
      </c>
      <c r="AJ13" s="136" t="s">
        <v>501</v>
      </c>
      <c r="AK13" s="137" t="s">
        <v>501</v>
      </c>
      <c r="AL13" s="135">
        <f>AL$3</f>
        <v>46184</v>
      </c>
      <c r="AM13" s="136" t="s">
        <v>501</v>
      </c>
      <c r="AN13" s="137" t="s">
        <v>501</v>
      </c>
      <c r="AO13" s="135">
        <f>AO$3</f>
        <v>46185</v>
      </c>
      <c r="AP13" s="136" t="s">
        <v>501</v>
      </c>
      <c r="AQ13" s="137" t="s">
        <v>501</v>
      </c>
      <c r="AR13" s="135">
        <f>AR$3</f>
        <v>46186</v>
      </c>
      <c r="AS13" s="136" t="s">
        <v>501</v>
      </c>
      <c r="AT13" s="137" t="s">
        <v>501</v>
      </c>
      <c r="AU13" s="12"/>
    </row>
    <row r="14" spans="1:47">
      <c r="A14" s="122" t="str">
        <f>$A$12</f>
        <v>Nguyễn Thanh Phương</v>
      </c>
      <c r="B14" s="28" t="s">
        <v>750</v>
      </c>
      <c r="C14" s="81" t="str">
        <f>IF($B14="","",INDEX('Bảng 5'!C:C,MATCH(IT!$B14,'Bảng 5'!$A:$A,0)))</f>
        <v>Phát triển BIM Tools</v>
      </c>
      <c r="D14" s="81" t="str">
        <f>IF($B14="","",INDEX('Bảng 5'!D:D,MATCH(IT!$B14,'Bảng 5'!$A:$A,0)))</f>
        <v>Revit</v>
      </c>
      <c r="E14" s="81" t="str">
        <f>IF($B14="","",INDEX('Bảng 5'!E:E,MATCH(IT!$B14,'Bảng 5'!$A:$A,0)))</f>
        <v xml:space="preserve">Edit Tường, Sàn KT </v>
      </c>
      <c r="F14" s="81" t="str">
        <f>IF($B14="","",INDEX('Bảng 5'!F:F,MATCH(IT!$B14,'Bảng 5'!$A:$A,0)))</f>
        <v>BIM IT</v>
      </c>
      <c r="G14" s="81" t="str">
        <f>IF($B14="","",INDEX('Bảng 5'!G:G,MATCH(IT!$B14,'Bảng 5'!$A:$A,0)))</f>
        <v>Chạy thử và Đánh giá</v>
      </c>
      <c r="H14" s="121"/>
      <c r="I14" s="135"/>
      <c r="J14" s="135">
        <f>J$3</f>
        <v>46174</v>
      </c>
      <c r="K14" s="148" t="s">
        <v>501</v>
      </c>
      <c r="L14" s="137">
        <v>0.25</v>
      </c>
      <c r="M14" s="135">
        <f>M$3</f>
        <v>46175</v>
      </c>
      <c r="N14" s="136" t="s">
        <v>501</v>
      </c>
      <c r="O14" s="137"/>
      <c r="P14" s="135">
        <f>P$3</f>
        <v>46176</v>
      </c>
      <c r="Q14" s="136" t="s">
        <v>501</v>
      </c>
      <c r="R14" s="137" t="s">
        <v>501</v>
      </c>
      <c r="S14" s="135">
        <f>S$3</f>
        <v>46177</v>
      </c>
      <c r="T14" s="136" t="s">
        <v>501</v>
      </c>
      <c r="U14" s="137" t="s">
        <v>501</v>
      </c>
      <c r="V14" s="135">
        <f>V$3</f>
        <v>46178</v>
      </c>
      <c r="W14" s="136" t="s">
        <v>501</v>
      </c>
      <c r="X14" s="137" t="s">
        <v>501</v>
      </c>
      <c r="Y14" s="135">
        <f>Y$3</f>
        <v>46179</v>
      </c>
      <c r="Z14" s="136" t="s">
        <v>501</v>
      </c>
      <c r="AA14" s="137" t="s">
        <v>501</v>
      </c>
      <c r="AB14" s="135"/>
      <c r="AC14" s="135">
        <f>AC$3</f>
        <v>46181</v>
      </c>
      <c r="AD14" s="136" t="s">
        <v>501</v>
      </c>
      <c r="AE14" s="137" t="s">
        <v>501</v>
      </c>
      <c r="AF14" s="135">
        <f>AF$3</f>
        <v>46182</v>
      </c>
      <c r="AG14" s="136" t="s">
        <v>501</v>
      </c>
      <c r="AH14" s="137" t="s">
        <v>501</v>
      </c>
      <c r="AI14" s="135">
        <f>AI$3</f>
        <v>46183</v>
      </c>
      <c r="AJ14" s="136" t="s">
        <v>501</v>
      </c>
      <c r="AK14" s="137" t="s">
        <v>501</v>
      </c>
      <c r="AL14" s="135">
        <f>AL$3</f>
        <v>46184</v>
      </c>
      <c r="AM14" s="136" t="s">
        <v>501</v>
      </c>
      <c r="AN14" s="137" t="s">
        <v>501</v>
      </c>
      <c r="AO14" s="135">
        <f>AO$3</f>
        <v>46185</v>
      </c>
      <c r="AP14" s="136" t="s">
        <v>501</v>
      </c>
      <c r="AQ14" s="137" t="s">
        <v>501</v>
      </c>
      <c r="AR14" s="135">
        <f>AR$3</f>
        <v>46186</v>
      </c>
      <c r="AS14" s="136" t="s">
        <v>501</v>
      </c>
      <c r="AT14" s="137" t="s">
        <v>501</v>
      </c>
      <c r="AU14" s="12"/>
    </row>
    <row r="15" spans="1:47">
      <c r="A15" s="122" t="str">
        <f>$A$12</f>
        <v>Nguyễn Thanh Phương</v>
      </c>
      <c r="B15" s="82" t="s">
        <v>751</v>
      </c>
      <c r="C15" s="81" t="str">
        <f>IF($B15="","",INDEX('Bảng 5'!C:C,MATCH(IT!$B15,'Bảng 5'!$A:$A,0)))</f>
        <v>Phát triển BIM Tools</v>
      </c>
      <c r="D15" s="81" t="str">
        <f>IF($B15="","",INDEX('Bảng 5'!D:D,MATCH(IT!$B15,'Bảng 5'!$A:$A,0)))</f>
        <v>Revit</v>
      </c>
      <c r="E15" s="81" t="str">
        <f>IF($B15="","",INDEX('Bảng 5'!E:E,MATCH(IT!$B15,'Bảng 5'!$A:$A,0)))</f>
        <v>Thống kê tình trạng bàn giao đất</v>
      </c>
      <c r="F15" s="81" t="str">
        <f>IF($B15="","",INDEX('Bảng 5'!F:F,MATCH(IT!$B15,'Bảng 5'!$A:$A,0)))</f>
        <v>BIM IT</v>
      </c>
      <c r="G15" s="81" t="str">
        <f>IF($B15="","",INDEX('Bảng 5'!G:G,MATCH(IT!$B15,'Bảng 5'!$A:$A,0)))</f>
        <v>Hướng dẫn sử dụng</v>
      </c>
      <c r="H15" s="121"/>
      <c r="I15" s="135"/>
      <c r="J15" s="135">
        <f>J$3</f>
        <v>46174</v>
      </c>
      <c r="K15" s="148" t="s">
        <v>501</v>
      </c>
      <c r="L15" s="137" t="s">
        <v>501</v>
      </c>
      <c r="M15" s="135">
        <f>M$3</f>
        <v>46175</v>
      </c>
      <c r="N15" s="136" t="s">
        <v>501</v>
      </c>
      <c r="O15" s="137">
        <v>4</v>
      </c>
      <c r="P15" s="135">
        <f>P$3</f>
        <v>46176</v>
      </c>
      <c r="Q15" s="136" t="s">
        <v>501</v>
      </c>
      <c r="R15" s="137" t="s">
        <v>501</v>
      </c>
      <c r="S15" s="135">
        <f>S$3</f>
        <v>46177</v>
      </c>
      <c r="T15" s="136" t="s">
        <v>501</v>
      </c>
      <c r="U15" s="137" t="s">
        <v>501</v>
      </c>
      <c r="V15" s="135">
        <f>V$3</f>
        <v>46178</v>
      </c>
      <c r="W15" s="136" t="s">
        <v>501</v>
      </c>
      <c r="X15" s="137" t="s">
        <v>501</v>
      </c>
      <c r="Y15" s="135">
        <f>Y$3</f>
        <v>46179</v>
      </c>
      <c r="Z15" s="136" t="s">
        <v>501</v>
      </c>
      <c r="AA15" s="137" t="s">
        <v>501</v>
      </c>
      <c r="AB15" s="135"/>
      <c r="AC15" s="135">
        <f>AC$3</f>
        <v>46181</v>
      </c>
      <c r="AD15" s="136" t="s">
        <v>501</v>
      </c>
      <c r="AE15" s="137" t="s">
        <v>501</v>
      </c>
      <c r="AF15" s="135">
        <f>AF$3</f>
        <v>46182</v>
      </c>
      <c r="AG15" s="136" t="s">
        <v>501</v>
      </c>
      <c r="AH15" s="137" t="s">
        <v>501</v>
      </c>
      <c r="AI15" s="135">
        <f>AI$3</f>
        <v>46183</v>
      </c>
      <c r="AJ15" s="136" t="s">
        <v>501</v>
      </c>
      <c r="AK15" s="137" t="s">
        <v>501</v>
      </c>
      <c r="AL15" s="135">
        <f>AL$3</f>
        <v>46184</v>
      </c>
      <c r="AM15" s="136" t="s">
        <v>501</v>
      </c>
      <c r="AN15" s="137" t="s">
        <v>501</v>
      </c>
      <c r="AO15" s="135">
        <f>AO$3</f>
        <v>46185</v>
      </c>
      <c r="AP15" s="136" t="s">
        <v>501</v>
      </c>
      <c r="AQ15" s="137" t="s">
        <v>501</v>
      </c>
      <c r="AR15" s="135">
        <f>AR$3</f>
        <v>46186</v>
      </c>
      <c r="AS15" s="136" t="s">
        <v>501</v>
      </c>
      <c r="AT15" s="137" t="s">
        <v>501</v>
      </c>
      <c r="AU15" s="12"/>
    </row>
    <row r="16" spans="1:47">
      <c r="A16" s="122" t="str">
        <f>$A$12</f>
        <v>Nguyễn Thanh Phương</v>
      </c>
      <c r="B16" s="82" t="s">
        <v>752</v>
      </c>
      <c r="C16" s="81" t="str">
        <f>IF($B16="","",INDEX('Bảng 5'!C:C,MATCH(IT!$B16,'Bảng 5'!$A:$A,0)))</f>
        <v>Phát triển BIM Tools</v>
      </c>
      <c r="D16" s="81" t="str">
        <f>IF($B16="","",INDEX('Bảng 5'!D:D,MATCH(IT!$B16,'Bảng 5'!$A:$A,0)))</f>
        <v>Revit</v>
      </c>
      <c r="E16" s="81" t="str">
        <f>IF($B16="","",INDEX('Bảng 5'!E:E,MATCH(IT!$B16,'Bảng 5'!$A:$A,0)))</f>
        <v>QC mô hình</v>
      </c>
      <c r="F16" s="81" t="str">
        <f>IF($B16="","",INDEX('Bảng 5'!F:F,MATCH(IT!$B16,'Bảng 5'!$A:$A,0)))</f>
        <v>BIM IT</v>
      </c>
      <c r="G16" s="81" t="str">
        <f>IF($B16="","",INDEX('Bảng 5'!G:G,MATCH(IT!$B16,'Bảng 5'!$A:$A,0)))</f>
        <v>Chạy thử và Đánh giá</v>
      </c>
      <c r="H16" s="121"/>
      <c r="I16" s="135"/>
      <c r="J16" s="135">
        <f>J$3</f>
        <v>46174</v>
      </c>
      <c r="K16" s="148" t="s">
        <v>501</v>
      </c>
      <c r="L16" s="137" t="s">
        <v>501</v>
      </c>
      <c r="M16" s="135">
        <f>M$3</f>
        <v>46175</v>
      </c>
      <c r="N16" s="136" t="s">
        <v>501</v>
      </c>
      <c r="O16" s="137">
        <v>0.5</v>
      </c>
      <c r="P16" s="135">
        <f>P$3</f>
        <v>46176</v>
      </c>
      <c r="Q16" s="136" t="s">
        <v>501</v>
      </c>
      <c r="R16" s="137" t="s">
        <v>501</v>
      </c>
      <c r="S16" s="135">
        <f>S$3</f>
        <v>46177</v>
      </c>
      <c r="T16" s="136" t="s">
        <v>501</v>
      </c>
      <c r="U16" s="137" t="s">
        <v>501</v>
      </c>
      <c r="V16" s="135">
        <f>V$3</f>
        <v>46178</v>
      </c>
      <c r="W16" s="136" t="s">
        <v>501</v>
      </c>
      <c r="X16" s="137" t="s">
        <v>501</v>
      </c>
      <c r="Y16" s="135">
        <f>Y$3</f>
        <v>46179</v>
      </c>
      <c r="Z16" s="136" t="s">
        <v>501</v>
      </c>
      <c r="AA16" s="137" t="s">
        <v>501</v>
      </c>
      <c r="AB16" s="135"/>
      <c r="AC16" s="135">
        <f>AC$3</f>
        <v>46181</v>
      </c>
      <c r="AD16" s="136" t="s">
        <v>501</v>
      </c>
      <c r="AE16" s="137" t="s">
        <v>501</v>
      </c>
      <c r="AF16" s="135">
        <f>AF$3</f>
        <v>46182</v>
      </c>
      <c r="AG16" s="136" t="s">
        <v>501</v>
      </c>
      <c r="AH16" s="137" t="s">
        <v>501</v>
      </c>
      <c r="AI16" s="135">
        <f>AI$3</f>
        <v>46183</v>
      </c>
      <c r="AJ16" s="136" t="s">
        <v>501</v>
      </c>
      <c r="AK16" s="137" t="s">
        <v>501</v>
      </c>
      <c r="AL16" s="135">
        <f>AL$3</f>
        <v>46184</v>
      </c>
      <c r="AM16" s="136" t="s">
        <v>501</v>
      </c>
      <c r="AN16" s="137" t="s">
        <v>501</v>
      </c>
      <c r="AO16" s="135">
        <f>AO$3</f>
        <v>46185</v>
      </c>
      <c r="AP16" s="136" t="s">
        <v>501</v>
      </c>
      <c r="AQ16" s="137" t="s">
        <v>501</v>
      </c>
      <c r="AR16" s="135">
        <f>AR$3</f>
        <v>46186</v>
      </c>
      <c r="AS16" s="136" t="s">
        <v>501</v>
      </c>
      <c r="AT16" s="137" t="s">
        <v>501</v>
      </c>
      <c r="AU16" s="12"/>
    </row>
    <row r="17" spans="1:47">
      <c r="A17" s="122" t="str">
        <f>$A$12</f>
        <v>Nguyễn Thanh Phương</v>
      </c>
      <c r="B17" s="82" t="s">
        <v>753</v>
      </c>
      <c r="C17" s="81" t="str">
        <f>IF($B17="","",INDEX('Bảng 5'!C:C,MATCH(IT!$B17,'Bảng 5'!$A:$A,0)))</f>
        <v>Phát triển BIM Tools</v>
      </c>
      <c r="D17" s="81" t="str">
        <f>IF($B17="","",INDEX('Bảng 5'!D:D,MATCH(IT!$B17,'Bảng 5'!$A:$A,0)))</f>
        <v>Revit</v>
      </c>
      <c r="E17" s="81" t="str">
        <f>IF($B17="","",INDEX('Bảng 5'!E:E,MATCH(IT!$B17,'Bảng 5'!$A:$A,0)))</f>
        <v xml:space="preserve">Edit Tường, Sàn KT </v>
      </c>
      <c r="F17" s="81" t="str">
        <f>IF($B17="","",INDEX('Bảng 5'!F:F,MATCH(IT!$B17,'Bảng 5'!$A:$A,0)))</f>
        <v>BIM IT</v>
      </c>
      <c r="G17" s="81" t="str">
        <f>IF($B17="","",INDEX('Bảng 5'!G:G,MATCH(IT!$B17,'Bảng 5'!$A:$A,0)))</f>
        <v>Hướng dẫn sử dụng</v>
      </c>
      <c r="H17" s="121"/>
      <c r="I17" s="135"/>
      <c r="J17" s="135">
        <f>J$3</f>
        <v>46174</v>
      </c>
      <c r="K17" s="148" t="s">
        <v>501</v>
      </c>
      <c r="L17" s="137" t="s">
        <v>501</v>
      </c>
      <c r="M17" s="135">
        <f>M$3</f>
        <v>46175</v>
      </c>
      <c r="N17" s="136" t="s">
        <v>501</v>
      </c>
      <c r="O17" s="137">
        <v>4</v>
      </c>
      <c r="P17" s="135">
        <f>P$3</f>
        <v>46176</v>
      </c>
      <c r="Q17" s="136" t="s">
        <v>501</v>
      </c>
      <c r="R17" s="137" t="s">
        <v>501</v>
      </c>
      <c r="S17" s="135">
        <f>S$3</f>
        <v>46177</v>
      </c>
      <c r="T17" s="136" t="s">
        <v>501</v>
      </c>
      <c r="U17" s="137" t="s">
        <v>501</v>
      </c>
      <c r="V17" s="135">
        <f>V$3</f>
        <v>46178</v>
      </c>
      <c r="W17" s="136" t="s">
        <v>501</v>
      </c>
      <c r="X17" s="137" t="s">
        <v>501</v>
      </c>
      <c r="Y17" s="135">
        <f>Y$3</f>
        <v>46179</v>
      </c>
      <c r="Z17" s="136" t="s">
        <v>501</v>
      </c>
      <c r="AA17" s="137" t="s">
        <v>501</v>
      </c>
      <c r="AB17" s="135"/>
      <c r="AC17" s="135">
        <f>AC$3</f>
        <v>46181</v>
      </c>
      <c r="AD17" s="136" t="s">
        <v>501</v>
      </c>
      <c r="AE17" s="137" t="s">
        <v>501</v>
      </c>
      <c r="AF17" s="135">
        <f>AF$3</f>
        <v>46182</v>
      </c>
      <c r="AG17" s="136" t="s">
        <v>501</v>
      </c>
      <c r="AH17" s="137" t="s">
        <v>501</v>
      </c>
      <c r="AI17" s="135">
        <f>AI$3</f>
        <v>46183</v>
      </c>
      <c r="AJ17" s="136" t="s">
        <v>501</v>
      </c>
      <c r="AK17" s="137" t="s">
        <v>501</v>
      </c>
      <c r="AL17" s="135">
        <f>AL$3</f>
        <v>46184</v>
      </c>
      <c r="AM17" s="136" t="s">
        <v>501</v>
      </c>
      <c r="AN17" s="137" t="s">
        <v>501</v>
      </c>
      <c r="AO17" s="135">
        <f>AO$3</f>
        <v>46185</v>
      </c>
      <c r="AP17" s="136" t="s">
        <v>501</v>
      </c>
      <c r="AQ17" s="137" t="s">
        <v>501</v>
      </c>
      <c r="AR17" s="135">
        <f>AR$3</f>
        <v>46186</v>
      </c>
      <c r="AS17" s="136" t="s">
        <v>501</v>
      </c>
      <c r="AT17" s="137" t="s">
        <v>501</v>
      </c>
      <c r="AU17" s="12"/>
    </row>
    <row r="18" spans="1:47">
      <c r="A18" s="122" t="str">
        <f>$A$12</f>
        <v>Nguyễn Thanh Phương</v>
      </c>
      <c r="B18" s="82" t="s">
        <v>754</v>
      </c>
      <c r="C18" s="81" t="str">
        <f>IF($B18="","",INDEX('Bảng 5'!C:C,MATCH(IT!$B18,'Bảng 5'!$A:$A,0)))</f>
        <v>Phát triển BIM Tools</v>
      </c>
      <c r="D18" s="81" t="str">
        <f>IF($B18="","",INDEX('Bảng 5'!D:D,MATCH(IT!$B18,'Bảng 5'!$A:$A,0)))</f>
        <v>Revit</v>
      </c>
      <c r="E18" s="81" t="str">
        <f>IF($B18="","",INDEX('Bảng 5'!E:E,MATCH(IT!$B18,'Bảng 5'!$A:$A,0)))</f>
        <v xml:space="preserve">Edit Tường, Sàn KT </v>
      </c>
      <c r="F18" s="81" t="str">
        <f>IF($B18="","",INDEX('Bảng 5'!F:F,MATCH(IT!$B18,'Bảng 5'!$A:$A,0)))</f>
        <v>BIM IT</v>
      </c>
      <c r="G18" s="81" t="str">
        <f>IF($B18="","",INDEX('Bảng 5'!G:G,MATCH(IT!$B18,'Bảng 5'!$A:$A,0)))</f>
        <v>Xuất bản</v>
      </c>
      <c r="H18" s="121"/>
      <c r="I18" s="135"/>
      <c r="J18" s="135">
        <f>J$3</f>
        <v>46174</v>
      </c>
      <c r="K18" s="148" t="s">
        <v>501</v>
      </c>
      <c r="L18" s="137" t="s">
        <v>501</v>
      </c>
      <c r="M18" s="135">
        <f>M$3</f>
        <v>46175</v>
      </c>
      <c r="N18" s="136" t="s">
        <v>501</v>
      </c>
      <c r="O18" s="137" t="s">
        <v>501</v>
      </c>
      <c r="P18" s="135">
        <f>P$3</f>
        <v>46176</v>
      </c>
      <c r="Q18" s="136" t="s">
        <v>501</v>
      </c>
      <c r="R18" s="137">
        <v>2</v>
      </c>
      <c r="S18" s="135">
        <f>S$3</f>
        <v>46177</v>
      </c>
      <c r="T18" s="136" t="s">
        <v>501</v>
      </c>
      <c r="U18" s="137" t="s">
        <v>501</v>
      </c>
      <c r="V18" s="135">
        <f>V$3</f>
        <v>46178</v>
      </c>
      <c r="W18" s="136" t="s">
        <v>501</v>
      </c>
      <c r="X18" s="137" t="s">
        <v>501</v>
      </c>
      <c r="Y18" s="135">
        <f>Y$3</f>
        <v>46179</v>
      </c>
      <c r="Z18" s="136" t="s">
        <v>501</v>
      </c>
      <c r="AA18" s="137" t="s">
        <v>501</v>
      </c>
      <c r="AB18" s="135"/>
      <c r="AC18" s="135">
        <f>AC$3</f>
        <v>46181</v>
      </c>
      <c r="AD18" s="136" t="s">
        <v>501</v>
      </c>
      <c r="AE18" s="137" t="s">
        <v>501</v>
      </c>
      <c r="AF18" s="135">
        <f>AF$3</f>
        <v>46182</v>
      </c>
      <c r="AG18" s="136" t="s">
        <v>501</v>
      </c>
      <c r="AH18" s="137" t="s">
        <v>501</v>
      </c>
      <c r="AI18" s="135">
        <f>AI$3</f>
        <v>46183</v>
      </c>
      <c r="AJ18" s="136" t="s">
        <v>501</v>
      </c>
      <c r="AK18" s="137" t="s">
        <v>501</v>
      </c>
      <c r="AL18" s="135">
        <f>AL$3</f>
        <v>46184</v>
      </c>
      <c r="AM18" s="136" t="s">
        <v>501</v>
      </c>
      <c r="AN18" s="137" t="s">
        <v>501</v>
      </c>
      <c r="AO18" s="135">
        <f>AO$3</f>
        <v>46185</v>
      </c>
      <c r="AP18" s="136" t="s">
        <v>501</v>
      </c>
      <c r="AQ18" s="137" t="s">
        <v>501</v>
      </c>
      <c r="AR18" s="135">
        <f>AR$3</f>
        <v>46186</v>
      </c>
      <c r="AS18" s="136" t="s">
        <v>501</v>
      </c>
      <c r="AT18" s="137" t="s">
        <v>501</v>
      </c>
      <c r="AU18" s="12"/>
    </row>
    <row r="19" spans="1:47">
      <c r="A19" s="122" t="s">
        <v>228</v>
      </c>
      <c r="B19" s="82" t="s">
        <v>755</v>
      </c>
      <c r="C19" s="81" t="str">
        <f>IF($B19="","",INDEX('Bảng 5'!C:C,MATCH(IT!$B19,'Bảng 5'!$A:$A,0)))</f>
        <v>Phát triển BIM Tools</v>
      </c>
      <c r="D19" s="81" t="str">
        <f>IF($B19="","",INDEX('Bảng 5'!D:D,MATCH(IT!$B19,'Bảng 5'!$A:$A,0)))</f>
        <v>Revit</v>
      </c>
      <c r="E19" s="81" t="str">
        <f>IF($B19="","",INDEX('Bảng 5'!E:E,MATCH(IT!$B19,'Bảng 5'!$A:$A,0)))</f>
        <v>QC mô hình</v>
      </c>
      <c r="F19" s="81" t="str">
        <f>IF($B19="","",INDEX('Bảng 5'!F:F,MATCH(IT!$B19,'Bảng 5'!$A:$A,0)))</f>
        <v>BIM IT</v>
      </c>
      <c r="G19" s="81" t="str">
        <f>IF($B19="","",INDEX('Bảng 5'!G:G,MATCH(IT!$B19,'Bảng 5'!$A:$A,0)))</f>
        <v>Hướng dẫn sử dụng</v>
      </c>
      <c r="H19" s="121"/>
      <c r="I19" s="135"/>
      <c r="J19" s="135"/>
      <c r="K19" s="148"/>
      <c r="L19" s="137"/>
      <c r="M19" s="135"/>
      <c r="N19" s="136"/>
      <c r="O19" s="137"/>
      <c r="P19" s="135"/>
      <c r="Q19" s="136"/>
      <c r="R19" s="137">
        <v>2</v>
      </c>
      <c r="S19" s="135"/>
      <c r="T19" s="136"/>
      <c r="U19" s="137"/>
      <c r="V19" s="135"/>
      <c r="W19" s="136"/>
      <c r="X19" s="137"/>
      <c r="Y19" s="135"/>
      <c r="Z19" s="136"/>
      <c r="AA19" s="137"/>
      <c r="AB19" s="135"/>
      <c r="AC19" s="135"/>
      <c r="AD19" s="136"/>
      <c r="AE19" s="137"/>
      <c r="AF19" s="135"/>
      <c r="AG19" s="136"/>
      <c r="AH19" s="137"/>
      <c r="AI19" s="135"/>
      <c r="AJ19" s="136"/>
      <c r="AK19" s="137"/>
      <c r="AL19" s="135"/>
      <c r="AM19" s="136"/>
      <c r="AN19" s="137"/>
      <c r="AO19" s="135"/>
      <c r="AP19" s="136"/>
      <c r="AQ19" s="137"/>
      <c r="AR19" s="135"/>
      <c r="AS19" s="136"/>
      <c r="AT19" s="137"/>
      <c r="AU19" s="12"/>
    </row>
    <row r="20" spans="1:47">
      <c r="A20" s="122" t="s">
        <v>228</v>
      </c>
      <c r="B20" s="172" t="s">
        <v>756</v>
      </c>
      <c r="C20" s="81" t="str">
        <f>IF($B20="","",INDEX('Bảng 5'!C:C,MATCH(IT!$B20,'Bảng 5'!$A:$A,0)))</f>
        <v>Phát triển BIM Tools</v>
      </c>
      <c r="D20" s="81" t="str">
        <f>IF($B20="","",INDEX('Bảng 5'!D:D,MATCH(IT!$B20,'Bảng 5'!$A:$A,0)))</f>
        <v>Revit</v>
      </c>
      <c r="E20" s="81" t="str">
        <f>IF($B20="","",INDEX('Bảng 5'!E:E,MATCH(IT!$B20,'Bảng 5'!$A:$A,0)))</f>
        <v>Thống kê tình trạng bàn giao đất</v>
      </c>
      <c r="F20" s="81" t="str">
        <f>IF($B20="","",INDEX('Bảng 5'!F:F,MATCH(IT!$B20,'Bảng 5'!$A:$A,0)))</f>
        <v>BIM IT</v>
      </c>
      <c r="G20" s="81" t="str">
        <f>IF($B20="","",INDEX('Bảng 5'!G:G,MATCH(IT!$B20,'Bảng 5'!$A:$A,0)))</f>
        <v>Xuất bản</v>
      </c>
      <c r="H20" s="121"/>
      <c r="I20" s="135"/>
      <c r="J20" s="135"/>
      <c r="K20" s="148"/>
      <c r="L20" s="137"/>
      <c r="M20" s="135"/>
      <c r="N20" s="136"/>
      <c r="O20" s="137"/>
      <c r="P20" s="135"/>
      <c r="Q20" s="136"/>
      <c r="R20" s="137">
        <v>2</v>
      </c>
      <c r="S20" s="135"/>
      <c r="T20" s="136"/>
      <c r="U20" s="137"/>
      <c r="V20" s="135"/>
      <c r="W20" s="136"/>
      <c r="X20" s="137"/>
      <c r="Y20" s="135"/>
      <c r="Z20" s="136"/>
      <c r="AA20" s="137"/>
      <c r="AB20" s="135"/>
      <c r="AC20" s="135"/>
      <c r="AD20" s="136"/>
      <c r="AE20" s="137"/>
      <c r="AF20" s="135"/>
      <c r="AG20" s="136"/>
      <c r="AH20" s="137"/>
      <c r="AI20" s="135"/>
      <c r="AJ20" s="136"/>
      <c r="AK20" s="137"/>
      <c r="AL20" s="135"/>
      <c r="AM20" s="136"/>
      <c r="AN20" s="137"/>
      <c r="AO20" s="135"/>
      <c r="AP20" s="136"/>
      <c r="AQ20" s="137"/>
      <c r="AR20" s="135"/>
      <c r="AS20" s="136"/>
      <c r="AT20" s="137"/>
      <c r="AU20" s="12"/>
    </row>
    <row r="21" spans="1:47">
      <c r="A21" s="122" t="s">
        <v>228</v>
      </c>
      <c r="B21" s="82" t="s">
        <v>757</v>
      </c>
      <c r="C21" s="81" t="str">
        <f>IF($B21="","",INDEX('Bảng 5'!C:C,MATCH(IT!$B21,'Bảng 5'!$A:$A,0)))</f>
        <v>Phát triển BIM Tools</v>
      </c>
      <c r="D21" s="81" t="str">
        <f>IF($B21="","",INDEX('Bảng 5'!D:D,MATCH(IT!$B21,'Bảng 5'!$A:$A,0)))</f>
        <v>Revit</v>
      </c>
      <c r="E21" s="81" t="str">
        <f>IF($B21="","",INDEX('Bảng 5'!E:E,MATCH(IT!$B21,'Bảng 5'!$A:$A,0)))</f>
        <v>QC mô hình</v>
      </c>
      <c r="F21" s="81" t="str">
        <f>IF($B21="","",INDEX('Bảng 5'!F:F,MATCH(IT!$B21,'Bảng 5'!$A:$A,0)))</f>
        <v>BIM IT</v>
      </c>
      <c r="G21" s="81" t="str">
        <f>IF($B21="","",INDEX('Bảng 5'!G:G,MATCH(IT!$B21,'Bảng 5'!$A:$A,0)))</f>
        <v>Xuất bản</v>
      </c>
      <c r="H21" s="121"/>
      <c r="I21" s="135"/>
      <c r="J21" s="135"/>
      <c r="K21" s="148"/>
      <c r="L21" s="137"/>
      <c r="M21" s="135"/>
      <c r="N21" s="136"/>
      <c r="O21" s="137"/>
      <c r="P21" s="135"/>
      <c r="Q21" s="136"/>
      <c r="R21" s="137">
        <v>2</v>
      </c>
      <c r="S21" s="135"/>
      <c r="T21" s="136"/>
      <c r="U21" s="137"/>
      <c r="V21" s="135"/>
      <c r="W21" s="136"/>
      <c r="X21" s="137"/>
      <c r="Y21" s="135"/>
      <c r="Z21" s="136"/>
      <c r="AA21" s="137"/>
      <c r="AB21" s="135"/>
      <c r="AC21" s="135"/>
      <c r="AD21" s="136"/>
      <c r="AE21" s="137"/>
      <c r="AF21" s="135"/>
      <c r="AG21" s="136"/>
      <c r="AH21" s="137"/>
      <c r="AI21" s="135"/>
      <c r="AJ21" s="136"/>
      <c r="AK21" s="137"/>
      <c r="AL21" s="135"/>
      <c r="AM21" s="136"/>
      <c r="AN21" s="137"/>
      <c r="AO21" s="135"/>
      <c r="AP21" s="136"/>
      <c r="AQ21" s="137"/>
      <c r="AR21" s="135"/>
      <c r="AS21" s="136"/>
      <c r="AT21" s="137"/>
      <c r="AU21" s="12"/>
    </row>
    <row r="22" spans="1:47">
      <c r="A22" s="171" t="s">
        <v>228</v>
      </c>
      <c r="B22" s="28" t="s">
        <v>758</v>
      </c>
      <c r="C22" s="81" t="str">
        <f>IF($B22="","",INDEX('Bảng 5'!C:C,MATCH(IT!$B22,'Bảng 5'!$A:$A,0)))</f>
        <v>Phát triển BIM Tools</v>
      </c>
      <c r="D22" s="81" t="str">
        <f>IF($B22="","",INDEX('Bảng 5'!D:D,MATCH(IT!$B22,'Bảng 5'!$A:$A,0)))</f>
        <v>Revit</v>
      </c>
      <c r="E22" s="81" t="str">
        <f>IF($B22="","",INDEX('Bảng 5'!E:E,MATCH(IT!$B22,'Bảng 5'!$A:$A,0)))</f>
        <v>Dàn trang tài liệu bán hàng CAD</v>
      </c>
      <c r="F22" s="81" t="str">
        <f>IF($B22="","",INDEX('Bảng 5'!F:F,MATCH(IT!$B22,'Bảng 5'!$A:$A,0)))</f>
        <v>BIM IT</v>
      </c>
      <c r="G22" s="81" t="str">
        <f>IF($B22="","",INDEX('Bảng 5'!G:G,MATCH(IT!$B22,'Bảng 5'!$A:$A,0)))</f>
        <v>Thực hiện Code</v>
      </c>
      <c r="H22" s="121"/>
      <c r="I22" s="135"/>
      <c r="J22" s="135"/>
      <c r="K22" s="148"/>
      <c r="L22" s="137"/>
      <c r="M22" s="135"/>
      <c r="N22" s="136"/>
      <c r="O22" s="137"/>
      <c r="P22" s="135"/>
      <c r="Q22" s="136"/>
      <c r="R22" s="137"/>
      <c r="S22" s="135"/>
      <c r="T22" s="136"/>
      <c r="U22" s="137">
        <v>6</v>
      </c>
      <c r="V22" s="135"/>
      <c r="W22" s="136"/>
      <c r="X22" s="137"/>
      <c r="Y22" s="135"/>
      <c r="Z22" s="136"/>
      <c r="AA22" s="137"/>
      <c r="AB22" s="135"/>
      <c r="AC22" s="135"/>
      <c r="AD22" s="136"/>
      <c r="AE22" s="137"/>
      <c r="AF22" s="135"/>
      <c r="AG22" s="136"/>
      <c r="AH22" s="137"/>
      <c r="AI22" s="135"/>
      <c r="AJ22" s="136"/>
      <c r="AK22" s="137"/>
      <c r="AL22" s="135"/>
      <c r="AM22" s="136"/>
      <c r="AN22" s="137"/>
      <c r="AO22" s="135"/>
      <c r="AP22" s="136"/>
      <c r="AQ22" s="137"/>
      <c r="AR22" s="135"/>
      <c r="AS22" s="136"/>
      <c r="AT22" s="137"/>
      <c r="AU22" s="12"/>
    </row>
    <row r="23" spans="1:47">
      <c r="A23" s="171" t="s">
        <v>228</v>
      </c>
      <c r="B23" s="28" t="s">
        <v>759</v>
      </c>
      <c r="C23" s="81" t="str">
        <f>IF($B23="","",INDEX('Bảng 5'!C:C,MATCH(IT!$B23,'Bảng 5'!$A:$A,0)))</f>
        <v>Phát triển BIM Tools</v>
      </c>
      <c r="D23" s="81" t="str">
        <f>IF($B23="","",INDEX('Bảng 5'!D:D,MATCH(IT!$B23,'Bảng 5'!$A:$A,0)))</f>
        <v>Revit</v>
      </c>
      <c r="E23" s="81" t="str">
        <f>IF($B23="","",INDEX('Bảng 5'!E:E,MATCH(IT!$B23,'Bảng 5'!$A:$A,0)))</f>
        <v>Dàn trang tài liệu bán hàng CAD</v>
      </c>
      <c r="F23" s="81" t="str">
        <f>IF($B23="","",INDEX('Bảng 5'!F:F,MATCH(IT!$B23,'Bảng 5'!$A:$A,0)))</f>
        <v>BIM IT</v>
      </c>
      <c r="G23" s="81" t="str">
        <f>IF($B23="","",INDEX('Bảng 5'!G:G,MATCH(IT!$B23,'Bảng 5'!$A:$A,0)))</f>
        <v>Chạy thử và Đánh giá</v>
      </c>
      <c r="H23" s="121"/>
      <c r="I23" s="135"/>
      <c r="J23" s="135"/>
      <c r="K23" s="148"/>
      <c r="L23" s="137"/>
      <c r="M23" s="135"/>
      <c r="N23" s="136"/>
      <c r="O23" s="137"/>
      <c r="P23" s="135"/>
      <c r="Q23" s="136"/>
      <c r="R23" s="137"/>
      <c r="S23" s="135"/>
      <c r="T23" s="136"/>
      <c r="U23" s="137">
        <v>0.25</v>
      </c>
      <c r="V23" s="135"/>
      <c r="W23" s="136"/>
      <c r="X23" s="137"/>
      <c r="Y23" s="135"/>
      <c r="Z23" s="136"/>
      <c r="AA23" s="137"/>
      <c r="AB23" s="135"/>
      <c r="AC23" s="135"/>
      <c r="AD23" s="136"/>
      <c r="AE23" s="137"/>
      <c r="AF23" s="135"/>
      <c r="AG23" s="136"/>
      <c r="AH23" s="137"/>
      <c r="AI23" s="135"/>
      <c r="AJ23" s="136"/>
      <c r="AK23" s="137"/>
      <c r="AL23" s="135"/>
      <c r="AM23" s="136"/>
      <c r="AN23" s="137"/>
      <c r="AO23" s="135"/>
      <c r="AP23" s="136"/>
      <c r="AQ23" s="137"/>
      <c r="AR23" s="135"/>
      <c r="AS23" s="136"/>
      <c r="AT23" s="137"/>
      <c r="AU23" s="12"/>
    </row>
    <row r="24" spans="1:47">
      <c r="A24" s="171" t="s">
        <v>228</v>
      </c>
      <c r="B24" s="28" t="s">
        <v>760</v>
      </c>
      <c r="C24" s="81" t="str">
        <f>IF($B24="","",INDEX('Bảng 5'!C:C,MATCH(IT!$B24,'Bảng 5'!$A:$A,0)))</f>
        <v>Phát triển BIM Tools</v>
      </c>
      <c r="D24" s="81" t="str">
        <f>IF($B24="","",INDEX('Bảng 5'!D:D,MATCH(IT!$B24,'Bảng 5'!$A:$A,0)))</f>
        <v>Revit</v>
      </c>
      <c r="E24" s="81" t="str">
        <f>IF($B24="","",INDEX('Bảng 5'!E:E,MATCH(IT!$B24,'Bảng 5'!$A:$A,0)))</f>
        <v>Dàn trang tài liệu bán hàng CAD</v>
      </c>
      <c r="F24" s="81" t="str">
        <f>IF($B24="","",INDEX('Bảng 5'!F:F,MATCH(IT!$B24,'Bảng 5'!$A:$A,0)))</f>
        <v>BIM IT</v>
      </c>
      <c r="G24" s="81" t="str">
        <f>IF($B24="","",INDEX('Bảng 5'!G:G,MATCH(IT!$B24,'Bảng 5'!$A:$A,0)))</f>
        <v>Hướng dẫn sử dụng</v>
      </c>
      <c r="H24" s="121"/>
      <c r="I24" s="135"/>
      <c r="J24" s="135"/>
      <c r="K24" s="148"/>
      <c r="L24" s="137"/>
      <c r="M24" s="135"/>
      <c r="N24" s="136"/>
      <c r="O24" s="137"/>
      <c r="P24" s="135"/>
      <c r="Q24" s="136"/>
      <c r="R24" s="137"/>
      <c r="S24" s="135"/>
      <c r="T24" s="136"/>
      <c r="U24" s="137">
        <v>0.75</v>
      </c>
      <c r="V24" s="135"/>
      <c r="W24" s="136"/>
      <c r="X24" s="137"/>
      <c r="Y24" s="135"/>
      <c r="Z24" s="136"/>
      <c r="AA24" s="137"/>
      <c r="AB24" s="135"/>
      <c r="AC24" s="135"/>
      <c r="AD24" s="136"/>
      <c r="AE24" s="137"/>
      <c r="AF24" s="135"/>
      <c r="AG24" s="136"/>
      <c r="AH24" s="137"/>
      <c r="AI24" s="135"/>
      <c r="AJ24" s="136"/>
      <c r="AK24" s="137"/>
      <c r="AL24" s="135"/>
      <c r="AM24" s="136"/>
      <c r="AN24" s="137"/>
      <c r="AO24" s="135"/>
      <c r="AP24" s="136"/>
      <c r="AQ24" s="137"/>
      <c r="AR24" s="135"/>
      <c r="AS24" s="136"/>
      <c r="AT24" s="137"/>
      <c r="AU24" s="12"/>
    </row>
    <row r="25" spans="1:47">
      <c r="A25" s="171" t="s">
        <v>228</v>
      </c>
      <c r="B25" s="28" t="s">
        <v>761</v>
      </c>
      <c r="C25" s="81" t="str">
        <f>IF($B25="","",INDEX('Bảng 5'!C:C,MATCH(IT!$B25,'Bảng 5'!$A:$A,0)))</f>
        <v>Phát triển BIM Tools</v>
      </c>
      <c r="D25" s="81" t="str">
        <f>IF($B25="","",INDEX('Bảng 5'!D:D,MATCH(IT!$B25,'Bảng 5'!$A:$A,0)))</f>
        <v>Revit</v>
      </c>
      <c r="E25" s="81" t="str">
        <f>IF($B25="","",INDEX('Bảng 5'!E:E,MATCH(IT!$B25,'Bảng 5'!$A:$A,0)))</f>
        <v>Dàn trang tài liệu bán hàng CAD</v>
      </c>
      <c r="F25" s="81" t="str">
        <f>IF($B25="","",INDEX('Bảng 5'!F:F,MATCH(IT!$B25,'Bảng 5'!$A:$A,0)))</f>
        <v>BIM IT</v>
      </c>
      <c r="G25" s="81" t="str">
        <f>IF($B25="","",INDEX('Bảng 5'!G:G,MATCH(IT!$B25,'Bảng 5'!$A:$A,0)))</f>
        <v>Xuất bản</v>
      </c>
      <c r="H25" s="121"/>
      <c r="I25" s="135"/>
      <c r="J25" s="135"/>
      <c r="K25" s="148"/>
      <c r="L25" s="137"/>
      <c r="M25" s="135"/>
      <c r="N25" s="136"/>
      <c r="O25" s="137"/>
      <c r="P25" s="135"/>
      <c r="Q25" s="136"/>
      <c r="R25" s="137"/>
      <c r="S25" s="135"/>
      <c r="T25" s="136"/>
      <c r="U25" s="137">
        <v>1</v>
      </c>
      <c r="V25" s="135"/>
      <c r="W25" s="136"/>
      <c r="X25" s="137"/>
      <c r="Y25" s="135"/>
      <c r="Z25" s="136"/>
      <c r="AA25" s="137"/>
      <c r="AB25" s="135"/>
      <c r="AC25" s="135"/>
      <c r="AD25" s="136"/>
      <c r="AE25" s="137"/>
      <c r="AF25" s="135"/>
      <c r="AG25" s="136"/>
      <c r="AH25" s="137"/>
      <c r="AI25" s="135"/>
      <c r="AJ25" s="136"/>
      <c r="AK25" s="137"/>
      <c r="AL25" s="135"/>
      <c r="AM25" s="136"/>
      <c r="AN25" s="137"/>
      <c r="AO25" s="135"/>
      <c r="AP25" s="136"/>
      <c r="AQ25" s="137"/>
      <c r="AR25" s="135"/>
      <c r="AS25" s="136"/>
      <c r="AT25" s="137"/>
      <c r="AU25" s="12"/>
    </row>
    <row r="26" spans="1:47">
      <c r="A26" s="36" t="s">
        <v>223</v>
      </c>
      <c r="B26" s="95"/>
      <c r="C26" s="81" t="str">
        <f>IF($B26="","",INDEX('Bảng 5'!C:C,MATCH(IT!$B26,'Bảng 5'!$A:$A,0)))</f>
        <v/>
      </c>
      <c r="D26" s="81" t="str">
        <f>IF($B26="","",INDEX('Bảng 5'!D:D,MATCH(IT!$B26,'Bảng 5'!$A:$A,0)))</f>
        <v/>
      </c>
      <c r="E26" s="81" t="str">
        <f>IF($B26="","",INDEX('Bảng 5'!E:E,MATCH(IT!$B26,'Bảng 5'!$A:$A,0)))</f>
        <v/>
      </c>
      <c r="F26" s="81" t="str">
        <f>IF($B26="","",INDEX('Bảng 5'!F:F,MATCH(IT!$B26,'Bảng 5'!$A:$A,0)))</f>
        <v/>
      </c>
      <c r="G26" s="81" t="str">
        <f>IF($B26="","",INDEX('Bảng 5'!G:G,MATCH(IT!$B26,'Bảng 5'!$A:$A,0)))</f>
        <v/>
      </c>
      <c r="H26" s="121"/>
      <c r="I26" s="138"/>
      <c r="J26" s="138">
        <f>J$3</f>
        <v>46174</v>
      </c>
      <c r="K26" s="147" t="s">
        <v>501</v>
      </c>
      <c r="L26" s="133">
        <f>SUM(L27:L34)</f>
        <v>0</v>
      </c>
      <c r="M26" s="138">
        <f>M$3</f>
        <v>46175</v>
      </c>
      <c r="N26" s="132" t="s">
        <v>501</v>
      </c>
      <c r="O26" s="133">
        <f>SUM(O27:O34)</f>
        <v>0</v>
      </c>
      <c r="P26" s="138">
        <f>P$3</f>
        <v>46176</v>
      </c>
      <c r="Q26" s="132" t="s">
        <v>501</v>
      </c>
      <c r="R26" s="133">
        <f>SUM(R27:R34)</f>
        <v>0</v>
      </c>
      <c r="S26" s="138">
        <f>S$3</f>
        <v>46177</v>
      </c>
      <c r="T26" s="132" t="s">
        <v>501</v>
      </c>
      <c r="U26" s="133">
        <f>SUM(U27:U34)</f>
        <v>0</v>
      </c>
      <c r="V26" s="138">
        <f>V$3</f>
        <v>46178</v>
      </c>
      <c r="W26" s="132" t="s">
        <v>501</v>
      </c>
      <c r="X26" s="133">
        <f>SUM(X27:X34)</f>
        <v>0</v>
      </c>
      <c r="Y26" s="138">
        <f>Y$3</f>
        <v>46179</v>
      </c>
      <c r="Z26" s="132" t="s">
        <v>501</v>
      </c>
      <c r="AA26" s="133">
        <f>SUM(AA27:AA34)</f>
        <v>0</v>
      </c>
      <c r="AB26" s="138"/>
      <c r="AC26" s="138">
        <f>AC$3</f>
        <v>46181</v>
      </c>
      <c r="AD26" s="132" t="s">
        <v>501</v>
      </c>
      <c r="AE26" s="133">
        <f>SUM(AE27:AE34)</f>
        <v>0</v>
      </c>
      <c r="AF26" s="138">
        <f>AF$3</f>
        <v>46182</v>
      </c>
      <c r="AG26" s="132" t="s">
        <v>501</v>
      </c>
      <c r="AH26" s="133">
        <f>SUM(AH27:AH34)</f>
        <v>0</v>
      </c>
      <c r="AI26" s="138">
        <f>AI$3</f>
        <v>46183</v>
      </c>
      <c r="AJ26" s="132" t="s">
        <v>501</v>
      </c>
      <c r="AK26" s="133">
        <f>SUM(AK27:AK34)</f>
        <v>0</v>
      </c>
      <c r="AL26" s="138">
        <f>AL$3</f>
        <v>46184</v>
      </c>
      <c r="AM26" s="132" t="s">
        <v>501</v>
      </c>
      <c r="AN26" s="133">
        <f>SUM(AN27:AN34)</f>
        <v>0</v>
      </c>
      <c r="AO26" s="138">
        <f>AO$3</f>
        <v>46185</v>
      </c>
      <c r="AP26" s="132" t="s">
        <v>501</v>
      </c>
      <c r="AQ26" s="133">
        <f>SUM(AQ27:AQ34)</f>
        <v>0</v>
      </c>
      <c r="AR26" s="138">
        <f>AR$3</f>
        <v>46186</v>
      </c>
      <c r="AS26" s="132" t="s">
        <v>501</v>
      </c>
      <c r="AT26" s="133">
        <f>SUM(AT27:AT34)</f>
        <v>0</v>
      </c>
      <c r="AU26" s="134"/>
    </row>
    <row r="27" spans="1:47">
      <c r="A27" s="122" t="str">
        <f>$A$26</f>
        <v>Nguyễn Văn Tuyên</v>
      </c>
      <c r="B27" s="28"/>
      <c r="C27" s="81" t="str">
        <f>IF($B27="","",INDEX('Bảng 5'!C:C,MATCH(IT!$B27,'Bảng 5'!$A:$A,0)))</f>
        <v/>
      </c>
      <c r="D27" s="81" t="str">
        <f>IF($B27="","",INDEX('Bảng 5'!D:D,MATCH(IT!$B27,'Bảng 5'!$A:$A,0)))</f>
        <v/>
      </c>
      <c r="E27" s="81" t="str">
        <f>IF($B27="","",INDEX('Bảng 5'!E:E,MATCH(IT!$B27,'Bảng 5'!$A:$A,0)))</f>
        <v/>
      </c>
      <c r="F27" s="81" t="str">
        <f>IF($B27="","",INDEX('Bảng 5'!F:F,MATCH(IT!$B27,'Bảng 5'!$A:$A,0)))</f>
        <v/>
      </c>
      <c r="G27" s="81" t="str">
        <f>IF($B27="","",INDEX('Bảng 5'!G:G,MATCH(IT!$B27,'Bảng 5'!$A:$A,0)))</f>
        <v/>
      </c>
      <c r="H27" s="121"/>
      <c r="I27" s="135"/>
      <c r="J27" s="135">
        <f>J$3</f>
        <v>46174</v>
      </c>
      <c r="K27" s="148" t="s">
        <v>501</v>
      </c>
      <c r="L27" s="137"/>
      <c r="M27" s="135">
        <f>M$3</f>
        <v>46175</v>
      </c>
      <c r="N27" s="136" t="s">
        <v>501</v>
      </c>
      <c r="O27" s="137" t="s">
        <v>501</v>
      </c>
      <c r="P27" s="135">
        <f>P$3</f>
        <v>46176</v>
      </c>
      <c r="Q27" s="136" t="s">
        <v>501</v>
      </c>
      <c r="R27" s="137" t="s">
        <v>501</v>
      </c>
      <c r="S27" s="135">
        <f>S$3</f>
        <v>46177</v>
      </c>
      <c r="T27" s="136" t="s">
        <v>501</v>
      </c>
      <c r="U27" s="137" t="s">
        <v>501</v>
      </c>
      <c r="V27" s="135">
        <f>V$3</f>
        <v>46178</v>
      </c>
      <c r="W27" s="136" t="s">
        <v>501</v>
      </c>
      <c r="X27" s="137" t="s">
        <v>501</v>
      </c>
      <c r="Y27" s="135">
        <f>Y$3</f>
        <v>46179</v>
      </c>
      <c r="Z27" s="136" t="s">
        <v>501</v>
      </c>
      <c r="AA27" s="137" t="s">
        <v>501</v>
      </c>
      <c r="AB27" s="135"/>
      <c r="AC27" s="135">
        <f>AC$3</f>
        <v>46181</v>
      </c>
      <c r="AD27" s="136" t="s">
        <v>501</v>
      </c>
      <c r="AE27" s="137" t="s">
        <v>501</v>
      </c>
      <c r="AF27" s="135">
        <f>AF$3</f>
        <v>46182</v>
      </c>
      <c r="AG27" s="136" t="s">
        <v>501</v>
      </c>
      <c r="AH27" s="137" t="s">
        <v>501</v>
      </c>
      <c r="AI27" s="135">
        <f>AI$3</f>
        <v>46183</v>
      </c>
      <c r="AJ27" s="136" t="s">
        <v>501</v>
      </c>
      <c r="AK27" s="137" t="s">
        <v>501</v>
      </c>
      <c r="AL27" s="135">
        <f>AL$3</f>
        <v>46184</v>
      </c>
      <c r="AM27" s="136" t="s">
        <v>501</v>
      </c>
      <c r="AN27" s="137" t="s">
        <v>501</v>
      </c>
      <c r="AO27" s="135">
        <f>AO$3</f>
        <v>46185</v>
      </c>
      <c r="AP27" s="136" t="s">
        <v>501</v>
      </c>
      <c r="AQ27" s="137" t="s">
        <v>501</v>
      </c>
      <c r="AR27" s="135">
        <f>AR$3</f>
        <v>46186</v>
      </c>
      <c r="AS27" s="136" t="s">
        <v>501</v>
      </c>
      <c r="AT27" s="137" t="s">
        <v>501</v>
      </c>
      <c r="AU27" s="12"/>
    </row>
    <row r="28" spans="1:47">
      <c r="A28" s="122" t="str">
        <f>$A$26</f>
        <v>Nguyễn Văn Tuyên</v>
      </c>
      <c r="B28" s="123"/>
      <c r="C28" s="81" t="str">
        <f>IF($B28="","",INDEX('Bảng 5'!C:C,MATCH(IT!$B28,'Bảng 5'!$A:$A,0)))</f>
        <v/>
      </c>
      <c r="D28" s="81" t="str">
        <f>IF($B28="","",INDEX('Bảng 5'!D:D,MATCH(IT!$B28,'Bảng 5'!$A:$A,0)))</f>
        <v/>
      </c>
      <c r="E28" s="81" t="str">
        <f>IF($B28="","",INDEX('Bảng 5'!E:E,MATCH(IT!$B28,'Bảng 5'!$A:$A,0)))</f>
        <v/>
      </c>
      <c r="F28" s="81" t="str">
        <f>IF($B28="","",INDEX('Bảng 5'!F:F,MATCH(IT!$B28,'Bảng 5'!$A:$A,0)))</f>
        <v/>
      </c>
      <c r="G28" s="81" t="str">
        <f>IF($B28="","",INDEX('Bảng 5'!G:G,MATCH(IT!$B28,'Bảng 5'!$A:$A,0)))</f>
        <v/>
      </c>
      <c r="H28" s="121"/>
      <c r="I28" s="135"/>
      <c r="J28" s="135">
        <f>J$3</f>
        <v>46174</v>
      </c>
      <c r="K28" s="148" t="s">
        <v>501</v>
      </c>
      <c r="L28" s="137"/>
      <c r="M28" s="135">
        <f>M$3</f>
        <v>46175</v>
      </c>
      <c r="N28" s="136" t="s">
        <v>501</v>
      </c>
      <c r="O28" s="137"/>
      <c r="P28" s="135">
        <f>P$3</f>
        <v>46176</v>
      </c>
      <c r="Q28" s="136" t="s">
        <v>501</v>
      </c>
      <c r="R28" s="137" t="s">
        <v>501</v>
      </c>
      <c r="S28" s="135">
        <f>S$3</f>
        <v>46177</v>
      </c>
      <c r="T28" s="136" t="s">
        <v>501</v>
      </c>
      <c r="U28" s="137" t="s">
        <v>501</v>
      </c>
      <c r="V28" s="135">
        <f>V$3</f>
        <v>46178</v>
      </c>
      <c r="W28" s="136" t="s">
        <v>501</v>
      </c>
      <c r="X28" s="137" t="s">
        <v>501</v>
      </c>
      <c r="Y28" s="135">
        <f>Y$3</f>
        <v>46179</v>
      </c>
      <c r="Z28" s="136" t="s">
        <v>501</v>
      </c>
      <c r="AA28" s="137" t="s">
        <v>501</v>
      </c>
      <c r="AB28" s="135"/>
      <c r="AC28" s="135">
        <f>AC$3</f>
        <v>46181</v>
      </c>
      <c r="AD28" s="136" t="s">
        <v>501</v>
      </c>
      <c r="AE28" s="137" t="s">
        <v>501</v>
      </c>
      <c r="AF28" s="135">
        <f>AF$3</f>
        <v>46182</v>
      </c>
      <c r="AG28" s="136" t="s">
        <v>501</v>
      </c>
      <c r="AH28" s="137" t="s">
        <v>501</v>
      </c>
      <c r="AI28" s="135">
        <f>AI$3</f>
        <v>46183</v>
      </c>
      <c r="AJ28" s="136" t="s">
        <v>501</v>
      </c>
      <c r="AK28" s="137" t="s">
        <v>501</v>
      </c>
      <c r="AL28" s="135">
        <f>AL$3</f>
        <v>46184</v>
      </c>
      <c r="AM28" s="136" t="s">
        <v>501</v>
      </c>
      <c r="AN28" s="137" t="s">
        <v>501</v>
      </c>
      <c r="AO28" s="135">
        <f>AO$3</f>
        <v>46185</v>
      </c>
      <c r="AP28" s="136" t="s">
        <v>501</v>
      </c>
      <c r="AQ28" s="137" t="s">
        <v>501</v>
      </c>
      <c r="AR28" s="135">
        <f>AR$3</f>
        <v>46186</v>
      </c>
      <c r="AS28" s="136" t="s">
        <v>501</v>
      </c>
      <c r="AT28" s="137" t="s">
        <v>501</v>
      </c>
      <c r="AU28" s="12"/>
    </row>
    <row r="29" spans="1:47">
      <c r="A29" s="122" t="str">
        <f>$A$26</f>
        <v>Nguyễn Văn Tuyên</v>
      </c>
      <c r="B29" s="82"/>
      <c r="C29" s="81" t="str">
        <f>IF($B29="","",INDEX('Bảng 5'!C:C,MATCH(IT!$B29,'Bảng 5'!$A:$A,0)))</f>
        <v/>
      </c>
      <c r="D29" s="81" t="str">
        <f>IF($B29="","",INDEX('Bảng 5'!D:D,MATCH(IT!$B29,'Bảng 5'!$A:$A,0)))</f>
        <v/>
      </c>
      <c r="E29" s="81" t="str">
        <f>IF($B29="","",INDEX('Bảng 5'!E:E,MATCH(IT!$B29,'Bảng 5'!$A:$A,0)))</f>
        <v/>
      </c>
      <c r="F29" s="81" t="str">
        <f>IF($B29="","",INDEX('Bảng 5'!F:F,MATCH(IT!$B29,'Bảng 5'!$A:$A,0)))</f>
        <v/>
      </c>
      <c r="G29" s="81" t="str">
        <f>IF($B29="","",INDEX('Bảng 5'!G:G,MATCH(IT!$B29,'Bảng 5'!$A:$A,0)))</f>
        <v/>
      </c>
      <c r="H29" s="121"/>
      <c r="I29" s="135"/>
      <c r="J29" s="135">
        <f>J$3</f>
        <v>46174</v>
      </c>
      <c r="K29" s="148" t="s">
        <v>501</v>
      </c>
      <c r="L29" s="137"/>
      <c r="M29" s="135">
        <f>M$3</f>
        <v>46175</v>
      </c>
      <c r="N29" s="136" t="s">
        <v>501</v>
      </c>
      <c r="O29" s="137"/>
      <c r="P29" s="135">
        <f>P$3</f>
        <v>46176</v>
      </c>
      <c r="Q29" s="136" t="s">
        <v>501</v>
      </c>
      <c r="R29" s="137" t="s">
        <v>501</v>
      </c>
      <c r="S29" s="135">
        <f>S$3</f>
        <v>46177</v>
      </c>
      <c r="T29" s="136" t="s">
        <v>501</v>
      </c>
      <c r="U29" s="137" t="s">
        <v>501</v>
      </c>
      <c r="V29" s="135">
        <f>V$3</f>
        <v>46178</v>
      </c>
      <c r="W29" s="136" t="s">
        <v>501</v>
      </c>
      <c r="X29" s="137" t="s">
        <v>501</v>
      </c>
      <c r="Y29" s="135">
        <f>Y$3</f>
        <v>46179</v>
      </c>
      <c r="Z29" s="136" t="s">
        <v>501</v>
      </c>
      <c r="AA29" s="137" t="s">
        <v>501</v>
      </c>
      <c r="AB29" s="135"/>
      <c r="AC29" s="135">
        <f>AC$3</f>
        <v>46181</v>
      </c>
      <c r="AD29" s="136" t="s">
        <v>501</v>
      </c>
      <c r="AE29" s="137" t="s">
        <v>501</v>
      </c>
      <c r="AF29" s="135">
        <f>AF$3</f>
        <v>46182</v>
      </c>
      <c r="AG29" s="136" t="s">
        <v>501</v>
      </c>
      <c r="AH29" s="137" t="s">
        <v>501</v>
      </c>
      <c r="AI29" s="135">
        <f>AI$3</f>
        <v>46183</v>
      </c>
      <c r="AJ29" s="136" t="s">
        <v>501</v>
      </c>
      <c r="AK29" s="137" t="s">
        <v>501</v>
      </c>
      <c r="AL29" s="135">
        <f>AL$3</f>
        <v>46184</v>
      </c>
      <c r="AM29" s="136" t="s">
        <v>501</v>
      </c>
      <c r="AN29" s="137" t="s">
        <v>501</v>
      </c>
      <c r="AO29" s="135">
        <f>AO$3</f>
        <v>46185</v>
      </c>
      <c r="AP29" s="136" t="s">
        <v>501</v>
      </c>
      <c r="AQ29" s="137" t="s">
        <v>501</v>
      </c>
      <c r="AR29" s="135">
        <f>AR$3</f>
        <v>46186</v>
      </c>
      <c r="AS29" s="136" t="s">
        <v>501</v>
      </c>
      <c r="AT29" s="137" t="s">
        <v>501</v>
      </c>
      <c r="AU29" s="12"/>
    </row>
    <row r="30" spans="1:47">
      <c r="A30" s="122" t="str">
        <f>$A$26</f>
        <v>Nguyễn Văn Tuyên</v>
      </c>
      <c r="B30" s="82"/>
      <c r="C30" s="81" t="str">
        <f>IF($B30="","",INDEX('Bảng 5'!C:C,MATCH(IT!$B30,'Bảng 5'!$A:$A,0)))</f>
        <v/>
      </c>
      <c r="D30" s="81" t="str">
        <f>IF($B30="","",INDEX('Bảng 5'!D:D,MATCH(IT!$B30,'Bảng 5'!$A:$A,0)))</f>
        <v/>
      </c>
      <c r="E30" s="81" t="str">
        <f>IF($B30="","",INDEX('Bảng 5'!E:E,MATCH(IT!$B30,'Bảng 5'!$A:$A,0)))</f>
        <v/>
      </c>
      <c r="F30" s="81" t="str">
        <f>IF($B30="","",INDEX('Bảng 5'!F:F,MATCH(IT!$B30,'Bảng 5'!$A:$A,0)))</f>
        <v/>
      </c>
      <c r="G30" s="81" t="str">
        <f>IF($B30="","",INDEX('Bảng 5'!G:G,MATCH(IT!$B30,'Bảng 5'!$A:$A,0)))</f>
        <v/>
      </c>
      <c r="H30" s="121"/>
      <c r="I30" s="135"/>
      <c r="J30" s="135">
        <f>J$3</f>
        <v>46174</v>
      </c>
      <c r="K30" s="148" t="s">
        <v>501</v>
      </c>
      <c r="L30" s="137" t="s">
        <v>501</v>
      </c>
      <c r="M30" s="135">
        <f>M$3</f>
        <v>46175</v>
      </c>
      <c r="N30" s="136" t="s">
        <v>501</v>
      </c>
      <c r="O30" s="137"/>
      <c r="P30" s="135">
        <f>P$3</f>
        <v>46176</v>
      </c>
      <c r="Q30" s="136" t="s">
        <v>501</v>
      </c>
      <c r="R30" s="137" t="s">
        <v>501</v>
      </c>
      <c r="S30" s="135">
        <f>S$3</f>
        <v>46177</v>
      </c>
      <c r="T30" s="136" t="s">
        <v>501</v>
      </c>
      <c r="U30" s="137" t="s">
        <v>501</v>
      </c>
      <c r="V30" s="135">
        <f>V$3</f>
        <v>46178</v>
      </c>
      <c r="W30" s="136" t="s">
        <v>501</v>
      </c>
      <c r="X30" s="137" t="s">
        <v>501</v>
      </c>
      <c r="Y30" s="135">
        <f>Y$3</f>
        <v>46179</v>
      </c>
      <c r="Z30" s="136" t="s">
        <v>501</v>
      </c>
      <c r="AA30" s="137" t="s">
        <v>501</v>
      </c>
      <c r="AB30" s="135"/>
      <c r="AC30" s="135">
        <f>AC$3</f>
        <v>46181</v>
      </c>
      <c r="AD30" s="136" t="s">
        <v>501</v>
      </c>
      <c r="AE30" s="137" t="s">
        <v>501</v>
      </c>
      <c r="AF30" s="135">
        <f>AF$3</f>
        <v>46182</v>
      </c>
      <c r="AG30" s="136" t="s">
        <v>501</v>
      </c>
      <c r="AH30" s="137" t="s">
        <v>501</v>
      </c>
      <c r="AI30" s="135">
        <f>AI$3</f>
        <v>46183</v>
      </c>
      <c r="AJ30" s="136" t="s">
        <v>501</v>
      </c>
      <c r="AK30" s="137" t="s">
        <v>501</v>
      </c>
      <c r="AL30" s="135">
        <f>AL$3</f>
        <v>46184</v>
      </c>
      <c r="AM30" s="136" t="s">
        <v>501</v>
      </c>
      <c r="AN30" s="137" t="s">
        <v>501</v>
      </c>
      <c r="AO30" s="135">
        <f>AO$3</f>
        <v>46185</v>
      </c>
      <c r="AP30" s="136" t="s">
        <v>501</v>
      </c>
      <c r="AQ30" s="137" t="s">
        <v>501</v>
      </c>
      <c r="AR30" s="135">
        <f>AR$3</f>
        <v>46186</v>
      </c>
      <c r="AS30" s="136" t="s">
        <v>501</v>
      </c>
      <c r="AT30" s="137" t="s">
        <v>501</v>
      </c>
      <c r="AU30" s="12"/>
    </row>
    <row r="31" spans="1:47">
      <c r="A31" s="122" t="str">
        <f>$A$26</f>
        <v>Nguyễn Văn Tuyên</v>
      </c>
      <c r="B31" s="82"/>
      <c r="C31" s="81" t="str">
        <f>IF($B31="","",INDEX('Bảng 5'!C:C,MATCH(IT!$B31,'Bảng 5'!$A:$A,0)))</f>
        <v/>
      </c>
      <c r="D31" s="81" t="str">
        <f>IF($B31="","",INDEX('Bảng 5'!D:D,MATCH(IT!$B31,'Bảng 5'!$A:$A,0)))</f>
        <v/>
      </c>
      <c r="E31" s="81" t="str">
        <f>IF($B31="","",INDEX('Bảng 5'!E:E,MATCH(IT!$B31,'Bảng 5'!$A:$A,0)))</f>
        <v/>
      </c>
      <c r="F31" s="81" t="str">
        <f>IF($B31="","",INDEX('Bảng 5'!F:F,MATCH(IT!$B31,'Bảng 5'!$A:$A,0)))</f>
        <v/>
      </c>
      <c r="G31" s="81" t="str">
        <f>IF($B31="","",INDEX('Bảng 5'!G:G,MATCH(IT!$B31,'Bảng 5'!$A:$A,0)))</f>
        <v/>
      </c>
      <c r="H31" s="121"/>
      <c r="I31" s="135"/>
      <c r="J31" s="135">
        <f>J$3</f>
        <v>46174</v>
      </c>
      <c r="K31" s="148" t="s">
        <v>501</v>
      </c>
      <c r="L31" s="137" t="s">
        <v>501</v>
      </c>
      <c r="M31" s="135">
        <f>M$3</f>
        <v>46175</v>
      </c>
      <c r="N31" s="136" t="s">
        <v>501</v>
      </c>
      <c r="O31" s="137"/>
      <c r="P31" s="135">
        <f>P$3</f>
        <v>46176</v>
      </c>
      <c r="Q31" s="136" t="s">
        <v>501</v>
      </c>
      <c r="R31" s="137" t="s">
        <v>501</v>
      </c>
      <c r="S31" s="135">
        <f>S$3</f>
        <v>46177</v>
      </c>
      <c r="T31" s="136" t="s">
        <v>501</v>
      </c>
      <c r="U31" s="137" t="s">
        <v>501</v>
      </c>
      <c r="V31" s="135">
        <f>V$3</f>
        <v>46178</v>
      </c>
      <c r="W31" s="136" t="s">
        <v>501</v>
      </c>
      <c r="X31" s="137" t="s">
        <v>501</v>
      </c>
      <c r="Y31" s="135">
        <f>Y$3</f>
        <v>46179</v>
      </c>
      <c r="Z31" s="136" t="s">
        <v>501</v>
      </c>
      <c r="AA31" s="137" t="s">
        <v>501</v>
      </c>
      <c r="AB31" s="135"/>
      <c r="AC31" s="135">
        <f>AC$3</f>
        <v>46181</v>
      </c>
      <c r="AD31" s="136" t="s">
        <v>501</v>
      </c>
      <c r="AE31" s="137" t="s">
        <v>501</v>
      </c>
      <c r="AF31" s="135">
        <f>AF$3</f>
        <v>46182</v>
      </c>
      <c r="AG31" s="136" t="s">
        <v>501</v>
      </c>
      <c r="AH31" s="137" t="s">
        <v>501</v>
      </c>
      <c r="AI31" s="135">
        <f>AI$3</f>
        <v>46183</v>
      </c>
      <c r="AJ31" s="136" t="s">
        <v>501</v>
      </c>
      <c r="AK31" s="137" t="s">
        <v>501</v>
      </c>
      <c r="AL31" s="135">
        <f>AL$3</f>
        <v>46184</v>
      </c>
      <c r="AM31" s="136" t="s">
        <v>501</v>
      </c>
      <c r="AN31" s="137" t="s">
        <v>501</v>
      </c>
      <c r="AO31" s="135">
        <f>AO$3</f>
        <v>46185</v>
      </c>
      <c r="AP31" s="136" t="s">
        <v>501</v>
      </c>
      <c r="AQ31" s="137" t="s">
        <v>501</v>
      </c>
      <c r="AR31" s="135">
        <f>AR$3</f>
        <v>46186</v>
      </c>
      <c r="AS31" s="136" t="s">
        <v>501</v>
      </c>
      <c r="AT31" s="137" t="s">
        <v>501</v>
      </c>
      <c r="AU31" s="12"/>
    </row>
    <row r="32" spans="1:47">
      <c r="A32" s="122" t="str">
        <f>$A$26</f>
        <v>Nguyễn Văn Tuyên</v>
      </c>
      <c r="B32" s="82"/>
      <c r="C32" s="81" t="str">
        <f>IF($B32="","",INDEX('Bảng 5'!C:C,MATCH(IT!$B32,'Bảng 5'!$A:$A,0)))</f>
        <v/>
      </c>
      <c r="D32" s="81" t="str">
        <f>IF($B32="","",INDEX('Bảng 5'!D:D,MATCH(IT!$B32,'Bảng 5'!$A:$A,0)))</f>
        <v/>
      </c>
      <c r="E32" s="81" t="str">
        <f>IF($B32="","",INDEX('Bảng 5'!E:E,MATCH(IT!$B32,'Bảng 5'!$A:$A,0)))</f>
        <v/>
      </c>
      <c r="F32" s="81" t="str">
        <f>IF($B32="","",INDEX('Bảng 5'!F:F,MATCH(IT!$B32,'Bảng 5'!$A:$A,0)))</f>
        <v/>
      </c>
      <c r="G32" s="81" t="str">
        <f>IF($B32="","",INDEX('Bảng 5'!G:G,MATCH(IT!$B32,'Bảng 5'!$A:$A,0)))</f>
        <v/>
      </c>
      <c r="H32" s="121"/>
      <c r="I32" s="135"/>
      <c r="J32" s="135">
        <f>J$3</f>
        <v>46174</v>
      </c>
      <c r="K32" s="148" t="s">
        <v>501</v>
      </c>
      <c r="L32" s="137" t="s">
        <v>501</v>
      </c>
      <c r="M32" s="135">
        <f>M$3</f>
        <v>46175</v>
      </c>
      <c r="N32" s="136" t="s">
        <v>501</v>
      </c>
      <c r="O32" s="137"/>
      <c r="P32" s="135">
        <f>P$3</f>
        <v>46176</v>
      </c>
      <c r="Q32" s="136" t="s">
        <v>501</v>
      </c>
      <c r="R32" s="137" t="s">
        <v>501</v>
      </c>
      <c r="S32" s="135">
        <f>S$3</f>
        <v>46177</v>
      </c>
      <c r="T32" s="136" t="s">
        <v>501</v>
      </c>
      <c r="U32" s="137" t="s">
        <v>501</v>
      </c>
      <c r="V32" s="135">
        <f>V$3</f>
        <v>46178</v>
      </c>
      <c r="W32" s="136" t="s">
        <v>501</v>
      </c>
      <c r="X32" s="137" t="s">
        <v>501</v>
      </c>
      <c r="Y32" s="135">
        <f>Y$3</f>
        <v>46179</v>
      </c>
      <c r="Z32" s="136" t="s">
        <v>501</v>
      </c>
      <c r="AA32" s="137" t="s">
        <v>501</v>
      </c>
      <c r="AB32" s="135"/>
      <c r="AC32" s="135">
        <f>AC$3</f>
        <v>46181</v>
      </c>
      <c r="AD32" s="136" t="s">
        <v>501</v>
      </c>
      <c r="AE32" s="137" t="s">
        <v>501</v>
      </c>
      <c r="AF32" s="135">
        <f>AF$3</f>
        <v>46182</v>
      </c>
      <c r="AG32" s="136" t="s">
        <v>501</v>
      </c>
      <c r="AH32" s="137" t="s">
        <v>501</v>
      </c>
      <c r="AI32" s="135">
        <f>AI$3</f>
        <v>46183</v>
      </c>
      <c r="AJ32" s="136" t="s">
        <v>501</v>
      </c>
      <c r="AK32" s="137" t="s">
        <v>501</v>
      </c>
      <c r="AL32" s="135">
        <f>AL$3</f>
        <v>46184</v>
      </c>
      <c r="AM32" s="136" t="s">
        <v>501</v>
      </c>
      <c r="AN32" s="137" t="s">
        <v>501</v>
      </c>
      <c r="AO32" s="135">
        <f>AO$3</f>
        <v>46185</v>
      </c>
      <c r="AP32" s="136" t="s">
        <v>501</v>
      </c>
      <c r="AQ32" s="137" t="s">
        <v>501</v>
      </c>
      <c r="AR32" s="135">
        <f>AR$3</f>
        <v>46186</v>
      </c>
      <c r="AS32" s="136" t="s">
        <v>501</v>
      </c>
      <c r="AT32" s="137" t="s">
        <v>501</v>
      </c>
      <c r="AU32" s="12"/>
    </row>
    <row r="33" spans="1:47">
      <c r="A33" s="122" t="str">
        <f>$A$26</f>
        <v>Nguyễn Văn Tuyên</v>
      </c>
      <c r="B33" s="82"/>
      <c r="C33" s="81" t="str">
        <f>IF($B33="","",INDEX('Bảng 5'!C:C,MATCH(IT!$B33,'Bảng 5'!$A:$A,0)))</f>
        <v/>
      </c>
      <c r="D33" s="81" t="str">
        <f>IF($B33="","",INDEX('Bảng 5'!D:D,MATCH(IT!$B33,'Bảng 5'!$A:$A,0)))</f>
        <v/>
      </c>
      <c r="E33" s="81" t="str">
        <f>IF($B33="","",INDEX('Bảng 5'!E:E,MATCH(IT!$B33,'Bảng 5'!$A:$A,0)))</f>
        <v/>
      </c>
      <c r="F33" s="81" t="str">
        <f>IF($B33="","",INDEX('Bảng 5'!F:F,MATCH(IT!$B33,'Bảng 5'!$A:$A,0)))</f>
        <v/>
      </c>
      <c r="G33" s="81" t="str">
        <f>IF($B33="","",INDEX('Bảng 5'!G:G,MATCH(IT!$B33,'Bảng 5'!$A:$A,0)))</f>
        <v/>
      </c>
      <c r="H33" s="121"/>
      <c r="I33" s="135"/>
      <c r="J33" s="135">
        <f>J$3</f>
        <v>46174</v>
      </c>
      <c r="K33" s="148" t="s">
        <v>501</v>
      </c>
      <c r="L33" s="137" t="s">
        <v>501</v>
      </c>
      <c r="M33" s="135">
        <f>M$3</f>
        <v>46175</v>
      </c>
      <c r="N33" s="136" t="s">
        <v>501</v>
      </c>
      <c r="O33" s="137"/>
      <c r="P33" s="135">
        <f>P$3</f>
        <v>46176</v>
      </c>
      <c r="Q33" s="136" t="s">
        <v>501</v>
      </c>
      <c r="R33" s="137" t="s">
        <v>501</v>
      </c>
      <c r="S33" s="135">
        <f>S$3</f>
        <v>46177</v>
      </c>
      <c r="T33" s="136" t="s">
        <v>501</v>
      </c>
      <c r="U33" s="137" t="s">
        <v>501</v>
      </c>
      <c r="V33" s="135">
        <f>V$3</f>
        <v>46178</v>
      </c>
      <c r="W33" s="136" t="s">
        <v>501</v>
      </c>
      <c r="X33" s="137" t="s">
        <v>501</v>
      </c>
      <c r="Y33" s="135">
        <f>Y$3</f>
        <v>46179</v>
      </c>
      <c r="Z33" s="136" t="s">
        <v>501</v>
      </c>
      <c r="AA33" s="137" t="s">
        <v>501</v>
      </c>
      <c r="AB33" s="135"/>
      <c r="AC33" s="135">
        <f>AC$3</f>
        <v>46181</v>
      </c>
      <c r="AD33" s="136" t="s">
        <v>501</v>
      </c>
      <c r="AE33" s="137" t="s">
        <v>501</v>
      </c>
      <c r="AF33" s="135">
        <f>AF$3</f>
        <v>46182</v>
      </c>
      <c r="AG33" s="136" t="s">
        <v>501</v>
      </c>
      <c r="AH33" s="137" t="s">
        <v>501</v>
      </c>
      <c r="AI33" s="135">
        <f>AI$3</f>
        <v>46183</v>
      </c>
      <c r="AJ33" s="136" t="s">
        <v>501</v>
      </c>
      <c r="AK33" s="137" t="s">
        <v>501</v>
      </c>
      <c r="AL33" s="135">
        <f>AL$3</f>
        <v>46184</v>
      </c>
      <c r="AM33" s="136" t="s">
        <v>501</v>
      </c>
      <c r="AN33" s="137" t="s">
        <v>501</v>
      </c>
      <c r="AO33" s="135">
        <f>AO$3</f>
        <v>46185</v>
      </c>
      <c r="AP33" s="136" t="s">
        <v>501</v>
      </c>
      <c r="AQ33" s="137" t="s">
        <v>501</v>
      </c>
      <c r="AR33" s="135">
        <f>AR$3</f>
        <v>46186</v>
      </c>
      <c r="AS33" s="136" t="s">
        <v>501</v>
      </c>
      <c r="AT33" s="137" t="s">
        <v>501</v>
      </c>
      <c r="AU33" s="12"/>
    </row>
    <row r="34" spans="1:47">
      <c r="A34" s="122" t="str">
        <f>$A$26</f>
        <v>Nguyễn Văn Tuyên</v>
      </c>
      <c r="B34" s="82"/>
      <c r="C34" s="81" t="str">
        <f>IF($B34="","",INDEX('Bảng 5'!C:C,MATCH(IT!$B34,'Bảng 5'!$A:$A,0)))</f>
        <v/>
      </c>
      <c r="D34" s="81" t="str">
        <f>IF($B34="","",INDEX('Bảng 5'!D:D,MATCH(IT!$B34,'Bảng 5'!$A:$A,0)))</f>
        <v/>
      </c>
      <c r="E34" s="81" t="str">
        <f>IF($B34="","",INDEX('Bảng 5'!E:E,MATCH(IT!$B34,'Bảng 5'!$A:$A,0)))</f>
        <v/>
      </c>
      <c r="F34" s="81" t="str">
        <f>IF($B34="","",INDEX('Bảng 5'!F:F,MATCH(IT!$B34,'Bảng 5'!$A:$A,0)))</f>
        <v/>
      </c>
      <c r="G34" s="81" t="str">
        <f>IF($B34="","",INDEX('Bảng 5'!G:G,MATCH(IT!$B34,'Bảng 5'!$A:$A,0)))</f>
        <v/>
      </c>
      <c r="H34" s="121"/>
      <c r="I34" s="135"/>
      <c r="J34" s="135">
        <f>J$3</f>
        <v>46174</v>
      </c>
      <c r="K34" s="148" t="s">
        <v>501</v>
      </c>
      <c r="L34" s="137" t="s">
        <v>501</v>
      </c>
      <c r="M34" s="135">
        <f>M$3</f>
        <v>46175</v>
      </c>
      <c r="N34" s="136" t="s">
        <v>501</v>
      </c>
      <c r="O34" s="137"/>
      <c r="P34" s="135">
        <f>P$3</f>
        <v>46176</v>
      </c>
      <c r="Q34" s="136" t="s">
        <v>501</v>
      </c>
      <c r="R34" s="137" t="s">
        <v>501</v>
      </c>
      <c r="S34" s="135">
        <f>S$3</f>
        <v>46177</v>
      </c>
      <c r="T34" s="136" t="s">
        <v>501</v>
      </c>
      <c r="U34" s="137" t="s">
        <v>501</v>
      </c>
      <c r="V34" s="135">
        <f>V$3</f>
        <v>46178</v>
      </c>
      <c r="W34" s="136" t="s">
        <v>501</v>
      </c>
      <c r="X34" s="137" t="s">
        <v>501</v>
      </c>
      <c r="Y34" s="135">
        <f>Y$3</f>
        <v>46179</v>
      </c>
      <c r="Z34" s="136" t="s">
        <v>501</v>
      </c>
      <c r="AA34" s="137" t="s">
        <v>501</v>
      </c>
      <c r="AB34" s="135"/>
      <c r="AC34" s="135">
        <f>AC$3</f>
        <v>46181</v>
      </c>
      <c r="AD34" s="136" t="s">
        <v>501</v>
      </c>
      <c r="AE34" s="137" t="s">
        <v>501</v>
      </c>
      <c r="AF34" s="135">
        <f>AF$3</f>
        <v>46182</v>
      </c>
      <c r="AG34" s="136" t="s">
        <v>501</v>
      </c>
      <c r="AH34" s="137" t="s">
        <v>501</v>
      </c>
      <c r="AI34" s="135">
        <f>AI$3</f>
        <v>46183</v>
      </c>
      <c r="AJ34" s="136" t="s">
        <v>501</v>
      </c>
      <c r="AK34" s="137" t="s">
        <v>501</v>
      </c>
      <c r="AL34" s="135">
        <f>AL$3</f>
        <v>46184</v>
      </c>
      <c r="AM34" s="136" t="s">
        <v>501</v>
      </c>
      <c r="AN34" s="137" t="s">
        <v>501</v>
      </c>
      <c r="AO34" s="135">
        <f>AO$3</f>
        <v>46185</v>
      </c>
      <c r="AP34" s="136" t="s">
        <v>501</v>
      </c>
      <c r="AQ34" s="137" t="s">
        <v>501</v>
      </c>
      <c r="AR34" s="135">
        <f>AR$3</f>
        <v>46186</v>
      </c>
      <c r="AS34" s="136" t="s">
        <v>501</v>
      </c>
      <c r="AT34" s="137" t="s">
        <v>501</v>
      </c>
      <c r="AU34" s="12"/>
    </row>
  </sheetData>
  <autoFilter ref="A3:H34" xr:uid="{D67015DE-D1F2-49CB-BB0A-DEC642B2460A}"/>
  <mergeCells count="1">
    <mergeCell ref="A1:H1"/>
  </mergeCells>
  <conditionalFormatting sqref="B2:B34">
    <cfRule type="duplicateValues" dxfId="0" priority="160"/>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32F14BC-CE16-48F7-BBDB-CCB53BB83F54}">
          <x14:formula1>
            <xm:f>Data!$Y:$Y</xm:f>
          </x14:formula1>
          <xm:sqref>A4:A34</xm:sqref>
        </x14:dataValidation>
        <x14:dataValidation type="list" allowBlank="1" showInputMessage="1" showErrorMessage="1" xr:uid="{289573E8-11BA-4919-A6DC-E6C9D3DC86A4}">
          <x14:formula1>
            <xm:f>'Bảng 5'!$A:$A</xm:f>
          </x14:formula1>
          <xm:sqref>B1:B1048576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 Hồng Hạnh (VH-VTK-MB)</dc:creator>
  <cp:keywords/>
  <dc:description/>
  <cp:lastModifiedBy>Lý Huy Thành (VH-VTK-MB)</cp:lastModifiedBy>
  <cp:revision/>
  <dcterms:created xsi:type="dcterms:W3CDTF">2026-05-18T01:42:54Z</dcterms:created>
  <dcterms:modified xsi:type="dcterms:W3CDTF">2026-06-02T13:04:22Z</dcterms:modified>
  <cp:category/>
  <cp:contentStatus/>
</cp:coreProperties>
</file>