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defaultThemeVersion="166925"/>
  <mc:AlternateContent xmlns:mc="http://schemas.openxmlformats.org/markup-compatibility/2006">
    <mc:Choice Requires="x15">
      <x15ac:absPath xmlns:x15ac="http://schemas.microsoft.com/office/spreadsheetml/2010/11/ac" url="H:\"/>
    </mc:Choice>
  </mc:AlternateContent>
  <xr:revisionPtr revIDLastSave="8276" documentId="13_ncr:1_{FE9C735D-E7DF-41E5-8AEE-7B77F4853E58}" xr6:coauthVersionLast="47" xr6:coauthVersionMax="47" xr10:uidLastSave="{3DF1EC80-143B-446F-AB30-32973EAB0DE9}"/>
  <bookViews>
    <workbookView xWindow="-108" yWindow="-108" windowWidth="23256" windowHeight="12456" tabRatio="476" firstSheet="15" activeTab="15" xr2:uid="{4F6001D1-C27D-4959-8D8B-464DC2BE3DD7}"/>
  </bookViews>
  <sheets>
    <sheet name="Report 1" sheetId="12" state="hidden" r:id="rId1"/>
    <sheet name="Report 2" sheetId="13" state="hidden" r:id="rId2"/>
    <sheet name="Report 3" sheetId="14" state="hidden" r:id="rId3"/>
    <sheet name="Report 4" sheetId="15" state="hidden" r:id="rId4"/>
    <sheet name="ForApp" sheetId="21" r:id="rId5"/>
    <sheet name="Data" sheetId="11" r:id="rId6"/>
    <sheet name="All Bảng" sheetId="22" state="hidden" r:id="rId7"/>
    <sheet name="Bảng 1" sheetId="1" r:id="rId8"/>
    <sheet name="Bảng 2" sheetId="2" r:id="rId9"/>
    <sheet name="Bảng 3" sheetId="8" r:id="rId10"/>
    <sheet name="Bảng 4" sheetId="7" r:id="rId11"/>
    <sheet name="Bảng 5" sheetId="9" r:id="rId12"/>
    <sheet name="Bảng 6" sheetId="10" r:id="rId13"/>
    <sheet name="Bảng 7" sheetId="20" r:id="rId14"/>
    <sheet name="Draft" sheetId="4" r:id="rId15"/>
    <sheet name="XD" sheetId="16" r:id="rId16"/>
    <sheet name="MEPF" sheetId="17" r:id="rId17"/>
    <sheet name="IT" sheetId="19" r:id="rId18"/>
  </sheets>
  <definedNames>
    <definedName name="_xlnm._FilterDatabase" localSheetId="17" hidden="1">IT!$A$3:$H$40</definedName>
    <definedName name="_xlnm._FilterDatabase" localSheetId="16" hidden="1">MEPF!$A$3:$H$118</definedName>
    <definedName name="_xlnm._FilterDatabase" localSheetId="15" hidden="1">XD!$A$3:$H$171</definedName>
    <definedName name="_xlnm._FilterDatabase" localSheetId="9" hidden="1">'Bảng 3'!$A$2:$P$2</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V223" i="16" l="1"/>
  <c r="AC223" i="16"/>
  <c r="J223" i="16"/>
  <c r="G223" i="16"/>
  <c r="F223" i="16"/>
  <c r="E223" i="16"/>
  <c r="D223" i="16"/>
  <c r="C223" i="16"/>
  <c r="A223" i="16"/>
  <c r="Y19" i="19"/>
  <c r="Y20" i="19"/>
  <c r="Y21" i="19"/>
  <c r="Y22" i="19"/>
  <c r="Y23" i="19"/>
  <c r="Y24" i="19"/>
  <c r="Y25" i="19"/>
  <c r="Y26" i="19"/>
  <c r="Y27" i="19"/>
  <c r="Y28" i="19"/>
  <c r="Y29" i="19"/>
  <c r="Y30" i="19"/>
  <c r="Y31" i="19"/>
  <c r="S28" i="19"/>
  <c r="S29" i="19"/>
  <c r="S30" i="19"/>
  <c r="S31" i="19"/>
  <c r="S22" i="19"/>
  <c r="S23" i="19"/>
  <c r="S24" i="19"/>
  <c r="S25" i="19"/>
  <c r="P19" i="19"/>
  <c r="P20" i="19"/>
  <c r="P21" i="19"/>
  <c r="P22" i="19"/>
  <c r="P23" i="19"/>
  <c r="P24" i="19"/>
  <c r="P25" i="19"/>
  <c r="P26" i="19"/>
  <c r="P27" i="19"/>
  <c r="P28" i="19"/>
  <c r="P29" i="19"/>
  <c r="P30" i="19"/>
  <c r="P31" i="19"/>
  <c r="M19" i="19"/>
  <c r="M20" i="19"/>
  <c r="M21" i="19"/>
  <c r="M22" i="19"/>
  <c r="M23" i="19"/>
  <c r="M24" i="19"/>
  <c r="M25" i="19"/>
  <c r="M26" i="19"/>
  <c r="M27" i="19"/>
  <c r="M28" i="19"/>
  <c r="M29" i="19"/>
  <c r="M30" i="19"/>
  <c r="M31" i="19"/>
  <c r="V19" i="19"/>
  <c r="V20" i="19"/>
  <c r="V21" i="19"/>
  <c r="V22" i="19"/>
  <c r="V23" i="19"/>
  <c r="V24" i="19"/>
  <c r="V25" i="19"/>
  <c r="V26" i="19"/>
  <c r="V27" i="19"/>
  <c r="V28" i="19"/>
  <c r="V29" i="19"/>
  <c r="V30" i="19"/>
  <c r="V31" i="19"/>
  <c r="S27" i="19"/>
  <c r="S26" i="19"/>
  <c r="S19" i="19"/>
  <c r="S20" i="19"/>
  <c r="S21" i="19"/>
  <c r="C31" i="19"/>
  <c r="D31" i="19"/>
  <c r="E31" i="19"/>
  <c r="F31" i="19"/>
  <c r="G31" i="19"/>
  <c r="C29" i="19"/>
  <c r="D29" i="19"/>
  <c r="E29" i="19"/>
  <c r="F29" i="19"/>
  <c r="G29" i="19"/>
  <c r="C30" i="19"/>
  <c r="D30" i="19"/>
  <c r="E30" i="19"/>
  <c r="F30" i="19"/>
  <c r="G30" i="19"/>
  <c r="C28" i="19"/>
  <c r="D28" i="19"/>
  <c r="E28" i="19"/>
  <c r="F28" i="19"/>
  <c r="G28" i="19"/>
  <c r="C27" i="19"/>
  <c r="D27" i="19"/>
  <c r="E27" i="19"/>
  <c r="F27" i="19"/>
  <c r="G27" i="19"/>
  <c r="U66" i="16"/>
  <c r="AA66" i="16"/>
  <c r="AV36" i="16"/>
  <c r="AC36" i="16"/>
  <c r="A31" i="16"/>
  <c r="A8" i="20"/>
  <c r="B36" i="16" s="1"/>
  <c r="U33" i="16"/>
  <c r="U73" i="17"/>
  <c r="A86" i="17"/>
  <c r="A85" i="17"/>
  <c r="A84" i="17"/>
  <c r="A83" i="17"/>
  <c r="AH4" i="17"/>
  <c r="AE4" i="17"/>
  <c r="AA4" i="17"/>
  <c r="X4" i="17"/>
  <c r="U4" i="17"/>
  <c r="R4" i="17"/>
  <c r="O4" i="17"/>
  <c r="L4" i="17"/>
  <c r="A61" i="17"/>
  <c r="C61" i="17"/>
  <c r="D61" i="17"/>
  <c r="E61" i="17"/>
  <c r="F61" i="17"/>
  <c r="G61" i="17"/>
  <c r="J61" i="17"/>
  <c r="AC61" i="17"/>
  <c r="A62" i="17"/>
  <c r="C62" i="17"/>
  <c r="D62" i="17"/>
  <c r="E62" i="17"/>
  <c r="F62" i="17"/>
  <c r="G62" i="17"/>
  <c r="J62" i="17"/>
  <c r="AC62" i="17"/>
  <c r="A63" i="17"/>
  <c r="C63" i="17"/>
  <c r="D63" i="17"/>
  <c r="E63" i="17"/>
  <c r="F63" i="17"/>
  <c r="G63" i="17"/>
  <c r="J63" i="17"/>
  <c r="AC63" i="17"/>
  <c r="A64" i="17"/>
  <c r="C64" i="17"/>
  <c r="D64" i="17"/>
  <c r="E64" i="17"/>
  <c r="F64" i="17"/>
  <c r="G64" i="17"/>
  <c r="J64" i="17"/>
  <c r="AC64" i="17"/>
  <c r="A65" i="17"/>
  <c r="C65" i="17"/>
  <c r="D65" i="17"/>
  <c r="E65" i="17"/>
  <c r="F65" i="17"/>
  <c r="G65" i="17"/>
  <c r="J65" i="17"/>
  <c r="AC65" i="17"/>
  <c r="A66" i="17"/>
  <c r="C66" i="17"/>
  <c r="D66" i="17"/>
  <c r="E66" i="17"/>
  <c r="F66" i="17"/>
  <c r="G66" i="17"/>
  <c r="J66" i="17"/>
  <c r="AC66" i="17"/>
  <c r="A67" i="17"/>
  <c r="C67" i="17"/>
  <c r="D67" i="17"/>
  <c r="E67" i="17"/>
  <c r="F67" i="17"/>
  <c r="G67" i="17"/>
  <c r="J67" i="17"/>
  <c r="AC67" i="17"/>
  <c r="A68" i="17"/>
  <c r="C68" i="17"/>
  <c r="D68" i="17"/>
  <c r="E68" i="17"/>
  <c r="F68" i="17"/>
  <c r="G68" i="17"/>
  <c r="J68" i="17"/>
  <c r="AC68" i="17"/>
  <c r="A69" i="17"/>
  <c r="C69" i="17"/>
  <c r="D69" i="17"/>
  <c r="E69" i="17"/>
  <c r="F69" i="17"/>
  <c r="G69" i="17"/>
  <c r="J69" i="17"/>
  <c r="AC69" i="17"/>
  <c r="A17" i="17"/>
  <c r="AV131" i="16"/>
  <c r="AC131" i="16"/>
  <c r="J131" i="16"/>
  <c r="G131" i="16"/>
  <c r="F131" i="16"/>
  <c r="E131" i="16"/>
  <c r="D131" i="16"/>
  <c r="C131" i="16"/>
  <c r="A131" i="16"/>
  <c r="B589" i="8"/>
  <c r="A589" i="8"/>
  <c r="B130" i="16" s="1"/>
  <c r="B588" i="8"/>
  <c r="A588" i="8"/>
  <c r="B129" i="16" s="1"/>
  <c r="AC59" i="17"/>
  <c r="J59" i="17"/>
  <c r="A59" i="17"/>
  <c r="AC58" i="17"/>
  <c r="J58" i="17"/>
  <c r="A58" i="17"/>
  <c r="AC57" i="17"/>
  <c r="J57" i="17"/>
  <c r="A57" i="17"/>
  <c r="AC56" i="17"/>
  <c r="J56" i="17"/>
  <c r="A56" i="17"/>
  <c r="AC70" i="17"/>
  <c r="J70" i="17"/>
  <c r="G70" i="17"/>
  <c r="F70" i="17"/>
  <c r="E70" i="17"/>
  <c r="D70" i="17"/>
  <c r="C70" i="17"/>
  <c r="A70" i="17"/>
  <c r="AC60" i="17"/>
  <c r="J60" i="17"/>
  <c r="A60" i="17"/>
  <c r="A75" i="9"/>
  <c r="A44" i="17"/>
  <c r="C44" i="17"/>
  <c r="D44" i="17"/>
  <c r="E44" i="17"/>
  <c r="F44" i="17"/>
  <c r="G44" i="17"/>
  <c r="J44" i="17"/>
  <c r="AC44" i="17"/>
  <c r="A45" i="17"/>
  <c r="C45" i="17"/>
  <c r="D45" i="17"/>
  <c r="E45" i="17"/>
  <c r="F45" i="17"/>
  <c r="G45" i="17"/>
  <c r="J45" i="17"/>
  <c r="AC45" i="17"/>
  <c r="A40" i="17"/>
  <c r="J40" i="17"/>
  <c r="AC40" i="17"/>
  <c r="A41" i="17"/>
  <c r="J41" i="17"/>
  <c r="AC41" i="17"/>
  <c r="A42" i="17"/>
  <c r="J42" i="17"/>
  <c r="AC42" i="17"/>
  <c r="A43" i="17"/>
  <c r="J43" i="17"/>
  <c r="AC43" i="17"/>
  <c r="A46" i="17"/>
  <c r="C46" i="17"/>
  <c r="D46" i="17"/>
  <c r="E46" i="17"/>
  <c r="F46" i="17"/>
  <c r="G46" i="17"/>
  <c r="J46" i="17"/>
  <c r="AC46" i="17"/>
  <c r="A47" i="17"/>
  <c r="C47" i="17"/>
  <c r="D47" i="17"/>
  <c r="E47" i="17"/>
  <c r="F47" i="17"/>
  <c r="G47" i="17"/>
  <c r="J47" i="17"/>
  <c r="AC47" i="17"/>
  <c r="B34" i="16"/>
  <c r="AV34" i="16"/>
  <c r="AC34" i="16"/>
  <c r="A35" i="16"/>
  <c r="A76" i="9"/>
  <c r="A191" i="16"/>
  <c r="J191" i="16"/>
  <c r="AC191" i="16"/>
  <c r="AV191" i="16"/>
  <c r="A192" i="16"/>
  <c r="J192" i="16"/>
  <c r="AC192" i="16"/>
  <c r="AV192" i="16"/>
  <c r="AV193" i="16"/>
  <c r="AC193" i="16"/>
  <c r="J193" i="16"/>
  <c r="A193" i="16"/>
  <c r="AV214" i="16"/>
  <c r="AC214" i="16"/>
  <c r="J214" i="16"/>
  <c r="A214" i="16"/>
  <c r="AV218" i="16"/>
  <c r="AC218" i="16"/>
  <c r="J218" i="16"/>
  <c r="A218" i="16"/>
  <c r="AV224" i="16"/>
  <c r="AC224" i="16"/>
  <c r="J224" i="16"/>
  <c r="A224" i="16"/>
  <c r="AV174" i="16"/>
  <c r="AC174" i="16"/>
  <c r="J174" i="16"/>
  <c r="A174" i="16"/>
  <c r="A205" i="16"/>
  <c r="J205" i="16"/>
  <c r="AC205" i="16"/>
  <c r="AV205" i="16"/>
  <c r="A206" i="16"/>
  <c r="J206" i="16"/>
  <c r="AC206" i="16"/>
  <c r="AV206" i="16"/>
  <c r="A58" i="16"/>
  <c r="J58" i="16"/>
  <c r="AC58" i="16"/>
  <c r="AV58" i="16"/>
  <c r="A59" i="16"/>
  <c r="J59" i="16"/>
  <c r="AC59" i="16"/>
  <c r="AV59" i="16"/>
  <c r="A60" i="16"/>
  <c r="J60" i="16"/>
  <c r="AC60" i="16"/>
  <c r="AV60" i="16"/>
  <c r="A61" i="16"/>
  <c r="J61" i="16"/>
  <c r="AC61" i="16"/>
  <c r="AV61" i="16"/>
  <c r="AV203" i="16"/>
  <c r="AC203" i="16"/>
  <c r="J203" i="16"/>
  <c r="A203" i="16"/>
  <c r="AV202" i="16"/>
  <c r="AC202" i="16"/>
  <c r="J202" i="16"/>
  <c r="A202" i="16"/>
  <c r="AV52" i="16"/>
  <c r="AC52" i="16"/>
  <c r="J52" i="16"/>
  <c r="A52" i="16"/>
  <c r="A189" i="16"/>
  <c r="J189" i="16"/>
  <c r="AC189" i="16"/>
  <c r="AV189" i="16"/>
  <c r="A190" i="16"/>
  <c r="J190" i="16"/>
  <c r="AC190" i="16"/>
  <c r="AV190" i="16"/>
  <c r="A187" i="16"/>
  <c r="J187" i="16"/>
  <c r="AC187" i="16"/>
  <c r="AV187" i="16"/>
  <c r="A188" i="16"/>
  <c r="J188" i="16"/>
  <c r="AC188" i="16"/>
  <c r="AV188" i="16"/>
  <c r="AV194" i="16"/>
  <c r="AC194" i="16"/>
  <c r="J194" i="16"/>
  <c r="C194" i="16"/>
  <c r="D194" i="16"/>
  <c r="E194" i="16"/>
  <c r="F194" i="16"/>
  <c r="G194" i="16"/>
  <c r="A194" i="16"/>
  <c r="B99" i="8"/>
  <c r="A99" i="8" s="1"/>
  <c r="P99" i="8"/>
  <c r="B100" i="8"/>
  <c r="A100" i="8" s="1"/>
  <c r="P100" i="8"/>
  <c r="B101" i="8"/>
  <c r="A101" i="8" s="1"/>
  <c r="P101" i="8"/>
  <c r="B102" i="8"/>
  <c r="A102" i="8" s="1"/>
  <c r="P102" i="8"/>
  <c r="B103" i="8"/>
  <c r="A103" i="8" s="1"/>
  <c r="P103" i="8"/>
  <c r="B104" i="8"/>
  <c r="A104" i="8" s="1"/>
  <c r="P104" i="8"/>
  <c r="B105" i="8"/>
  <c r="A105" i="8" s="1"/>
  <c r="P105" i="8"/>
  <c r="B106" i="8"/>
  <c r="A106" i="8" s="1"/>
  <c r="P106" i="8"/>
  <c r="B91" i="8"/>
  <c r="A91" i="8" s="1"/>
  <c r="P91" i="8"/>
  <c r="B92" i="8"/>
  <c r="A92" i="8" s="1"/>
  <c r="P92" i="8"/>
  <c r="B93" i="8"/>
  <c r="A93" i="8" s="1"/>
  <c r="P93" i="8"/>
  <c r="B94" i="8"/>
  <c r="A94" i="8" s="1"/>
  <c r="P94" i="8"/>
  <c r="B95" i="8"/>
  <c r="A95" i="8" s="1"/>
  <c r="P95" i="8"/>
  <c r="B96" i="8"/>
  <c r="A96" i="8" s="1"/>
  <c r="P96" i="8"/>
  <c r="B97" i="8"/>
  <c r="A97" i="8" s="1"/>
  <c r="P97" i="8"/>
  <c r="B98" i="8"/>
  <c r="A98" i="8" s="1"/>
  <c r="P98" i="8"/>
  <c r="B83" i="8"/>
  <c r="A83" i="8" s="1"/>
  <c r="P83" i="8"/>
  <c r="B84" i="8"/>
  <c r="A84" i="8" s="1"/>
  <c r="P84" i="8"/>
  <c r="B85" i="8"/>
  <c r="A85" i="8" s="1"/>
  <c r="P85" i="8"/>
  <c r="B86" i="8"/>
  <c r="A86" i="8" s="1"/>
  <c r="P86" i="8"/>
  <c r="B87" i="8"/>
  <c r="A87" i="8" s="1"/>
  <c r="P87" i="8"/>
  <c r="B88" i="8"/>
  <c r="A88" i="8" s="1"/>
  <c r="P88" i="8"/>
  <c r="B89" i="8"/>
  <c r="A89" i="8" s="1"/>
  <c r="P89" i="8"/>
  <c r="B90" i="8"/>
  <c r="A90" i="8" s="1"/>
  <c r="P90" i="8"/>
  <c r="B75" i="8"/>
  <c r="A75" i="8" s="1"/>
  <c r="P75" i="8"/>
  <c r="B76" i="8"/>
  <c r="A76" i="8" s="1"/>
  <c r="P76" i="8"/>
  <c r="B77" i="8"/>
  <c r="A77" i="8" s="1"/>
  <c r="P77" i="8"/>
  <c r="B78" i="8"/>
  <c r="A78" i="8" s="1"/>
  <c r="P78" i="8"/>
  <c r="B79" i="8"/>
  <c r="A79" i="8" s="1"/>
  <c r="P79" i="8"/>
  <c r="B80" i="8"/>
  <c r="A80" i="8" s="1"/>
  <c r="P80" i="8"/>
  <c r="B81" i="8"/>
  <c r="A81" i="8" s="1"/>
  <c r="P81" i="8"/>
  <c r="B82" i="8"/>
  <c r="A82" i="8" s="1"/>
  <c r="P82" i="8"/>
  <c r="B67" i="8"/>
  <c r="A67" i="8" s="1"/>
  <c r="P67" i="8"/>
  <c r="B68" i="8"/>
  <c r="A68" i="8" s="1"/>
  <c r="P68" i="8"/>
  <c r="B69" i="8"/>
  <c r="A69" i="8" s="1"/>
  <c r="P69" i="8"/>
  <c r="B70" i="8"/>
  <c r="A70" i="8" s="1"/>
  <c r="P70" i="8"/>
  <c r="B71" i="8"/>
  <c r="A71" i="8" s="1"/>
  <c r="P71" i="8"/>
  <c r="B72" i="8"/>
  <c r="A72" i="8" s="1"/>
  <c r="P72" i="8"/>
  <c r="B73" i="8"/>
  <c r="A73" i="8" s="1"/>
  <c r="P73" i="8"/>
  <c r="B74" i="8"/>
  <c r="A74" i="8" s="1"/>
  <c r="P74" i="8"/>
  <c r="BM134" i="16"/>
  <c r="BJ134" i="16"/>
  <c r="BG134" i="16"/>
  <c r="BD134" i="16"/>
  <c r="BA134" i="16"/>
  <c r="AX134" i="16"/>
  <c r="AT134" i="16"/>
  <c r="AQ134" i="16"/>
  <c r="AN134" i="16"/>
  <c r="AK134" i="16"/>
  <c r="AH134" i="16"/>
  <c r="AE134" i="16"/>
  <c r="AA134" i="16"/>
  <c r="X134" i="16"/>
  <c r="U134" i="16"/>
  <c r="R134" i="16"/>
  <c r="BM37" i="16"/>
  <c r="BJ37" i="16"/>
  <c r="BG37" i="16"/>
  <c r="BD37" i="16"/>
  <c r="BA37" i="16"/>
  <c r="AX37" i="16"/>
  <c r="AT37" i="16"/>
  <c r="AQ37" i="16"/>
  <c r="AN37" i="16"/>
  <c r="AK37" i="16"/>
  <c r="AH37" i="16"/>
  <c r="AE37" i="16"/>
  <c r="AA37" i="16"/>
  <c r="X37" i="16"/>
  <c r="U37" i="16"/>
  <c r="AV48" i="16"/>
  <c r="AC48" i="16"/>
  <c r="J48" i="16"/>
  <c r="A48" i="16"/>
  <c r="BM171" i="16"/>
  <c r="BJ171" i="16"/>
  <c r="BG171" i="16"/>
  <c r="BD171" i="16"/>
  <c r="BA171" i="16"/>
  <c r="AX171" i="16"/>
  <c r="AT171" i="16"/>
  <c r="AQ171" i="16"/>
  <c r="AN171" i="16"/>
  <c r="AK171" i="16"/>
  <c r="AH171" i="16"/>
  <c r="AE171" i="16"/>
  <c r="AA171" i="16"/>
  <c r="X171" i="16"/>
  <c r="U171" i="16"/>
  <c r="R171" i="16"/>
  <c r="O171" i="16"/>
  <c r="B65" i="16"/>
  <c r="A62" i="16"/>
  <c r="C62" i="16"/>
  <c r="D62" i="16"/>
  <c r="E62" i="16"/>
  <c r="F62" i="16"/>
  <c r="G62" i="16"/>
  <c r="J62" i="16"/>
  <c r="AC62" i="16"/>
  <c r="AV62" i="16"/>
  <c r="A63" i="16"/>
  <c r="C63" i="16"/>
  <c r="D63" i="16"/>
  <c r="E63" i="16"/>
  <c r="F63" i="16"/>
  <c r="G63" i="16"/>
  <c r="J63" i="16"/>
  <c r="AC63" i="16"/>
  <c r="AV63" i="16"/>
  <c r="B35" i="16"/>
  <c r="AV35" i="16"/>
  <c r="AC35" i="16"/>
  <c r="A36" i="16"/>
  <c r="B33" i="16"/>
  <c r="AV33" i="16"/>
  <c r="AC33" i="16"/>
  <c r="J33" i="16"/>
  <c r="A34" i="16"/>
  <c r="A54" i="17"/>
  <c r="J54" i="17"/>
  <c r="AC54" i="17"/>
  <c r="A55" i="17"/>
  <c r="J55" i="17"/>
  <c r="AC55" i="17"/>
  <c r="AC71" i="17"/>
  <c r="J71" i="17"/>
  <c r="C71" i="17"/>
  <c r="D71" i="17"/>
  <c r="E71" i="17"/>
  <c r="F71" i="17"/>
  <c r="G71" i="17"/>
  <c r="A71" i="17"/>
  <c r="A7" i="20"/>
  <c r="B133" i="16"/>
  <c r="AV6" i="16"/>
  <c r="AC6" i="16"/>
  <c r="J6" i="16"/>
  <c r="A6" i="16"/>
  <c r="AV5" i="16"/>
  <c r="AC5" i="16"/>
  <c r="A5" i="16"/>
  <c r="O4" i="16"/>
  <c r="B3" i="8"/>
  <c r="A3" i="8" s="1"/>
  <c r="C8" i="19"/>
  <c r="D8" i="19"/>
  <c r="E8" i="19"/>
  <c r="F8" i="19"/>
  <c r="G8" i="19"/>
  <c r="C9" i="19"/>
  <c r="D9" i="19"/>
  <c r="E9" i="19"/>
  <c r="F9" i="19"/>
  <c r="G9" i="19"/>
  <c r="C10" i="19"/>
  <c r="D10" i="19"/>
  <c r="E10" i="19"/>
  <c r="F10" i="19"/>
  <c r="G10" i="19"/>
  <c r="C12" i="19"/>
  <c r="D12" i="19"/>
  <c r="E12" i="19"/>
  <c r="F12" i="19"/>
  <c r="G12" i="19"/>
  <c r="C32" i="19"/>
  <c r="D32" i="19"/>
  <c r="E32" i="19"/>
  <c r="F32" i="19"/>
  <c r="G32" i="19"/>
  <c r="C33" i="19"/>
  <c r="D33" i="19"/>
  <c r="E33" i="19"/>
  <c r="F33" i="19"/>
  <c r="G33" i="19"/>
  <c r="C34" i="19"/>
  <c r="D34" i="19"/>
  <c r="E34" i="19"/>
  <c r="F34" i="19"/>
  <c r="G34" i="19"/>
  <c r="C35" i="19"/>
  <c r="D35" i="19"/>
  <c r="E35" i="19"/>
  <c r="F35" i="19"/>
  <c r="G35" i="19"/>
  <c r="C36" i="19"/>
  <c r="D36" i="19"/>
  <c r="E36" i="19"/>
  <c r="F36" i="19"/>
  <c r="G36" i="19"/>
  <c r="C37" i="19"/>
  <c r="D37" i="19"/>
  <c r="E37" i="19"/>
  <c r="F37" i="19"/>
  <c r="G37" i="19"/>
  <c r="C38" i="19"/>
  <c r="D38" i="19"/>
  <c r="E38" i="19"/>
  <c r="F38" i="19"/>
  <c r="G38" i="19"/>
  <c r="C39" i="19"/>
  <c r="D39" i="19"/>
  <c r="E39" i="19"/>
  <c r="F39" i="19"/>
  <c r="G39" i="19"/>
  <c r="C40" i="19"/>
  <c r="D40" i="19"/>
  <c r="E40" i="19"/>
  <c r="F40" i="19"/>
  <c r="G40" i="19"/>
  <c r="D4" i="19"/>
  <c r="E4" i="19"/>
  <c r="F4" i="19"/>
  <c r="G4" i="19"/>
  <c r="C4" i="19"/>
  <c r="C18" i="17"/>
  <c r="D18" i="17"/>
  <c r="E18" i="17"/>
  <c r="F18" i="17"/>
  <c r="G18" i="17"/>
  <c r="C48" i="17"/>
  <c r="D48" i="17"/>
  <c r="E48" i="17"/>
  <c r="F48" i="17"/>
  <c r="G48" i="17"/>
  <c r="C72" i="17"/>
  <c r="D72" i="17"/>
  <c r="E72" i="17"/>
  <c r="F72" i="17"/>
  <c r="G72" i="17"/>
  <c r="C73" i="17"/>
  <c r="D73" i="17"/>
  <c r="E73" i="17"/>
  <c r="F73" i="17"/>
  <c r="G73" i="17"/>
  <c r="B227" i="16"/>
  <c r="B197" i="16"/>
  <c r="B170" i="16"/>
  <c r="P271" i="8"/>
  <c r="B271" i="8"/>
  <c r="A271" i="8"/>
  <c r="B48" i="16" s="1"/>
  <c r="B99" i="16"/>
  <c r="A6" i="20"/>
  <c r="AV31" i="16"/>
  <c r="AC31" i="16"/>
  <c r="J31" i="16"/>
  <c r="B31" i="16"/>
  <c r="A32" i="16"/>
  <c r="AV32" i="16"/>
  <c r="AC32" i="16"/>
  <c r="J32" i="16"/>
  <c r="B32" i="16"/>
  <c r="A33" i="16"/>
  <c r="A5" i="20"/>
  <c r="AV24" i="16"/>
  <c r="AC24" i="16"/>
  <c r="G24" i="16"/>
  <c r="F24" i="16"/>
  <c r="E24" i="16"/>
  <c r="D24" i="16"/>
  <c r="C24" i="16"/>
  <c r="A24" i="16"/>
  <c r="AV23" i="16"/>
  <c r="AC23" i="16"/>
  <c r="G23" i="16"/>
  <c r="F23" i="16"/>
  <c r="E23" i="16"/>
  <c r="D23" i="16"/>
  <c r="C23" i="16"/>
  <c r="A23" i="16"/>
  <c r="AV26" i="16"/>
  <c r="AC26" i="16"/>
  <c r="G26" i="16"/>
  <c r="F26" i="16"/>
  <c r="E26" i="16"/>
  <c r="D26" i="16"/>
  <c r="C26" i="16"/>
  <c r="A26" i="16"/>
  <c r="AV25" i="16"/>
  <c r="AC25" i="16"/>
  <c r="G25" i="16"/>
  <c r="F25" i="16"/>
  <c r="E25" i="16"/>
  <c r="D25" i="16"/>
  <c r="C25" i="16"/>
  <c r="A25" i="16"/>
  <c r="C225" i="16"/>
  <c r="D225" i="16"/>
  <c r="E225" i="16"/>
  <c r="F225" i="16"/>
  <c r="G225" i="16"/>
  <c r="C226" i="16"/>
  <c r="D226" i="16"/>
  <c r="E226" i="16"/>
  <c r="F226" i="16"/>
  <c r="G226" i="16"/>
  <c r="G198" i="16"/>
  <c r="F198" i="16"/>
  <c r="E198" i="16"/>
  <c r="D198" i="16"/>
  <c r="C198" i="16"/>
  <c r="C195" i="16"/>
  <c r="D195" i="16"/>
  <c r="E195" i="16"/>
  <c r="F195" i="16"/>
  <c r="G195" i="16"/>
  <c r="C196" i="16"/>
  <c r="D196" i="16"/>
  <c r="E196" i="16"/>
  <c r="F196" i="16"/>
  <c r="G196" i="16"/>
  <c r="G171" i="16"/>
  <c r="F171" i="16"/>
  <c r="E171" i="16"/>
  <c r="D171" i="16"/>
  <c r="C171" i="16"/>
  <c r="C167" i="16"/>
  <c r="D167" i="16"/>
  <c r="E167" i="16"/>
  <c r="F167" i="16"/>
  <c r="G167" i="16"/>
  <c r="C168" i="16"/>
  <c r="D168" i="16"/>
  <c r="E168" i="16"/>
  <c r="F168" i="16"/>
  <c r="G168" i="16"/>
  <c r="C169" i="16"/>
  <c r="D169" i="16"/>
  <c r="E169" i="16"/>
  <c r="F169" i="16"/>
  <c r="G169" i="16"/>
  <c r="G134" i="16"/>
  <c r="F134" i="16"/>
  <c r="E134" i="16"/>
  <c r="D134" i="16"/>
  <c r="C134" i="16"/>
  <c r="C132" i="16"/>
  <c r="D132" i="16"/>
  <c r="E132" i="16"/>
  <c r="F132" i="16"/>
  <c r="G132" i="16"/>
  <c r="G100" i="16"/>
  <c r="F100" i="16"/>
  <c r="E100" i="16"/>
  <c r="D100" i="16"/>
  <c r="C100" i="16"/>
  <c r="C95" i="16"/>
  <c r="D95" i="16"/>
  <c r="E95" i="16"/>
  <c r="F95" i="16"/>
  <c r="G95" i="16"/>
  <c r="C96" i="16"/>
  <c r="D96" i="16"/>
  <c r="E96" i="16"/>
  <c r="F96" i="16"/>
  <c r="G96" i="16"/>
  <c r="C97" i="16"/>
  <c r="D97" i="16"/>
  <c r="E97" i="16"/>
  <c r="F97" i="16"/>
  <c r="G97" i="16"/>
  <c r="C98" i="16"/>
  <c r="D98" i="16"/>
  <c r="E98" i="16"/>
  <c r="F98" i="16"/>
  <c r="G98" i="16"/>
  <c r="G66" i="16"/>
  <c r="F66" i="16"/>
  <c r="E66" i="16"/>
  <c r="D66" i="16"/>
  <c r="C66" i="16"/>
  <c r="C64" i="16"/>
  <c r="D64" i="16"/>
  <c r="E64" i="16"/>
  <c r="F64" i="16"/>
  <c r="G64" i="16"/>
  <c r="G37" i="16"/>
  <c r="F37" i="16"/>
  <c r="E37" i="16"/>
  <c r="D37" i="16"/>
  <c r="C37" i="16"/>
  <c r="C4" i="16"/>
  <c r="D4" i="16"/>
  <c r="E4" i="16"/>
  <c r="F4" i="16"/>
  <c r="G4" i="16"/>
  <c r="R12" i="19"/>
  <c r="A41" i="9"/>
  <c r="A42" i="9"/>
  <c r="A43" i="9"/>
  <c r="A44" i="9"/>
  <c r="A45" i="9"/>
  <c r="A46" i="9"/>
  <c r="A47" i="9"/>
  <c r="A48" i="9"/>
  <c r="A49" i="9"/>
  <c r="A50" i="9"/>
  <c r="A51" i="9"/>
  <c r="A52" i="9"/>
  <c r="A53" i="9"/>
  <c r="A54" i="9"/>
  <c r="A55" i="9"/>
  <c r="A56" i="9"/>
  <c r="A57" i="9"/>
  <c r="A58" i="9"/>
  <c r="A59" i="9"/>
  <c r="A60" i="9"/>
  <c r="A61" i="9"/>
  <c r="A62" i="9"/>
  <c r="A63" i="9"/>
  <c r="A64" i="9"/>
  <c r="A65" i="9"/>
  <c r="A66" i="9"/>
  <c r="A67" i="9"/>
  <c r="A68" i="9"/>
  <c r="A69" i="9"/>
  <c r="A70" i="9"/>
  <c r="A71" i="9"/>
  <c r="A72" i="9"/>
  <c r="A73" i="9"/>
  <c r="A74" i="9"/>
  <c r="A40" i="9"/>
  <c r="P60" i="8"/>
  <c r="B60" i="8"/>
  <c r="A60" i="8"/>
  <c r="P52" i="8"/>
  <c r="B52" i="8"/>
  <c r="A52" i="8"/>
  <c r="B306" i="8"/>
  <c r="A306" i="8" s="1"/>
  <c r="P306" i="8"/>
  <c r="B307" i="8"/>
  <c r="A307" i="8" s="1"/>
  <c r="B308" i="8"/>
  <c r="A308" i="8" s="1"/>
  <c r="B309" i="8"/>
  <c r="A309" i="8" s="1"/>
  <c r="B310" i="8"/>
  <c r="A310" i="8" s="1"/>
  <c r="B305" i="8"/>
  <c r="A305" i="8" s="1"/>
  <c r="B304" i="8"/>
  <c r="A304" i="8" s="1"/>
  <c r="B303" i="8"/>
  <c r="A303" i="8" s="1"/>
  <c r="B302" i="8"/>
  <c r="A302" i="8" s="1"/>
  <c r="P301" i="8"/>
  <c r="B301" i="8"/>
  <c r="A301" i="8" s="1"/>
  <c r="A56" i="16"/>
  <c r="J56" i="16"/>
  <c r="AC56" i="16"/>
  <c r="AV56" i="16"/>
  <c r="A57" i="16"/>
  <c r="J57" i="16"/>
  <c r="AC57" i="16"/>
  <c r="AV57" i="16"/>
  <c r="A27" i="16"/>
  <c r="AC28" i="16"/>
  <c r="AV28" i="16"/>
  <c r="A28" i="16"/>
  <c r="AC30" i="16"/>
  <c r="AV30" i="16"/>
  <c r="AV29" i="16"/>
  <c r="AC29" i="16"/>
  <c r="A29" i="16"/>
  <c r="P149" i="8"/>
  <c r="B149" i="8"/>
  <c r="A149" i="8" s="1"/>
  <c r="B22" i="16" s="1"/>
  <c r="P147" i="8"/>
  <c r="B147" i="8"/>
  <c r="A147" i="8" s="1"/>
  <c r="B20" i="16" s="1"/>
  <c r="A16" i="17"/>
  <c r="B347" i="8"/>
  <c r="A347" i="8" s="1"/>
  <c r="B16" i="17" s="1"/>
  <c r="P347" i="8"/>
  <c r="B348" i="8"/>
  <c r="A348" i="8" s="1"/>
  <c r="B17" i="17" s="1"/>
  <c r="P348" i="8"/>
  <c r="B341" i="8"/>
  <c r="A341" i="8" s="1"/>
  <c r="P341" i="8"/>
  <c r="B342" i="8"/>
  <c r="A342" i="8" s="1"/>
  <c r="P342" i="8"/>
  <c r="B343" i="8"/>
  <c r="A343" i="8" s="1"/>
  <c r="P343" i="8"/>
  <c r="B344" i="8"/>
  <c r="A344" i="8" s="1"/>
  <c r="P344" i="8"/>
  <c r="B345" i="8"/>
  <c r="A345" i="8" s="1"/>
  <c r="P345" i="8"/>
  <c r="B346" i="8"/>
  <c r="A346" i="8" s="1"/>
  <c r="P346" i="8"/>
  <c r="B339" i="8"/>
  <c r="A339" i="8" s="1"/>
  <c r="P339" i="8"/>
  <c r="B340" i="8"/>
  <c r="A340" i="8" s="1"/>
  <c r="P340" i="8"/>
  <c r="A85" i="16"/>
  <c r="J85" i="16"/>
  <c r="AC85" i="16"/>
  <c r="AV85" i="16"/>
  <c r="A86" i="16"/>
  <c r="J86" i="16"/>
  <c r="AC86" i="16"/>
  <c r="AV86" i="16"/>
  <c r="B299" i="8"/>
  <c r="A299" i="8" s="1"/>
  <c r="B17" i="16" s="1"/>
  <c r="P299" i="8"/>
  <c r="B300" i="8"/>
  <c r="A300" i="8" s="1"/>
  <c r="B18" i="16" s="1"/>
  <c r="P300" i="8"/>
  <c r="B297" i="8"/>
  <c r="A297" i="8" s="1"/>
  <c r="B15" i="16" s="1"/>
  <c r="P297" i="8"/>
  <c r="B298" i="8"/>
  <c r="A298" i="8" s="1"/>
  <c r="B16" i="16" s="1"/>
  <c r="P298" i="8"/>
  <c r="P66" i="8"/>
  <c r="B66" i="8"/>
  <c r="A66" i="8"/>
  <c r="P65" i="8"/>
  <c r="B65" i="8"/>
  <c r="A65" i="8"/>
  <c r="P64" i="8"/>
  <c r="B64" i="8"/>
  <c r="A64" i="8"/>
  <c r="P63" i="8"/>
  <c r="B63" i="8"/>
  <c r="A63" i="8"/>
  <c r="P62" i="8"/>
  <c r="B62" i="8"/>
  <c r="A62" i="8"/>
  <c r="P61" i="8"/>
  <c r="B61" i="8"/>
  <c r="A61" i="8"/>
  <c r="P59" i="8"/>
  <c r="B59" i="8"/>
  <c r="A59" i="8"/>
  <c r="P58" i="8"/>
  <c r="B58" i="8"/>
  <c r="A58" i="8"/>
  <c r="P57" i="8"/>
  <c r="B57" i="8"/>
  <c r="A57" i="8"/>
  <c r="P56" i="8"/>
  <c r="B56" i="8"/>
  <c r="A56" i="8"/>
  <c r="P55" i="8"/>
  <c r="B55" i="8"/>
  <c r="A55" i="8"/>
  <c r="P54" i="8"/>
  <c r="B54" i="8"/>
  <c r="A54" i="8"/>
  <c r="P53" i="8"/>
  <c r="B53" i="8"/>
  <c r="A53" i="8"/>
  <c r="P51" i="8"/>
  <c r="B51" i="8"/>
  <c r="A51" i="8"/>
  <c r="L4" i="19"/>
  <c r="R37" i="16"/>
  <c r="AV15" i="16"/>
  <c r="AC15" i="16"/>
  <c r="J15" i="16"/>
  <c r="A15" i="16"/>
  <c r="AV14" i="16"/>
  <c r="AC14" i="16"/>
  <c r="A14" i="16"/>
  <c r="AV13" i="16"/>
  <c r="AC13" i="16"/>
  <c r="A13" i="16"/>
  <c r="AV12" i="16"/>
  <c r="AC12" i="16"/>
  <c r="J12" i="16"/>
  <c r="A12" i="16"/>
  <c r="AV11" i="16"/>
  <c r="AC11" i="16"/>
  <c r="J11" i="16"/>
  <c r="A11" i="16"/>
  <c r="AV19" i="16"/>
  <c r="AC19" i="16"/>
  <c r="A19" i="16"/>
  <c r="AV18" i="16"/>
  <c r="AC18" i="16"/>
  <c r="A18" i="16"/>
  <c r="AV17" i="16"/>
  <c r="AC17" i="16"/>
  <c r="J17" i="16"/>
  <c r="A17" i="16"/>
  <c r="AV16" i="16"/>
  <c r="AC16" i="16"/>
  <c r="J16" i="16"/>
  <c r="A16" i="16"/>
  <c r="AC21" i="17"/>
  <c r="J21" i="17"/>
  <c r="A21" i="17"/>
  <c r="P425" i="8"/>
  <c r="B425" i="8"/>
  <c r="A425" i="8" s="1"/>
  <c r="O134" i="16"/>
  <c r="B201" i="8"/>
  <c r="A201" i="8"/>
  <c r="B200" i="8"/>
  <c r="A200" i="8"/>
  <c r="B199" i="8"/>
  <c r="A199" i="8"/>
  <c r="B198" i="8"/>
  <c r="A198" i="8"/>
  <c r="B197" i="8"/>
  <c r="A197" i="8"/>
  <c r="O73" i="17"/>
  <c r="AC35" i="17"/>
  <c r="J35" i="17"/>
  <c r="A35" i="17"/>
  <c r="AC28" i="17"/>
  <c r="J28" i="17"/>
  <c r="A28" i="17"/>
  <c r="P427" i="8"/>
  <c r="B427" i="8"/>
  <c r="A427" i="8"/>
  <c r="O37" i="16"/>
  <c r="B276" i="8"/>
  <c r="A276" i="8" s="1"/>
  <c r="P276" i="8"/>
  <c r="B277" i="8"/>
  <c r="A277" i="8" s="1"/>
  <c r="P277" i="8"/>
  <c r="A129" i="16"/>
  <c r="J129" i="16"/>
  <c r="AC129" i="16"/>
  <c r="AV129" i="16"/>
  <c r="A130" i="16"/>
  <c r="J130" i="16"/>
  <c r="AC130" i="16"/>
  <c r="AV130" i="16"/>
  <c r="A132" i="16"/>
  <c r="J132" i="16"/>
  <c r="AC132" i="16"/>
  <c r="AV132" i="16"/>
  <c r="A195" i="16"/>
  <c r="J195" i="16"/>
  <c r="AC195" i="16"/>
  <c r="AV195" i="16"/>
  <c r="A196" i="16"/>
  <c r="J196" i="16"/>
  <c r="AC196" i="16"/>
  <c r="AV196" i="16"/>
  <c r="A128" i="16"/>
  <c r="J128" i="16"/>
  <c r="AC128" i="16"/>
  <c r="AV128" i="16"/>
  <c r="A126" i="16"/>
  <c r="J126" i="16"/>
  <c r="AC126" i="16"/>
  <c r="AV126" i="16"/>
  <c r="A127" i="16"/>
  <c r="J127" i="16"/>
  <c r="AC127" i="16"/>
  <c r="AV127" i="16"/>
  <c r="A133" i="16"/>
  <c r="J133" i="16"/>
  <c r="AC133" i="16"/>
  <c r="AV133" i="16"/>
  <c r="J134" i="16"/>
  <c r="L134" i="16"/>
  <c r="AC134" i="16"/>
  <c r="AV134" i="16"/>
  <c r="AV125" i="16"/>
  <c r="AC125" i="16"/>
  <c r="J125" i="16"/>
  <c r="A125" i="16"/>
  <c r="A121" i="16"/>
  <c r="J121" i="16"/>
  <c r="AC121" i="16"/>
  <c r="AV121" i="16"/>
  <c r="A122" i="16"/>
  <c r="J122" i="16"/>
  <c r="AC122" i="16"/>
  <c r="AV122" i="16"/>
  <c r="A123" i="16"/>
  <c r="J123" i="16"/>
  <c r="AC123" i="16"/>
  <c r="AV123" i="16"/>
  <c r="A124" i="16"/>
  <c r="J124" i="16"/>
  <c r="AC124" i="16"/>
  <c r="AV124" i="16"/>
  <c r="A161" i="16"/>
  <c r="J161" i="16"/>
  <c r="AC161" i="16"/>
  <c r="AV161" i="16"/>
  <c r="A162" i="16"/>
  <c r="J162" i="16"/>
  <c r="AC162" i="16"/>
  <c r="AV162" i="16"/>
  <c r="A159" i="16"/>
  <c r="J159" i="16"/>
  <c r="AC159" i="16"/>
  <c r="AV159" i="16"/>
  <c r="A160" i="16"/>
  <c r="J160" i="16"/>
  <c r="AC160" i="16"/>
  <c r="AV160" i="16"/>
  <c r="A117" i="16"/>
  <c r="J117" i="16"/>
  <c r="AC117" i="16"/>
  <c r="AV117" i="16"/>
  <c r="A118" i="16"/>
  <c r="J118" i="16"/>
  <c r="AC118" i="16"/>
  <c r="AV118" i="16"/>
  <c r="A119" i="16"/>
  <c r="J119" i="16"/>
  <c r="AC119" i="16"/>
  <c r="AV119" i="16"/>
  <c r="A120" i="16"/>
  <c r="J120" i="16"/>
  <c r="AC120" i="16"/>
  <c r="AV120" i="16"/>
  <c r="A115" i="16"/>
  <c r="J115" i="16"/>
  <c r="AC115" i="16"/>
  <c r="AV115" i="16"/>
  <c r="A116" i="16"/>
  <c r="J116" i="16"/>
  <c r="AC116" i="16"/>
  <c r="AV116" i="16"/>
  <c r="A135" i="16"/>
  <c r="J135" i="16"/>
  <c r="AC135" i="16"/>
  <c r="AV135" i="16"/>
  <c r="A136" i="16"/>
  <c r="J136" i="16"/>
  <c r="AC136" i="16"/>
  <c r="AV136" i="16"/>
  <c r="A137" i="16"/>
  <c r="J137" i="16"/>
  <c r="AC137" i="16"/>
  <c r="AV137" i="16"/>
  <c r="A138" i="16"/>
  <c r="J138" i="16"/>
  <c r="AC138" i="16"/>
  <c r="AV138" i="16"/>
  <c r="A186" i="16"/>
  <c r="J186" i="16"/>
  <c r="AC186" i="16"/>
  <c r="AV186" i="16"/>
  <c r="AV185" i="16"/>
  <c r="AC185" i="16"/>
  <c r="J185" i="16"/>
  <c r="A185" i="16"/>
  <c r="L73" i="17"/>
  <c r="A183" i="16"/>
  <c r="J183" i="16"/>
  <c r="AC183" i="16"/>
  <c r="AV183" i="16"/>
  <c r="A184" i="16"/>
  <c r="J184" i="16"/>
  <c r="AC184" i="16"/>
  <c r="AV184" i="16"/>
  <c r="A80" i="17"/>
  <c r="J80" i="17"/>
  <c r="AC80" i="17"/>
  <c r="A81" i="17"/>
  <c r="J81" i="17"/>
  <c r="AC81" i="17"/>
  <c r="A82" i="17"/>
  <c r="J82" i="17"/>
  <c r="AC82" i="17"/>
  <c r="A87" i="17"/>
  <c r="J87" i="17"/>
  <c r="AC87" i="17"/>
  <c r="AC79" i="17"/>
  <c r="J79" i="17"/>
  <c r="A79" i="17"/>
  <c r="A180" i="16"/>
  <c r="J180" i="16"/>
  <c r="AC180" i="16"/>
  <c r="AV180" i="16"/>
  <c r="A181" i="16"/>
  <c r="J181" i="16"/>
  <c r="AC181" i="16"/>
  <c r="AV181" i="16"/>
  <c r="A182" i="16"/>
  <c r="J182" i="16"/>
  <c r="AC182" i="16"/>
  <c r="AV182" i="16"/>
  <c r="A179" i="16"/>
  <c r="J179" i="16"/>
  <c r="AC179" i="16"/>
  <c r="AV179" i="16"/>
  <c r="B9" i="2"/>
  <c r="A9" i="2" s="1"/>
  <c r="B27" i="16" s="1"/>
  <c r="B10" i="2"/>
  <c r="A10" i="2" s="1"/>
  <c r="B11" i="2"/>
  <c r="A11" i="2" s="1"/>
  <c r="B29" i="16" s="1"/>
  <c r="B12" i="2"/>
  <c r="A12" i="2" s="1"/>
  <c r="B30" i="16" s="1"/>
  <c r="B13" i="2"/>
  <c r="A13" i="2" s="1"/>
  <c r="B28" i="16" s="1"/>
  <c r="B14" i="2"/>
  <c r="A14" i="2" s="1"/>
  <c r="P273" i="8"/>
  <c r="B273" i="8"/>
  <c r="A273" i="8" s="1"/>
  <c r="B104" i="16" s="1"/>
  <c r="A4" i="20"/>
  <c r="A3" i="20"/>
  <c r="U12" i="19"/>
  <c r="A6" i="9"/>
  <c r="A5" i="9"/>
  <c r="A4" i="9"/>
  <c r="P428" i="8"/>
  <c r="B428" i="8"/>
  <c r="A428" i="8" s="1"/>
  <c r="AC26" i="17"/>
  <c r="J26" i="17"/>
  <c r="A26" i="17"/>
  <c r="A23" i="17"/>
  <c r="J23" i="17"/>
  <c r="AC23" i="17"/>
  <c r="A24" i="17"/>
  <c r="J24" i="17"/>
  <c r="AC24" i="17"/>
  <c r="A25" i="17"/>
  <c r="J25" i="17"/>
  <c r="AC25" i="17"/>
  <c r="AC14" i="17"/>
  <c r="J14" i="17"/>
  <c r="A14" i="17"/>
  <c r="AC34" i="17"/>
  <c r="J34" i="17"/>
  <c r="A34" i="17"/>
  <c r="AC33" i="17"/>
  <c r="J33" i="17"/>
  <c r="A33" i="17"/>
  <c r="AC32" i="17"/>
  <c r="J32" i="17"/>
  <c r="A32" i="17"/>
  <c r="AC31" i="17"/>
  <c r="J31" i="17"/>
  <c r="A31" i="17"/>
  <c r="AC30" i="17"/>
  <c r="J30" i="17"/>
  <c r="A30" i="17"/>
  <c r="AC10" i="17"/>
  <c r="J10" i="17"/>
  <c r="A10" i="17"/>
  <c r="AC9" i="17"/>
  <c r="J9" i="17"/>
  <c r="A9" i="17"/>
  <c r="AC8" i="17"/>
  <c r="J8" i="17"/>
  <c r="A8" i="17"/>
  <c r="AC7" i="17"/>
  <c r="J7" i="17"/>
  <c r="A7" i="17"/>
  <c r="P493" i="8"/>
  <c r="B493" i="8"/>
  <c r="A493" i="8"/>
  <c r="P492" i="8"/>
  <c r="B492" i="8"/>
  <c r="A492" i="8"/>
  <c r="P491" i="8"/>
  <c r="B491" i="8"/>
  <c r="A491" i="8" s="1"/>
  <c r="P494" i="8"/>
  <c r="B494" i="8"/>
  <c r="A494" i="8" s="1"/>
  <c r="P485" i="8"/>
  <c r="B485" i="8"/>
  <c r="A485" i="8" s="1"/>
  <c r="B483" i="8"/>
  <c r="A483" i="8" s="1"/>
  <c r="P483" i="8"/>
  <c r="B484" i="8"/>
  <c r="A484" i="8" s="1"/>
  <c r="P484" i="8"/>
  <c r="P486" i="8"/>
  <c r="B486" i="8"/>
  <c r="A486" i="8" s="1"/>
  <c r="B475" i="8"/>
  <c r="A475" i="8" s="1"/>
  <c r="P475" i="8"/>
  <c r="B476" i="8"/>
  <c r="A476" i="8" s="1"/>
  <c r="P476" i="8"/>
  <c r="P477" i="8"/>
  <c r="B477" i="8"/>
  <c r="A477" i="8" s="1"/>
  <c r="P478" i="8"/>
  <c r="B478" i="8"/>
  <c r="A478" i="8" s="1"/>
  <c r="B467" i="8"/>
  <c r="A467" i="8" s="1"/>
  <c r="P467" i="8"/>
  <c r="B468" i="8"/>
  <c r="A468" i="8" s="1"/>
  <c r="P468" i="8"/>
  <c r="P469" i="8"/>
  <c r="B469" i="8"/>
  <c r="A469" i="8" s="1"/>
  <c r="P470" i="8"/>
  <c r="B470" i="8"/>
  <c r="A470" i="8" s="1"/>
  <c r="P460" i="8"/>
  <c r="B460" i="8"/>
  <c r="A460" i="8" s="1"/>
  <c r="B459" i="8"/>
  <c r="A459" i="8" s="1"/>
  <c r="P459" i="8"/>
  <c r="B461" i="8"/>
  <c r="A461" i="8" s="1"/>
  <c r="P461" i="8"/>
  <c r="P462" i="8"/>
  <c r="B462" i="8"/>
  <c r="A462" i="8" s="1"/>
  <c r="P452" i="8"/>
  <c r="B452" i="8"/>
  <c r="A452" i="8" s="1"/>
  <c r="B7" i="2"/>
  <c r="A7" i="2" s="1"/>
  <c r="B8" i="2"/>
  <c r="A8" i="2" s="1"/>
  <c r="B4" i="2"/>
  <c r="A4" i="2" s="1"/>
  <c r="B5" i="2"/>
  <c r="A5" i="2" s="1"/>
  <c r="B6" i="2"/>
  <c r="A6" i="2" s="1"/>
  <c r="B451" i="8"/>
  <c r="A451" i="8" s="1"/>
  <c r="P451" i="8"/>
  <c r="B453" i="8"/>
  <c r="A453" i="8" s="1"/>
  <c r="P453" i="8"/>
  <c r="P454" i="8"/>
  <c r="B454" i="8"/>
  <c r="A454" i="8" s="1"/>
  <c r="G4" i="17"/>
  <c r="F4" i="17"/>
  <c r="E4" i="17"/>
  <c r="D4" i="17"/>
  <c r="C4" i="17"/>
  <c r="P447" i="8"/>
  <c r="B447" i="8"/>
  <c r="A447" i="8"/>
  <c r="P445" i="8"/>
  <c r="B445" i="8"/>
  <c r="A445" i="8"/>
  <c r="P432" i="8"/>
  <c r="B432" i="8"/>
  <c r="A432" i="8"/>
  <c r="P433" i="8"/>
  <c r="B433" i="8"/>
  <c r="A433" i="8"/>
  <c r="P431" i="8"/>
  <c r="B431" i="8"/>
  <c r="A431" i="8"/>
  <c r="P434" i="8"/>
  <c r="B434" i="8"/>
  <c r="A434" i="8"/>
  <c r="P422" i="8"/>
  <c r="B422" i="8"/>
  <c r="A422" i="8"/>
  <c r="P423" i="8"/>
  <c r="B423" i="8"/>
  <c r="A423" i="8"/>
  <c r="P421" i="8"/>
  <c r="B421" i="8"/>
  <c r="A421" i="8"/>
  <c r="P424" i="8"/>
  <c r="B424" i="8"/>
  <c r="A424" i="8"/>
  <c r="P413" i="8"/>
  <c r="B413" i="8"/>
  <c r="A413" i="8"/>
  <c r="P414" i="8"/>
  <c r="B414" i="8"/>
  <c r="A414" i="8"/>
  <c r="P412" i="8"/>
  <c r="B412" i="8"/>
  <c r="A412" i="8"/>
  <c r="P415" i="8"/>
  <c r="B415" i="8"/>
  <c r="A415" i="8"/>
  <c r="P406" i="8"/>
  <c r="B406" i="8"/>
  <c r="A406" i="8"/>
  <c r="P407" i="8"/>
  <c r="B407" i="8"/>
  <c r="A407" i="8"/>
  <c r="P405" i="8"/>
  <c r="B405" i="8"/>
  <c r="A405" i="8"/>
  <c r="P408" i="8"/>
  <c r="B408" i="8"/>
  <c r="A408" i="8"/>
  <c r="P399" i="8"/>
  <c r="B399" i="8"/>
  <c r="A399" i="8"/>
  <c r="P400" i="8"/>
  <c r="B400" i="8"/>
  <c r="A400" i="8"/>
  <c r="P398" i="8"/>
  <c r="B398" i="8"/>
  <c r="A398" i="8"/>
  <c r="P401" i="8"/>
  <c r="B401" i="8"/>
  <c r="A401" i="8"/>
  <c r="P392" i="8"/>
  <c r="B392" i="8"/>
  <c r="A392" i="8"/>
  <c r="P393" i="8"/>
  <c r="B393" i="8"/>
  <c r="A393" i="8"/>
  <c r="P391" i="8"/>
  <c r="B391" i="8"/>
  <c r="A391" i="8"/>
  <c r="P394" i="8"/>
  <c r="B394" i="8"/>
  <c r="A394" i="8"/>
  <c r="P385" i="8"/>
  <c r="B385" i="8"/>
  <c r="A385" i="8"/>
  <c r="P386" i="8"/>
  <c r="B386" i="8"/>
  <c r="A386" i="8"/>
  <c r="P384" i="8"/>
  <c r="B384" i="8"/>
  <c r="A384" i="8"/>
  <c r="P387" i="8"/>
  <c r="B387" i="8"/>
  <c r="A387" i="8"/>
  <c r="P378" i="8"/>
  <c r="B378" i="8"/>
  <c r="A378" i="8"/>
  <c r="P379" i="8"/>
  <c r="B379" i="8"/>
  <c r="A379" i="8"/>
  <c r="P377" i="8"/>
  <c r="B377" i="8"/>
  <c r="A377" i="8"/>
  <c r="P380" i="8"/>
  <c r="B380" i="8"/>
  <c r="A380" i="8"/>
  <c r="P369" i="8"/>
  <c r="B369" i="8"/>
  <c r="A369" i="8"/>
  <c r="P370" i="8"/>
  <c r="B370" i="8"/>
  <c r="A370" i="8"/>
  <c r="P368" i="8"/>
  <c r="B368" i="8"/>
  <c r="A368" i="8"/>
  <c r="P371" i="8"/>
  <c r="B371" i="8"/>
  <c r="A371" i="8"/>
  <c r="P361" i="8"/>
  <c r="B361" i="8"/>
  <c r="A361" i="8"/>
  <c r="P360" i="8"/>
  <c r="B360" i="8"/>
  <c r="A360" i="8"/>
  <c r="P362" i="8"/>
  <c r="B362" i="8"/>
  <c r="A362" i="8"/>
  <c r="P363" i="8"/>
  <c r="B363" i="8"/>
  <c r="A363" i="8"/>
  <c r="P353" i="8"/>
  <c r="B353" i="8"/>
  <c r="A353" i="8"/>
  <c r="P352" i="8"/>
  <c r="B352" i="8"/>
  <c r="A352" i="8"/>
  <c r="P354" i="8"/>
  <c r="B354" i="8"/>
  <c r="A354" i="8"/>
  <c r="P355" i="8"/>
  <c r="B355" i="8"/>
  <c r="A355" i="8"/>
  <c r="P335" i="8"/>
  <c r="B335" i="8"/>
  <c r="A335" i="8"/>
  <c r="P334" i="8"/>
  <c r="B334" i="8"/>
  <c r="A334" i="8"/>
  <c r="P336" i="8"/>
  <c r="B336" i="8"/>
  <c r="A336" i="8"/>
  <c r="P337" i="8"/>
  <c r="B337" i="8"/>
  <c r="A337" i="8"/>
  <c r="P328" i="8"/>
  <c r="B328" i="8"/>
  <c r="A328" i="8"/>
  <c r="P329" i="8"/>
  <c r="B329" i="8"/>
  <c r="A329" i="8"/>
  <c r="P327" i="8"/>
  <c r="B327" i="8"/>
  <c r="A327" i="8"/>
  <c r="P330" i="8"/>
  <c r="B330" i="8"/>
  <c r="A330" i="8"/>
  <c r="P324" i="8"/>
  <c r="B324" i="8"/>
  <c r="A324" i="8"/>
  <c r="P323" i="8"/>
  <c r="B323" i="8"/>
  <c r="A323" i="8"/>
  <c r="P322" i="8"/>
  <c r="B322" i="8"/>
  <c r="A322" i="8"/>
  <c r="P321" i="8"/>
  <c r="B321" i="8"/>
  <c r="A321" i="8"/>
  <c r="P317" i="8"/>
  <c r="B317" i="8"/>
  <c r="A317" i="8"/>
  <c r="P316" i="8"/>
  <c r="B316" i="8"/>
  <c r="A316" i="8"/>
  <c r="P315" i="8"/>
  <c r="B315" i="8"/>
  <c r="A315" i="8"/>
  <c r="P314" i="8"/>
  <c r="B314" i="8"/>
  <c r="A314" i="8"/>
  <c r="P296" i="8"/>
  <c r="B296" i="8"/>
  <c r="A296" i="8"/>
  <c r="P295" i="8"/>
  <c r="B295" i="8"/>
  <c r="A295" i="8"/>
  <c r="P294" i="8"/>
  <c r="B294" i="8"/>
  <c r="A294" i="8"/>
  <c r="P292" i="8"/>
  <c r="B292" i="8"/>
  <c r="A292" i="8"/>
  <c r="P289" i="8"/>
  <c r="B289" i="8"/>
  <c r="A289" i="8"/>
  <c r="P287" i="8"/>
  <c r="B287" i="8"/>
  <c r="A287" i="8"/>
  <c r="P286" i="8"/>
  <c r="B286" i="8"/>
  <c r="A286" i="8"/>
  <c r="P285" i="8"/>
  <c r="B285" i="8"/>
  <c r="A285" i="8"/>
  <c r="P282" i="8"/>
  <c r="B282" i="8"/>
  <c r="A282" i="8"/>
  <c r="P281" i="8"/>
  <c r="B281" i="8"/>
  <c r="A281" i="8"/>
  <c r="P279" i="8"/>
  <c r="B279" i="8"/>
  <c r="A279" i="8"/>
  <c r="P278" i="8"/>
  <c r="B278" i="8"/>
  <c r="A278" i="8"/>
  <c r="P269" i="8"/>
  <c r="B269" i="8"/>
  <c r="A269" i="8"/>
  <c r="P267" i="8"/>
  <c r="B267" i="8"/>
  <c r="A267" i="8"/>
  <c r="P266" i="8"/>
  <c r="B266" i="8"/>
  <c r="A266" i="8"/>
  <c r="P265" i="8"/>
  <c r="B265" i="8"/>
  <c r="A265" i="8"/>
  <c r="P262" i="8"/>
  <c r="B262" i="8"/>
  <c r="A262" i="8"/>
  <c r="P260" i="8"/>
  <c r="B260" i="8"/>
  <c r="A260" i="8"/>
  <c r="P259" i="8"/>
  <c r="B259" i="8"/>
  <c r="A259" i="8"/>
  <c r="P258" i="8"/>
  <c r="B258" i="8"/>
  <c r="A258" i="8"/>
  <c r="P254" i="8"/>
  <c r="B254" i="8"/>
  <c r="A254" i="8"/>
  <c r="P253" i="8"/>
  <c r="B253" i="8"/>
  <c r="A253" i="8"/>
  <c r="P252" i="8"/>
  <c r="B252" i="8"/>
  <c r="A252" i="8"/>
  <c r="P251" i="8"/>
  <c r="B251" i="8"/>
  <c r="A251" i="8"/>
  <c r="P247" i="8"/>
  <c r="B247" i="8"/>
  <c r="A247" i="8"/>
  <c r="P246" i="8"/>
  <c r="B246" i="8"/>
  <c r="A246" i="8"/>
  <c r="P245" i="8"/>
  <c r="B245" i="8"/>
  <c r="A245" i="8"/>
  <c r="P244" i="8"/>
  <c r="B244" i="8"/>
  <c r="A244" i="8"/>
  <c r="P241" i="8"/>
  <c r="B241" i="8"/>
  <c r="A241" i="8"/>
  <c r="P240" i="8"/>
  <c r="B240" i="8"/>
  <c r="A240" i="8"/>
  <c r="P239" i="8"/>
  <c r="B239" i="8"/>
  <c r="A239" i="8"/>
  <c r="P238" i="8"/>
  <c r="B238" i="8"/>
  <c r="A238" i="8"/>
  <c r="P218" i="8"/>
  <c r="B218" i="8"/>
  <c r="A218" i="8"/>
  <c r="P217" i="8"/>
  <c r="B217" i="8"/>
  <c r="A217" i="8"/>
  <c r="P216" i="8"/>
  <c r="B216" i="8"/>
  <c r="A216" i="8"/>
  <c r="P215" i="8"/>
  <c r="B215" i="8"/>
  <c r="A215" i="8"/>
  <c r="P214" i="8"/>
  <c r="B214" i="8"/>
  <c r="A214" i="8"/>
  <c r="P4" i="8"/>
  <c r="P495" i="8"/>
  <c r="P496" i="8"/>
  <c r="P497" i="8"/>
  <c r="P498" i="8"/>
  <c r="P499" i="8"/>
  <c r="P500" i="8"/>
  <c r="P501" i="8"/>
  <c r="P502" i="8"/>
  <c r="P503" i="8"/>
  <c r="P504" i="8"/>
  <c r="P505" i="8"/>
  <c r="P506" i="8"/>
  <c r="P507" i="8"/>
  <c r="P508" i="8"/>
  <c r="P509" i="8"/>
  <c r="P510" i="8"/>
  <c r="P511" i="8"/>
  <c r="P512" i="8"/>
  <c r="P513" i="8"/>
  <c r="P514" i="8"/>
  <c r="P515" i="8"/>
  <c r="P516" i="8"/>
  <c r="P517" i="8"/>
  <c r="P518" i="8"/>
  <c r="P519" i="8"/>
  <c r="P520" i="8"/>
  <c r="P521" i="8"/>
  <c r="P522" i="8"/>
  <c r="P523" i="8"/>
  <c r="P524" i="8"/>
  <c r="P525" i="8"/>
  <c r="P526" i="8"/>
  <c r="P527" i="8"/>
  <c r="P528" i="8"/>
  <c r="P529" i="8"/>
  <c r="P530" i="8"/>
  <c r="P531" i="8"/>
  <c r="P532" i="8"/>
  <c r="P533" i="8"/>
  <c r="P534" i="8"/>
  <c r="P535" i="8"/>
  <c r="P536" i="8"/>
  <c r="P537" i="8"/>
  <c r="P538" i="8"/>
  <c r="P539" i="8"/>
  <c r="P540" i="8"/>
  <c r="P541" i="8"/>
  <c r="P542" i="8"/>
  <c r="P543" i="8"/>
  <c r="P544" i="8"/>
  <c r="P545" i="8"/>
  <c r="P546" i="8"/>
  <c r="P547" i="8"/>
  <c r="P548" i="8"/>
  <c r="P549" i="8"/>
  <c r="P550" i="8"/>
  <c r="P551" i="8"/>
  <c r="P552" i="8"/>
  <c r="P553" i="8"/>
  <c r="P554" i="8"/>
  <c r="P555" i="8"/>
  <c r="P556" i="8"/>
  <c r="P557" i="8"/>
  <c r="P558" i="8"/>
  <c r="P559" i="8"/>
  <c r="P560" i="8"/>
  <c r="P561" i="8"/>
  <c r="P562" i="8"/>
  <c r="P563" i="8"/>
  <c r="P564" i="8"/>
  <c r="P565" i="8"/>
  <c r="P566" i="8"/>
  <c r="P567" i="8"/>
  <c r="P568" i="8"/>
  <c r="P569" i="8"/>
  <c r="P570" i="8"/>
  <c r="P571" i="8"/>
  <c r="P572" i="8"/>
  <c r="P573" i="8"/>
  <c r="P574" i="8"/>
  <c r="P575" i="8"/>
  <c r="P576" i="8"/>
  <c r="P577" i="8"/>
  <c r="P578" i="8"/>
  <c r="P579" i="8"/>
  <c r="P580" i="8"/>
  <c r="P581" i="8"/>
  <c r="P582" i="8"/>
  <c r="P583" i="8"/>
  <c r="P584" i="8"/>
  <c r="P585" i="8"/>
  <c r="P586" i="8"/>
  <c r="P587" i="8"/>
  <c r="P219" i="8"/>
  <c r="P220" i="8"/>
  <c r="P221" i="8"/>
  <c r="P222" i="8"/>
  <c r="P223" i="8"/>
  <c r="P224" i="8"/>
  <c r="P225" i="8"/>
  <c r="P226" i="8"/>
  <c r="P227" i="8"/>
  <c r="P228" i="8"/>
  <c r="P229" i="8"/>
  <c r="P230" i="8"/>
  <c r="P231" i="8"/>
  <c r="P232" i="8"/>
  <c r="P233" i="8"/>
  <c r="P234" i="8"/>
  <c r="P235" i="8"/>
  <c r="P236" i="8"/>
  <c r="P237" i="8"/>
  <c r="P242" i="8"/>
  <c r="P243" i="8"/>
  <c r="P248" i="8"/>
  <c r="P249" i="8"/>
  <c r="P250" i="8"/>
  <c r="P255" i="8"/>
  <c r="P256" i="8"/>
  <c r="P257" i="8"/>
  <c r="P261" i="8"/>
  <c r="P263" i="8"/>
  <c r="P264" i="8"/>
  <c r="P268" i="8"/>
  <c r="P270" i="8"/>
  <c r="P272" i="8"/>
  <c r="P274" i="8"/>
  <c r="P275" i="8"/>
  <c r="P280" i="8"/>
  <c r="P283" i="8"/>
  <c r="P284" i="8"/>
  <c r="P288" i="8"/>
  <c r="P290" i="8"/>
  <c r="P291" i="8"/>
  <c r="P293" i="8"/>
  <c r="P311" i="8"/>
  <c r="P312" i="8"/>
  <c r="P313" i="8"/>
  <c r="P318" i="8"/>
  <c r="P319" i="8"/>
  <c r="P320" i="8"/>
  <c r="P325" i="8"/>
  <c r="P326" i="8"/>
  <c r="P331" i="8"/>
  <c r="P332" i="8"/>
  <c r="P333" i="8"/>
  <c r="P338" i="8"/>
  <c r="P349" i="8"/>
  <c r="P350" i="8"/>
  <c r="P351" i="8"/>
  <c r="P356" i="8"/>
  <c r="P357" i="8"/>
  <c r="P358" i="8"/>
  <c r="P359" i="8"/>
  <c r="P364" i="8"/>
  <c r="P365" i="8"/>
  <c r="P366" i="8"/>
  <c r="P367" i="8"/>
  <c r="P372" i="8"/>
  <c r="P373" i="8"/>
  <c r="P374" i="8"/>
  <c r="P375" i="8"/>
  <c r="P376" i="8"/>
  <c r="P381" i="8"/>
  <c r="P382" i="8"/>
  <c r="P383" i="8"/>
  <c r="P388" i="8"/>
  <c r="P389" i="8"/>
  <c r="P390" i="8"/>
  <c r="P395" i="8"/>
  <c r="P396" i="8"/>
  <c r="P397" i="8"/>
  <c r="P402" i="8"/>
  <c r="P403" i="8"/>
  <c r="P404" i="8"/>
  <c r="P409" i="8"/>
  <c r="P410" i="8"/>
  <c r="P411" i="8"/>
  <c r="P416" i="8"/>
  <c r="P417" i="8"/>
  <c r="P418" i="8"/>
  <c r="P419" i="8"/>
  <c r="P420" i="8"/>
  <c r="P426" i="8"/>
  <c r="P429" i="8"/>
  <c r="P430" i="8"/>
  <c r="P435" i="8"/>
  <c r="P436" i="8"/>
  <c r="P437" i="8"/>
  <c r="P438" i="8"/>
  <c r="P439" i="8"/>
  <c r="P440" i="8"/>
  <c r="P441" i="8"/>
  <c r="P442" i="8"/>
  <c r="P443" i="8"/>
  <c r="P444" i="8"/>
  <c r="P446" i="8"/>
  <c r="P448" i="8"/>
  <c r="P449" i="8"/>
  <c r="P450" i="8"/>
  <c r="P455" i="8"/>
  <c r="P456" i="8"/>
  <c r="P457" i="8"/>
  <c r="P458" i="8"/>
  <c r="P463" i="8"/>
  <c r="P464" i="8"/>
  <c r="P465" i="8"/>
  <c r="P466" i="8"/>
  <c r="P471" i="8"/>
  <c r="P472" i="8"/>
  <c r="P473" i="8"/>
  <c r="P474" i="8"/>
  <c r="P479" i="8"/>
  <c r="P480" i="8"/>
  <c r="P481" i="8"/>
  <c r="P482" i="8"/>
  <c r="P487" i="8"/>
  <c r="P488" i="8"/>
  <c r="P489" i="8"/>
  <c r="P490" i="8"/>
  <c r="P33" i="8"/>
  <c r="P34" i="8"/>
  <c r="P35" i="8"/>
  <c r="P36" i="8"/>
  <c r="P37" i="8"/>
  <c r="P38" i="8"/>
  <c r="P39" i="8"/>
  <c r="P40" i="8"/>
  <c r="P41" i="8"/>
  <c r="P42" i="8"/>
  <c r="P43" i="8"/>
  <c r="P44" i="8"/>
  <c r="P45" i="8"/>
  <c r="P46" i="8"/>
  <c r="P47" i="8"/>
  <c r="P48" i="8"/>
  <c r="P49" i="8"/>
  <c r="P50"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8"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202" i="8"/>
  <c r="P203" i="8"/>
  <c r="P204" i="8"/>
  <c r="P205" i="8"/>
  <c r="P206" i="8"/>
  <c r="P207" i="8"/>
  <c r="P208" i="8"/>
  <c r="P209" i="8"/>
  <c r="P210" i="8"/>
  <c r="P211" i="8"/>
  <c r="P212" i="8"/>
  <c r="P213" i="8"/>
  <c r="P5" i="8"/>
  <c r="P6" i="8"/>
  <c r="P7" i="8"/>
  <c r="P8" i="8"/>
  <c r="P9" i="8"/>
  <c r="P10" i="8"/>
  <c r="P11" i="8"/>
  <c r="P12" i="8"/>
  <c r="P13" i="8"/>
  <c r="P14" i="8"/>
  <c r="P15" i="8"/>
  <c r="P16" i="8"/>
  <c r="P17" i="8"/>
  <c r="P18" i="8"/>
  <c r="P19" i="8"/>
  <c r="P20" i="8"/>
  <c r="P21" i="8"/>
  <c r="P22" i="8"/>
  <c r="P23" i="8"/>
  <c r="P24" i="8"/>
  <c r="P25" i="8"/>
  <c r="P26" i="8"/>
  <c r="P27" i="8"/>
  <c r="P28" i="8"/>
  <c r="P29" i="8"/>
  <c r="P30" i="8"/>
  <c r="P31" i="8"/>
  <c r="P32" i="8"/>
  <c r="B444" i="8"/>
  <c r="A444" i="8"/>
  <c r="B443" i="8"/>
  <c r="A443" i="8"/>
  <c r="B442" i="8"/>
  <c r="A442" i="8"/>
  <c r="B210" i="8"/>
  <c r="A210" i="8"/>
  <c r="B209" i="8"/>
  <c r="A209" i="8"/>
  <c r="B208" i="8"/>
  <c r="A208" i="8"/>
  <c r="B207" i="8"/>
  <c r="A207" i="8"/>
  <c r="B191" i="8"/>
  <c r="A191" i="8"/>
  <c r="B190" i="8"/>
  <c r="A190" i="8"/>
  <c r="B189" i="8"/>
  <c r="A189" i="8"/>
  <c r="B188" i="8"/>
  <c r="A188" i="8"/>
  <c r="B184" i="8"/>
  <c r="A184" i="8"/>
  <c r="B183" i="8"/>
  <c r="A183" i="8"/>
  <c r="B182" i="8"/>
  <c r="A182" i="8"/>
  <c r="B181" i="8"/>
  <c r="A181" i="8"/>
  <c r="B176" i="8"/>
  <c r="A176" i="8"/>
  <c r="B175" i="8"/>
  <c r="A175" i="8"/>
  <c r="B174" i="8"/>
  <c r="A174" i="8"/>
  <c r="B173" i="8"/>
  <c r="A173" i="8"/>
  <c r="B169" i="8"/>
  <c r="A169" i="8"/>
  <c r="B168" i="8"/>
  <c r="A168" i="8"/>
  <c r="B167" i="8"/>
  <c r="A167" i="8"/>
  <c r="B166" i="8"/>
  <c r="A166" i="8"/>
  <c r="B160" i="8"/>
  <c r="A160" i="8"/>
  <c r="B159" i="8"/>
  <c r="A159" i="8"/>
  <c r="B158" i="8"/>
  <c r="A158" i="8"/>
  <c r="B157" i="8"/>
  <c r="A157" i="8"/>
  <c r="B154" i="8"/>
  <c r="A154" i="8"/>
  <c r="B153" i="8"/>
  <c r="A153" i="8"/>
  <c r="B152" i="8"/>
  <c r="A152" i="8"/>
  <c r="B151" i="8"/>
  <c r="A151" i="8"/>
  <c r="B150" i="8"/>
  <c r="A150" i="8"/>
  <c r="B145" i="8"/>
  <c r="A145" i="8"/>
  <c r="B144" i="8"/>
  <c r="A144" i="8"/>
  <c r="B143" i="8"/>
  <c r="A143" i="8"/>
  <c r="B142" i="8"/>
  <c r="A142" i="8"/>
  <c r="B133" i="8"/>
  <c r="A133" i="8"/>
  <c r="B132" i="8"/>
  <c r="A132" i="8"/>
  <c r="B131" i="8"/>
  <c r="A131" i="8"/>
  <c r="B130" i="8"/>
  <c r="A130" i="8"/>
  <c r="B127" i="8"/>
  <c r="A127" i="8"/>
  <c r="B126" i="8"/>
  <c r="A126" i="8"/>
  <c r="B125" i="8"/>
  <c r="A125" i="8"/>
  <c r="B124" i="8"/>
  <c r="A124" i="8"/>
  <c r="B120" i="8"/>
  <c r="A120" i="8"/>
  <c r="B119" i="8"/>
  <c r="A119" i="8"/>
  <c r="B118" i="8"/>
  <c r="A118" i="8"/>
  <c r="B117" i="8"/>
  <c r="A117" i="8"/>
  <c r="B116" i="8"/>
  <c r="A116" i="8"/>
  <c r="B112" i="8"/>
  <c r="A112" i="8"/>
  <c r="B111" i="8"/>
  <c r="A111" i="8"/>
  <c r="B110" i="8"/>
  <c r="A110" i="8"/>
  <c r="B109" i="8"/>
  <c r="A109" i="8"/>
  <c r="B50" i="8"/>
  <c r="A50" i="8"/>
  <c r="B49" i="8"/>
  <c r="A49" i="8"/>
  <c r="B48" i="8"/>
  <c r="A48" i="8"/>
  <c r="B47" i="8"/>
  <c r="A47" i="8"/>
  <c r="B43" i="8"/>
  <c r="A43" i="8"/>
  <c r="B42" i="8"/>
  <c r="A42" i="8"/>
  <c r="B41" i="8"/>
  <c r="A41" i="8"/>
  <c r="B40" i="8"/>
  <c r="A40" i="8"/>
  <c r="B36" i="8"/>
  <c r="A36" i="8"/>
  <c r="B35" i="8"/>
  <c r="A35" i="8"/>
  <c r="B34" i="8"/>
  <c r="A34" i="8"/>
  <c r="B33" i="8"/>
  <c r="A33" i="8"/>
  <c r="B28" i="8"/>
  <c r="A28" i="8"/>
  <c r="B27" i="8"/>
  <c r="A27" i="8"/>
  <c r="B26" i="8"/>
  <c r="A26" i="8"/>
  <c r="B25" i="8"/>
  <c r="A25" i="8"/>
  <c r="B18" i="8"/>
  <c r="B19" i="8"/>
  <c r="B20" i="8"/>
  <c r="B21" i="8"/>
  <c r="B22" i="8"/>
  <c r="B23" i="8"/>
  <c r="B24" i="8"/>
  <c r="B29" i="8"/>
  <c r="B30" i="8"/>
  <c r="B31" i="8"/>
  <c r="B32" i="8"/>
  <c r="B37" i="8"/>
  <c r="B38" i="8"/>
  <c r="B39" i="8"/>
  <c r="B44" i="8"/>
  <c r="B45" i="8"/>
  <c r="B46" i="8"/>
  <c r="B107" i="8"/>
  <c r="B108" i="8"/>
  <c r="B113" i="8"/>
  <c r="B114" i="8"/>
  <c r="B115" i="8"/>
  <c r="B121" i="8"/>
  <c r="B122" i="8"/>
  <c r="B123" i="8"/>
  <c r="B128" i="8"/>
  <c r="B129" i="8"/>
  <c r="B134" i="8"/>
  <c r="B135" i="8"/>
  <c r="B136" i="8"/>
  <c r="B137" i="8"/>
  <c r="B138" i="8"/>
  <c r="B139" i="8"/>
  <c r="B140" i="8"/>
  <c r="B141" i="8"/>
  <c r="B146" i="8"/>
  <c r="B148" i="8"/>
  <c r="B155" i="8"/>
  <c r="B156" i="8"/>
  <c r="B161" i="8"/>
  <c r="B162" i="8"/>
  <c r="B163" i="8"/>
  <c r="B164" i="8"/>
  <c r="B165" i="8"/>
  <c r="B170" i="8"/>
  <c r="B171" i="8"/>
  <c r="B172" i="8"/>
  <c r="B177" i="8"/>
  <c r="B178" i="8"/>
  <c r="B179" i="8"/>
  <c r="B180" i="8"/>
  <c r="B185" i="8"/>
  <c r="B186" i="8"/>
  <c r="B187" i="8"/>
  <c r="B192" i="8"/>
  <c r="B193" i="8"/>
  <c r="B194" i="8"/>
  <c r="B195" i="8"/>
  <c r="B196" i="8"/>
  <c r="B202" i="8"/>
  <c r="B203" i="8"/>
  <c r="B204" i="8"/>
  <c r="B205" i="8"/>
  <c r="B206" i="8"/>
  <c r="B211" i="8"/>
  <c r="B212" i="8"/>
  <c r="B213" i="8"/>
  <c r="B219" i="8"/>
  <c r="B220" i="8"/>
  <c r="B221" i="8"/>
  <c r="B222" i="8"/>
  <c r="B223" i="8"/>
  <c r="B224" i="8"/>
  <c r="B225" i="8"/>
  <c r="B226" i="8"/>
  <c r="B227" i="8"/>
  <c r="B228" i="8"/>
  <c r="B229" i="8"/>
  <c r="B230" i="8"/>
  <c r="B231" i="8"/>
  <c r="B232" i="8"/>
  <c r="B233" i="8"/>
  <c r="B234" i="8"/>
  <c r="B235" i="8"/>
  <c r="B236" i="8"/>
  <c r="B237" i="8"/>
  <c r="B242" i="8"/>
  <c r="B243" i="8"/>
  <c r="B248" i="8"/>
  <c r="B249" i="8"/>
  <c r="B250" i="8"/>
  <c r="B255" i="8"/>
  <c r="B256" i="8"/>
  <c r="B257" i="8"/>
  <c r="B261" i="8"/>
  <c r="B263" i="8"/>
  <c r="B264" i="8"/>
  <c r="B268" i="8"/>
  <c r="B270" i="8"/>
  <c r="B272" i="8"/>
  <c r="B274" i="8"/>
  <c r="B275" i="8"/>
  <c r="B280" i="8"/>
  <c r="B283" i="8"/>
  <c r="B284" i="8"/>
  <c r="B288" i="8"/>
  <c r="B290" i="8"/>
  <c r="B291" i="8"/>
  <c r="B293" i="8"/>
  <c r="B311" i="8"/>
  <c r="B312" i="8"/>
  <c r="B313" i="8"/>
  <c r="B318" i="8"/>
  <c r="B319" i="8"/>
  <c r="B320" i="8"/>
  <c r="B325" i="8"/>
  <c r="B326" i="8"/>
  <c r="B331" i="8"/>
  <c r="B332" i="8"/>
  <c r="B333" i="8"/>
  <c r="B338" i="8"/>
  <c r="B349" i="8"/>
  <c r="B350" i="8"/>
  <c r="B351" i="8"/>
  <c r="B356" i="8"/>
  <c r="B357" i="8"/>
  <c r="B358" i="8"/>
  <c r="B359" i="8"/>
  <c r="B364" i="8"/>
  <c r="B365" i="8"/>
  <c r="B366" i="8"/>
  <c r="B367" i="8"/>
  <c r="B372" i="8"/>
  <c r="B373" i="8"/>
  <c r="B374" i="8"/>
  <c r="B375" i="8"/>
  <c r="B376" i="8"/>
  <c r="B381" i="8"/>
  <c r="B382" i="8"/>
  <c r="B383" i="8"/>
  <c r="B388" i="8"/>
  <c r="B389" i="8"/>
  <c r="B390" i="8"/>
  <c r="B395" i="8"/>
  <c r="B396" i="8"/>
  <c r="B397" i="8"/>
  <c r="B402" i="8"/>
  <c r="B403" i="8"/>
  <c r="B404" i="8"/>
  <c r="B409" i="8"/>
  <c r="B410" i="8"/>
  <c r="B411" i="8"/>
  <c r="B416" i="8"/>
  <c r="B417" i="8"/>
  <c r="B418" i="8"/>
  <c r="B419" i="8"/>
  <c r="B420" i="8"/>
  <c r="B426" i="8"/>
  <c r="B429" i="8"/>
  <c r="B430" i="8"/>
  <c r="B435" i="8"/>
  <c r="B436" i="8"/>
  <c r="B437" i="8"/>
  <c r="B438" i="8"/>
  <c r="B439" i="8"/>
  <c r="B440" i="8"/>
  <c r="B441" i="8"/>
  <c r="B446" i="8"/>
  <c r="B448" i="8"/>
  <c r="B449" i="8"/>
  <c r="B450" i="8"/>
  <c r="B455" i="8"/>
  <c r="B456" i="8"/>
  <c r="B457" i="8"/>
  <c r="B458" i="8"/>
  <c r="B463" i="8"/>
  <c r="B464" i="8"/>
  <c r="B465" i="8"/>
  <c r="B466" i="8"/>
  <c r="B471" i="8"/>
  <c r="B472" i="8"/>
  <c r="B473" i="8"/>
  <c r="B474" i="8"/>
  <c r="B479" i="8"/>
  <c r="B480" i="8"/>
  <c r="B481" i="8"/>
  <c r="B482" i="8"/>
  <c r="B487" i="8"/>
  <c r="B488" i="8"/>
  <c r="B489" i="8"/>
  <c r="B490" i="8"/>
  <c r="B495" i="8"/>
  <c r="A23" i="8"/>
  <c r="A22" i="8"/>
  <c r="A21" i="8"/>
  <c r="A20" i="8"/>
  <c r="B6" i="8"/>
  <c r="B7" i="8"/>
  <c r="B8" i="8"/>
  <c r="B9" i="8"/>
  <c r="B10" i="8"/>
  <c r="B11" i="8"/>
  <c r="B12" i="8"/>
  <c r="B13" i="8"/>
  <c r="B14" i="8"/>
  <c r="B15" i="8"/>
  <c r="B16" i="8"/>
  <c r="B17" i="8"/>
  <c r="B5" i="8"/>
  <c r="A15" i="8"/>
  <c r="A16" i="8"/>
  <c r="A17" i="8"/>
  <c r="A14" i="8"/>
  <c r="A10" i="8"/>
  <c r="A9" i="8"/>
  <c r="A8" i="8"/>
  <c r="A7" i="8"/>
  <c r="B4" i="8"/>
  <c r="AV114" i="16"/>
  <c r="AC114" i="16"/>
  <c r="J114" i="16"/>
  <c r="A114" i="16"/>
  <c r="AV113" i="16"/>
  <c r="AC113" i="16"/>
  <c r="J113" i="16"/>
  <c r="A113" i="16"/>
  <c r="AV112" i="16"/>
  <c r="AC112" i="16"/>
  <c r="J112" i="16"/>
  <c r="A112" i="16"/>
  <c r="AV111" i="16"/>
  <c r="AC111" i="16"/>
  <c r="J111" i="16"/>
  <c r="A111" i="16"/>
  <c r="AV110" i="16"/>
  <c r="AC110" i="16"/>
  <c r="J110" i="16"/>
  <c r="A110" i="16"/>
  <c r="AV109" i="16"/>
  <c r="AC109" i="16"/>
  <c r="J109" i="16"/>
  <c r="A109" i="16"/>
  <c r="AV108" i="16"/>
  <c r="AC108" i="16"/>
  <c r="J108" i="16"/>
  <c r="A108" i="16"/>
  <c r="AV107" i="16"/>
  <c r="AC107" i="16"/>
  <c r="J107" i="16"/>
  <c r="A107" i="16"/>
  <c r="A420" i="8"/>
  <c r="B102" i="16" s="1"/>
  <c r="A418" i="8"/>
  <c r="B7" i="16" s="1"/>
  <c r="L37" i="16"/>
  <c r="AV64" i="16"/>
  <c r="AC64" i="16"/>
  <c r="J64" i="16"/>
  <c r="A64" i="16"/>
  <c r="AV55" i="16"/>
  <c r="AC55" i="16"/>
  <c r="J55" i="16"/>
  <c r="A55" i="16"/>
  <c r="AV54" i="16"/>
  <c r="AC54" i="16"/>
  <c r="J54" i="16"/>
  <c r="A54" i="16"/>
  <c r="AV227" i="16"/>
  <c r="AC227" i="16"/>
  <c r="J227" i="16"/>
  <c r="AV225" i="16"/>
  <c r="AC225" i="16"/>
  <c r="J225" i="16"/>
  <c r="A225" i="16"/>
  <c r="AV222" i="16"/>
  <c r="AC222" i="16"/>
  <c r="J222" i="16"/>
  <c r="A222" i="16"/>
  <c r="AV226" i="16"/>
  <c r="AC226" i="16"/>
  <c r="J226" i="16"/>
  <c r="A226" i="16"/>
  <c r="AV65" i="16"/>
  <c r="AC65" i="16"/>
  <c r="J65" i="16"/>
  <c r="B3" i="2"/>
  <c r="L171" i="16"/>
  <c r="A169" i="16"/>
  <c r="J169" i="16"/>
  <c r="AC169" i="16"/>
  <c r="AV169" i="16"/>
  <c r="A167" i="16"/>
  <c r="J167" i="16"/>
  <c r="AC167" i="16"/>
  <c r="AV167" i="16"/>
  <c r="A168" i="16"/>
  <c r="J168" i="16"/>
  <c r="AC168" i="16"/>
  <c r="AV168" i="16"/>
  <c r="AV105" i="16"/>
  <c r="AC105" i="16"/>
  <c r="J105" i="16"/>
  <c r="A105" i="16"/>
  <c r="AV104" i="16"/>
  <c r="AC104" i="16"/>
  <c r="J104" i="16"/>
  <c r="A104" i="16"/>
  <c r="A426" i="8"/>
  <c r="A95" i="16"/>
  <c r="J95" i="16"/>
  <c r="AC95" i="16"/>
  <c r="AV95" i="16"/>
  <c r="A96" i="16"/>
  <c r="J96" i="16"/>
  <c r="AC96" i="16"/>
  <c r="AV96" i="16"/>
  <c r="AV97" i="16"/>
  <c r="AC97" i="16"/>
  <c r="J97" i="16"/>
  <c r="A97" i="16"/>
  <c r="AV197" i="16"/>
  <c r="AC197" i="16"/>
  <c r="J197" i="16"/>
  <c r="A197" i="16"/>
  <c r="AV98" i="16"/>
  <c r="AC98" i="16"/>
  <c r="J98" i="16"/>
  <c r="A98" i="16"/>
  <c r="AV94" i="16"/>
  <c r="AC94" i="16"/>
  <c r="J94" i="16"/>
  <c r="A94" i="16"/>
  <c r="A65" i="16"/>
  <c r="A50" i="16"/>
  <c r="J50" i="16"/>
  <c r="AC50" i="16"/>
  <c r="AV50" i="16"/>
  <c r="A51" i="16"/>
  <c r="J51" i="16"/>
  <c r="AC51" i="16"/>
  <c r="AV51" i="16"/>
  <c r="A53" i="16"/>
  <c r="J53" i="16"/>
  <c r="AC53" i="16"/>
  <c r="AV53" i="16"/>
  <c r="A46" i="16"/>
  <c r="J46" i="16"/>
  <c r="AC46" i="16"/>
  <c r="AV46" i="16"/>
  <c r="A47" i="16"/>
  <c r="J47" i="16"/>
  <c r="AC47" i="16"/>
  <c r="AV47" i="16"/>
  <c r="A49" i="16"/>
  <c r="J49" i="16"/>
  <c r="AC49" i="16"/>
  <c r="AV49" i="16"/>
  <c r="A42" i="16"/>
  <c r="A45" i="16"/>
  <c r="J45" i="16"/>
  <c r="AC45" i="16"/>
  <c r="AV45" i="16"/>
  <c r="AV44" i="16"/>
  <c r="AC44" i="16"/>
  <c r="J44" i="16"/>
  <c r="A44" i="16"/>
  <c r="AV43" i="16"/>
  <c r="AC43" i="16"/>
  <c r="J43" i="16"/>
  <c r="A43" i="16"/>
  <c r="AV42" i="16"/>
  <c r="AC42" i="16"/>
  <c r="J42" i="16"/>
  <c r="AV8" i="16"/>
  <c r="AC8" i="16"/>
  <c r="J8" i="16"/>
  <c r="A8" i="16"/>
  <c r="AV7" i="16"/>
  <c r="AC7" i="16"/>
  <c r="J7" i="16"/>
  <c r="A7" i="16"/>
  <c r="AV10" i="16"/>
  <c r="AC10" i="16"/>
  <c r="J10" i="16"/>
  <c r="A10" i="16"/>
  <c r="AV9" i="16"/>
  <c r="AC9" i="16"/>
  <c r="J9" i="16"/>
  <c r="A9" i="16"/>
  <c r="L4" i="16"/>
  <c r="A157" i="16"/>
  <c r="J157" i="16"/>
  <c r="AC157" i="16"/>
  <c r="AV157" i="16"/>
  <c r="A158" i="16"/>
  <c r="J158" i="16"/>
  <c r="AC158" i="16"/>
  <c r="AV158" i="16"/>
  <c r="A163" i="16"/>
  <c r="J163" i="16"/>
  <c r="AC163" i="16"/>
  <c r="AV163" i="16"/>
  <c r="A164" i="16"/>
  <c r="J164" i="16"/>
  <c r="AC164" i="16"/>
  <c r="AV164" i="16"/>
  <c r="A165" i="16"/>
  <c r="J165" i="16"/>
  <c r="AC165" i="16"/>
  <c r="AV165" i="16"/>
  <c r="A166" i="16"/>
  <c r="J166" i="16"/>
  <c r="AC166" i="16"/>
  <c r="AV166" i="16"/>
  <c r="AV178" i="16"/>
  <c r="AC178" i="16"/>
  <c r="J178" i="16"/>
  <c r="A178" i="16"/>
  <c r="A176" i="16"/>
  <c r="J176" i="16"/>
  <c r="AC176" i="16"/>
  <c r="AV176" i="16"/>
  <c r="A177" i="16"/>
  <c r="J177" i="16"/>
  <c r="AC177" i="16"/>
  <c r="AV177" i="16"/>
  <c r="A149" i="16"/>
  <c r="J149" i="16"/>
  <c r="AC149" i="16"/>
  <c r="AV149" i="16"/>
  <c r="A150" i="16"/>
  <c r="J150" i="16"/>
  <c r="AC150" i="16"/>
  <c r="AV150" i="16"/>
  <c r="A151" i="16"/>
  <c r="J151" i="16"/>
  <c r="AC151" i="16"/>
  <c r="AV151" i="16"/>
  <c r="A152" i="16"/>
  <c r="J152" i="16"/>
  <c r="AC152" i="16"/>
  <c r="AV152" i="16"/>
  <c r="A153" i="16"/>
  <c r="J153" i="16"/>
  <c r="AC153" i="16"/>
  <c r="AV153" i="16"/>
  <c r="A154" i="16"/>
  <c r="J154" i="16"/>
  <c r="AC154" i="16"/>
  <c r="AV154" i="16"/>
  <c r="A155" i="16"/>
  <c r="J155" i="16"/>
  <c r="AC155" i="16"/>
  <c r="AV155" i="16"/>
  <c r="A156" i="16"/>
  <c r="J156" i="16"/>
  <c r="AC156" i="16"/>
  <c r="AV156" i="16"/>
  <c r="AV148" i="16"/>
  <c r="AC148" i="16"/>
  <c r="J148" i="16"/>
  <c r="A148" i="16"/>
  <c r="AV147" i="16"/>
  <c r="AC147" i="16"/>
  <c r="J147" i="16"/>
  <c r="A147" i="16"/>
  <c r="AV146" i="16"/>
  <c r="AC146" i="16"/>
  <c r="J146" i="16"/>
  <c r="A146" i="16"/>
  <c r="AV145" i="16"/>
  <c r="AC145" i="16"/>
  <c r="J145" i="16"/>
  <c r="A145" i="16"/>
  <c r="AV175" i="16"/>
  <c r="AC175" i="16"/>
  <c r="J175" i="16"/>
  <c r="A175" i="16"/>
  <c r="AV217" i="16"/>
  <c r="AC217" i="16"/>
  <c r="J217" i="16"/>
  <c r="A217" i="16"/>
  <c r="AV216" i="16"/>
  <c r="AC216" i="16"/>
  <c r="J216" i="16"/>
  <c r="A216" i="16"/>
  <c r="AV215" i="16"/>
  <c r="AC215" i="16"/>
  <c r="J215" i="16"/>
  <c r="A215" i="16"/>
  <c r="AV213" i="16"/>
  <c r="AC213" i="16"/>
  <c r="J213" i="16"/>
  <c r="A213" i="16"/>
  <c r="AV212" i="16"/>
  <c r="AC212" i="16"/>
  <c r="J212" i="16"/>
  <c r="A212" i="16"/>
  <c r="AV211" i="16"/>
  <c r="AC211" i="16"/>
  <c r="J211" i="16"/>
  <c r="A211" i="16"/>
  <c r="A200" i="16"/>
  <c r="J200" i="16"/>
  <c r="AC200" i="16"/>
  <c r="AV200" i="16"/>
  <c r="A201" i="16"/>
  <c r="J201" i="16"/>
  <c r="AC201" i="16"/>
  <c r="AV201" i="16"/>
  <c r="A204" i="16"/>
  <c r="J204" i="16"/>
  <c r="AC204" i="16"/>
  <c r="AV204" i="16"/>
  <c r="A207" i="16"/>
  <c r="J207" i="16"/>
  <c r="AC207" i="16"/>
  <c r="AV207" i="16"/>
  <c r="A208" i="16"/>
  <c r="J208" i="16"/>
  <c r="AC208" i="16"/>
  <c r="AV208" i="16"/>
  <c r="A209" i="16"/>
  <c r="J209" i="16"/>
  <c r="AC209" i="16"/>
  <c r="AV209" i="16"/>
  <c r="AV220" i="16"/>
  <c r="AC220" i="16"/>
  <c r="J220" i="16"/>
  <c r="A220" i="16"/>
  <c r="AV219" i="16"/>
  <c r="AC219" i="16"/>
  <c r="J219" i="16"/>
  <c r="A219" i="16"/>
  <c r="AV210" i="16"/>
  <c r="AC210" i="16"/>
  <c r="J210" i="16"/>
  <c r="A210" i="16"/>
  <c r="A36" i="17"/>
  <c r="J36" i="17"/>
  <c r="AC36" i="17"/>
  <c r="A37" i="17"/>
  <c r="J37" i="17"/>
  <c r="AC37" i="17"/>
  <c r="A38" i="17"/>
  <c r="J38" i="17"/>
  <c r="AC38" i="17"/>
  <c r="A39" i="17"/>
  <c r="J39" i="17"/>
  <c r="AC39" i="17"/>
  <c r="A87" i="16"/>
  <c r="J87" i="16"/>
  <c r="AC87" i="16"/>
  <c r="AV87" i="16"/>
  <c r="A88" i="16"/>
  <c r="J88" i="16"/>
  <c r="AC88" i="16"/>
  <c r="AV88" i="16"/>
  <c r="A89" i="16"/>
  <c r="J89" i="16"/>
  <c r="AC89" i="16"/>
  <c r="AV89" i="16"/>
  <c r="A90" i="16"/>
  <c r="J90" i="16"/>
  <c r="AC90" i="16"/>
  <c r="AV90" i="16"/>
  <c r="A81" i="16"/>
  <c r="J81" i="16"/>
  <c r="AC81" i="16"/>
  <c r="AV81" i="16"/>
  <c r="A82" i="16"/>
  <c r="J82" i="16"/>
  <c r="AC82" i="16"/>
  <c r="AV82" i="16"/>
  <c r="A83" i="16"/>
  <c r="J83" i="16"/>
  <c r="AC83" i="16"/>
  <c r="AV83" i="16"/>
  <c r="A84" i="16"/>
  <c r="J84" i="16"/>
  <c r="AC84" i="16"/>
  <c r="AV84" i="16"/>
  <c r="AV80" i="16"/>
  <c r="AC80" i="16"/>
  <c r="J80" i="16"/>
  <c r="A80" i="16"/>
  <c r="AV79" i="16"/>
  <c r="AC79" i="16"/>
  <c r="J79" i="16"/>
  <c r="A79" i="16"/>
  <c r="AV78" i="16"/>
  <c r="AC78" i="16"/>
  <c r="J78" i="16"/>
  <c r="A78" i="16"/>
  <c r="AV77" i="16"/>
  <c r="AC77" i="16"/>
  <c r="J77" i="16"/>
  <c r="A77" i="16"/>
  <c r="AV92" i="16"/>
  <c r="AC92" i="16"/>
  <c r="J92" i="16"/>
  <c r="A92" i="16"/>
  <c r="AV91" i="16"/>
  <c r="AC91" i="16"/>
  <c r="J91" i="16"/>
  <c r="A91" i="16"/>
  <c r="AV93" i="16"/>
  <c r="AC93" i="16"/>
  <c r="J93" i="16"/>
  <c r="A93" i="16"/>
  <c r="AV74" i="16"/>
  <c r="AC74" i="16"/>
  <c r="J74" i="16"/>
  <c r="A74" i="16"/>
  <c r="AV73" i="16"/>
  <c r="AC73" i="16"/>
  <c r="J73" i="16"/>
  <c r="A73" i="16"/>
  <c r="AV72" i="16"/>
  <c r="AC72" i="16"/>
  <c r="J72" i="16"/>
  <c r="A72" i="16"/>
  <c r="AY3" i="16"/>
  <c r="BB3" i="16"/>
  <c r="BE3" i="16"/>
  <c r="BH3" i="16"/>
  <c r="BK3" i="16"/>
  <c r="AV4" i="16"/>
  <c r="AX4" i="16"/>
  <c r="AY4" i="16"/>
  <c r="BA4" i="16"/>
  <c r="BB4" i="16"/>
  <c r="BD4" i="16"/>
  <c r="BE4" i="16"/>
  <c r="BG4" i="16"/>
  <c r="BH4" i="16"/>
  <c r="BJ4" i="16"/>
  <c r="BK4" i="16"/>
  <c r="BM4" i="16"/>
  <c r="AV20" i="16"/>
  <c r="AY20" i="16"/>
  <c r="BB20" i="16"/>
  <c r="BE20" i="16"/>
  <c r="BH20" i="16"/>
  <c r="BK20" i="16"/>
  <c r="AV21" i="16"/>
  <c r="AY21" i="16"/>
  <c r="BB21" i="16"/>
  <c r="BE21" i="16"/>
  <c r="BH21" i="16"/>
  <c r="BK21" i="16"/>
  <c r="AV22" i="16"/>
  <c r="AY22" i="16"/>
  <c r="BB22" i="16"/>
  <c r="BE22" i="16"/>
  <c r="BH22" i="16"/>
  <c r="BK22" i="16"/>
  <c r="AV27" i="16"/>
  <c r="AY27" i="16"/>
  <c r="BB27" i="16"/>
  <c r="BE27" i="16"/>
  <c r="BH27" i="16"/>
  <c r="BK27" i="16"/>
  <c r="AV37" i="16"/>
  <c r="AY37" i="16"/>
  <c r="BB37" i="16"/>
  <c r="BE37" i="16"/>
  <c r="BH37" i="16"/>
  <c r="BK37" i="16"/>
  <c r="AV38" i="16"/>
  <c r="AY38" i="16"/>
  <c r="BB38" i="16"/>
  <c r="BE38" i="16"/>
  <c r="BH38" i="16"/>
  <c r="BK38" i="16"/>
  <c r="AV39" i="16"/>
  <c r="AY39" i="16"/>
  <c r="BB39" i="16"/>
  <c r="BE39" i="16"/>
  <c r="BH39" i="16"/>
  <c r="BK39" i="16"/>
  <c r="AV40" i="16"/>
  <c r="AY40" i="16"/>
  <c r="BB40" i="16"/>
  <c r="BE40" i="16"/>
  <c r="BH40" i="16"/>
  <c r="BK40" i="16"/>
  <c r="AV41" i="16"/>
  <c r="AY41" i="16"/>
  <c r="BB41" i="16"/>
  <c r="BE41" i="16"/>
  <c r="BH41" i="16"/>
  <c r="BK41" i="16"/>
  <c r="AV66" i="16"/>
  <c r="AX66" i="16"/>
  <c r="AY66" i="16"/>
  <c r="BA66" i="16"/>
  <c r="BB66" i="16"/>
  <c r="BD66" i="16"/>
  <c r="BE66" i="16"/>
  <c r="BG66" i="16"/>
  <c r="BH66" i="16"/>
  <c r="BJ66" i="16"/>
  <c r="BK66" i="16"/>
  <c r="BM66" i="16"/>
  <c r="AV67" i="16"/>
  <c r="AY67" i="16"/>
  <c r="BB67" i="16"/>
  <c r="BE67" i="16"/>
  <c r="BH67" i="16"/>
  <c r="BK67" i="16"/>
  <c r="AV68" i="16"/>
  <c r="AY68" i="16"/>
  <c r="BB68" i="16"/>
  <c r="BE68" i="16"/>
  <c r="BH68" i="16"/>
  <c r="BK68" i="16"/>
  <c r="AV69" i="16"/>
  <c r="AY69" i="16"/>
  <c r="BB69" i="16"/>
  <c r="BE69" i="16"/>
  <c r="BH69" i="16"/>
  <c r="BK69" i="16"/>
  <c r="AV70" i="16"/>
  <c r="AY70" i="16"/>
  <c r="BB70" i="16"/>
  <c r="BE70" i="16"/>
  <c r="BH70" i="16"/>
  <c r="BK70" i="16"/>
  <c r="AV71" i="16"/>
  <c r="AY71" i="16"/>
  <c r="BB71" i="16"/>
  <c r="BE71" i="16"/>
  <c r="BH71" i="16"/>
  <c r="BK71" i="16"/>
  <c r="AV75" i="16"/>
  <c r="AY75" i="16"/>
  <c r="BB75" i="16"/>
  <c r="BE75" i="16"/>
  <c r="BH75" i="16"/>
  <c r="BK75" i="16"/>
  <c r="AV76" i="16"/>
  <c r="AY76" i="16"/>
  <c r="BB76" i="16"/>
  <c r="BE76" i="16"/>
  <c r="BH76" i="16"/>
  <c r="BK76" i="16"/>
  <c r="AV99" i="16"/>
  <c r="AY99" i="16"/>
  <c r="BB99" i="16"/>
  <c r="BE99" i="16"/>
  <c r="BH99" i="16"/>
  <c r="BK99" i="16"/>
  <c r="AV100" i="16"/>
  <c r="AX100" i="16"/>
  <c r="AY100" i="16"/>
  <c r="BA100" i="16"/>
  <c r="BB100" i="16"/>
  <c r="BD100" i="16"/>
  <c r="BE100" i="16"/>
  <c r="BG100" i="16"/>
  <c r="BH100" i="16"/>
  <c r="BJ100" i="16"/>
  <c r="BK100" i="16"/>
  <c r="BM100" i="16"/>
  <c r="AV101" i="16"/>
  <c r="AY101" i="16"/>
  <c r="BB101" i="16"/>
  <c r="BE101" i="16"/>
  <c r="BH101" i="16"/>
  <c r="BK101" i="16"/>
  <c r="AV102" i="16"/>
  <c r="AY102" i="16"/>
  <c r="BB102" i="16"/>
  <c r="BE102" i="16"/>
  <c r="BH102" i="16"/>
  <c r="BK102" i="16"/>
  <c r="AV103" i="16"/>
  <c r="AY103" i="16"/>
  <c r="BB103" i="16"/>
  <c r="BE103" i="16"/>
  <c r="BH103" i="16"/>
  <c r="BK103" i="16"/>
  <c r="AV106" i="16"/>
  <c r="AY106" i="16"/>
  <c r="BB106" i="16"/>
  <c r="BE106" i="16"/>
  <c r="BH106" i="16"/>
  <c r="BK106" i="16"/>
  <c r="AV139" i="16"/>
  <c r="AY139" i="16"/>
  <c r="BB139" i="16"/>
  <c r="BE139" i="16"/>
  <c r="BH139" i="16"/>
  <c r="BK139" i="16"/>
  <c r="AV140" i="16"/>
  <c r="AY140" i="16"/>
  <c r="BB140" i="16"/>
  <c r="BE140" i="16"/>
  <c r="BH140" i="16"/>
  <c r="BK140" i="16"/>
  <c r="AV141" i="16"/>
  <c r="AY141" i="16"/>
  <c r="BB141" i="16"/>
  <c r="BE141" i="16"/>
  <c r="BH141" i="16"/>
  <c r="BK141" i="16"/>
  <c r="AV142" i="16"/>
  <c r="AY142" i="16"/>
  <c r="BB142" i="16"/>
  <c r="BE142" i="16"/>
  <c r="BH142" i="16"/>
  <c r="BK142" i="16"/>
  <c r="AV143" i="16"/>
  <c r="AY143" i="16"/>
  <c r="BB143" i="16"/>
  <c r="BE143" i="16"/>
  <c r="BH143" i="16"/>
  <c r="BK143" i="16"/>
  <c r="AV144" i="16"/>
  <c r="AY144" i="16"/>
  <c r="BB144" i="16"/>
  <c r="BE144" i="16"/>
  <c r="BH144" i="16"/>
  <c r="BK144" i="16"/>
  <c r="AV171" i="16"/>
  <c r="AY171" i="16"/>
  <c r="BB171" i="16"/>
  <c r="BE171" i="16"/>
  <c r="BH171" i="16"/>
  <c r="BK171" i="16"/>
  <c r="AV172" i="16"/>
  <c r="AY172" i="16"/>
  <c r="BB172" i="16"/>
  <c r="BE172" i="16"/>
  <c r="BH172" i="16"/>
  <c r="BK172" i="16"/>
  <c r="AV173" i="16"/>
  <c r="AY173" i="16"/>
  <c r="BB173" i="16"/>
  <c r="BE173" i="16"/>
  <c r="BH173" i="16"/>
  <c r="BK173" i="16"/>
  <c r="AV198" i="16"/>
  <c r="AX198" i="16"/>
  <c r="AY198" i="16"/>
  <c r="BA198" i="16"/>
  <c r="BB198" i="16"/>
  <c r="BD198" i="16"/>
  <c r="BE198" i="16"/>
  <c r="BG198" i="16"/>
  <c r="BH198" i="16"/>
  <c r="BJ198" i="16"/>
  <c r="BK198" i="16"/>
  <c r="BM198" i="16"/>
  <c r="AV199" i="16"/>
  <c r="AY199" i="16"/>
  <c r="BB199" i="16"/>
  <c r="BE199" i="16"/>
  <c r="BH199" i="16"/>
  <c r="BK199" i="16"/>
  <c r="AV221" i="16"/>
  <c r="AY221" i="16"/>
  <c r="BB221" i="16"/>
  <c r="BE221" i="16"/>
  <c r="BH221" i="16"/>
  <c r="BK221" i="16"/>
  <c r="M3" i="19"/>
  <c r="P3" i="19"/>
  <c r="S3" i="19"/>
  <c r="V3" i="19"/>
  <c r="Y3" i="19"/>
  <c r="AF3" i="19"/>
  <c r="AI3" i="19"/>
  <c r="AL3" i="19"/>
  <c r="AO3" i="19"/>
  <c r="AR3" i="19"/>
  <c r="J4" i="19"/>
  <c r="M4" i="19"/>
  <c r="O4" i="19"/>
  <c r="P4" i="19"/>
  <c r="R4" i="19"/>
  <c r="S4" i="19"/>
  <c r="U4" i="19"/>
  <c r="V4" i="19"/>
  <c r="X4" i="19"/>
  <c r="Y4" i="19"/>
  <c r="AA4" i="19"/>
  <c r="AC4" i="19"/>
  <c r="AE4" i="19"/>
  <c r="AF4" i="19"/>
  <c r="AH4" i="19"/>
  <c r="AI4" i="19"/>
  <c r="AK4" i="19"/>
  <c r="AL4" i="19"/>
  <c r="AN4" i="19"/>
  <c r="AO4" i="19"/>
  <c r="AQ4" i="19"/>
  <c r="AR4" i="19"/>
  <c r="AT4" i="19"/>
  <c r="A5" i="19"/>
  <c r="J5" i="19"/>
  <c r="M5" i="19"/>
  <c r="P5" i="19"/>
  <c r="S5" i="19"/>
  <c r="V5" i="19"/>
  <c r="Y5" i="19"/>
  <c r="AC5" i="19"/>
  <c r="AF5" i="19"/>
  <c r="AI5" i="19"/>
  <c r="AL5" i="19"/>
  <c r="AO5" i="19"/>
  <c r="AR5" i="19"/>
  <c r="A6" i="19"/>
  <c r="J6" i="19"/>
  <c r="M6" i="19"/>
  <c r="P6" i="19"/>
  <c r="S6" i="19"/>
  <c r="V6" i="19"/>
  <c r="Y6" i="19"/>
  <c r="AC6" i="19"/>
  <c r="AF6" i="19"/>
  <c r="AI6" i="19"/>
  <c r="AL6" i="19"/>
  <c r="AO6" i="19"/>
  <c r="AR6" i="19"/>
  <c r="A7" i="19"/>
  <c r="J7" i="19"/>
  <c r="M7" i="19"/>
  <c r="P7" i="19"/>
  <c r="S7" i="19"/>
  <c r="V7" i="19"/>
  <c r="Y7" i="19"/>
  <c r="AC7" i="19"/>
  <c r="AF7" i="19"/>
  <c r="AI7" i="19"/>
  <c r="AL7" i="19"/>
  <c r="AO7" i="19"/>
  <c r="AR7" i="19"/>
  <c r="A8" i="19"/>
  <c r="J8" i="19"/>
  <c r="M8" i="19"/>
  <c r="P8" i="19"/>
  <c r="S8" i="19"/>
  <c r="V8" i="19"/>
  <c r="Y8" i="19"/>
  <c r="AC8" i="19"/>
  <c r="AF8" i="19"/>
  <c r="AI8" i="19"/>
  <c r="AL8" i="19"/>
  <c r="AO8" i="19"/>
  <c r="AR8" i="19"/>
  <c r="A9" i="19"/>
  <c r="J9" i="19"/>
  <c r="M9" i="19"/>
  <c r="P9" i="19"/>
  <c r="S9" i="19"/>
  <c r="V9" i="19"/>
  <c r="Y9" i="19"/>
  <c r="AC9" i="19"/>
  <c r="AF9" i="19"/>
  <c r="AI9" i="19"/>
  <c r="AL9" i="19"/>
  <c r="AO9" i="19"/>
  <c r="AR9" i="19"/>
  <c r="A10" i="19"/>
  <c r="J10" i="19"/>
  <c r="M10" i="19"/>
  <c r="P10" i="19"/>
  <c r="S10" i="19"/>
  <c r="V10" i="19"/>
  <c r="Y10" i="19"/>
  <c r="AC10" i="19"/>
  <c r="AF10" i="19"/>
  <c r="AI10" i="19"/>
  <c r="AL10" i="19"/>
  <c r="AO10" i="19"/>
  <c r="AR10" i="19"/>
  <c r="A11" i="19"/>
  <c r="J11" i="19"/>
  <c r="M11" i="19"/>
  <c r="P11" i="19"/>
  <c r="S11" i="19"/>
  <c r="V11" i="19"/>
  <c r="Y11" i="19"/>
  <c r="AC11" i="19"/>
  <c r="AF11" i="19"/>
  <c r="AI11" i="19"/>
  <c r="AL11" i="19"/>
  <c r="AO11" i="19"/>
  <c r="AR11" i="19"/>
  <c r="J12" i="19"/>
  <c r="L12" i="19"/>
  <c r="M12" i="19"/>
  <c r="O12" i="19"/>
  <c r="P12" i="19"/>
  <c r="S12" i="19"/>
  <c r="V12" i="19"/>
  <c r="X12" i="19"/>
  <c r="Y12" i="19"/>
  <c r="AA12" i="19"/>
  <c r="AC12" i="19"/>
  <c r="AE12" i="19"/>
  <c r="AF12" i="19"/>
  <c r="AH12" i="19"/>
  <c r="AI12" i="19"/>
  <c r="AK12" i="19"/>
  <c r="AL12" i="19"/>
  <c r="AN12" i="19"/>
  <c r="AO12" i="19"/>
  <c r="AQ12" i="19"/>
  <c r="AR12" i="19"/>
  <c r="AT12" i="19"/>
  <c r="A13" i="19"/>
  <c r="J13" i="19"/>
  <c r="M13" i="19"/>
  <c r="P13" i="19"/>
  <c r="S13" i="19"/>
  <c r="V13" i="19"/>
  <c r="Y13" i="19"/>
  <c r="AC13" i="19"/>
  <c r="AF13" i="19"/>
  <c r="AI13" i="19"/>
  <c r="AL13" i="19"/>
  <c r="AO13" i="19"/>
  <c r="AR13" i="19"/>
  <c r="A14" i="19"/>
  <c r="J14" i="19"/>
  <c r="M14" i="19"/>
  <c r="P14" i="19"/>
  <c r="S14" i="19"/>
  <c r="V14" i="19"/>
  <c r="Y14" i="19"/>
  <c r="AC14" i="19"/>
  <c r="AF14" i="19"/>
  <c r="AI14" i="19"/>
  <c r="AL14" i="19"/>
  <c r="AO14" i="19"/>
  <c r="AR14" i="19"/>
  <c r="A15" i="19"/>
  <c r="J15" i="19"/>
  <c r="M15" i="19"/>
  <c r="P15" i="19"/>
  <c r="S15" i="19"/>
  <c r="V15" i="19"/>
  <c r="Y15" i="19"/>
  <c r="AC15" i="19"/>
  <c r="AF15" i="19"/>
  <c r="AI15" i="19"/>
  <c r="AL15" i="19"/>
  <c r="AO15" i="19"/>
  <c r="AR15" i="19"/>
  <c r="A16" i="19"/>
  <c r="J16" i="19"/>
  <c r="M16" i="19"/>
  <c r="P16" i="19"/>
  <c r="S16" i="19"/>
  <c r="V16" i="19"/>
  <c r="Y16" i="19"/>
  <c r="AC16" i="19"/>
  <c r="AF16" i="19"/>
  <c r="AI16" i="19"/>
  <c r="AL16" i="19"/>
  <c r="AO16" i="19"/>
  <c r="AR16" i="19"/>
  <c r="A17" i="19"/>
  <c r="J17" i="19"/>
  <c r="M17" i="19"/>
  <c r="P17" i="19"/>
  <c r="S17" i="19"/>
  <c r="V17" i="19"/>
  <c r="Y17" i="19"/>
  <c r="AC17" i="19"/>
  <c r="AF17" i="19"/>
  <c r="AI17" i="19"/>
  <c r="AL17" i="19"/>
  <c r="AO17" i="19"/>
  <c r="AR17" i="19"/>
  <c r="A18" i="19"/>
  <c r="J18" i="19"/>
  <c r="M18" i="19"/>
  <c r="P18" i="19"/>
  <c r="S18" i="19"/>
  <c r="V18" i="19"/>
  <c r="Y18" i="19"/>
  <c r="AC18" i="19"/>
  <c r="AF18" i="19"/>
  <c r="AI18" i="19"/>
  <c r="AL18" i="19"/>
  <c r="AO18" i="19"/>
  <c r="AR18" i="19"/>
  <c r="J32" i="19"/>
  <c r="L32" i="19"/>
  <c r="M32" i="19"/>
  <c r="O32" i="19"/>
  <c r="P32" i="19"/>
  <c r="R32" i="19"/>
  <c r="S32" i="19"/>
  <c r="U32" i="19"/>
  <c r="V32" i="19"/>
  <c r="X32" i="19"/>
  <c r="Y32" i="19"/>
  <c r="AA32" i="19"/>
  <c r="AC32" i="19"/>
  <c r="AE32" i="19"/>
  <c r="AF32" i="19"/>
  <c r="AH32" i="19"/>
  <c r="AI32" i="19"/>
  <c r="AK32" i="19"/>
  <c r="AL32" i="19"/>
  <c r="AN32" i="19"/>
  <c r="AO32" i="19"/>
  <c r="AQ32" i="19"/>
  <c r="AR32" i="19"/>
  <c r="AT32" i="19"/>
  <c r="A33" i="19"/>
  <c r="J33" i="19"/>
  <c r="M33" i="19"/>
  <c r="P33" i="19"/>
  <c r="S33" i="19"/>
  <c r="V33" i="19"/>
  <c r="Y33" i="19"/>
  <c r="AC33" i="19"/>
  <c r="AF33" i="19"/>
  <c r="AI33" i="19"/>
  <c r="AL33" i="19"/>
  <c r="AO33" i="19"/>
  <c r="AR33" i="19"/>
  <c r="A34" i="19"/>
  <c r="J34" i="19"/>
  <c r="M34" i="19"/>
  <c r="P34" i="19"/>
  <c r="S34" i="19"/>
  <c r="V34" i="19"/>
  <c r="Y34" i="19"/>
  <c r="AC34" i="19"/>
  <c r="AF34" i="19"/>
  <c r="AI34" i="19"/>
  <c r="AL34" i="19"/>
  <c r="AO34" i="19"/>
  <c r="AR34" i="19"/>
  <c r="A35" i="19"/>
  <c r="J35" i="19"/>
  <c r="M35" i="19"/>
  <c r="P35" i="19"/>
  <c r="S35" i="19"/>
  <c r="V35" i="19"/>
  <c r="Y35" i="19"/>
  <c r="AC35" i="19"/>
  <c r="AF35" i="19"/>
  <c r="AI35" i="19"/>
  <c r="AL35" i="19"/>
  <c r="AO35" i="19"/>
  <c r="AR35" i="19"/>
  <c r="A36" i="19"/>
  <c r="J36" i="19"/>
  <c r="M36" i="19"/>
  <c r="P36" i="19"/>
  <c r="S36" i="19"/>
  <c r="V36" i="19"/>
  <c r="Y36" i="19"/>
  <c r="AC36" i="19"/>
  <c r="AF36" i="19"/>
  <c r="AI36" i="19"/>
  <c r="AL36" i="19"/>
  <c r="AO36" i="19"/>
  <c r="AR36" i="19"/>
  <c r="A37" i="19"/>
  <c r="J37" i="19"/>
  <c r="M37" i="19"/>
  <c r="P37" i="19"/>
  <c r="S37" i="19"/>
  <c r="V37" i="19"/>
  <c r="Y37" i="19"/>
  <c r="AC37" i="19"/>
  <c r="AF37" i="19"/>
  <c r="AI37" i="19"/>
  <c r="AL37" i="19"/>
  <c r="AO37" i="19"/>
  <c r="AR37" i="19"/>
  <c r="A38" i="19"/>
  <c r="J38" i="19"/>
  <c r="M38" i="19"/>
  <c r="P38" i="19"/>
  <c r="S38" i="19"/>
  <c r="V38" i="19"/>
  <c r="Y38" i="19"/>
  <c r="AC38" i="19"/>
  <c r="AF38" i="19"/>
  <c r="AI38" i="19"/>
  <c r="AL38" i="19"/>
  <c r="AO38" i="19"/>
  <c r="AR38" i="19"/>
  <c r="A39" i="19"/>
  <c r="J39" i="19"/>
  <c r="M39" i="19"/>
  <c r="P39" i="19"/>
  <c r="S39" i="19"/>
  <c r="V39" i="19"/>
  <c r="Y39" i="19"/>
  <c r="AC39" i="19"/>
  <c r="AF39" i="19"/>
  <c r="AI39" i="19"/>
  <c r="AL39" i="19"/>
  <c r="AO39" i="19"/>
  <c r="AR39" i="19"/>
  <c r="A40" i="19"/>
  <c r="J40" i="19"/>
  <c r="M40" i="19"/>
  <c r="P40" i="19"/>
  <c r="S40" i="19"/>
  <c r="V40" i="19"/>
  <c r="Y40" i="19"/>
  <c r="AC40" i="19"/>
  <c r="AF40" i="19"/>
  <c r="AI40" i="19"/>
  <c r="AL40" i="19"/>
  <c r="AO40" i="19"/>
  <c r="AR40" i="19"/>
  <c r="A199" i="16"/>
  <c r="A221" i="16"/>
  <c r="J198" i="16"/>
  <c r="L198" i="16"/>
  <c r="O198" i="16"/>
  <c r="R198" i="16"/>
  <c r="U198" i="16"/>
  <c r="X198" i="16"/>
  <c r="AA198" i="16"/>
  <c r="AC198" i="16"/>
  <c r="AE198" i="16"/>
  <c r="AH198" i="16"/>
  <c r="AK198" i="16"/>
  <c r="AN198" i="16"/>
  <c r="AQ198" i="16"/>
  <c r="AT198" i="16"/>
  <c r="J199" i="16"/>
  <c r="AC199" i="16"/>
  <c r="J221" i="16"/>
  <c r="AC221" i="16"/>
  <c r="A172" i="16"/>
  <c r="A173" i="16"/>
  <c r="J171" i="16"/>
  <c r="AC171" i="16"/>
  <c r="J172" i="16"/>
  <c r="AC172" i="16"/>
  <c r="J173" i="16"/>
  <c r="AC173" i="16"/>
  <c r="A140" i="16"/>
  <c r="A141" i="16"/>
  <c r="A142" i="16"/>
  <c r="A143" i="16"/>
  <c r="A144" i="16"/>
  <c r="A139" i="16"/>
  <c r="J139" i="16"/>
  <c r="AC139" i="16"/>
  <c r="J140" i="16"/>
  <c r="AC140" i="16"/>
  <c r="J141" i="16"/>
  <c r="AC141" i="16"/>
  <c r="J142" i="16"/>
  <c r="AC142" i="16"/>
  <c r="J143" i="16"/>
  <c r="AC143" i="16"/>
  <c r="J144" i="16"/>
  <c r="AC144" i="16"/>
  <c r="AC76" i="16"/>
  <c r="J76" i="16"/>
  <c r="A76" i="16"/>
  <c r="AC75" i="16"/>
  <c r="J75" i="16"/>
  <c r="A75" i="16"/>
  <c r="A3" i="9"/>
  <c r="A7" i="9"/>
  <c r="A8" i="9"/>
  <c r="A9" i="9"/>
  <c r="A10" i="9"/>
  <c r="A11" i="9"/>
  <c r="A12" i="9"/>
  <c r="A13" i="9"/>
  <c r="A14" i="9"/>
  <c r="A15" i="9"/>
  <c r="A16" i="9"/>
  <c r="A17" i="9"/>
  <c r="A18" i="9"/>
  <c r="A19" i="9"/>
  <c r="A20" i="9"/>
  <c r="A21" i="9"/>
  <c r="A22" i="9"/>
  <c r="A23" i="9"/>
  <c r="A24" i="9"/>
  <c r="A25" i="9"/>
  <c r="A26" i="9"/>
  <c r="A27" i="9"/>
  <c r="A28" i="9"/>
  <c r="A29" i="9"/>
  <c r="A30" i="9"/>
  <c r="A31" i="9"/>
  <c r="A32" i="9"/>
  <c r="A33" i="9"/>
  <c r="A34" i="9"/>
  <c r="A35" i="9"/>
  <c r="A36" i="9"/>
  <c r="A37" i="9"/>
  <c r="A38" i="9"/>
  <c r="A39" i="9"/>
  <c r="M3" i="17"/>
  <c r="P3" i="17"/>
  <c r="S3" i="17"/>
  <c r="V3" i="17"/>
  <c r="Y3" i="17"/>
  <c r="AF3" i="17"/>
  <c r="AI3" i="17"/>
  <c r="AL3" i="17"/>
  <c r="AO3" i="17"/>
  <c r="AR3" i="17"/>
  <c r="J4" i="17"/>
  <c r="M4" i="17"/>
  <c r="P4" i="17"/>
  <c r="S4" i="17"/>
  <c r="V4" i="17"/>
  <c r="Y4" i="17"/>
  <c r="AC4" i="17"/>
  <c r="AF4" i="17"/>
  <c r="AI4" i="17"/>
  <c r="AK4" i="17"/>
  <c r="AL4" i="17"/>
  <c r="AN4" i="17"/>
  <c r="AO4" i="17"/>
  <c r="AQ4" i="17"/>
  <c r="AR4" i="17"/>
  <c r="AT4" i="17"/>
  <c r="A6" i="17"/>
  <c r="J6" i="17"/>
  <c r="M6" i="17"/>
  <c r="P6" i="17"/>
  <c r="S6" i="17"/>
  <c r="V6" i="17"/>
  <c r="Y6" i="17"/>
  <c r="AC6" i="17"/>
  <c r="AF6" i="17"/>
  <c r="AI6" i="17"/>
  <c r="AL6" i="17"/>
  <c r="AO6" i="17"/>
  <c r="AR6" i="17"/>
  <c r="A5" i="17"/>
  <c r="J5" i="17"/>
  <c r="M5" i="17"/>
  <c r="P5" i="17"/>
  <c r="S5" i="17"/>
  <c r="V5" i="17"/>
  <c r="Y5" i="17"/>
  <c r="AC5" i="17"/>
  <c r="AF5" i="17"/>
  <c r="AI5" i="17"/>
  <c r="AL5" i="17"/>
  <c r="AO5" i="17"/>
  <c r="AR5" i="17"/>
  <c r="A11" i="17"/>
  <c r="J11" i="17"/>
  <c r="M11" i="17"/>
  <c r="P11" i="17"/>
  <c r="S11" i="17"/>
  <c r="V11" i="17"/>
  <c r="Y11" i="17"/>
  <c r="AC11" i="17"/>
  <c r="AF11" i="17"/>
  <c r="AI11" i="17"/>
  <c r="AL11" i="17"/>
  <c r="AO11" i="17"/>
  <c r="AR11" i="17"/>
  <c r="A12" i="17"/>
  <c r="J12" i="17"/>
  <c r="M12" i="17"/>
  <c r="P12" i="17"/>
  <c r="S12" i="17"/>
  <c r="V12" i="17"/>
  <c r="Y12" i="17"/>
  <c r="AC12" i="17"/>
  <c r="AF12" i="17"/>
  <c r="AI12" i="17"/>
  <c r="AL12" i="17"/>
  <c r="AO12" i="17"/>
  <c r="AR12" i="17"/>
  <c r="A13" i="17"/>
  <c r="J13" i="17"/>
  <c r="M13" i="17"/>
  <c r="P13" i="17"/>
  <c r="S13" i="17"/>
  <c r="V13" i="17"/>
  <c r="Y13" i="17"/>
  <c r="AC13" i="17"/>
  <c r="AF13" i="17"/>
  <c r="AI13" i="17"/>
  <c r="AL13" i="17"/>
  <c r="AO13" i="17"/>
  <c r="AR13" i="17"/>
  <c r="A15" i="17"/>
  <c r="J15" i="17"/>
  <c r="M15" i="17"/>
  <c r="P15" i="17"/>
  <c r="S15" i="17"/>
  <c r="V15" i="17"/>
  <c r="Y15" i="17"/>
  <c r="AC15" i="17"/>
  <c r="AF15" i="17"/>
  <c r="AI15" i="17"/>
  <c r="AL15" i="17"/>
  <c r="AO15" i="17"/>
  <c r="AR15" i="17"/>
  <c r="J48" i="17"/>
  <c r="L48" i="17"/>
  <c r="M48" i="17"/>
  <c r="O48" i="17"/>
  <c r="P48" i="17"/>
  <c r="R48" i="17"/>
  <c r="S48" i="17"/>
  <c r="U48" i="17"/>
  <c r="V48" i="17"/>
  <c r="X48" i="17"/>
  <c r="Y48" i="17"/>
  <c r="AA48" i="17"/>
  <c r="AC48" i="17"/>
  <c r="AE48" i="17"/>
  <c r="AF48" i="17"/>
  <c r="AH48" i="17"/>
  <c r="AI48" i="17"/>
  <c r="AK48" i="17"/>
  <c r="AL48" i="17"/>
  <c r="AN48" i="17"/>
  <c r="AO48" i="17"/>
  <c r="AQ48" i="17"/>
  <c r="AR48" i="17"/>
  <c r="AT48" i="17"/>
  <c r="A49" i="17"/>
  <c r="J49" i="17"/>
  <c r="M49" i="17"/>
  <c r="P49" i="17"/>
  <c r="S49" i="17"/>
  <c r="V49" i="17"/>
  <c r="Y49" i="17"/>
  <c r="AC49" i="17"/>
  <c r="AF49" i="17"/>
  <c r="AI49" i="17"/>
  <c r="AL49" i="17"/>
  <c r="AO49" i="17"/>
  <c r="AR49" i="17"/>
  <c r="A50" i="17"/>
  <c r="J50" i="17"/>
  <c r="M50" i="17"/>
  <c r="P50" i="17"/>
  <c r="S50" i="17"/>
  <c r="V50" i="17"/>
  <c r="Y50" i="17"/>
  <c r="AC50" i="17"/>
  <c r="AF50" i="17"/>
  <c r="AI50" i="17"/>
  <c r="AL50" i="17"/>
  <c r="AO50" i="17"/>
  <c r="AR50" i="17"/>
  <c r="A51" i="17"/>
  <c r="J51" i="17"/>
  <c r="M51" i="17"/>
  <c r="P51" i="17"/>
  <c r="S51" i="17"/>
  <c r="V51" i="17"/>
  <c r="Y51" i="17"/>
  <c r="AC51" i="17"/>
  <c r="AF51" i="17"/>
  <c r="AI51" i="17"/>
  <c r="AL51" i="17"/>
  <c r="AO51" i="17"/>
  <c r="AR51" i="17"/>
  <c r="A52" i="17"/>
  <c r="J52" i="17"/>
  <c r="M52" i="17"/>
  <c r="P52" i="17"/>
  <c r="S52" i="17"/>
  <c r="V52" i="17"/>
  <c r="Y52" i="17"/>
  <c r="AC52" i="17"/>
  <c r="AF52" i="17"/>
  <c r="AI52" i="17"/>
  <c r="AL52" i="17"/>
  <c r="AO52" i="17"/>
  <c r="AR52" i="17"/>
  <c r="A53" i="17"/>
  <c r="J53" i="17"/>
  <c r="M53" i="17"/>
  <c r="P53" i="17"/>
  <c r="S53" i="17"/>
  <c r="V53" i="17"/>
  <c r="Y53" i="17"/>
  <c r="AC53" i="17"/>
  <c r="AF53" i="17"/>
  <c r="AI53" i="17"/>
  <c r="AL53" i="17"/>
  <c r="AO53" i="17"/>
  <c r="AR53" i="17"/>
  <c r="A72" i="17"/>
  <c r="J72" i="17"/>
  <c r="M72" i="17"/>
  <c r="P72" i="17"/>
  <c r="S72" i="17"/>
  <c r="V72" i="17"/>
  <c r="Y72" i="17"/>
  <c r="AC72" i="17"/>
  <c r="AF72" i="17"/>
  <c r="AI72" i="17"/>
  <c r="AL72" i="17"/>
  <c r="AO72" i="17"/>
  <c r="AR72" i="17"/>
  <c r="J73" i="17"/>
  <c r="M73" i="17"/>
  <c r="P73" i="17"/>
  <c r="R73" i="17"/>
  <c r="S73" i="17"/>
  <c r="V73" i="17"/>
  <c r="X73" i="17"/>
  <c r="Y73" i="17"/>
  <c r="AA73" i="17"/>
  <c r="AC73" i="17"/>
  <c r="AE73" i="17"/>
  <c r="AF73" i="17"/>
  <c r="AH73" i="17"/>
  <c r="AI73" i="17"/>
  <c r="AK73" i="17"/>
  <c r="AL73" i="17"/>
  <c r="AN73" i="17"/>
  <c r="AO73" i="17"/>
  <c r="AQ73" i="17"/>
  <c r="AR73" i="17"/>
  <c r="AT73" i="17"/>
  <c r="A74" i="17"/>
  <c r="J74" i="17"/>
  <c r="M74" i="17"/>
  <c r="P74" i="17"/>
  <c r="S74" i="17"/>
  <c r="V74" i="17"/>
  <c r="Y74" i="17"/>
  <c r="AC74" i="17"/>
  <c r="AF74" i="17"/>
  <c r="AI74" i="17"/>
  <c r="AL74" i="17"/>
  <c r="AO74" i="17"/>
  <c r="AR74" i="17"/>
  <c r="A75" i="17"/>
  <c r="J75" i="17"/>
  <c r="M75" i="17"/>
  <c r="P75" i="17"/>
  <c r="S75" i="17"/>
  <c r="V75" i="17"/>
  <c r="Y75" i="17"/>
  <c r="AC75" i="17"/>
  <c r="AF75" i="17"/>
  <c r="AI75" i="17"/>
  <c r="AL75" i="17"/>
  <c r="AO75" i="17"/>
  <c r="AR75" i="17"/>
  <c r="A76" i="17"/>
  <c r="J76" i="17"/>
  <c r="M76" i="17"/>
  <c r="P76" i="17"/>
  <c r="S76" i="17"/>
  <c r="V76" i="17"/>
  <c r="Y76" i="17"/>
  <c r="AC76" i="17"/>
  <c r="AF76" i="17"/>
  <c r="AI76" i="17"/>
  <c r="AL76" i="17"/>
  <c r="AO76" i="17"/>
  <c r="AR76" i="17"/>
  <c r="A77" i="17"/>
  <c r="J77" i="17"/>
  <c r="M77" i="17"/>
  <c r="P77" i="17"/>
  <c r="S77" i="17"/>
  <c r="V77" i="17"/>
  <c r="Y77" i="17"/>
  <c r="AC77" i="17"/>
  <c r="AF77" i="17"/>
  <c r="AI77" i="17"/>
  <c r="AL77" i="17"/>
  <c r="AO77" i="17"/>
  <c r="AR77" i="17"/>
  <c r="A78" i="17"/>
  <c r="J78" i="17"/>
  <c r="M78" i="17"/>
  <c r="P78" i="17"/>
  <c r="S78" i="17"/>
  <c r="V78" i="17"/>
  <c r="Y78" i="17"/>
  <c r="AC78" i="17"/>
  <c r="AF78" i="17"/>
  <c r="AI78" i="17"/>
  <c r="AL78" i="17"/>
  <c r="AO78" i="17"/>
  <c r="AR78" i="17"/>
  <c r="J18" i="17"/>
  <c r="L18" i="17"/>
  <c r="M18" i="17"/>
  <c r="O18" i="17"/>
  <c r="P18" i="17"/>
  <c r="R18" i="17"/>
  <c r="S18" i="17"/>
  <c r="U18" i="17"/>
  <c r="V18" i="17"/>
  <c r="X18" i="17"/>
  <c r="Y18" i="17"/>
  <c r="AA18" i="17"/>
  <c r="AC18" i="17"/>
  <c r="AE18" i="17"/>
  <c r="AF18" i="17"/>
  <c r="AH18" i="17"/>
  <c r="AI18" i="17"/>
  <c r="AK18" i="17"/>
  <c r="AL18" i="17"/>
  <c r="AN18" i="17"/>
  <c r="AO18" i="17"/>
  <c r="AQ18" i="17"/>
  <c r="AR18" i="17"/>
  <c r="AT18" i="17"/>
  <c r="A19" i="17"/>
  <c r="J19" i="17"/>
  <c r="M19" i="17"/>
  <c r="P19" i="17"/>
  <c r="S19" i="17"/>
  <c r="V19" i="17"/>
  <c r="Y19" i="17"/>
  <c r="AC19" i="17"/>
  <c r="AF19" i="17"/>
  <c r="AI19" i="17"/>
  <c r="AL19" i="17"/>
  <c r="AO19" i="17"/>
  <c r="AR19" i="17"/>
  <c r="A20" i="17"/>
  <c r="J20" i="17"/>
  <c r="M20" i="17"/>
  <c r="P20" i="17"/>
  <c r="S20" i="17"/>
  <c r="V20" i="17"/>
  <c r="Y20" i="17"/>
  <c r="AC20" i="17"/>
  <c r="AF20" i="17"/>
  <c r="AI20" i="17"/>
  <c r="AL20" i="17"/>
  <c r="AO20" i="17"/>
  <c r="AR20" i="17"/>
  <c r="A22" i="17"/>
  <c r="J22" i="17"/>
  <c r="M22" i="17"/>
  <c r="P22" i="17"/>
  <c r="S22" i="17"/>
  <c r="V22" i="17"/>
  <c r="Y22" i="17"/>
  <c r="AC22" i="17"/>
  <c r="AF22" i="17"/>
  <c r="AI22" i="17"/>
  <c r="AL22" i="17"/>
  <c r="AO22" i="17"/>
  <c r="AR22" i="17"/>
  <c r="A27" i="17"/>
  <c r="J27" i="17"/>
  <c r="M27" i="17"/>
  <c r="P27" i="17"/>
  <c r="S27" i="17"/>
  <c r="V27" i="17"/>
  <c r="Y27" i="17"/>
  <c r="AC27" i="17"/>
  <c r="AF27" i="17"/>
  <c r="AI27" i="17"/>
  <c r="AL27" i="17"/>
  <c r="AO27" i="17"/>
  <c r="AR27" i="17"/>
  <c r="A29" i="17"/>
  <c r="J29" i="17"/>
  <c r="M29" i="17"/>
  <c r="P29" i="17"/>
  <c r="S29" i="17"/>
  <c r="V29" i="17"/>
  <c r="Y29" i="17"/>
  <c r="AC29" i="17"/>
  <c r="AF29" i="17"/>
  <c r="AI29" i="17"/>
  <c r="AL29" i="17"/>
  <c r="AO29" i="17"/>
  <c r="AR29" i="17"/>
  <c r="A102" i="16"/>
  <c r="A103" i="16"/>
  <c r="A106" i="16"/>
  <c r="A101" i="16"/>
  <c r="J100" i="16"/>
  <c r="L100" i="16"/>
  <c r="O100" i="16"/>
  <c r="R100" i="16"/>
  <c r="U100" i="16"/>
  <c r="X100" i="16"/>
  <c r="AA100" i="16"/>
  <c r="AC100" i="16"/>
  <c r="AE100" i="16"/>
  <c r="AH100" i="16"/>
  <c r="AK100" i="16"/>
  <c r="AN100" i="16"/>
  <c r="AQ100" i="16"/>
  <c r="AT100" i="16"/>
  <c r="J101" i="16"/>
  <c r="AC101" i="16"/>
  <c r="J102" i="16"/>
  <c r="AC102" i="16"/>
  <c r="J103" i="16"/>
  <c r="AC103" i="16"/>
  <c r="J106" i="16"/>
  <c r="AC106" i="16"/>
  <c r="A68" i="16"/>
  <c r="A69" i="16"/>
  <c r="A70" i="16"/>
  <c r="A71" i="16"/>
  <c r="A99" i="16"/>
  <c r="A67" i="16"/>
  <c r="J66" i="16"/>
  <c r="L66" i="16"/>
  <c r="O66" i="16"/>
  <c r="R66" i="16"/>
  <c r="X66" i="16"/>
  <c r="AC66" i="16"/>
  <c r="AE66" i="16"/>
  <c r="AH66" i="16"/>
  <c r="AK66" i="16"/>
  <c r="AN66" i="16"/>
  <c r="AQ66" i="16"/>
  <c r="AT66" i="16"/>
  <c r="J67" i="16"/>
  <c r="AC67" i="16"/>
  <c r="J68" i="16"/>
  <c r="AC68" i="16"/>
  <c r="J69" i="16"/>
  <c r="AC69" i="16"/>
  <c r="J70" i="16"/>
  <c r="AC70" i="16"/>
  <c r="J71" i="16"/>
  <c r="AC71" i="16"/>
  <c r="J99" i="16"/>
  <c r="AC99" i="16"/>
  <c r="M3" i="16"/>
  <c r="P3" i="16"/>
  <c r="S3" i="16"/>
  <c r="V3" i="16"/>
  <c r="Y3" i="16"/>
  <c r="AF3" i="16"/>
  <c r="AI3" i="16"/>
  <c r="AL3" i="16"/>
  <c r="AO3" i="16"/>
  <c r="AR3" i="16"/>
  <c r="R4" i="16"/>
  <c r="U4" i="16"/>
  <c r="X4" i="16"/>
  <c r="AA4" i="16"/>
  <c r="AE4" i="16"/>
  <c r="AH4" i="16"/>
  <c r="AK4" i="16"/>
  <c r="AN4" i="16"/>
  <c r="AQ4" i="16"/>
  <c r="AT4" i="16"/>
  <c r="J4" i="16"/>
  <c r="M4" i="16"/>
  <c r="P4" i="16"/>
  <c r="S4" i="16"/>
  <c r="V4" i="16"/>
  <c r="Y4" i="16"/>
  <c r="AC4" i="16"/>
  <c r="AF4" i="16"/>
  <c r="AI4" i="16"/>
  <c r="AL4" i="16"/>
  <c r="AO4" i="16"/>
  <c r="AR4" i="16"/>
  <c r="A20" i="16"/>
  <c r="J20" i="16"/>
  <c r="M20" i="16"/>
  <c r="P20" i="16"/>
  <c r="S20" i="16"/>
  <c r="V20" i="16"/>
  <c r="Y20" i="16"/>
  <c r="AC20" i="16"/>
  <c r="AF20" i="16"/>
  <c r="AI20" i="16"/>
  <c r="AL20" i="16"/>
  <c r="AO20" i="16"/>
  <c r="AR20" i="16"/>
  <c r="A21" i="16"/>
  <c r="J21" i="16"/>
  <c r="M21" i="16"/>
  <c r="P21" i="16"/>
  <c r="S21" i="16"/>
  <c r="V21" i="16"/>
  <c r="Y21" i="16"/>
  <c r="AC21" i="16"/>
  <c r="AF21" i="16"/>
  <c r="AI21" i="16"/>
  <c r="AL21" i="16"/>
  <c r="AO21" i="16"/>
  <c r="AR21" i="16"/>
  <c r="A22" i="16"/>
  <c r="M22" i="16"/>
  <c r="P22" i="16"/>
  <c r="S22" i="16"/>
  <c r="V22" i="16"/>
  <c r="Y22" i="16"/>
  <c r="AC22" i="16"/>
  <c r="AF22" i="16"/>
  <c r="AI22" i="16"/>
  <c r="AL22" i="16"/>
  <c r="AO22" i="16"/>
  <c r="AR22" i="16"/>
  <c r="A30" i="16"/>
  <c r="M27" i="16"/>
  <c r="P27" i="16"/>
  <c r="S27" i="16"/>
  <c r="V27" i="16"/>
  <c r="Y27" i="16"/>
  <c r="AC27" i="16"/>
  <c r="AF27" i="16"/>
  <c r="AI27" i="16"/>
  <c r="AL27" i="16"/>
  <c r="AO27" i="16"/>
  <c r="AR27" i="16"/>
  <c r="J37" i="16"/>
  <c r="M37" i="16"/>
  <c r="P37" i="16"/>
  <c r="S37" i="16"/>
  <c r="V37" i="16"/>
  <c r="Y37" i="16"/>
  <c r="AC37" i="16"/>
  <c r="AF37" i="16"/>
  <c r="AI37" i="16"/>
  <c r="AL37" i="16"/>
  <c r="AO37" i="16"/>
  <c r="AR37" i="16"/>
  <c r="A38" i="16"/>
  <c r="J38" i="16"/>
  <c r="M38" i="16"/>
  <c r="P38" i="16"/>
  <c r="S38" i="16"/>
  <c r="V38" i="16"/>
  <c r="Y38" i="16"/>
  <c r="AC38" i="16"/>
  <c r="AF38" i="16"/>
  <c r="AI38" i="16"/>
  <c r="AL38" i="16"/>
  <c r="AO38" i="16"/>
  <c r="AR38" i="16"/>
  <c r="A39" i="16"/>
  <c r="J39" i="16"/>
  <c r="M39" i="16"/>
  <c r="P39" i="16"/>
  <c r="S39" i="16"/>
  <c r="V39" i="16"/>
  <c r="Y39" i="16"/>
  <c r="AC39" i="16"/>
  <c r="AF39" i="16"/>
  <c r="AI39" i="16"/>
  <c r="AL39" i="16"/>
  <c r="AO39" i="16"/>
  <c r="AR39" i="16"/>
  <c r="A40" i="16"/>
  <c r="J40" i="16"/>
  <c r="M40" i="16"/>
  <c r="P40" i="16"/>
  <c r="S40" i="16"/>
  <c r="V40" i="16"/>
  <c r="Y40" i="16"/>
  <c r="AC40" i="16"/>
  <c r="AF40" i="16"/>
  <c r="AI40" i="16"/>
  <c r="AL40" i="16"/>
  <c r="AO40" i="16"/>
  <c r="AR40" i="16"/>
  <c r="A41" i="16"/>
  <c r="J41" i="16"/>
  <c r="M41" i="16"/>
  <c r="P41" i="16"/>
  <c r="S41" i="16"/>
  <c r="V41" i="16"/>
  <c r="Y41" i="16"/>
  <c r="AC41" i="16"/>
  <c r="AF41" i="16"/>
  <c r="AI41" i="16"/>
  <c r="AL41" i="16"/>
  <c r="AO41" i="16"/>
  <c r="AR41" i="16"/>
  <c r="A4" i="10"/>
  <c r="A5" i="10"/>
  <c r="A6" i="10"/>
  <c r="A7" i="10"/>
  <c r="A8" i="10"/>
  <c r="A9" i="10"/>
  <c r="A10" i="10"/>
  <c r="A11" i="10"/>
  <c r="A12" i="10"/>
  <c r="A13" i="10"/>
  <c r="A14" i="10"/>
  <c r="A15" i="10"/>
  <c r="A16" i="10"/>
  <c r="A17" i="10"/>
  <c r="A3" i="10"/>
  <c r="A4" i="7"/>
  <c r="A5" i="7"/>
  <c r="A6" i="7"/>
  <c r="A7" i="7"/>
  <c r="A8" i="7"/>
  <c r="A9" i="7"/>
  <c r="A10" i="7"/>
  <c r="A11" i="7"/>
  <c r="A12" i="7"/>
  <c r="A13" i="7"/>
  <c r="A14" i="7"/>
  <c r="A15" i="7"/>
  <c r="A16" i="7"/>
  <c r="A17" i="7"/>
  <c r="A3" i="7"/>
  <c r="A3" i="2"/>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 i="1"/>
  <c r="A455" i="8"/>
  <c r="A373" i="8"/>
  <c r="B79" i="16" s="1"/>
  <c r="A114" i="8"/>
  <c r="B139" i="16" s="1"/>
  <c r="A115" i="8"/>
  <c r="B140" i="16" s="1"/>
  <c r="A121" i="8"/>
  <c r="B141" i="16" s="1"/>
  <c r="A122" i="8"/>
  <c r="B142" i="16" s="1"/>
  <c r="A123" i="8"/>
  <c r="A128" i="8"/>
  <c r="B143" i="16" s="1"/>
  <c r="A129" i="8"/>
  <c r="B144" i="16" s="1"/>
  <c r="A134" i="8"/>
  <c r="A135" i="8"/>
  <c r="B145" i="16" s="1"/>
  <c r="A136" i="8"/>
  <c r="B146" i="16" s="1"/>
  <c r="A137" i="8"/>
  <c r="B147" i="16" s="1"/>
  <c r="A138" i="8"/>
  <c r="B148" i="16" s="1"/>
  <c r="A139" i="8"/>
  <c r="A140" i="8"/>
  <c r="A141" i="8"/>
  <c r="A146" i="8"/>
  <c r="B19" i="16" s="1"/>
  <c r="A148" i="8"/>
  <c r="B21" i="16" s="1"/>
  <c r="A155" i="8"/>
  <c r="B107" i="16" s="1"/>
  <c r="A156" i="8"/>
  <c r="B108" i="16" s="1"/>
  <c r="A161" i="8"/>
  <c r="A162" i="8"/>
  <c r="A163" i="8"/>
  <c r="A164" i="8"/>
  <c r="B67" i="16" s="1"/>
  <c r="A165" i="8"/>
  <c r="B68" i="16" s="1"/>
  <c r="A170" i="8"/>
  <c r="A171" i="8"/>
  <c r="B69" i="16" s="1"/>
  <c r="A172" i="8"/>
  <c r="B70" i="16" s="1"/>
  <c r="A177" i="8"/>
  <c r="A178" i="8"/>
  <c r="B149" i="16" s="1"/>
  <c r="A179" i="8"/>
  <c r="B150" i="16" s="1"/>
  <c r="A180" i="8"/>
  <c r="A185" i="8"/>
  <c r="B151" i="16" s="1"/>
  <c r="A186" i="8"/>
  <c r="B152" i="16" s="1"/>
  <c r="A187" i="8"/>
  <c r="A192" i="8"/>
  <c r="B109" i="16" s="1"/>
  <c r="A193" i="8"/>
  <c r="B110" i="16" s="1"/>
  <c r="A194" i="8"/>
  <c r="A195" i="8"/>
  <c r="A196" i="8"/>
  <c r="A211" i="8"/>
  <c r="A212" i="8"/>
  <c r="A213" i="8"/>
  <c r="A219" i="8"/>
  <c r="A220" i="8"/>
  <c r="A202" i="8"/>
  <c r="B71" i="16" s="1"/>
  <c r="A203" i="8"/>
  <c r="A204" i="8"/>
  <c r="B72" i="16" s="1"/>
  <c r="A205" i="8"/>
  <c r="A206" i="8"/>
  <c r="A221" i="8"/>
  <c r="A222" i="8"/>
  <c r="A223" i="8"/>
  <c r="A224" i="8"/>
  <c r="A225" i="8"/>
  <c r="A226" i="8"/>
  <c r="A227" i="8"/>
  <c r="A228" i="8"/>
  <c r="A229" i="8"/>
  <c r="A230" i="8"/>
  <c r="A231" i="8"/>
  <c r="A232" i="8"/>
  <c r="A233" i="8"/>
  <c r="A234" i="8"/>
  <c r="A235" i="8"/>
  <c r="A236" i="8"/>
  <c r="A237" i="8"/>
  <c r="A242" i="8"/>
  <c r="A243" i="8"/>
  <c r="A248" i="8"/>
  <c r="A249" i="8"/>
  <c r="B153" i="16" s="1"/>
  <c r="A250" i="8"/>
  <c r="B154" i="16" s="1"/>
  <c r="A255" i="8"/>
  <c r="A256" i="8"/>
  <c r="B111" i="16" s="1"/>
  <c r="A257" i="8"/>
  <c r="B112" i="16" s="1"/>
  <c r="A261" i="8"/>
  <c r="A263" i="8"/>
  <c r="A264" i="8"/>
  <c r="A268" i="8"/>
  <c r="A270" i="8"/>
  <c r="B8" i="16" s="1"/>
  <c r="A272" i="8"/>
  <c r="B103" i="16" s="1"/>
  <c r="A274" i="8"/>
  <c r="A275" i="8"/>
  <c r="A280" i="8"/>
  <c r="A283" i="8"/>
  <c r="B113" i="16" s="1"/>
  <c r="A284" i="8"/>
  <c r="B114" i="16" s="1"/>
  <c r="A288" i="8"/>
  <c r="A290" i="8"/>
  <c r="A291" i="8"/>
  <c r="A293" i="8"/>
  <c r="A311" i="8"/>
  <c r="A312" i="8"/>
  <c r="A313" i="8"/>
  <c r="A318" i="8"/>
  <c r="A319" i="8"/>
  <c r="A320" i="8"/>
  <c r="A325" i="8"/>
  <c r="A326" i="8"/>
  <c r="A331" i="8"/>
  <c r="A332" i="8"/>
  <c r="B73" i="16" s="1"/>
  <c r="A333" i="8"/>
  <c r="B74" i="16" s="1"/>
  <c r="A338" i="8"/>
  <c r="A349" i="8"/>
  <c r="A350" i="8"/>
  <c r="A351" i="8"/>
  <c r="A356" i="8"/>
  <c r="A357" i="8"/>
  <c r="A358" i="8"/>
  <c r="A359" i="8"/>
  <c r="A364" i="8"/>
  <c r="A365" i="8"/>
  <c r="B77" i="16" s="1"/>
  <c r="A366" i="8"/>
  <c r="A367" i="8"/>
  <c r="B78" i="16" s="1"/>
  <c r="A372" i="8"/>
  <c r="A374" i="8"/>
  <c r="A375" i="8"/>
  <c r="B80" i="16" s="1"/>
  <c r="A376" i="8"/>
  <c r="A381" i="8"/>
  <c r="A382" i="8"/>
  <c r="A383" i="8"/>
  <c r="A388" i="8"/>
  <c r="A389" i="8"/>
  <c r="B117" i="16" s="1"/>
  <c r="A390" i="8"/>
  <c r="B118" i="16" s="1"/>
  <c r="A395" i="8"/>
  <c r="A396" i="8"/>
  <c r="B119" i="16" s="1"/>
  <c r="A397" i="8"/>
  <c r="B120" i="16" s="1"/>
  <c r="A402" i="8"/>
  <c r="A403" i="8"/>
  <c r="B121" i="16" s="1"/>
  <c r="A404" i="8"/>
  <c r="B122" i="16" s="1"/>
  <c r="A409" i="8"/>
  <c r="A410" i="8"/>
  <c r="B123" i="16" s="1"/>
  <c r="A411" i="8"/>
  <c r="B124" i="16" s="1"/>
  <c r="A416" i="8"/>
  <c r="A417" i="8"/>
  <c r="B6" i="16" s="1"/>
  <c r="A419" i="8"/>
  <c r="B101" i="16" s="1"/>
  <c r="A429" i="8"/>
  <c r="A430" i="8"/>
  <c r="A435" i="8"/>
  <c r="A436" i="8"/>
  <c r="B125" i="16" s="1"/>
  <c r="A437" i="8"/>
  <c r="B126" i="16" s="1"/>
  <c r="A438" i="8"/>
  <c r="A439" i="8"/>
  <c r="A440" i="8"/>
  <c r="A441" i="8"/>
  <c r="A446" i="8"/>
  <c r="A448" i="8"/>
  <c r="B81" i="16" s="1"/>
  <c r="A449" i="8"/>
  <c r="A450" i="8"/>
  <c r="B82" i="16" s="1"/>
  <c r="A456" i="8"/>
  <c r="B165" i="16" s="1"/>
  <c r="A457" i="8"/>
  <c r="A458" i="8"/>
  <c r="B166" i="16" s="1"/>
  <c r="A463" i="8"/>
  <c r="A464" i="8"/>
  <c r="B127" i="16" s="1"/>
  <c r="A465" i="8"/>
  <c r="A466" i="8"/>
  <c r="B128" i="16" s="1"/>
  <c r="A471" i="8"/>
  <c r="A472" i="8"/>
  <c r="A473" i="8"/>
  <c r="A474" i="8"/>
  <c r="A479" i="8"/>
  <c r="A480" i="8"/>
  <c r="A481" i="8"/>
  <c r="A482" i="8"/>
  <c r="A487" i="8"/>
  <c r="A488" i="8"/>
  <c r="A489" i="8"/>
  <c r="A490" i="8"/>
  <c r="A495" i="8"/>
  <c r="A4" i="8"/>
  <c r="A18" i="8"/>
  <c r="A19" i="8"/>
  <c r="A24" i="8"/>
  <c r="A29" i="8"/>
  <c r="A30" i="8"/>
  <c r="B135" i="16" s="1"/>
  <c r="A31" i="8"/>
  <c r="B136" i="16" s="1"/>
  <c r="A32" i="8"/>
  <c r="A37" i="8"/>
  <c r="B137" i="16" s="1"/>
  <c r="A38" i="8"/>
  <c r="B138" i="16" s="1"/>
  <c r="A39" i="8"/>
  <c r="A44" i="8"/>
  <c r="B105" i="16" s="1"/>
  <c r="A45" i="8"/>
  <c r="B106" i="16" s="1"/>
  <c r="A46" i="8"/>
  <c r="A107" i="8"/>
  <c r="A108" i="8"/>
  <c r="A113" i="8"/>
  <c r="C3" i="14"/>
  <c r="C4" i="14"/>
  <c r="C5" i="14"/>
  <c r="C6" i="14"/>
  <c r="C7" i="14"/>
  <c r="C8" i="14"/>
  <c r="C3" i="13"/>
  <c r="C4" i="13"/>
  <c r="C5" i="13"/>
  <c r="C6" i="13"/>
  <c r="C7" i="13"/>
  <c r="C8" i="13"/>
  <c r="C8" i="12"/>
  <c r="C4" i="12"/>
  <c r="C5" i="12"/>
  <c r="C6" i="12"/>
  <c r="C7" i="12"/>
  <c r="C3" i="12"/>
  <c r="AR36" i="16" l="1"/>
  <c r="AR223" i="16"/>
  <c r="AO36" i="16"/>
  <c r="AO223" i="16"/>
  <c r="AL36" i="16"/>
  <c r="AL223" i="16"/>
  <c r="AI36" i="16"/>
  <c r="AI223" i="16"/>
  <c r="AF36" i="16"/>
  <c r="AF223" i="16"/>
  <c r="Y36" i="16"/>
  <c r="Y223" i="16"/>
  <c r="V36" i="16"/>
  <c r="V223" i="16"/>
  <c r="S36" i="16"/>
  <c r="S223" i="16"/>
  <c r="P36" i="16"/>
  <c r="P223" i="16"/>
  <c r="M36" i="16"/>
  <c r="M223" i="16"/>
  <c r="BK36" i="16"/>
  <c r="BK223" i="16"/>
  <c r="BH36" i="16"/>
  <c r="BH223" i="16"/>
  <c r="BE36" i="16"/>
  <c r="BE223" i="16"/>
  <c r="BB36" i="16"/>
  <c r="BB223" i="16"/>
  <c r="AY36" i="16"/>
  <c r="AY223" i="16"/>
  <c r="M61" i="17"/>
  <c r="M65" i="17"/>
  <c r="M62" i="17"/>
  <c r="M66" i="17"/>
  <c r="M63" i="17"/>
  <c r="M64" i="17"/>
  <c r="P61" i="17"/>
  <c r="P64" i="17"/>
  <c r="P65" i="17"/>
  <c r="P62" i="17"/>
  <c r="P66" i="17"/>
  <c r="P63" i="17"/>
  <c r="S61" i="17"/>
  <c r="S64" i="17"/>
  <c r="S62" i="17"/>
  <c r="S66" i="17"/>
  <c r="S65" i="17"/>
  <c r="S63" i="17"/>
  <c r="V61" i="17"/>
  <c r="V63" i="17"/>
  <c r="V64" i="17"/>
  <c r="V62" i="17"/>
  <c r="V66" i="17"/>
  <c r="V65" i="17"/>
  <c r="Y61" i="17"/>
  <c r="Y62" i="17"/>
  <c r="Y64" i="17"/>
  <c r="Y65" i="17"/>
  <c r="Y66" i="17"/>
  <c r="Y63" i="17"/>
  <c r="AF61" i="17"/>
  <c r="AF64" i="17"/>
  <c r="AF63" i="17"/>
  <c r="AF62" i="17"/>
  <c r="AF65" i="17"/>
  <c r="AF66" i="17"/>
  <c r="AI61" i="17"/>
  <c r="AI64" i="17"/>
  <c r="AI63" i="17"/>
  <c r="AI65" i="17"/>
  <c r="AI62" i="17"/>
  <c r="AI66" i="17"/>
  <c r="AL64" i="17"/>
  <c r="AL62" i="17"/>
  <c r="AL65" i="17"/>
  <c r="AL61" i="17"/>
  <c r="AL63" i="17"/>
  <c r="AL66" i="17"/>
  <c r="AO61" i="17"/>
  <c r="AO64" i="17"/>
  <c r="AO62" i="17"/>
  <c r="AO63" i="17"/>
  <c r="AO65" i="17"/>
  <c r="AO66" i="17"/>
  <c r="AR61" i="17"/>
  <c r="AR63" i="17"/>
  <c r="AR64" i="17"/>
  <c r="AR62" i="17"/>
  <c r="AR65" i="17"/>
  <c r="AR66" i="17"/>
  <c r="M67" i="17"/>
  <c r="M68" i="17"/>
  <c r="M69" i="17"/>
  <c r="P67" i="17"/>
  <c r="P68" i="17"/>
  <c r="P69" i="17"/>
  <c r="S67" i="17"/>
  <c r="S68" i="17"/>
  <c r="S69" i="17"/>
  <c r="V67" i="17"/>
  <c r="V68" i="17"/>
  <c r="V69" i="17"/>
  <c r="Y67" i="17"/>
  <c r="Y68" i="17"/>
  <c r="Y69" i="17"/>
  <c r="AF67" i="17"/>
  <c r="AF68" i="17"/>
  <c r="AF69" i="17"/>
  <c r="AI67" i="17"/>
  <c r="AI68" i="17"/>
  <c r="AI69" i="17"/>
  <c r="AL67" i="17"/>
  <c r="AL68" i="17"/>
  <c r="AL69" i="17"/>
  <c r="AO67" i="17"/>
  <c r="AO68" i="17"/>
  <c r="AO69" i="17"/>
  <c r="AR67" i="17"/>
  <c r="AR68" i="17"/>
  <c r="AR69" i="17"/>
  <c r="AY34" i="16"/>
  <c r="AY131" i="16"/>
  <c r="BB34" i="16"/>
  <c r="BB131" i="16"/>
  <c r="BE34" i="16"/>
  <c r="BE131" i="16"/>
  <c r="BH34" i="16"/>
  <c r="BH131" i="16"/>
  <c r="BK34" i="16"/>
  <c r="BK131" i="16"/>
  <c r="M34" i="16"/>
  <c r="M131" i="16"/>
  <c r="P34" i="16"/>
  <c r="P131" i="16"/>
  <c r="S34" i="16"/>
  <c r="S131" i="16"/>
  <c r="V34" i="16"/>
  <c r="V131" i="16"/>
  <c r="Y34" i="16"/>
  <c r="Y131" i="16"/>
  <c r="AF34" i="16"/>
  <c r="AF131" i="16"/>
  <c r="AI34" i="16"/>
  <c r="AI131" i="16"/>
  <c r="AL34" i="16"/>
  <c r="AL131" i="16"/>
  <c r="AO34" i="16"/>
  <c r="AO131" i="16"/>
  <c r="AR34" i="16"/>
  <c r="AR131" i="16"/>
  <c r="M56" i="17"/>
  <c r="M58" i="17"/>
  <c r="M57" i="17"/>
  <c r="M59" i="17"/>
  <c r="P58" i="17"/>
  <c r="P57" i="17"/>
  <c r="P56" i="17"/>
  <c r="P59" i="17"/>
  <c r="S59" i="17"/>
  <c r="S57" i="17"/>
  <c r="S58" i="17"/>
  <c r="S56" i="17"/>
  <c r="V59" i="17"/>
  <c r="V58" i="17"/>
  <c r="V57" i="17"/>
  <c r="V56" i="17"/>
  <c r="Y59" i="17"/>
  <c r="Y58" i="17"/>
  <c r="Y57" i="17"/>
  <c r="Y56" i="17"/>
  <c r="AF59" i="17"/>
  <c r="AF58" i="17"/>
  <c r="AF57" i="17"/>
  <c r="AF56" i="17"/>
  <c r="AI59" i="17"/>
  <c r="AI58" i="17"/>
  <c r="AI57" i="17"/>
  <c r="AI56" i="17"/>
  <c r="AL59" i="17"/>
  <c r="AL58" i="17"/>
  <c r="AL56" i="17"/>
  <c r="AL57" i="17"/>
  <c r="AO59" i="17"/>
  <c r="AO58" i="17"/>
  <c r="AO57" i="17"/>
  <c r="AO56" i="17"/>
  <c r="AR56" i="17"/>
  <c r="AR59" i="17"/>
  <c r="AR58" i="17"/>
  <c r="AR57" i="17"/>
  <c r="M70" i="17"/>
  <c r="M60" i="17"/>
  <c r="P70" i="17"/>
  <c r="P60" i="17"/>
  <c r="S70" i="17"/>
  <c r="S60" i="17"/>
  <c r="V70" i="17"/>
  <c r="V60" i="17"/>
  <c r="Y70" i="17"/>
  <c r="Y60" i="17"/>
  <c r="AF70" i="17"/>
  <c r="AF60" i="17"/>
  <c r="AI70" i="17"/>
  <c r="AI60" i="17"/>
  <c r="AL70" i="17"/>
  <c r="AL60" i="17"/>
  <c r="AO70" i="17"/>
  <c r="AO60" i="17"/>
  <c r="AR70" i="17"/>
  <c r="AR60" i="17"/>
  <c r="M44" i="17"/>
  <c r="M47" i="17"/>
  <c r="M42" i="17"/>
  <c r="M45" i="17"/>
  <c r="M43" i="17"/>
  <c r="M46" i="17"/>
  <c r="M41" i="17"/>
  <c r="M40" i="17"/>
  <c r="P44" i="17"/>
  <c r="P42" i="17"/>
  <c r="P40" i="17"/>
  <c r="P46" i="17"/>
  <c r="P45" i="17"/>
  <c r="P43" i="17"/>
  <c r="P47" i="17"/>
  <c r="P41" i="17"/>
  <c r="S44" i="17"/>
  <c r="S41" i="17"/>
  <c r="S40" i="17"/>
  <c r="S46" i="17"/>
  <c r="S42" i="17"/>
  <c r="S45" i="17"/>
  <c r="S43" i="17"/>
  <c r="S47" i="17"/>
  <c r="V44" i="17"/>
  <c r="V40" i="17"/>
  <c r="V43" i="17"/>
  <c r="V46" i="17"/>
  <c r="V42" i="17"/>
  <c r="V47" i="17"/>
  <c r="V41" i="17"/>
  <c r="V45" i="17"/>
  <c r="Y44" i="17"/>
  <c r="Y46" i="17"/>
  <c r="Y41" i="17"/>
  <c r="Y45" i="17"/>
  <c r="Y42" i="17"/>
  <c r="Y43" i="17"/>
  <c r="Y40" i="17"/>
  <c r="Y47" i="17"/>
  <c r="AF44" i="17"/>
  <c r="AF46" i="17"/>
  <c r="AF42" i="17"/>
  <c r="AF45" i="17"/>
  <c r="AF41" i="17"/>
  <c r="AF47" i="17"/>
  <c r="AF40" i="17"/>
  <c r="AF43" i="17"/>
  <c r="AI44" i="17"/>
  <c r="AI43" i="17"/>
  <c r="AI41" i="17"/>
  <c r="AI46" i="17"/>
  <c r="AI45" i="17"/>
  <c r="AI42" i="17"/>
  <c r="AI47" i="17"/>
  <c r="AI40" i="17"/>
  <c r="AL44" i="17"/>
  <c r="AL45" i="17"/>
  <c r="AL41" i="17"/>
  <c r="AL46" i="17"/>
  <c r="AL42" i="17"/>
  <c r="AL40" i="17"/>
  <c r="AL43" i="17"/>
  <c r="AL47" i="17"/>
  <c r="AO44" i="17"/>
  <c r="AO45" i="17"/>
  <c r="AO41" i="17"/>
  <c r="AO42" i="17"/>
  <c r="AO43" i="17"/>
  <c r="AO46" i="17"/>
  <c r="AO40" i="17"/>
  <c r="AO47" i="17"/>
  <c r="AR44" i="17"/>
  <c r="AR41" i="17"/>
  <c r="AR42" i="17"/>
  <c r="AR46" i="17"/>
  <c r="AR43" i="17"/>
  <c r="AR40" i="17"/>
  <c r="AR45" i="17"/>
  <c r="AR47" i="17"/>
  <c r="AR193" i="16"/>
  <c r="AR191" i="16"/>
  <c r="AR192" i="16"/>
  <c r="AO193" i="16"/>
  <c r="AO191" i="16"/>
  <c r="AO192" i="16"/>
  <c r="AL193" i="16"/>
  <c r="AL191" i="16"/>
  <c r="AL192" i="16"/>
  <c r="AI193" i="16"/>
  <c r="AI191" i="16"/>
  <c r="AI192" i="16"/>
  <c r="AF193" i="16"/>
  <c r="AF191" i="16"/>
  <c r="AF192" i="16"/>
  <c r="Y193" i="16"/>
  <c r="Y191" i="16"/>
  <c r="Y192" i="16"/>
  <c r="V193" i="16"/>
  <c r="V191" i="16"/>
  <c r="V192" i="16"/>
  <c r="S193" i="16"/>
  <c r="S191" i="16"/>
  <c r="S192" i="16"/>
  <c r="P193" i="16"/>
  <c r="P191" i="16"/>
  <c r="P192" i="16"/>
  <c r="M193" i="16"/>
  <c r="M191" i="16"/>
  <c r="M192" i="16"/>
  <c r="BK193" i="16"/>
  <c r="BK191" i="16"/>
  <c r="BK192" i="16"/>
  <c r="BH193" i="16"/>
  <c r="BH191" i="16"/>
  <c r="BH192" i="16"/>
  <c r="BE193" i="16"/>
  <c r="BE191" i="16"/>
  <c r="BE192" i="16"/>
  <c r="BB193" i="16"/>
  <c r="BB191" i="16"/>
  <c r="BB192" i="16"/>
  <c r="AY193" i="16"/>
  <c r="AY191" i="16"/>
  <c r="AY192" i="16"/>
  <c r="AR218" i="16"/>
  <c r="AR214" i="16"/>
  <c r="AO218" i="16"/>
  <c r="AO214" i="16"/>
  <c r="AL218" i="16"/>
  <c r="AL214" i="16"/>
  <c r="AI218" i="16"/>
  <c r="AI214" i="16"/>
  <c r="AF218" i="16"/>
  <c r="AF214" i="16"/>
  <c r="Y218" i="16"/>
  <c r="Y214" i="16"/>
  <c r="V218" i="16"/>
  <c r="V214" i="16"/>
  <c r="S218" i="16"/>
  <c r="S214" i="16"/>
  <c r="P218" i="16"/>
  <c r="P214" i="16"/>
  <c r="M218" i="16"/>
  <c r="M214" i="16"/>
  <c r="BK218" i="16"/>
  <c r="BK214" i="16"/>
  <c r="BH218" i="16"/>
  <c r="BH214" i="16"/>
  <c r="BE218" i="16"/>
  <c r="BE214" i="16"/>
  <c r="BB218" i="16"/>
  <c r="BB214" i="16"/>
  <c r="AY218" i="16"/>
  <c r="AY214" i="16"/>
  <c r="AR174" i="16"/>
  <c r="AR224" i="16"/>
  <c r="AO174" i="16"/>
  <c r="AO224" i="16"/>
  <c r="AL174" i="16"/>
  <c r="AL224" i="16"/>
  <c r="AI174" i="16"/>
  <c r="AI224" i="16"/>
  <c r="AF174" i="16"/>
  <c r="AF224" i="16"/>
  <c r="Y174" i="16"/>
  <c r="Y224" i="16"/>
  <c r="V174" i="16"/>
  <c r="V224" i="16"/>
  <c r="S174" i="16"/>
  <c r="S224" i="16"/>
  <c r="P174" i="16"/>
  <c r="P224" i="16"/>
  <c r="M174" i="16"/>
  <c r="M224" i="16"/>
  <c r="BK174" i="16"/>
  <c r="BK224" i="16"/>
  <c r="BH174" i="16"/>
  <c r="BH224" i="16"/>
  <c r="BE174" i="16"/>
  <c r="BE224" i="16"/>
  <c r="BB174" i="16"/>
  <c r="BB224" i="16"/>
  <c r="AY174" i="16"/>
  <c r="AY224" i="16"/>
  <c r="AR205" i="16"/>
  <c r="AR206" i="16"/>
  <c r="AO205" i="16"/>
  <c r="AO206" i="16"/>
  <c r="AL205" i="16"/>
  <c r="AL206" i="16"/>
  <c r="AI205" i="16"/>
  <c r="AI206" i="16"/>
  <c r="AF205" i="16"/>
  <c r="AF206" i="16"/>
  <c r="Y205" i="16"/>
  <c r="Y206" i="16"/>
  <c r="V205" i="16"/>
  <c r="V206" i="16"/>
  <c r="S205" i="16"/>
  <c r="S206" i="16"/>
  <c r="P205" i="16"/>
  <c r="P206" i="16"/>
  <c r="M205" i="16"/>
  <c r="M206" i="16"/>
  <c r="BK205" i="16"/>
  <c r="BK206" i="16"/>
  <c r="BH205" i="16"/>
  <c r="BH206" i="16"/>
  <c r="BE205" i="16"/>
  <c r="BE206" i="16"/>
  <c r="BB205" i="16"/>
  <c r="BB206" i="16"/>
  <c r="AY205" i="16"/>
  <c r="AY206" i="16"/>
  <c r="AR58" i="16"/>
  <c r="AR59" i="16"/>
  <c r="AR60" i="16"/>
  <c r="AR61" i="16"/>
  <c r="AR203" i="16"/>
  <c r="AO58" i="16"/>
  <c r="AO59" i="16"/>
  <c r="AO60" i="16"/>
  <c r="AO61" i="16"/>
  <c r="AO203" i="16"/>
  <c r="AL58" i="16"/>
  <c r="AL59" i="16"/>
  <c r="AL60" i="16"/>
  <c r="AL61" i="16"/>
  <c r="AL203" i="16"/>
  <c r="AI58" i="16"/>
  <c r="AI59" i="16"/>
  <c r="AI60" i="16"/>
  <c r="AI61" i="16"/>
  <c r="AI203" i="16"/>
  <c r="AF58" i="16"/>
  <c r="AF59" i="16"/>
  <c r="AF60" i="16"/>
  <c r="AF61" i="16"/>
  <c r="AF203" i="16"/>
  <c r="Y58" i="16"/>
  <c r="Y59" i="16"/>
  <c r="Y60" i="16"/>
  <c r="Y61" i="16"/>
  <c r="Y203" i="16"/>
  <c r="V58" i="16"/>
  <c r="V59" i="16"/>
  <c r="V60" i="16"/>
  <c r="V61" i="16"/>
  <c r="V203" i="16"/>
  <c r="S58" i="16"/>
  <c r="S59" i="16"/>
  <c r="S60" i="16"/>
  <c r="S61" i="16"/>
  <c r="S203" i="16"/>
  <c r="P58" i="16"/>
  <c r="P59" i="16"/>
  <c r="P60" i="16"/>
  <c r="P61" i="16"/>
  <c r="P203" i="16"/>
  <c r="M58" i="16"/>
  <c r="M59" i="16"/>
  <c r="M60" i="16"/>
  <c r="M61" i="16"/>
  <c r="M203" i="16"/>
  <c r="BK58" i="16"/>
  <c r="BK59" i="16"/>
  <c r="BK60" i="16"/>
  <c r="BK61" i="16"/>
  <c r="BK203" i="16"/>
  <c r="BH58" i="16"/>
  <c r="BH59" i="16"/>
  <c r="BH60" i="16"/>
  <c r="BH61" i="16"/>
  <c r="BH203" i="16"/>
  <c r="BE58" i="16"/>
  <c r="BE59" i="16"/>
  <c r="BE60" i="16"/>
  <c r="BE61" i="16"/>
  <c r="BE203" i="16"/>
  <c r="BB58" i="16"/>
  <c r="BB59" i="16"/>
  <c r="BB60" i="16"/>
  <c r="BB61" i="16"/>
  <c r="BB203" i="16"/>
  <c r="AY58" i="16"/>
  <c r="AY59" i="16"/>
  <c r="AY60" i="16"/>
  <c r="AY61" i="16"/>
  <c r="AY203" i="16"/>
  <c r="AR202" i="16"/>
  <c r="AR52" i="16"/>
  <c r="AR189" i="16"/>
  <c r="AR190" i="16"/>
  <c r="AR187" i="16"/>
  <c r="AR188" i="16"/>
  <c r="AO202" i="16"/>
  <c r="AO52" i="16"/>
  <c r="AO189" i="16"/>
  <c r="AO190" i="16"/>
  <c r="AO187" i="16"/>
  <c r="AO188" i="16"/>
  <c r="AL202" i="16"/>
  <c r="AL52" i="16"/>
  <c r="AL189" i="16"/>
  <c r="AL190" i="16"/>
  <c r="AL187" i="16"/>
  <c r="AL188" i="16"/>
  <c r="AI202" i="16"/>
  <c r="AI52" i="16"/>
  <c r="AI189" i="16"/>
  <c r="AI190" i="16"/>
  <c r="AI187" i="16"/>
  <c r="AI188" i="16"/>
  <c r="AF202" i="16"/>
  <c r="AF52" i="16"/>
  <c r="AF189" i="16"/>
  <c r="AF190" i="16"/>
  <c r="AF187" i="16"/>
  <c r="AF188" i="16"/>
  <c r="Y202" i="16"/>
  <c r="Y52" i="16"/>
  <c r="Y189" i="16"/>
  <c r="Y190" i="16"/>
  <c r="Y187" i="16"/>
  <c r="Y188" i="16"/>
  <c r="V202" i="16"/>
  <c r="V52" i="16"/>
  <c r="V189" i="16"/>
  <c r="V190" i="16"/>
  <c r="V187" i="16"/>
  <c r="V188" i="16"/>
  <c r="S202" i="16"/>
  <c r="S52" i="16"/>
  <c r="S189" i="16"/>
  <c r="S190" i="16"/>
  <c r="S187" i="16"/>
  <c r="S188" i="16"/>
  <c r="P202" i="16"/>
  <c r="P52" i="16"/>
  <c r="P189" i="16"/>
  <c r="P190" i="16"/>
  <c r="P187" i="16"/>
  <c r="P188" i="16"/>
  <c r="M202" i="16"/>
  <c r="M52" i="16"/>
  <c r="M189" i="16"/>
  <c r="M190" i="16"/>
  <c r="M187" i="16"/>
  <c r="M188" i="16"/>
  <c r="BK202" i="16"/>
  <c r="BK52" i="16"/>
  <c r="BK189" i="16"/>
  <c r="BK190" i="16"/>
  <c r="BK187" i="16"/>
  <c r="BK188" i="16"/>
  <c r="BH202" i="16"/>
  <c r="BH52" i="16"/>
  <c r="BH189" i="16"/>
  <c r="BH190" i="16"/>
  <c r="BH187" i="16"/>
  <c r="BH188" i="16"/>
  <c r="BE202" i="16"/>
  <c r="BE52" i="16"/>
  <c r="BE189" i="16"/>
  <c r="BE190" i="16"/>
  <c r="BE187" i="16"/>
  <c r="BE188" i="16"/>
  <c r="BB202" i="16"/>
  <c r="BB52" i="16"/>
  <c r="BB189" i="16"/>
  <c r="BB190" i="16"/>
  <c r="BB187" i="16"/>
  <c r="BB188" i="16"/>
  <c r="AY202" i="16"/>
  <c r="AY52" i="16"/>
  <c r="AY189" i="16"/>
  <c r="AY190" i="16"/>
  <c r="AY187" i="16"/>
  <c r="AY188" i="16"/>
  <c r="AY48" i="16"/>
  <c r="AY194" i="16"/>
  <c r="BB48" i="16"/>
  <c r="BB194" i="16"/>
  <c r="BE48" i="16"/>
  <c r="BE194" i="16"/>
  <c r="BH48" i="16"/>
  <c r="BH194" i="16"/>
  <c r="BK48" i="16"/>
  <c r="BK194" i="16"/>
  <c r="M48" i="16"/>
  <c r="M194" i="16"/>
  <c r="P217" i="16"/>
  <c r="P219" i="16"/>
  <c r="P220" i="16"/>
  <c r="P221" i="16"/>
  <c r="P222" i="16"/>
  <c r="P194" i="16"/>
  <c r="P225" i="16"/>
  <c r="P226" i="16"/>
  <c r="P227" i="16"/>
  <c r="P44" i="16"/>
  <c r="P45" i="16"/>
  <c r="P46" i="16"/>
  <c r="P47" i="16"/>
  <c r="P48" i="16"/>
  <c r="P49" i="16"/>
  <c r="P50" i="16"/>
  <c r="P51" i="16"/>
  <c r="P53" i="16"/>
  <c r="P54" i="16"/>
  <c r="P55" i="16"/>
  <c r="P56" i="16"/>
  <c r="P57" i="16"/>
  <c r="P62" i="16"/>
  <c r="P63" i="16"/>
  <c r="P64" i="16"/>
  <c r="P65" i="16"/>
  <c r="P66" i="16"/>
  <c r="P67" i="16"/>
  <c r="P68" i="16"/>
  <c r="P69" i="16"/>
  <c r="P70" i="16"/>
  <c r="P71" i="16"/>
  <c r="P72" i="16"/>
  <c r="P73" i="16"/>
  <c r="P74" i="16"/>
  <c r="P75" i="16"/>
  <c r="P76" i="16"/>
  <c r="P77" i="16"/>
  <c r="P78" i="16"/>
  <c r="P79" i="16"/>
  <c r="P80" i="16"/>
  <c r="P81" i="16"/>
  <c r="P82" i="16"/>
  <c r="P83" i="16"/>
  <c r="P84" i="16"/>
  <c r="P85" i="16"/>
  <c r="P86" i="16"/>
  <c r="P87" i="16"/>
  <c r="P88" i="16"/>
  <c r="P89" i="16"/>
  <c r="P90" i="16"/>
  <c r="P91" i="16"/>
  <c r="P92" i="16"/>
  <c r="P93" i="16"/>
  <c r="P94" i="16"/>
  <c r="P95" i="16"/>
  <c r="P96" i="16"/>
  <c r="P97" i="16"/>
  <c r="P98" i="16"/>
  <c r="P99" i="16"/>
  <c r="P100" i="16"/>
  <c r="P101" i="16"/>
  <c r="P102" i="16"/>
  <c r="P103" i="16"/>
  <c r="P104" i="16"/>
  <c r="P105" i="16"/>
  <c r="P106" i="16"/>
  <c r="P107" i="16"/>
  <c r="P108" i="16"/>
  <c r="P109" i="16"/>
  <c r="P110" i="16"/>
  <c r="P111" i="16"/>
  <c r="P112" i="16"/>
  <c r="P113" i="16"/>
  <c r="P114" i="16"/>
  <c r="P115" i="16"/>
  <c r="P116" i="16"/>
  <c r="P117" i="16"/>
  <c r="P118" i="16"/>
  <c r="P119" i="16"/>
  <c r="P120" i="16"/>
  <c r="P121" i="16"/>
  <c r="P122" i="16"/>
  <c r="P123" i="16"/>
  <c r="P124" i="16"/>
  <c r="P125" i="16"/>
  <c r="P126" i="16"/>
  <c r="P127" i="16"/>
  <c r="P128" i="16"/>
  <c r="P129" i="16"/>
  <c r="P130" i="16"/>
  <c r="P132" i="16"/>
  <c r="P133" i="16"/>
  <c r="P134" i="16"/>
  <c r="P135" i="16"/>
  <c r="P136" i="16"/>
  <c r="P137" i="16"/>
  <c r="P138" i="16"/>
  <c r="P139" i="16"/>
  <c r="P140" i="16"/>
  <c r="P141" i="16"/>
  <c r="P142" i="16"/>
  <c r="P143" i="16"/>
  <c r="P144" i="16"/>
  <c r="P145" i="16"/>
  <c r="P146" i="16"/>
  <c r="P147" i="16"/>
  <c r="P148" i="16"/>
  <c r="P149" i="16"/>
  <c r="P150" i="16"/>
  <c r="P151" i="16"/>
  <c r="P152" i="16"/>
  <c r="P153" i="16"/>
  <c r="P154" i="16"/>
  <c r="P155" i="16"/>
  <c r="P156" i="16"/>
  <c r="P157" i="16"/>
  <c r="P158" i="16"/>
  <c r="P159" i="16"/>
  <c r="P160" i="16"/>
  <c r="P161" i="16"/>
  <c r="P162" i="16"/>
  <c r="P163" i="16"/>
  <c r="P164" i="16"/>
  <c r="P165" i="16"/>
  <c r="P166" i="16"/>
  <c r="P167" i="16"/>
  <c r="P168" i="16"/>
  <c r="P169" i="16"/>
  <c r="P170" i="16"/>
  <c r="P171" i="16"/>
  <c r="P172" i="16"/>
  <c r="P173" i="16"/>
  <c r="P175" i="16"/>
  <c r="P176" i="16"/>
  <c r="P177" i="16"/>
  <c r="P178" i="16"/>
  <c r="P179" i="16"/>
  <c r="P180" i="16"/>
  <c r="P181" i="16"/>
  <c r="P182" i="16"/>
  <c r="P183" i="16"/>
  <c r="P184" i="16"/>
  <c r="P185" i="16"/>
  <c r="P186" i="16"/>
  <c r="P195" i="16"/>
  <c r="P196" i="16"/>
  <c r="P197" i="16"/>
  <c r="P198" i="16"/>
  <c r="P199" i="16"/>
  <c r="P200" i="16"/>
  <c r="P201" i="16"/>
  <c r="P204" i="16"/>
  <c r="P207" i="16"/>
  <c r="P208" i="16"/>
  <c r="P209" i="16"/>
  <c r="P210" i="16"/>
  <c r="P211" i="16"/>
  <c r="P212" i="16"/>
  <c r="P213" i="16"/>
  <c r="P215" i="16"/>
  <c r="P216" i="16"/>
  <c r="S48" i="16"/>
  <c r="S194" i="16"/>
  <c r="V48" i="16"/>
  <c r="V194" i="16"/>
  <c r="Y48" i="16"/>
  <c r="Y194" i="16"/>
  <c r="AF48" i="16"/>
  <c r="AF194" i="16"/>
  <c r="AI48" i="16"/>
  <c r="AI194" i="16"/>
  <c r="AL48" i="16"/>
  <c r="AL194" i="16"/>
  <c r="AO48" i="16"/>
  <c r="AO194" i="16"/>
  <c r="AR48" i="16"/>
  <c r="AR194" i="16"/>
  <c r="AY35" i="16"/>
  <c r="AY62" i="16"/>
  <c r="AY63" i="16"/>
  <c r="BB35" i="16"/>
  <c r="BB62" i="16"/>
  <c r="BB63" i="16"/>
  <c r="BE35" i="16"/>
  <c r="BE62" i="16"/>
  <c r="BE63" i="16"/>
  <c r="BH35" i="16"/>
  <c r="BH62" i="16"/>
  <c r="BH63" i="16"/>
  <c r="BK35" i="16"/>
  <c r="BK62" i="16"/>
  <c r="BK63" i="16"/>
  <c r="M35" i="16"/>
  <c r="M62" i="16"/>
  <c r="M63" i="16"/>
  <c r="P35" i="16"/>
  <c r="S35" i="16"/>
  <c r="S63" i="16"/>
  <c r="S62" i="16"/>
  <c r="V35" i="16"/>
  <c r="V63" i="16"/>
  <c r="V62" i="16"/>
  <c r="Y35" i="16"/>
  <c r="Y63" i="16"/>
  <c r="Y62" i="16"/>
  <c r="AF35" i="16"/>
  <c r="AF63" i="16"/>
  <c r="AF62" i="16"/>
  <c r="AI35" i="16"/>
  <c r="AI63" i="16"/>
  <c r="AI62" i="16"/>
  <c r="AL35" i="16"/>
  <c r="AL63" i="16"/>
  <c r="AL62" i="16"/>
  <c r="AO35" i="16"/>
  <c r="AO62" i="16"/>
  <c r="AO63" i="16"/>
  <c r="AR35" i="16"/>
  <c r="AR63" i="16"/>
  <c r="AR62" i="16"/>
  <c r="AY33" i="16"/>
  <c r="BB33" i="16"/>
  <c r="BE33" i="16"/>
  <c r="BH33" i="16"/>
  <c r="BK33" i="16"/>
  <c r="M33" i="16"/>
  <c r="P33" i="16"/>
  <c r="S33" i="16"/>
  <c r="V33" i="16"/>
  <c r="Y33" i="16"/>
  <c r="AF33" i="16"/>
  <c r="AI33" i="16"/>
  <c r="AL33" i="16"/>
  <c r="AO33" i="16"/>
  <c r="AR33" i="16"/>
  <c r="M71" i="17"/>
  <c r="M54" i="17"/>
  <c r="M55" i="17"/>
  <c r="P71" i="17"/>
  <c r="P54" i="17"/>
  <c r="P55" i="17"/>
  <c r="S71" i="17"/>
  <c r="S54" i="17"/>
  <c r="S55" i="17"/>
  <c r="V71" i="17"/>
  <c r="V54" i="17"/>
  <c r="V55" i="17"/>
  <c r="Y71" i="17"/>
  <c r="Y54" i="17"/>
  <c r="Y55" i="17"/>
  <c r="AF71" i="17"/>
  <c r="AF54" i="17"/>
  <c r="AF55" i="17"/>
  <c r="AI71" i="17"/>
  <c r="AI54" i="17"/>
  <c r="AI55" i="17"/>
  <c r="AL71" i="17"/>
  <c r="AL54" i="17"/>
  <c r="AL55" i="17"/>
  <c r="AO71" i="17"/>
  <c r="AO54" i="17"/>
  <c r="AO55" i="17"/>
  <c r="AR71" i="17"/>
  <c r="AR54" i="17"/>
  <c r="AR55" i="17"/>
  <c r="AY6" i="16"/>
  <c r="BB6" i="16"/>
  <c r="BE6" i="16"/>
  <c r="BH6" i="16"/>
  <c r="BK6" i="16"/>
  <c r="M6" i="16"/>
  <c r="P6" i="16"/>
  <c r="S6" i="16"/>
  <c r="V6" i="16"/>
  <c r="Y6" i="16"/>
  <c r="AF6" i="16"/>
  <c r="AI6" i="16"/>
  <c r="AL6" i="16"/>
  <c r="AO6" i="16"/>
  <c r="AR6" i="16"/>
  <c r="B5" i="16"/>
  <c r="AY5" i="16"/>
  <c r="BB5" i="16"/>
  <c r="BE5" i="16"/>
  <c r="BH5" i="16"/>
  <c r="BK5" i="16"/>
  <c r="M5" i="16"/>
  <c r="P5" i="16"/>
  <c r="S5" i="16"/>
  <c r="V5" i="16"/>
  <c r="Y5" i="16"/>
  <c r="AF5" i="16"/>
  <c r="AI5" i="16"/>
  <c r="AL5" i="16"/>
  <c r="AO5" i="16"/>
  <c r="AR5" i="16"/>
  <c r="B14" i="16"/>
  <c r="B88" i="16"/>
  <c r="B87" i="16"/>
  <c r="B13" i="16"/>
  <c r="B89" i="16"/>
  <c r="B155" i="16"/>
  <c r="B156" i="16"/>
  <c r="B90" i="16"/>
  <c r="B157" i="16"/>
  <c r="B91" i="16"/>
  <c r="B92" i="16"/>
  <c r="B158" i="16"/>
  <c r="B75" i="16"/>
  <c r="B159" i="16"/>
  <c r="B76" i="16"/>
  <c r="B160" i="16"/>
  <c r="B115" i="16"/>
  <c r="B161" i="16"/>
  <c r="B116" i="16"/>
  <c r="B162" i="16"/>
  <c r="B93" i="16"/>
  <c r="B163" i="16"/>
  <c r="B94" i="16"/>
  <c r="B164" i="16"/>
  <c r="B11" i="16"/>
  <c r="B85" i="16"/>
  <c r="AY32" i="16"/>
  <c r="AY31" i="16"/>
  <c r="BB32" i="16"/>
  <c r="BB31" i="16"/>
  <c r="BE32" i="16"/>
  <c r="BE31" i="16"/>
  <c r="BH32" i="16"/>
  <c r="BH31" i="16"/>
  <c r="BK32" i="16"/>
  <c r="BK31" i="16"/>
  <c r="M32" i="16"/>
  <c r="M31" i="16"/>
  <c r="P32" i="16"/>
  <c r="P31" i="16"/>
  <c r="S32" i="16"/>
  <c r="S31" i="16"/>
  <c r="V32" i="16"/>
  <c r="V31" i="16"/>
  <c r="Y32" i="16"/>
  <c r="Y31" i="16"/>
  <c r="AF32" i="16"/>
  <c r="AF31" i="16"/>
  <c r="AI32" i="16"/>
  <c r="AI31" i="16"/>
  <c r="AL32" i="16"/>
  <c r="AL31" i="16"/>
  <c r="AO32" i="16"/>
  <c r="AO31" i="16"/>
  <c r="AR32" i="16"/>
  <c r="AR31" i="16"/>
  <c r="AY24" i="16"/>
  <c r="AY23" i="16"/>
  <c r="BB24" i="16"/>
  <c r="BB23" i="16"/>
  <c r="BE24" i="16"/>
  <c r="BE23" i="16"/>
  <c r="BH24" i="16"/>
  <c r="BH23" i="16"/>
  <c r="BK24" i="16"/>
  <c r="BK23" i="16"/>
  <c r="M24" i="16"/>
  <c r="M23" i="16"/>
  <c r="P24" i="16"/>
  <c r="P23" i="16"/>
  <c r="S24" i="16"/>
  <c r="S23" i="16"/>
  <c r="V24" i="16"/>
  <c r="V23" i="16"/>
  <c r="Y24" i="16"/>
  <c r="Y23" i="16"/>
  <c r="AF24" i="16"/>
  <c r="AF23" i="16"/>
  <c r="AI24" i="16"/>
  <c r="AI23" i="16"/>
  <c r="AL24" i="16"/>
  <c r="AL23" i="16"/>
  <c r="AO24" i="16"/>
  <c r="AO23" i="16"/>
  <c r="AR24" i="16"/>
  <c r="AR23" i="16"/>
  <c r="AY25" i="16"/>
  <c r="AY26" i="16"/>
  <c r="BB26" i="16"/>
  <c r="BB25" i="16"/>
  <c r="BE26" i="16"/>
  <c r="BE25" i="16"/>
  <c r="BH25" i="16"/>
  <c r="BH26" i="16"/>
  <c r="BK25" i="16"/>
  <c r="BK26" i="16"/>
  <c r="M26" i="16"/>
  <c r="M25" i="16"/>
  <c r="P26" i="16"/>
  <c r="P25" i="16"/>
  <c r="S25" i="16"/>
  <c r="S26" i="16"/>
  <c r="V26" i="16"/>
  <c r="V25" i="16"/>
  <c r="Y26" i="16"/>
  <c r="Y25" i="16"/>
  <c r="AF25" i="16"/>
  <c r="AF26" i="16"/>
  <c r="AI25" i="16"/>
  <c r="AI26" i="16"/>
  <c r="AL25" i="16"/>
  <c r="AL26" i="16"/>
  <c r="AO25" i="16"/>
  <c r="AO26" i="16"/>
  <c r="AR25" i="16"/>
  <c r="AR26" i="16"/>
  <c r="AY56" i="16"/>
  <c r="AY57" i="16"/>
  <c r="BB57" i="16"/>
  <c r="BB56" i="16"/>
  <c r="BE57" i="16"/>
  <c r="BE56" i="16"/>
  <c r="BH57" i="16"/>
  <c r="BH56" i="16"/>
  <c r="BK56" i="16"/>
  <c r="BK57" i="16"/>
  <c r="M57" i="16"/>
  <c r="M56" i="16"/>
  <c r="S56" i="16"/>
  <c r="S57" i="16"/>
  <c r="V56" i="16"/>
  <c r="V57" i="16"/>
  <c r="Y56" i="16"/>
  <c r="Y57" i="16"/>
  <c r="AF56" i="16"/>
  <c r="AF57" i="16"/>
  <c r="AI56" i="16"/>
  <c r="AI57" i="16"/>
  <c r="AL57" i="16"/>
  <c r="AL56" i="16"/>
  <c r="AO56" i="16"/>
  <c r="AO57" i="16"/>
  <c r="AR57" i="16"/>
  <c r="AR56" i="16"/>
  <c r="AY29" i="16"/>
  <c r="AY28" i="16"/>
  <c r="AY30" i="16"/>
  <c r="BB29" i="16"/>
  <c r="BB30" i="16"/>
  <c r="BB28" i="16"/>
  <c r="BE29" i="16"/>
  <c r="BE30" i="16"/>
  <c r="BE28" i="16"/>
  <c r="BH29" i="16"/>
  <c r="BH30" i="16"/>
  <c r="BH28" i="16"/>
  <c r="BK29" i="16"/>
  <c r="BK28" i="16"/>
  <c r="BK30" i="16"/>
  <c r="M29" i="16"/>
  <c r="M30" i="16"/>
  <c r="M28" i="16"/>
  <c r="P29" i="16"/>
  <c r="P28" i="16"/>
  <c r="P30" i="16"/>
  <c r="S29" i="16"/>
  <c r="S28" i="16"/>
  <c r="S30" i="16"/>
  <c r="V29" i="16"/>
  <c r="V28" i="16"/>
  <c r="V30" i="16"/>
  <c r="Y29" i="16"/>
  <c r="Y28" i="16"/>
  <c r="Y30" i="16"/>
  <c r="AF29" i="16"/>
  <c r="AF28" i="16"/>
  <c r="AF30" i="16"/>
  <c r="AI29" i="16"/>
  <c r="AI28" i="16"/>
  <c r="AI30" i="16"/>
  <c r="AL29" i="16"/>
  <c r="AL30" i="16"/>
  <c r="AL28" i="16"/>
  <c r="AO29" i="16"/>
  <c r="AO28" i="16"/>
  <c r="AO30" i="16"/>
  <c r="AR29" i="16"/>
  <c r="AR30" i="16"/>
  <c r="AR28" i="16"/>
  <c r="AY85" i="16"/>
  <c r="AY86" i="16"/>
  <c r="BB86" i="16"/>
  <c r="BB85" i="16"/>
  <c r="BE86" i="16"/>
  <c r="BE85" i="16"/>
  <c r="BH86" i="16"/>
  <c r="BH85" i="16"/>
  <c r="BK85" i="16"/>
  <c r="BK86" i="16"/>
  <c r="M86" i="16"/>
  <c r="M85" i="16"/>
  <c r="S85" i="16"/>
  <c r="S86" i="16"/>
  <c r="V85" i="16"/>
  <c r="V86" i="16"/>
  <c r="Y85" i="16"/>
  <c r="Y86" i="16"/>
  <c r="AF85" i="16"/>
  <c r="AF86" i="16"/>
  <c r="AI85" i="16"/>
  <c r="AI86" i="16"/>
  <c r="AL86" i="16"/>
  <c r="AL85" i="16"/>
  <c r="AO85" i="16"/>
  <c r="AO86" i="16"/>
  <c r="AR86" i="16"/>
  <c r="AR85" i="16"/>
  <c r="AR15" i="16"/>
  <c r="AR14" i="16"/>
  <c r="AR13" i="16"/>
  <c r="AR12" i="16"/>
  <c r="AR11" i="16"/>
  <c r="AO15" i="16"/>
  <c r="AO14" i="16"/>
  <c r="AO13" i="16"/>
  <c r="AO12" i="16"/>
  <c r="AO11" i="16"/>
  <c r="AL15" i="16"/>
  <c r="AL14" i="16"/>
  <c r="AL13" i="16"/>
  <c r="AL12" i="16"/>
  <c r="AL11" i="16"/>
  <c r="AI15" i="16"/>
  <c r="AI14" i="16"/>
  <c r="AI13" i="16"/>
  <c r="AI12" i="16"/>
  <c r="AI11" i="16"/>
  <c r="AF15" i="16"/>
  <c r="AF14" i="16"/>
  <c r="AF13" i="16"/>
  <c r="AF12" i="16"/>
  <c r="AF11" i="16"/>
  <c r="Y15" i="16"/>
  <c r="Y14" i="16"/>
  <c r="Y13" i="16"/>
  <c r="Y12" i="16"/>
  <c r="Y11" i="16"/>
  <c r="V15" i="16"/>
  <c r="V14" i="16"/>
  <c r="V13" i="16"/>
  <c r="V12" i="16"/>
  <c r="V11" i="16"/>
  <c r="S15" i="16"/>
  <c r="S14" i="16"/>
  <c r="S13" i="16"/>
  <c r="S12" i="16"/>
  <c r="S11" i="16"/>
  <c r="P15" i="16"/>
  <c r="P14" i="16"/>
  <c r="P13" i="16"/>
  <c r="P12" i="16"/>
  <c r="P11" i="16"/>
  <c r="M15" i="16"/>
  <c r="M14" i="16"/>
  <c r="M13" i="16"/>
  <c r="M12" i="16"/>
  <c r="M11" i="16"/>
  <c r="BK15" i="16"/>
  <c r="BK14" i="16"/>
  <c r="BK13" i="16"/>
  <c r="BK12" i="16"/>
  <c r="BK11" i="16"/>
  <c r="BH15" i="16"/>
  <c r="BH14" i="16"/>
  <c r="BH13" i="16"/>
  <c r="BH12" i="16"/>
  <c r="BH11" i="16"/>
  <c r="BE15" i="16"/>
  <c r="BE14" i="16"/>
  <c r="BE13" i="16"/>
  <c r="BE12" i="16"/>
  <c r="BE11" i="16"/>
  <c r="BB15" i="16"/>
  <c r="BB14" i="16"/>
  <c r="BB13" i="16"/>
  <c r="BB12" i="16"/>
  <c r="BB11" i="16"/>
  <c r="AY15" i="16"/>
  <c r="AY14" i="16"/>
  <c r="AY13" i="16"/>
  <c r="AY12" i="16"/>
  <c r="AY11" i="16"/>
  <c r="AR19" i="16"/>
  <c r="AR18" i="16"/>
  <c r="AR17" i="16"/>
  <c r="AR16" i="16"/>
  <c r="AO19" i="16"/>
  <c r="AO18" i="16"/>
  <c r="AO17" i="16"/>
  <c r="AO16" i="16"/>
  <c r="AL19" i="16"/>
  <c r="AL18" i="16"/>
  <c r="AL17" i="16"/>
  <c r="AL16" i="16"/>
  <c r="AI19" i="16"/>
  <c r="AI18" i="16"/>
  <c r="AI17" i="16"/>
  <c r="AI16" i="16"/>
  <c r="AF19" i="16"/>
  <c r="AF18" i="16"/>
  <c r="AF17" i="16"/>
  <c r="AF16" i="16"/>
  <c r="Y19" i="16"/>
  <c r="Y18" i="16"/>
  <c r="Y17" i="16"/>
  <c r="Y16" i="16"/>
  <c r="V19" i="16"/>
  <c r="V18" i="16"/>
  <c r="V17" i="16"/>
  <c r="V16" i="16"/>
  <c r="S19" i="16"/>
  <c r="S18" i="16"/>
  <c r="S17" i="16"/>
  <c r="S16" i="16"/>
  <c r="P19" i="16"/>
  <c r="P18" i="16"/>
  <c r="P17" i="16"/>
  <c r="P16" i="16"/>
  <c r="M19" i="16"/>
  <c r="M18" i="16"/>
  <c r="M17" i="16"/>
  <c r="M16" i="16"/>
  <c r="BK19" i="16"/>
  <c r="BK18" i="16"/>
  <c r="BK17" i="16"/>
  <c r="BK16" i="16"/>
  <c r="BH19" i="16"/>
  <c r="BH18" i="16"/>
  <c r="BH17" i="16"/>
  <c r="BH16" i="16"/>
  <c r="BE19" i="16"/>
  <c r="BE18" i="16"/>
  <c r="BE17" i="16"/>
  <c r="BE16" i="16"/>
  <c r="BB19" i="16"/>
  <c r="BB18" i="16"/>
  <c r="BB17" i="16"/>
  <c r="BB16" i="16"/>
  <c r="AY19" i="16"/>
  <c r="AY18" i="16"/>
  <c r="AY17" i="16"/>
  <c r="AY16" i="16"/>
  <c r="AR21" i="17"/>
  <c r="AR35" i="17"/>
  <c r="AR28" i="17"/>
  <c r="AO21" i="17"/>
  <c r="AO35" i="17"/>
  <c r="AO28" i="17"/>
  <c r="AL21" i="17"/>
  <c r="AL35" i="17"/>
  <c r="AL28" i="17"/>
  <c r="AI21" i="17"/>
  <c r="AI35" i="17"/>
  <c r="AI28" i="17"/>
  <c r="AF21" i="17"/>
  <c r="AF35" i="17"/>
  <c r="AF28" i="17"/>
  <c r="Y21" i="17"/>
  <c r="Y35" i="17"/>
  <c r="Y28" i="17"/>
  <c r="V21" i="17"/>
  <c r="V35" i="17"/>
  <c r="V28" i="17"/>
  <c r="S21" i="17"/>
  <c r="S35" i="17"/>
  <c r="S28" i="17"/>
  <c r="P21" i="17"/>
  <c r="P35" i="17"/>
  <c r="P28" i="17"/>
  <c r="M21" i="17"/>
  <c r="M35" i="17"/>
  <c r="M28" i="17"/>
  <c r="AR129" i="16"/>
  <c r="AR130" i="16"/>
  <c r="AR132" i="16"/>
  <c r="AO129" i="16"/>
  <c r="AO130" i="16"/>
  <c r="AO132" i="16"/>
  <c r="AL129" i="16"/>
  <c r="AL130" i="16"/>
  <c r="AL132" i="16"/>
  <c r="AI129" i="16"/>
  <c r="AI130" i="16"/>
  <c r="AI132" i="16"/>
  <c r="AF129" i="16"/>
  <c r="AF130" i="16"/>
  <c r="AF132" i="16"/>
  <c r="Y129" i="16"/>
  <c r="Y130" i="16"/>
  <c r="Y132" i="16"/>
  <c r="V129" i="16"/>
  <c r="V130" i="16"/>
  <c r="V132" i="16"/>
  <c r="S129" i="16"/>
  <c r="S130" i="16"/>
  <c r="S132" i="16"/>
  <c r="M129" i="16"/>
  <c r="M130" i="16"/>
  <c r="M132" i="16"/>
  <c r="BK129" i="16"/>
  <c r="BK130" i="16"/>
  <c r="BK132" i="16"/>
  <c r="BH129" i="16"/>
  <c r="BH130" i="16"/>
  <c r="BH132" i="16"/>
  <c r="BE129" i="16"/>
  <c r="BE130" i="16"/>
  <c r="BE132" i="16"/>
  <c r="BB129" i="16"/>
  <c r="BB130" i="16"/>
  <c r="BB132" i="16"/>
  <c r="AY129" i="16"/>
  <c r="AY130" i="16"/>
  <c r="AY132" i="16"/>
  <c r="AR195" i="16"/>
  <c r="AR196" i="16"/>
  <c r="AO195" i="16"/>
  <c r="AO196" i="16"/>
  <c r="AL195" i="16"/>
  <c r="AL196" i="16"/>
  <c r="AI195" i="16"/>
  <c r="AI196" i="16"/>
  <c r="AF195" i="16"/>
  <c r="AF196" i="16"/>
  <c r="Y195" i="16"/>
  <c r="Y196" i="16"/>
  <c r="V195" i="16"/>
  <c r="V196" i="16"/>
  <c r="S195" i="16"/>
  <c r="S196" i="16"/>
  <c r="M195" i="16"/>
  <c r="M196" i="16"/>
  <c r="BK195" i="16"/>
  <c r="BK196" i="16"/>
  <c r="BH195" i="16"/>
  <c r="BH196" i="16"/>
  <c r="BE195" i="16"/>
  <c r="BE196" i="16"/>
  <c r="BB195" i="16"/>
  <c r="BB196" i="16"/>
  <c r="AY195" i="16"/>
  <c r="AY196" i="16"/>
  <c r="AR128" i="16"/>
  <c r="AO128" i="16"/>
  <c r="AL128" i="16"/>
  <c r="AI128" i="16"/>
  <c r="AF128" i="16"/>
  <c r="Y128" i="16"/>
  <c r="V128" i="16"/>
  <c r="S128" i="16"/>
  <c r="M128" i="16"/>
  <c r="BK128" i="16"/>
  <c r="BH128" i="16"/>
  <c r="BE128" i="16"/>
  <c r="BB128" i="16"/>
  <c r="AY128" i="16"/>
  <c r="AR125" i="16"/>
  <c r="AR126" i="16"/>
  <c r="AR127" i="16"/>
  <c r="AR133" i="16"/>
  <c r="AR134" i="16"/>
  <c r="AO125" i="16"/>
  <c r="AO126" i="16"/>
  <c r="AO127" i="16"/>
  <c r="AO133" i="16"/>
  <c r="AO134" i="16"/>
  <c r="AL125" i="16"/>
  <c r="AL126" i="16"/>
  <c r="AL127" i="16"/>
  <c r="AL133" i="16"/>
  <c r="AL134" i="16"/>
  <c r="AI125" i="16"/>
  <c r="AI126" i="16"/>
  <c r="AI127" i="16"/>
  <c r="AI133" i="16"/>
  <c r="AI134" i="16"/>
  <c r="AF125" i="16"/>
  <c r="AF126" i="16"/>
  <c r="AF127" i="16"/>
  <c r="AF133" i="16"/>
  <c r="AF134" i="16"/>
  <c r="Y125" i="16"/>
  <c r="Y126" i="16"/>
  <c r="Y127" i="16"/>
  <c r="Y133" i="16"/>
  <c r="Y134" i="16"/>
  <c r="V125" i="16"/>
  <c r="V126" i="16"/>
  <c r="V127" i="16"/>
  <c r="V133" i="16"/>
  <c r="V134" i="16"/>
  <c r="S125" i="16"/>
  <c r="S126" i="16"/>
  <c r="S127" i="16"/>
  <c r="S133" i="16"/>
  <c r="S134" i="16"/>
  <c r="M125" i="16"/>
  <c r="M126" i="16"/>
  <c r="M127" i="16"/>
  <c r="M133" i="16"/>
  <c r="M134" i="16"/>
  <c r="BK125" i="16"/>
  <c r="BK126" i="16"/>
  <c r="BK127" i="16"/>
  <c r="BK133" i="16"/>
  <c r="BK134" i="16"/>
  <c r="BH125" i="16"/>
  <c r="BH126" i="16"/>
  <c r="BH127" i="16"/>
  <c r="BH133" i="16"/>
  <c r="BH134" i="16"/>
  <c r="BE125" i="16"/>
  <c r="BE126" i="16"/>
  <c r="BE127" i="16"/>
  <c r="BE133" i="16"/>
  <c r="BE134" i="16"/>
  <c r="BB125" i="16"/>
  <c r="BB126" i="16"/>
  <c r="BB127" i="16"/>
  <c r="BB133" i="16"/>
  <c r="BB134" i="16"/>
  <c r="AY125" i="16"/>
  <c r="AY126" i="16"/>
  <c r="AY127" i="16"/>
  <c r="AY133" i="16"/>
  <c r="AY134" i="16"/>
  <c r="AR121" i="16"/>
  <c r="AR122" i="16"/>
  <c r="AR123" i="16"/>
  <c r="AR124" i="16"/>
  <c r="AO121" i="16"/>
  <c r="AO122" i="16"/>
  <c r="AO123" i="16"/>
  <c r="AO124" i="16"/>
  <c r="AL121" i="16"/>
  <c r="AL122" i="16"/>
  <c r="AL123" i="16"/>
  <c r="AL124" i="16"/>
  <c r="AI121" i="16"/>
  <c r="AI122" i="16"/>
  <c r="AI123" i="16"/>
  <c r="AI124" i="16"/>
  <c r="AF121" i="16"/>
  <c r="AF122" i="16"/>
  <c r="AF123" i="16"/>
  <c r="AF124" i="16"/>
  <c r="Y121" i="16"/>
  <c r="Y122" i="16"/>
  <c r="Y123" i="16"/>
  <c r="Y124" i="16"/>
  <c r="V121" i="16"/>
  <c r="V122" i="16"/>
  <c r="V123" i="16"/>
  <c r="V124" i="16"/>
  <c r="S121" i="16"/>
  <c r="S122" i="16"/>
  <c r="S123" i="16"/>
  <c r="S124" i="16"/>
  <c r="M121" i="16"/>
  <c r="M122" i="16"/>
  <c r="M123" i="16"/>
  <c r="M124" i="16"/>
  <c r="BK121" i="16"/>
  <c r="BK122" i="16"/>
  <c r="BK123" i="16"/>
  <c r="BK124" i="16"/>
  <c r="BH121" i="16"/>
  <c r="BH122" i="16"/>
  <c r="BH123" i="16"/>
  <c r="BH124" i="16"/>
  <c r="BE121" i="16"/>
  <c r="BE122" i="16"/>
  <c r="BE123" i="16"/>
  <c r="BE124" i="16"/>
  <c r="BB121" i="16"/>
  <c r="BB122" i="16"/>
  <c r="BB123" i="16"/>
  <c r="BB124" i="16"/>
  <c r="AY121" i="16"/>
  <c r="AY122" i="16"/>
  <c r="AY123" i="16"/>
  <c r="AY124" i="16"/>
  <c r="AR26" i="17"/>
  <c r="AR80" i="17"/>
  <c r="AR81" i="17"/>
  <c r="AR82" i="17"/>
  <c r="AR87" i="17"/>
  <c r="AR79" i="17"/>
  <c r="AO26" i="17"/>
  <c r="AO80" i="17"/>
  <c r="AO81" i="17"/>
  <c r="AO82" i="17"/>
  <c r="AO87" i="17"/>
  <c r="AO79" i="17"/>
  <c r="AL26" i="17"/>
  <c r="AL80" i="17"/>
  <c r="AL81" i="17"/>
  <c r="AL82" i="17"/>
  <c r="AL87" i="17"/>
  <c r="AL79" i="17"/>
  <c r="AI26" i="17"/>
  <c r="AI80" i="17"/>
  <c r="AI81" i="17"/>
  <c r="AI82" i="17"/>
  <c r="AI87" i="17"/>
  <c r="AI79" i="17"/>
  <c r="AF26" i="17"/>
  <c r="AF80" i="17"/>
  <c r="AF81" i="17"/>
  <c r="AF82" i="17"/>
  <c r="AF87" i="17"/>
  <c r="AF79" i="17"/>
  <c r="Y26" i="17"/>
  <c r="Y80" i="17"/>
  <c r="Y81" i="17"/>
  <c r="Y82" i="17"/>
  <c r="Y87" i="17"/>
  <c r="Y79" i="17"/>
  <c r="V26" i="17"/>
  <c r="V80" i="17"/>
  <c r="V81" i="17"/>
  <c r="V82" i="17"/>
  <c r="V87" i="17"/>
  <c r="V79" i="17"/>
  <c r="S26" i="17"/>
  <c r="S80" i="17"/>
  <c r="S81" i="17"/>
  <c r="S82" i="17"/>
  <c r="S87" i="17"/>
  <c r="S79" i="17"/>
  <c r="P26" i="17"/>
  <c r="P80" i="17"/>
  <c r="P81" i="17"/>
  <c r="P82" i="17"/>
  <c r="P87" i="17"/>
  <c r="P79" i="17"/>
  <c r="M26" i="17"/>
  <c r="M80" i="17"/>
  <c r="M81" i="17"/>
  <c r="M82" i="17"/>
  <c r="M87" i="17"/>
  <c r="M79" i="17"/>
  <c r="AR161" i="16"/>
  <c r="AR162" i="16"/>
  <c r="AO161" i="16"/>
  <c r="AO162" i="16"/>
  <c r="AL161" i="16"/>
  <c r="AL162" i="16"/>
  <c r="AI161" i="16"/>
  <c r="AI162" i="16"/>
  <c r="AF161" i="16"/>
  <c r="AF162" i="16"/>
  <c r="Y161" i="16"/>
  <c r="Y162" i="16"/>
  <c r="V161" i="16"/>
  <c r="V162" i="16"/>
  <c r="S161" i="16"/>
  <c r="S162" i="16"/>
  <c r="M161" i="16"/>
  <c r="M162" i="16"/>
  <c r="BK161" i="16"/>
  <c r="BK162" i="16"/>
  <c r="BH161" i="16"/>
  <c r="BH162" i="16"/>
  <c r="BE161" i="16"/>
  <c r="BE162" i="16"/>
  <c r="BB161" i="16"/>
  <c r="BB162" i="16"/>
  <c r="AY161" i="16"/>
  <c r="AY162" i="16"/>
  <c r="AR159" i="16"/>
  <c r="AR160" i="16"/>
  <c r="AO159" i="16"/>
  <c r="AO160" i="16"/>
  <c r="AL159" i="16"/>
  <c r="AL160" i="16"/>
  <c r="AI159" i="16"/>
  <c r="AI160" i="16"/>
  <c r="AF159" i="16"/>
  <c r="AF160" i="16"/>
  <c r="Y159" i="16"/>
  <c r="Y160" i="16"/>
  <c r="V159" i="16"/>
  <c r="V160" i="16"/>
  <c r="S159" i="16"/>
  <c r="S160" i="16"/>
  <c r="M159" i="16"/>
  <c r="M160" i="16"/>
  <c r="BK159" i="16"/>
  <c r="BK160" i="16"/>
  <c r="BH159" i="16"/>
  <c r="BH160" i="16"/>
  <c r="BE159" i="16"/>
  <c r="BE160" i="16"/>
  <c r="BB159" i="16"/>
  <c r="BB160" i="16"/>
  <c r="AY159" i="16"/>
  <c r="AY160" i="16"/>
  <c r="AR117" i="16"/>
  <c r="AR118" i="16"/>
  <c r="AR119" i="16"/>
  <c r="AR120" i="16"/>
  <c r="AO117" i="16"/>
  <c r="AO118" i="16"/>
  <c r="AO119" i="16"/>
  <c r="AO120" i="16"/>
  <c r="AL117" i="16"/>
  <c r="AL118" i="16"/>
  <c r="AL119" i="16"/>
  <c r="AL120" i="16"/>
  <c r="AI117" i="16"/>
  <c r="AI118" i="16"/>
  <c r="AI119" i="16"/>
  <c r="AI120" i="16"/>
  <c r="AF117" i="16"/>
  <c r="AF118" i="16"/>
  <c r="AF119" i="16"/>
  <c r="AF120" i="16"/>
  <c r="Y117" i="16"/>
  <c r="Y118" i="16"/>
  <c r="Y119" i="16"/>
  <c r="Y120" i="16"/>
  <c r="V117" i="16"/>
  <c r="V118" i="16"/>
  <c r="V119" i="16"/>
  <c r="V120" i="16"/>
  <c r="S117" i="16"/>
  <c r="S118" i="16"/>
  <c r="S119" i="16"/>
  <c r="S120" i="16"/>
  <c r="M117" i="16"/>
  <c r="M118" i="16"/>
  <c r="M119" i="16"/>
  <c r="M120" i="16"/>
  <c r="BK117" i="16"/>
  <c r="BK118" i="16"/>
  <c r="BK119" i="16"/>
  <c r="BK120" i="16"/>
  <c r="BH117" i="16"/>
  <c r="BH118" i="16"/>
  <c r="BH119" i="16"/>
  <c r="BH120" i="16"/>
  <c r="BE117" i="16"/>
  <c r="BE118" i="16"/>
  <c r="BE119" i="16"/>
  <c r="BE120" i="16"/>
  <c r="BB117" i="16"/>
  <c r="BB118" i="16"/>
  <c r="BB119" i="16"/>
  <c r="BB120" i="16"/>
  <c r="AY117" i="16"/>
  <c r="AY118" i="16"/>
  <c r="AY119" i="16"/>
  <c r="AY120" i="16"/>
  <c r="AR115" i="16"/>
  <c r="AR116" i="16"/>
  <c r="AO115" i="16"/>
  <c r="AO116" i="16"/>
  <c r="AL115" i="16"/>
  <c r="AL116" i="16"/>
  <c r="AI115" i="16"/>
  <c r="AI116" i="16"/>
  <c r="AF115" i="16"/>
  <c r="AF116" i="16"/>
  <c r="Y115" i="16"/>
  <c r="Y116" i="16"/>
  <c r="V115" i="16"/>
  <c r="V116" i="16"/>
  <c r="S115" i="16"/>
  <c r="S116" i="16"/>
  <c r="M115" i="16"/>
  <c r="M116" i="16"/>
  <c r="BK115" i="16"/>
  <c r="BK116" i="16"/>
  <c r="BH115" i="16"/>
  <c r="BH116" i="16"/>
  <c r="BE115" i="16"/>
  <c r="BE116" i="16"/>
  <c r="BB115" i="16"/>
  <c r="BB116" i="16"/>
  <c r="AY115" i="16"/>
  <c r="AY116" i="16"/>
  <c r="AR135" i="16"/>
  <c r="AR136" i="16"/>
  <c r="AR137" i="16"/>
  <c r="AR138" i="16"/>
  <c r="AO135" i="16"/>
  <c r="AO136" i="16"/>
  <c r="AO137" i="16"/>
  <c r="AO138" i="16"/>
  <c r="AL135" i="16"/>
  <c r="AL136" i="16"/>
  <c r="AL137" i="16"/>
  <c r="AL138" i="16"/>
  <c r="AI135" i="16"/>
  <c r="AI136" i="16"/>
  <c r="AI137" i="16"/>
  <c r="AI138" i="16"/>
  <c r="AF135" i="16"/>
  <c r="AF136" i="16"/>
  <c r="AF137" i="16"/>
  <c r="AF138" i="16"/>
  <c r="Y135" i="16"/>
  <c r="Y136" i="16"/>
  <c r="Y137" i="16"/>
  <c r="Y138" i="16"/>
  <c r="V135" i="16"/>
  <c r="V136" i="16"/>
  <c r="V137" i="16"/>
  <c r="V138" i="16"/>
  <c r="S135" i="16"/>
  <c r="S136" i="16"/>
  <c r="S137" i="16"/>
  <c r="S138" i="16"/>
  <c r="M135" i="16"/>
  <c r="M136" i="16"/>
  <c r="M137" i="16"/>
  <c r="M138" i="16"/>
  <c r="BK135" i="16"/>
  <c r="BK136" i="16"/>
  <c r="BK137" i="16"/>
  <c r="BK138" i="16"/>
  <c r="BH135" i="16"/>
  <c r="BH136" i="16"/>
  <c r="BH137" i="16"/>
  <c r="BH138" i="16"/>
  <c r="BE135" i="16"/>
  <c r="BE136" i="16"/>
  <c r="BE137" i="16"/>
  <c r="BE138" i="16"/>
  <c r="BB135" i="16"/>
  <c r="BB136" i="16"/>
  <c r="BB137" i="16"/>
  <c r="BB138" i="16"/>
  <c r="AY135" i="16"/>
  <c r="AY136" i="16"/>
  <c r="AY137" i="16"/>
  <c r="AY138" i="16"/>
  <c r="AR185" i="16"/>
  <c r="AR186" i="16"/>
  <c r="AO185" i="16"/>
  <c r="AO186" i="16"/>
  <c r="AL185" i="16"/>
  <c r="AL186" i="16"/>
  <c r="AI185" i="16"/>
  <c r="AI186" i="16"/>
  <c r="AF185" i="16"/>
  <c r="AF186" i="16"/>
  <c r="Y185" i="16"/>
  <c r="Y186" i="16"/>
  <c r="V185" i="16"/>
  <c r="V186" i="16"/>
  <c r="S185" i="16"/>
  <c r="S186" i="16"/>
  <c r="M185" i="16"/>
  <c r="M186" i="16"/>
  <c r="BK185" i="16"/>
  <c r="BK186" i="16"/>
  <c r="BH185" i="16"/>
  <c r="BH186" i="16"/>
  <c r="BE185" i="16"/>
  <c r="BE186" i="16"/>
  <c r="BB185" i="16"/>
  <c r="BB186" i="16"/>
  <c r="AY185" i="16"/>
  <c r="AY186" i="16"/>
  <c r="AR183" i="16"/>
  <c r="AR184" i="16"/>
  <c r="AO183" i="16"/>
  <c r="AO184" i="16"/>
  <c r="AL183" i="16"/>
  <c r="AL184" i="16"/>
  <c r="AI183" i="16"/>
  <c r="AI184" i="16"/>
  <c r="AF183" i="16"/>
  <c r="AF184" i="16"/>
  <c r="Y183" i="16"/>
  <c r="Y184" i="16"/>
  <c r="V183" i="16"/>
  <c r="V184" i="16"/>
  <c r="S183" i="16"/>
  <c r="S184" i="16"/>
  <c r="M183" i="16"/>
  <c r="M184" i="16"/>
  <c r="BK183" i="16"/>
  <c r="BK184" i="16"/>
  <c r="BH183" i="16"/>
  <c r="BH184" i="16"/>
  <c r="BE183" i="16"/>
  <c r="BE184" i="16"/>
  <c r="BB183" i="16"/>
  <c r="BB184" i="16"/>
  <c r="AY183" i="16"/>
  <c r="AY184" i="16"/>
  <c r="AR180" i="16"/>
  <c r="AR181" i="16"/>
  <c r="AR182" i="16"/>
  <c r="AO180" i="16"/>
  <c r="AO181" i="16"/>
  <c r="AO182" i="16"/>
  <c r="AL180" i="16"/>
  <c r="AL181" i="16"/>
  <c r="AL182" i="16"/>
  <c r="AI180" i="16"/>
  <c r="AI181" i="16"/>
  <c r="AI182" i="16"/>
  <c r="AF180" i="16"/>
  <c r="AF181" i="16"/>
  <c r="AF182" i="16"/>
  <c r="Y180" i="16"/>
  <c r="Y181" i="16"/>
  <c r="Y182" i="16"/>
  <c r="V180" i="16"/>
  <c r="V181" i="16"/>
  <c r="V182" i="16"/>
  <c r="S180" i="16"/>
  <c r="S181" i="16"/>
  <c r="S182" i="16"/>
  <c r="M180" i="16"/>
  <c r="M181" i="16"/>
  <c r="M182" i="16"/>
  <c r="BK180" i="16"/>
  <c r="BK181" i="16"/>
  <c r="BK182" i="16"/>
  <c r="BH180" i="16"/>
  <c r="BH181" i="16"/>
  <c r="BH182" i="16"/>
  <c r="BE180" i="16"/>
  <c r="BE181" i="16"/>
  <c r="BE182" i="16"/>
  <c r="BB180" i="16"/>
  <c r="BB181" i="16"/>
  <c r="BB182" i="16"/>
  <c r="AY180" i="16"/>
  <c r="AY181" i="16"/>
  <c r="AY182" i="16"/>
  <c r="AR179" i="16"/>
  <c r="AO179" i="16"/>
  <c r="AL179" i="16"/>
  <c r="AI179" i="16"/>
  <c r="AF179" i="16"/>
  <c r="Y179" i="16"/>
  <c r="V179" i="16"/>
  <c r="S179" i="16"/>
  <c r="M179" i="16"/>
  <c r="BK179" i="16"/>
  <c r="BH179" i="16"/>
  <c r="BE179" i="16"/>
  <c r="BB179" i="16"/>
  <c r="AY179" i="16"/>
  <c r="AR23" i="17"/>
  <c r="AR24" i="17"/>
  <c r="AR25" i="17"/>
  <c r="AR14" i="17"/>
  <c r="AO23" i="17"/>
  <c r="AO24" i="17"/>
  <c r="AO25" i="17"/>
  <c r="AO14" i="17"/>
  <c r="AL23" i="17"/>
  <c r="AL24" i="17"/>
  <c r="AL25" i="17"/>
  <c r="AL14" i="17"/>
  <c r="AI23" i="17"/>
  <c r="AI24" i="17"/>
  <c r="AI25" i="17"/>
  <c r="AI14" i="17"/>
  <c r="AF23" i="17"/>
  <c r="AF24" i="17"/>
  <c r="AF25" i="17"/>
  <c r="AF14" i="17"/>
  <c r="Y23" i="17"/>
  <c r="Y24" i="17"/>
  <c r="Y25" i="17"/>
  <c r="Y14" i="17"/>
  <c r="V23" i="17"/>
  <c r="V24" i="17"/>
  <c r="V25" i="17"/>
  <c r="V14" i="17"/>
  <c r="S23" i="17"/>
  <c r="S24" i="17"/>
  <c r="S25" i="17"/>
  <c r="S14" i="17"/>
  <c r="P23" i="17"/>
  <c r="P24" i="17"/>
  <c r="P25" i="17"/>
  <c r="P14" i="17"/>
  <c r="M23" i="17"/>
  <c r="M24" i="17"/>
  <c r="M25" i="17"/>
  <c r="M14" i="17"/>
  <c r="AR34" i="17"/>
  <c r="AR33" i="17"/>
  <c r="AR32" i="17"/>
  <c r="AR31" i="17"/>
  <c r="AR30" i="17"/>
  <c r="AO34" i="17"/>
  <c r="AO33" i="17"/>
  <c r="AO32" i="17"/>
  <c r="AO31" i="17"/>
  <c r="AO30" i="17"/>
  <c r="AL34" i="17"/>
  <c r="AL33" i="17"/>
  <c r="AL32" i="17"/>
  <c r="AL31" i="17"/>
  <c r="AL30" i="17"/>
  <c r="AI34" i="17"/>
  <c r="AI33" i="17"/>
  <c r="AI32" i="17"/>
  <c r="AI31" i="17"/>
  <c r="AI30" i="17"/>
  <c r="AF34" i="17"/>
  <c r="AF33" i="17"/>
  <c r="AF32" i="17"/>
  <c r="AF31" i="17"/>
  <c r="AF30" i="17"/>
  <c r="Y34" i="17"/>
  <c r="Y33" i="17"/>
  <c r="Y32" i="17"/>
  <c r="Y31" i="17"/>
  <c r="Y30" i="17"/>
  <c r="V34" i="17"/>
  <c r="V33" i="17"/>
  <c r="V32" i="17"/>
  <c r="V31" i="17"/>
  <c r="V30" i="17"/>
  <c r="S34" i="17"/>
  <c r="S33" i="17"/>
  <c r="S32" i="17"/>
  <c r="S31" i="17"/>
  <c r="S30" i="17"/>
  <c r="P34" i="17"/>
  <c r="P33" i="17"/>
  <c r="P32" i="17"/>
  <c r="P31" i="17"/>
  <c r="P30" i="17"/>
  <c r="M34" i="17"/>
  <c r="M33" i="17"/>
  <c r="M32" i="17"/>
  <c r="M31" i="17"/>
  <c r="M30" i="17"/>
  <c r="AR10" i="17"/>
  <c r="AR9" i="17"/>
  <c r="AR8" i="17"/>
  <c r="AR7" i="17"/>
  <c r="AO10" i="17"/>
  <c r="AO9" i="17"/>
  <c r="AO8" i="17"/>
  <c r="AO7" i="17"/>
  <c r="AL10" i="17"/>
  <c r="AL9" i="17"/>
  <c r="AL8" i="17"/>
  <c r="AL7" i="17"/>
  <c r="AI10" i="17"/>
  <c r="AI9" i="17"/>
  <c r="AI8" i="17"/>
  <c r="AI7" i="17"/>
  <c r="AF10" i="17"/>
  <c r="AF9" i="17"/>
  <c r="AF8" i="17"/>
  <c r="AF7" i="17"/>
  <c r="Y10" i="17"/>
  <c r="Y9" i="17"/>
  <c r="Y8" i="17"/>
  <c r="Y7" i="17"/>
  <c r="V10" i="17"/>
  <c r="V9" i="17"/>
  <c r="V8" i="17"/>
  <c r="V7" i="17"/>
  <c r="S10" i="17"/>
  <c r="S9" i="17"/>
  <c r="S8" i="17"/>
  <c r="S7" i="17"/>
  <c r="P10" i="17"/>
  <c r="P9" i="17"/>
  <c r="P8" i="17"/>
  <c r="P7" i="17"/>
  <c r="M10" i="17"/>
  <c r="M9" i="17"/>
  <c r="M8" i="17"/>
  <c r="M7" i="17"/>
  <c r="AR114" i="16"/>
  <c r="AR113" i="16"/>
  <c r="AR112" i="16"/>
  <c r="AR111" i="16"/>
  <c r="AR110" i="16"/>
  <c r="AR109" i="16"/>
  <c r="AR108" i="16"/>
  <c r="AR107" i="16"/>
  <c r="AO114" i="16"/>
  <c r="AO113" i="16"/>
  <c r="AO112" i="16"/>
  <c r="AO111" i="16"/>
  <c r="AO110" i="16"/>
  <c r="AO109" i="16"/>
  <c r="AO108" i="16"/>
  <c r="AO107" i="16"/>
  <c r="AL114" i="16"/>
  <c r="AL113" i="16"/>
  <c r="AL112" i="16"/>
  <c r="AL111" i="16"/>
  <c r="AL110" i="16"/>
  <c r="AL109" i="16"/>
  <c r="AL108" i="16"/>
  <c r="AL107" i="16"/>
  <c r="AI114" i="16"/>
  <c r="AI113" i="16"/>
  <c r="AI112" i="16"/>
  <c r="AI111" i="16"/>
  <c r="AI110" i="16"/>
  <c r="AI109" i="16"/>
  <c r="AI108" i="16"/>
  <c r="AI107" i="16"/>
  <c r="AF114" i="16"/>
  <c r="AF113" i="16"/>
  <c r="AF112" i="16"/>
  <c r="AF111" i="16"/>
  <c r="AF110" i="16"/>
  <c r="AF109" i="16"/>
  <c r="AF108" i="16"/>
  <c r="AF107" i="16"/>
  <c r="Y114" i="16"/>
  <c r="Y113" i="16"/>
  <c r="Y112" i="16"/>
  <c r="Y111" i="16"/>
  <c r="Y110" i="16"/>
  <c r="Y109" i="16"/>
  <c r="Y108" i="16"/>
  <c r="Y107" i="16"/>
  <c r="V114" i="16"/>
  <c r="V113" i="16"/>
  <c r="V112" i="16"/>
  <c r="V111" i="16"/>
  <c r="V110" i="16"/>
  <c r="V109" i="16"/>
  <c r="V108" i="16"/>
  <c r="V107" i="16"/>
  <c r="S114" i="16"/>
  <c r="S113" i="16"/>
  <c r="S112" i="16"/>
  <c r="S111" i="16"/>
  <c r="S110" i="16"/>
  <c r="S109" i="16"/>
  <c r="S108" i="16"/>
  <c r="S107" i="16"/>
  <c r="M114" i="16"/>
  <c r="M113" i="16"/>
  <c r="M112" i="16"/>
  <c r="M111" i="16"/>
  <c r="M110" i="16"/>
  <c r="M109" i="16"/>
  <c r="M108" i="16"/>
  <c r="M107" i="16"/>
  <c r="BK114" i="16"/>
  <c r="BK113" i="16"/>
  <c r="BK112" i="16"/>
  <c r="BK111" i="16"/>
  <c r="BK110" i="16"/>
  <c r="BK109" i="16"/>
  <c r="BK108" i="16"/>
  <c r="BK107" i="16"/>
  <c r="BH114" i="16"/>
  <c r="BH113" i="16"/>
  <c r="BH112" i="16"/>
  <c r="BH111" i="16"/>
  <c r="BH110" i="16"/>
  <c r="BH109" i="16"/>
  <c r="BH108" i="16"/>
  <c r="BH107" i="16"/>
  <c r="BE114" i="16"/>
  <c r="BE113" i="16"/>
  <c r="BE112" i="16"/>
  <c r="BE111" i="16"/>
  <c r="BE110" i="16"/>
  <c r="BE109" i="16"/>
  <c r="BE108" i="16"/>
  <c r="BE107" i="16"/>
  <c r="BB114" i="16"/>
  <c r="BB113" i="16"/>
  <c r="BB112" i="16"/>
  <c r="BB111" i="16"/>
  <c r="BB110" i="16"/>
  <c r="BB109" i="16"/>
  <c r="BB108" i="16"/>
  <c r="BB107" i="16"/>
  <c r="AY114" i="16"/>
  <c r="AY113" i="16"/>
  <c r="AY112" i="16"/>
  <c r="AY111" i="16"/>
  <c r="AY110" i="16"/>
  <c r="AY109" i="16"/>
  <c r="AY108" i="16"/>
  <c r="AY107" i="16"/>
  <c r="AR64" i="16"/>
  <c r="AR55" i="16"/>
  <c r="AR54" i="16"/>
  <c r="AO64" i="16"/>
  <c r="AO55" i="16"/>
  <c r="AO54" i="16"/>
  <c r="AL64" i="16"/>
  <c r="AL55" i="16"/>
  <c r="AL54" i="16"/>
  <c r="AI64" i="16"/>
  <c r="AI55" i="16"/>
  <c r="AI54" i="16"/>
  <c r="AF64" i="16"/>
  <c r="AF55" i="16"/>
  <c r="AF54" i="16"/>
  <c r="Y64" i="16"/>
  <c r="Y55" i="16"/>
  <c r="Y54" i="16"/>
  <c r="V64" i="16"/>
  <c r="V55" i="16"/>
  <c r="V54" i="16"/>
  <c r="S64" i="16"/>
  <c r="S55" i="16"/>
  <c r="S54" i="16"/>
  <c r="M64" i="16"/>
  <c r="M55" i="16"/>
  <c r="M54" i="16"/>
  <c r="BK64" i="16"/>
  <c r="BK55" i="16"/>
  <c r="BK54" i="16"/>
  <c r="BH64" i="16"/>
  <c r="BH55" i="16"/>
  <c r="BH54" i="16"/>
  <c r="BE64" i="16"/>
  <c r="BE55" i="16"/>
  <c r="BE54" i="16"/>
  <c r="BB64" i="16"/>
  <c r="BB55" i="16"/>
  <c r="BB54" i="16"/>
  <c r="AY64" i="16"/>
  <c r="AY55" i="16"/>
  <c r="AY54" i="16"/>
  <c r="AR227" i="16"/>
  <c r="AO227" i="16"/>
  <c r="AL227" i="16"/>
  <c r="AI227" i="16"/>
  <c r="AF227" i="16"/>
  <c r="Y227" i="16"/>
  <c r="V227" i="16"/>
  <c r="S227" i="16"/>
  <c r="M227" i="16"/>
  <c r="BK227" i="16"/>
  <c r="BH227" i="16"/>
  <c r="BE227" i="16"/>
  <c r="BB227" i="16"/>
  <c r="AY227" i="16"/>
  <c r="AR226" i="16"/>
  <c r="AR225" i="16"/>
  <c r="AR222" i="16"/>
  <c r="AO226" i="16"/>
  <c r="AO225" i="16"/>
  <c r="AO222" i="16"/>
  <c r="AL226" i="16"/>
  <c r="AL225" i="16"/>
  <c r="AL222" i="16"/>
  <c r="AI226" i="16"/>
  <c r="AI225" i="16"/>
  <c r="AI222" i="16"/>
  <c r="AF226" i="16"/>
  <c r="AF225" i="16"/>
  <c r="AF222" i="16"/>
  <c r="Y226" i="16"/>
  <c r="Y225" i="16"/>
  <c r="Y222" i="16"/>
  <c r="V226" i="16"/>
  <c r="V225" i="16"/>
  <c r="V222" i="16"/>
  <c r="S226" i="16"/>
  <c r="S225" i="16"/>
  <c r="S222" i="16"/>
  <c r="M226" i="16"/>
  <c r="M225" i="16"/>
  <c r="M222" i="16"/>
  <c r="BK226" i="16"/>
  <c r="BK225" i="16"/>
  <c r="BK222" i="16"/>
  <c r="BH226" i="16"/>
  <c r="BH225" i="16"/>
  <c r="BH222" i="16"/>
  <c r="BE226" i="16"/>
  <c r="BE225" i="16"/>
  <c r="BE222" i="16"/>
  <c r="BB226" i="16"/>
  <c r="BB225" i="16"/>
  <c r="BB222" i="16"/>
  <c r="AY226" i="16"/>
  <c r="AY225" i="16"/>
  <c r="AY222" i="16"/>
  <c r="AR65" i="16"/>
  <c r="AO65" i="16"/>
  <c r="AL65" i="16"/>
  <c r="AI65" i="16"/>
  <c r="AF65" i="16"/>
  <c r="Y65" i="16"/>
  <c r="V65" i="16"/>
  <c r="S65" i="16"/>
  <c r="M65" i="16"/>
  <c r="BK65" i="16"/>
  <c r="BH65" i="16"/>
  <c r="BE65" i="16"/>
  <c r="BB65" i="16"/>
  <c r="AY65" i="16"/>
  <c r="AR169" i="16"/>
  <c r="AO169" i="16"/>
  <c r="AL169" i="16"/>
  <c r="AI169" i="16"/>
  <c r="AF169" i="16"/>
  <c r="Y169" i="16"/>
  <c r="V169" i="16"/>
  <c r="S169" i="16"/>
  <c r="M169" i="16"/>
  <c r="BK169" i="16"/>
  <c r="BH169" i="16"/>
  <c r="BE169" i="16"/>
  <c r="BB169" i="16"/>
  <c r="AY169" i="16"/>
  <c r="AR167" i="16"/>
  <c r="AR168" i="16"/>
  <c r="AO167" i="16"/>
  <c r="AO168" i="16"/>
  <c r="AL167" i="16"/>
  <c r="AL168" i="16"/>
  <c r="AI167" i="16"/>
  <c r="AI168" i="16"/>
  <c r="AF167" i="16"/>
  <c r="AF168" i="16"/>
  <c r="Y167" i="16"/>
  <c r="Y168" i="16"/>
  <c r="V167" i="16"/>
  <c r="V168" i="16"/>
  <c r="S167" i="16"/>
  <c r="S168" i="16"/>
  <c r="M167" i="16"/>
  <c r="M168" i="16"/>
  <c r="BK167" i="16"/>
  <c r="BK168" i="16"/>
  <c r="BH167" i="16"/>
  <c r="BH168" i="16"/>
  <c r="BE167" i="16"/>
  <c r="BE168" i="16"/>
  <c r="BB167" i="16"/>
  <c r="BB168" i="16"/>
  <c r="AY167" i="16"/>
  <c r="AY168" i="16"/>
  <c r="AR105" i="16"/>
  <c r="AR104" i="16"/>
  <c r="AO105" i="16"/>
  <c r="AO104" i="16"/>
  <c r="AL105" i="16"/>
  <c r="AL104" i="16"/>
  <c r="AI105" i="16"/>
  <c r="AI104" i="16"/>
  <c r="AF105" i="16"/>
  <c r="AF104" i="16"/>
  <c r="Y105" i="16"/>
  <c r="Y104" i="16"/>
  <c r="V105" i="16"/>
  <c r="V104" i="16"/>
  <c r="S105" i="16"/>
  <c r="S104" i="16"/>
  <c r="M105" i="16"/>
  <c r="M104" i="16"/>
  <c r="BK105" i="16"/>
  <c r="BK104" i="16"/>
  <c r="BH105" i="16"/>
  <c r="BH104" i="16"/>
  <c r="BE105" i="16"/>
  <c r="BE104" i="16"/>
  <c r="BB105" i="16"/>
  <c r="BB104" i="16"/>
  <c r="AY105" i="16"/>
  <c r="AY104" i="16"/>
  <c r="AR95" i="16"/>
  <c r="AR96" i="16"/>
  <c r="AO95" i="16"/>
  <c r="AO96" i="16"/>
  <c r="AL95" i="16"/>
  <c r="AL96" i="16"/>
  <c r="AI95" i="16"/>
  <c r="AI96" i="16"/>
  <c r="AF95" i="16"/>
  <c r="AF96" i="16"/>
  <c r="Y95" i="16"/>
  <c r="Y96" i="16"/>
  <c r="V95" i="16"/>
  <c r="V96" i="16"/>
  <c r="S95" i="16"/>
  <c r="S96" i="16"/>
  <c r="M95" i="16"/>
  <c r="M96" i="16"/>
  <c r="BK95" i="16"/>
  <c r="BK96" i="16"/>
  <c r="BH95" i="16"/>
  <c r="BH96" i="16"/>
  <c r="BE95" i="16"/>
  <c r="BE96" i="16"/>
  <c r="BB95" i="16"/>
  <c r="BB96" i="16"/>
  <c r="AY95" i="16"/>
  <c r="AY96" i="16"/>
  <c r="AR97" i="16"/>
  <c r="AO97" i="16"/>
  <c r="AL97" i="16"/>
  <c r="AI97" i="16"/>
  <c r="AF97" i="16"/>
  <c r="Y97" i="16"/>
  <c r="V97" i="16"/>
  <c r="S97" i="16"/>
  <c r="M97" i="16"/>
  <c r="BK97" i="16"/>
  <c r="BH97" i="16"/>
  <c r="BE97" i="16"/>
  <c r="BB97" i="16"/>
  <c r="AY97" i="16"/>
  <c r="AR197" i="16"/>
  <c r="AO197" i="16"/>
  <c r="AL197" i="16"/>
  <c r="AI197" i="16"/>
  <c r="AF197" i="16"/>
  <c r="Y197" i="16"/>
  <c r="V197" i="16"/>
  <c r="S197" i="16"/>
  <c r="M197" i="16"/>
  <c r="BK197" i="16"/>
  <c r="BH197" i="16"/>
  <c r="BE197" i="16"/>
  <c r="BB197" i="16"/>
  <c r="AY197" i="16"/>
  <c r="AR94" i="16"/>
  <c r="AR98" i="16"/>
  <c r="AO94" i="16"/>
  <c r="AO98" i="16"/>
  <c r="AL94" i="16"/>
  <c r="AL98" i="16"/>
  <c r="AI94" i="16"/>
  <c r="AI98" i="16"/>
  <c r="AF94" i="16"/>
  <c r="AF98" i="16"/>
  <c r="Y94" i="16"/>
  <c r="Y98" i="16"/>
  <c r="V94" i="16"/>
  <c r="V98" i="16"/>
  <c r="S94" i="16"/>
  <c r="S98" i="16"/>
  <c r="M94" i="16"/>
  <c r="M98" i="16"/>
  <c r="BK94" i="16"/>
  <c r="BK98" i="16"/>
  <c r="BH94" i="16"/>
  <c r="BH98" i="16"/>
  <c r="BE94" i="16"/>
  <c r="BE98" i="16"/>
  <c r="BB94" i="16"/>
  <c r="BB98" i="16"/>
  <c r="AY94" i="16"/>
  <c r="AY98" i="16"/>
  <c r="AR50" i="16"/>
  <c r="AR51" i="16"/>
  <c r="AR53" i="16"/>
  <c r="AO50" i="16"/>
  <c r="AO51" i="16"/>
  <c r="AO53" i="16"/>
  <c r="AL50" i="16"/>
  <c r="AL51" i="16"/>
  <c r="AL53" i="16"/>
  <c r="AI50" i="16"/>
  <c r="AI51" i="16"/>
  <c r="AI53" i="16"/>
  <c r="AF50" i="16"/>
  <c r="AF51" i="16"/>
  <c r="AF53" i="16"/>
  <c r="Y50" i="16"/>
  <c r="Y51" i="16"/>
  <c r="Y53" i="16"/>
  <c r="V50" i="16"/>
  <c r="V51" i="16"/>
  <c r="V53" i="16"/>
  <c r="S50" i="16"/>
  <c r="S51" i="16"/>
  <c r="S53" i="16"/>
  <c r="M50" i="16"/>
  <c r="M51" i="16"/>
  <c r="M53" i="16"/>
  <c r="BK50" i="16"/>
  <c r="BK51" i="16"/>
  <c r="BK53" i="16"/>
  <c r="BH50" i="16"/>
  <c r="BH51" i="16"/>
  <c r="BH53" i="16"/>
  <c r="BE50" i="16"/>
  <c r="BE51" i="16"/>
  <c r="BE53" i="16"/>
  <c r="BB50" i="16"/>
  <c r="BB51" i="16"/>
  <c r="BB53" i="16"/>
  <c r="AY50" i="16"/>
  <c r="AY51" i="16"/>
  <c r="AY53" i="16"/>
  <c r="AR46" i="16"/>
  <c r="AR47" i="16"/>
  <c r="AR49" i="16"/>
  <c r="AO46" i="16"/>
  <c r="AO47" i="16"/>
  <c r="AO49" i="16"/>
  <c r="AL46" i="16"/>
  <c r="AL47" i="16"/>
  <c r="AL49" i="16"/>
  <c r="AI46" i="16"/>
  <c r="AI47" i="16"/>
  <c r="AI49" i="16"/>
  <c r="AF46" i="16"/>
  <c r="AF47" i="16"/>
  <c r="AF49" i="16"/>
  <c r="Y46" i="16"/>
  <c r="Y47" i="16"/>
  <c r="Y49" i="16"/>
  <c r="V46" i="16"/>
  <c r="V47" i="16"/>
  <c r="V49" i="16"/>
  <c r="S46" i="16"/>
  <c r="S47" i="16"/>
  <c r="S49" i="16"/>
  <c r="M46" i="16"/>
  <c r="M47" i="16"/>
  <c r="M49" i="16"/>
  <c r="BK46" i="16"/>
  <c r="BK47" i="16"/>
  <c r="BK49" i="16"/>
  <c r="BH46" i="16"/>
  <c r="BH47" i="16"/>
  <c r="BH49" i="16"/>
  <c r="BE46" i="16"/>
  <c r="BE47" i="16"/>
  <c r="BE49" i="16"/>
  <c r="BB46" i="16"/>
  <c r="BB47" i="16"/>
  <c r="BB49" i="16"/>
  <c r="AY46" i="16"/>
  <c r="AY47" i="16"/>
  <c r="AY49" i="16"/>
  <c r="AR45" i="16"/>
  <c r="AO45" i="16"/>
  <c r="AL45" i="16"/>
  <c r="AI45" i="16"/>
  <c r="AF45" i="16"/>
  <c r="Y45" i="16"/>
  <c r="V45" i="16"/>
  <c r="S45" i="16"/>
  <c r="M45" i="16"/>
  <c r="BK45" i="16"/>
  <c r="BH45" i="16"/>
  <c r="BE45" i="16"/>
  <c r="BB45" i="16"/>
  <c r="AY45" i="16"/>
  <c r="AR44" i="16"/>
  <c r="AR43" i="16"/>
  <c r="AR42" i="16"/>
  <c r="AO44" i="16"/>
  <c r="AO43" i="16"/>
  <c r="AO42" i="16"/>
  <c r="AL44" i="16"/>
  <c r="AL43" i="16"/>
  <c r="AL42" i="16"/>
  <c r="AI44" i="16"/>
  <c r="AI43" i="16"/>
  <c r="AI42" i="16"/>
  <c r="AF44" i="16"/>
  <c r="AF43" i="16"/>
  <c r="AF42" i="16"/>
  <c r="Y44" i="16"/>
  <c r="Y43" i="16"/>
  <c r="Y42" i="16"/>
  <c r="V44" i="16"/>
  <c r="V43" i="16"/>
  <c r="V42" i="16"/>
  <c r="S44" i="16"/>
  <c r="S43" i="16"/>
  <c r="S42" i="16"/>
  <c r="P43" i="16"/>
  <c r="P42" i="16"/>
  <c r="M44" i="16"/>
  <c r="M43" i="16"/>
  <c r="M42" i="16"/>
  <c r="BK44" i="16"/>
  <c r="BK43" i="16"/>
  <c r="BK42" i="16"/>
  <c r="BH44" i="16"/>
  <c r="BH43" i="16"/>
  <c r="BH42" i="16"/>
  <c r="BE44" i="16"/>
  <c r="BE43" i="16"/>
  <c r="BE42" i="16"/>
  <c r="BB44" i="16"/>
  <c r="BB43" i="16"/>
  <c r="BB42" i="16"/>
  <c r="AY44" i="16"/>
  <c r="AY43" i="16"/>
  <c r="AY42" i="16"/>
  <c r="AR8" i="16"/>
  <c r="AR7" i="16"/>
  <c r="AO8" i="16"/>
  <c r="AO7" i="16"/>
  <c r="AL8" i="16"/>
  <c r="AL7" i="16"/>
  <c r="AI8" i="16"/>
  <c r="AI7" i="16"/>
  <c r="AF8" i="16"/>
  <c r="AF7" i="16"/>
  <c r="Y8" i="16"/>
  <c r="Y7" i="16"/>
  <c r="V8" i="16"/>
  <c r="V7" i="16"/>
  <c r="S8" i="16"/>
  <c r="S7" i="16"/>
  <c r="P8" i="16"/>
  <c r="P7" i="16"/>
  <c r="M8" i="16"/>
  <c r="M7" i="16"/>
  <c r="BK8" i="16"/>
  <c r="BK7" i="16"/>
  <c r="BH8" i="16"/>
  <c r="BH7" i="16"/>
  <c r="BE8" i="16"/>
  <c r="BE7" i="16"/>
  <c r="BB8" i="16"/>
  <c r="BB7" i="16"/>
  <c r="AY8" i="16"/>
  <c r="AY7" i="16"/>
  <c r="AR10" i="16"/>
  <c r="AR9" i="16"/>
  <c r="AO10" i="16"/>
  <c r="AO9" i="16"/>
  <c r="AL10" i="16"/>
  <c r="AL9" i="16"/>
  <c r="AI10" i="16"/>
  <c r="AI9" i="16"/>
  <c r="AF10" i="16"/>
  <c r="AF9" i="16"/>
  <c r="Y10" i="16"/>
  <c r="Y9" i="16"/>
  <c r="V10" i="16"/>
  <c r="V9" i="16"/>
  <c r="S10" i="16"/>
  <c r="S9" i="16"/>
  <c r="P10" i="16"/>
  <c r="P9" i="16"/>
  <c r="M10" i="16"/>
  <c r="M9" i="16"/>
  <c r="BK10" i="16"/>
  <c r="BK9" i="16"/>
  <c r="BH10" i="16"/>
  <c r="BH9" i="16"/>
  <c r="BE10" i="16"/>
  <c r="BE9" i="16"/>
  <c r="BB10" i="16"/>
  <c r="BB9" i="16"/>
  <c r="AY10" i="16"/>
  <c r="AY9" i="16"/>
  <c r="AR157" i="16"/>
  <c r="AR158" i="16"/>
  <c r="AR163" i="16"/>
  <c r="AR164" i="16"/>
  <c r="AR165" i="16"/>
  <c r="AR166" i="16"/>
  <c r="AO157" i="16"/>
  <c r="AO158" i="16"/>
  <c r="AO163" i="16"/>
  <c r="AO164" i="16"/>
  <c r="AO165" i="16"/>
  <c r="AO166" i="16"/>
  <c r="AL157" i="16"/>
  <c r="AL158" i="16"/>
  <c r="AL163" i="16"/>
  <c r="AL164" i="16"/>
  <c r="AL165" i="16"/>
  <c r="AL166" i="16"/>
  <c r="AI157" i="16"/>
  <c r="AI158" i="16"/>
  <c r="AI163" i="16"/>
  <c r="AI164" i="16"/>
  <c r="AI165" i="16"/>
  <c r="AI166" i="16"/>
  <c r="AF157" i="16"/>
  <c r="AF158" i="16"/>
  <c r="AF163" i="16"/>
  <c r="AF164" i="16"/>
  <c r="AF165" i="16"/>
  <c r="AF166" i="16"/>
  <c r="Y157" i="16"/>
  <c r="Y158" i="16"/>
  <c r="Y163" i="16"/>
  <c r="Y164" i="16"/>
  <c r="Y165" i="16"/>
  <c r="Y166" i="16"/>
  <c r="V157" i="16"/>
  <c r="V158" i="16"/>
  <c r="V163" i="16"/>
  <c r="V164" i="16"/>
  <c r="V165" i="16"/>
  <c r="V166" i="16"/>
  <c r="S157" i="16"/>
  <c r="S158" i="16"/>
  <c r="S163" i="16"/>
  <c r="S164" i="16"/>
  <c r="S165" i="16"/>
  <c r="S166" i="16"/>
  <c r="M157" i="16"/>
  <c r="M158" i="16"/>
  <c r="M163" i="16"/>
  <c r="M164" i="16"/>
  <c r="M165" i="16"/>
  <c r="M166" i="16"/>
  <c r="BK157" i="16"/>
  <c r="BK158" i="16"/>
  <c r="BK163" i="16"/>
  <c r="BK164" i="16"/>
  <c r="BK165" i="16"/>
  <c r="BK166" i="16"/>
  <c r="BH157" i="16"/>
  <c r="BH158" i="16"/>
  <c r="BH163" i="16"/>
  <c r="BH164" i="16"/>
  <c r="BH165" i="16"/>
  <c r="BH166" i="16"/>
  <c r="BE157" i="16"/>
  <c r="BE158" i="16"/>
  <c r="BE163" i="16"/>
  <c r="BE164" i="16"/>
  <c r="BE165" i="16"/>
  <c r="BE166" i="16"/>
  <c r="BB157" i="16"/>
  <c r="BB158" i="16"/>
  <c r="BB163" i="16"/>
  <c r="BB164" i="16"/>
  <c r="BB165" i="16"/>
  <c r="BB166" i="16"/>
  <c r="AY157" i="16"/>
  <c r="AY158" i="16"/>
  <c r="AY163" i="16"/>
  <c r="AY164" i="16"/>
  <c r="AY165" i="16"/>
  <c r="AY166" i="16"/>
  <c r="AR178" i="16"/>
  <c r="AR176" i="16"/>
  <c r="AR177" i="16"/>
  <c r="AO178" i="16"/>
  <c r="AO176" i="16"/>
  <c r="AO177" i="16"/>
  <c r="AL178" i="16"/>
  <c r="AL176" i="16"/>
  <c r="AL177" i="16"/>
  <c r="AI178" i="16"/>
  <c r="AI176" i="16"/>
  <c r="AI177" i="16"/>
  <c r="AF178" i="16"/>
  <c r="AF176" i="16"/>
  <c r="AF177" i="16"/>
  <c r="Y178" i="16"/>
  <c r="Y176" i="16"/>
  <c r="Y177" i="16"/>
  <c r="V178" i="16"/>
  <c r="V176" i="16"/>
  <c r="V177" i="16"/>
  <c r="S178" i="16"/>
  <c r="S176" i="16"/>
  <c r="S177" i="16"/>
  <c r="M178" i="16"/>
  <c r="M176" i="16"/>
  <c r="M177" i="16"/>
  <c r="BK178" i="16"/>
  <c r="BK176" i="16"/>
  <c r="BK177" i="16"/>
  <c r="BH178" i="16"/>
  <c r="BH176" i="16"/>
  <c r="BH177" i="16"/>
  <c r="BE178" i="16"/>
  <c r="BE176" i="16"/>
  <c r="BE177" i="16"/>
  <c r="BB178" i="16"/>
  <c r="BB176" i="16"/>
  <c r="BB177" i="16"/>
  <c r="AY178" i="16"/>
  <c r="AY176" i="16"/>
  <c r="AY177" i="16"/>
  <c r="AR149" i="16"/>
  <c r="AR150" i="16"/>
  <c r="AR151" i="16"/>
  <c r="AR152" i="16"/>
  <c r="AR153" i="16"/>
  <c r="AR154" i="16"/>
  <c r="AR155" i="16"/>
  <c r="AR156" i="16"/>
  <c r="AO149" i="16"/>
  <c r="AO150" i="16"/>
  <c r="AO151" i="16"/>
  <c r="AO152" i="16"/>
  <c r="AO153" i="16"/>
  <c r="AO154" i="16"/>
  <c r="AO155" i="16"/>
  <c r="AO156" i="16"/>
  <c r="AL149" i="16"/>
  <c r="AL150" i="16"/>
  <c r="AL151" i="16"/>
  <c r="AL152" i="16"/>
  <c r="AL153" i="16"/>
  <c r="AL154" i="16"/>
  <c r="AL155" i="16"/>
  <c r="AL156" i="16"/>
  <c r="AI149" i="16"/>
  <c r="AI150" i="16"/>
  <c r="AI151" i="16"/>
  <c r="AI152" i="16"/>
  <c r="AI153" i="16"/>
  <c r="AI154" i="16"/>
  <c r="AI155" i="16"/>
  <c r="AI156" i="16"/>
  <c r="AF149" i="16"/>
  <c r="AF150" i="16"/>
  <c r="AF151" i="16"/>
  <c r="AF152" i="16"/>
  <c r="AF153" i="16"/>
  <c r="AF154" i="16"/>
  <c r="AF155" i="16"/>
  <c r="AF156" i="16"/>
  <c r="Y149" i="16"/>
  <c r="Y150" i="16"/>
  <c r="Y151" i="16"/>
  <c r="Y152" i="16"/>
  <c r="Y153" i="16"/>
  <c r="Y154" i="16"/>
  <c r="Y155" i="16"/>
  <c r="Y156" i="16"/>
  <c r="V149" i="16"/>
  <c r="V150" i="16"/>
  <c r="V151" i="16"/>
  <c r="V152" i="16"/>
  <c r="V153" i="16"/>
  <c r="V154" i="16"/>
  <c r="V155" i="16"/>
  <c r="V156" i="16"/>
  <c r="S149" i="16"/>
  <c r="S150" i="16"/>
  <c r="S151" i="16"/>
  <c r="S152" i="16"/>
  <c r="S153" i="16"/>
  <c r="S154" i="16"/>
  <c r="S155" i="16"/>
  <c r="S156" i="16"/>
  <c r="M149" i="16"/>
  <c r="M150" i="16"/>
  <c r="M151" i="16"/>
  <c r="M152" i="16"/>
  <c r="M153" i="16"/>
  <c r="M154" i="16"/>
  <c r="M155" i="16"/>
  <c r="M156" i="16"/>
  <c r="BK149" i="16"/>
  <c r="BK150" i="16"/>
  <c r="BK151" i="16"/>
  <c r="BK152" i="16"/>
  <c r="BK153" i="16"/>
  <c r="BK154" i="16"/>
  <c r="BK155" i="16"/>
  <c r="BK156" i="16"/>
  <c r="BH149" i="16"/>
  <c r="BH150" i="16"/>
  <c r="BH151" i="16"/>
  <c r="BH152" i="16"/>
  <c r="BH153" i="16"/>
  <c r="BH154" i="16"/>
  <c r="BH155" i="16"/>
  <c r="BH156" i="16"/>
  <c r="BE149" i="16"/>
  <c r="BE150" i="16"/>
  <c r="BE151" i="16"/>
  <c r="BE152" i="16"/>
  <c r="BE153" i="16"/>
  <c r="BE154" i="16"/>
  <c r="BE155" i="16"/>
  <c r="BE156" i="16"/>
  <c r="BB149" i="16"/>
  <c r="BB150" i="16"/>
  <c r="BB151" i="16"/>
  <c r="BB152" i="16"/>
  <c r="BB153" i="16"/>
  <c r="BB154" i="16"/>
  <c r="BB155" i="16"/>
  <c r="BB156" i="16"/>
  <c r="AY149" i="16"/>
  <c r="AY150" i="16"/>
  <c r="AY151" i="16"/>
  <c r="AY152" i="16"/>
  <c r="AY153" i="16"/>
  <c r="AY154" i="16"/>
  <c r="AY155" i="16"/>
  <c r="AY156" i="16"/>
  <c r="AR148" i="16"/>
  <c r="AR147" i="16"/>
  <c r="AR146" i="16"/>
  <c r="AR145" i="16"/>
  <c r="AO148" i="16"/>
  <c r="AO147" i="16"/>
  <c r="AO146" i="16"/>
  <c r="AO145" i="16"/>
  <c r="AL148" i="16"/>
  <c r="AL147" i="16"/>
  <c r="AL146" i="16"/>
  <c r="AL145" i="16"/>
  <c r="AI148" i="16"/>
  <c r="AI147" i="16"/>
  <c r="AI146" i="16"/>
  <c r="AI145" i="16"/>
  <c r="AF148" i="16"/>
  <c r="AF147" i="16"/>
  <c r="AF146" i="16"/>
  <c r="AF145" i="16"/>
  <c r="Y148" i="16"/>
  <c r="Y147" i="16"/>
  <c r="Y146" i="16"/>
  <c r="Y145" i="16"/>
  <c r="V148" i="16"/>
  <c r="V147" i="16"/>
  <c r="V146" i="16"/>
  <c r="V145" i="16"/>
  <c r="S148" i="16"/>
  <c r="S147" i="16"/>
  <c r="S146" i="16"/>
  <c r="S145" i="16"/>
  <c r="M148" i="16"/>
  <c r="M147" i="16"/>
  <c r="M146" i="16"/>
  <c r="M145" i="16"/>
  <c r="BK148" i="16"/>
  <c r="BK147" i="16"/>
  <c r="BK146" i="16"/>
  <c r="BK145" i="16"/>
  <c r="BH148" i="16"/>
  <c r="BH147" i="16"/>
  <c r="BH146" i="16"/>
  <c r="BH145" i="16"/>
  <c r="BE148" i="16"/>
  <c r="BE147" i="16"/>
  <c r="BE146" i="16"/>
  <c r="BE145" i="16"/>
  <c r="BB148" i="16"/>
  <c r="BB147" i="16"/>
  <c r="BB146" i="16"/>
  <c r="BB145" i="16"/>
  <c r="AY148" i="16"/>
  <c r="AY147" i="16"/>
  <c r="AY146" i="16"/>
  <c r="AY145" i="16"/>
  <c r="AR175" i="16"/>
  <c r="AO175" i="16"/>
  <c r="AL175" i="16"/>
  <c r="AI175" i="16"/>
  <c r="AF175" i="16"/>
  <c r="Y175" i="16"/>
  <c r="V175" i="16"/>
  <c r="S175" i="16"/>
  <c r="M175" i="16"/>
  <c r="BK175" i="16"/>
  <c r="BH175" i="16"/>
  <c r="BE175" i="16"/>
  <c r="BB175" i="16"/>
  <c r="AY175" i="16"/>
  <c r="AR217" i="16"/>
  <c r="AR216" i="16"/>
  <c r="AR215" i="16"/>
  <c r="AO217" i="16"/>
  <c r="AO216" i="16"/>
  <c r="AO215" i="16"/>
  <c r="AL217" i="16"/>
  <c r="AL216" i="16"/>
  <c r="AL215" i="16"/>
  <c r="AI217" i="16"/>
  <c r="AI216" i="16"/>
  <c r="AI215" i="16"/>
  <c r="AF217" i="16"/>
  <c r="AF216" i="16"/>
  <c r="AF215" i="16"/>
  <c r="Y217" i="16"/>
  <c r="Y216" i="16"/>
  <c r="Y215" i="16"/>
  <c r="V217" i="16"/>
  <c r="V216" i="16"/>
  <c r="V215" i="16"/>
  <c r="S217" i="16"/>
  <c r="S216" i="16"/>
  <c r="S215" i="16"/>
  <c r="M217" i="16"/>
  <c r="M216" i="16"/>
  <c r="M215" i="16"/>
  <c r="BK217" i="16"/>
  <c r="BK216" i="16"/>
  <c r="BK215" i="16"/>
  <c r="BH217" i="16"/>
  <c r="BH216" i="16"/>
  <c r="BH215" i="16"/>
  <c r="BE217" i="16"/>
  <c r="BE216" i="16"/>
  <c r="BE215" i="16"/>
  <c r="BB217" i="16"/>
  <c r="BB216" i="16"/>
  <c r="BB215" i="16"/>
  <c r="AY217" i="16"/>
  <c r="AY216" i="16"/>
  <c r="AY215" i="16"/>
  <c r="AR213" i="16"/>
  <c r="AR212" i="16"/>
  <c r="AR211" i="16"/>
  <c r="AO213" i="16"/>
  <c r="AO212" i="16"/>
  <c r="AO211" i="16"/>
  <c r="AL213" i="16"/>
  <c r="AL212" i="16"/>
  <c r="AL211" i="16"/>
  <c r="AI213" i="16"/>
  <c r="AI212" i="16"/>
  <c r="AI211" i="16"/>
  <c r="AF213" i="16"/>
  <c r="AF212" i="16"/>
  <c r="AF211" i="16"/>
  <c r="Y213" i="16"/>
  <c r="Y212" i="16"/>
  <c r="Y211" i="16"/>
  <c r="V213" i="16"/>
  <c r="V212" i="16"/>
  <c r="V211" i="16"/>
  <c r="S213" i="16"/>
  <c r="S212" i="16"/>
  <c r="S211" i="16"/>
  <c r="M213" i="16"/>
  <c r="M212" i="16"/>
  <c r="M211" i="16"/>
  <c r="BK213" i="16"/>
  <c r="BK212" i="16"/>
  <c r="BK211" i="16"/>
  <c r="BH213" i="16"/>
  <c r="BH212" i="16"/>
  <c r="BH211" i="16"/>
  <c r="BE213" i="16"/>
  <c r="BE212" i="16"/>
  <c r="BE211" i="16"/>
  <c r="BB213" i="16"/>
  <c r="BB212" i="16"/>
  <c r="BB211" i="16"/>
  <c r="AY213" i="16"/>
  <c r="AY212" i="16"/>
  <c r="AY211" i="16"/>
  <c r="AR200" i="16"/>
  <c r="AR201" i="16"/>
  <c r="AR204" i="16"/>
  <c r="AR207" i="16"/>
  <c r="AR208" i="16"/>
  <c r="AR209" i="16"/>
  <c r="AO200" i="16"/>
  <c r="AO201" i="16"/>
  <c r="AO204" i="16"/>
  <c r="AO207" i="16"/>
  <c r="AO208" i="16"/>
  <c r="AO209" i="16"/>
  <c r="AL200" i="16"/>
  <c r="AL201" i="16"/>
  <c r="AL204" i="16"/>
  <c r="AL207" i="16"/>
  <c r="AL208" i="16"/>
  <c r="AL209" i="16"/>
  <c r="AI200" i="16"/>
  <c r="AI201" i="16"/>
  <c r="AI204" i="16"/>
  <c r="AI207" i="16"/>
  <c r="AI208" i="16"/>
  <c r="AI209" i="16"/>
  <c r="AF200" i="16"/>
  <c r="AF201" i="16"/>
  <c r="AF204" i="16"/>
  <c r="AF207" i="16"/>
  <c r="AF208" i="16"/>
  <c r="AF209" i="16"/>
  <c r="Y200" i="16"/>
  <c r="Y201" i="16"/>
  <c r="Y204" i="16"/>
  <c r="Y207" i="16"/>
  <c r="Y208" i="16"/>
  <c r="Y209" i="16"/>
  <c r="V200" i="16"/>
  <c r="V201" i="16"/>
  <c r="V204" i="16"/>
  <c r="V207" i="16"/>
  <c r="V208" i="16"/>
  <c r="V209" i="16"/>
  <c r="S200" i="16"/>
  <c r="S201" i="16"/>
  <c r="S204" i="16"/>
  <c r="S207" i="16"/>
  <c r="S208" i="16"/>
  <c r="S209" i="16"/>
  <c r="M200" i="16"/>
  <c r="M201" i="16"/>
  <c r="M204" i="16"/>
  <c r="M207" i="16"/>
  <c r="M208" i="16"/>
  <c r="M209" i="16"/>
  <c r="BK200" i="16"/>
  <c r="BK201" i="16"/>
  <c r="BK204" i="16"/>
  <c r="BK207" i="16"/>
  <c r="BK208" i="16"/>
  <c r="BK209" i="16"/>
  <c r="BH200" i="16"/>
  <c r="BH201" i="16"/>
  <c r="BH204" i="16"/>
  <c r="BH207" i="16"/>
  <c r="BH208" i="16"/>
  <c r="BH209" i="16"/>
  <c r="BE200" i="16"/>
  <c r="BE201" i="16"/>
  <c r="BE204" i="16"/>
  <c r="BE207" i="16"/>
  <c r="BE208" i="16"/>
  <c r="BE209" i="16"/>
  <c r="BB200" i="16"/>
  <c r="BB201" i="16"/>
  <c r="BB204" i="16"/>
  <c r="BB207" i="16"/>
  <c r="BB208" i="16"/>
  <c r="BB209" i="16"/>
  <c r="AY200" i="16"/>
  <c r="AY201" i="16"/>
  <c r="AY204" i="16"/>
  <c r="AY207" i="16"/>
  <c r="AY208" i="16"/>
  <c r="AY209" i="16"/>
  <c r="AR220" i="16"/>
  <c r="AR219" i="16"/>
  <c r="AR210" i="16"/>
  <c r="AO220" i="16"/>
  <c r="AO219" i="16"/>
  <c r="AO210" i="16"/>
  <c r="AL220" i="16"/>
  <c r="AL219" i="16"/>
  <c r="AL210" i="16"/>
  <c r="AI220" i="16"/>
  <c r="AI219" i="16"/>
  <c r="AI210" i="16"/>
  <c r="AF220" i="16"/>
  <c r="AF219" i="16"/>
  <c r="AF210" i="16"/>
  <c r="Y220" i="16"/>
  <c r="Y219" i="16"/>
  <c r="Y210" i="16"/>
  <c r="V220" i="16"/>
  <c r="V219" i="16"/>
  <c r="V210" i="16"/>
  <c r="S220" i="16"/>
  <c r="S219" i="16"/>
  <c r="S210" i="16"/>
  <c r="M220" i="16"/>
  <c r="M219" i="16"/>
  <c r="M210" i="16"/>
  <c r="BK220" i="16"/>
  <c r="BK219" i="16"/>
  <c r="BK210" i="16"/>
  <c r="BH220" i="16"/>
  <c r="BH219" i="16"/>
  <c r="BH210" i="16"/>
  <c r="BE220" i="16"/>
  <c r="BE219" i="16"/>
  <c r="BE210" i="16"/>
  <c r="BB220" i="16"/>
  <c r="BB219" i="16"/>
  <c r="BB210" i="16"/>
  <c r="AY220" i="16"/>
  <c r="AY219" i="16"/>
  <c r="AY210" i="16"/>
  <c r="AR36" i="17"/>
  <c r="AR37" i="17"/>
  <c r="AR38" i="17"/>
  <c r="AR39" i="17"/>
  <c r="AO36" i="17"/>
  <c r="AO37" i="17"/>
  <c r="AO38" i="17"/>
  <c r="AO39" i="17"/>
  <c r="AL36" i="17"/>
  <c r="AL37" i="17"/>
  <c r="AL38" i="17"/>
  <c r="AL39" i="17"/>
  <c r="AI36" i="17"/>
  <c r="AI37" i="17"/>
  <c r="AI38" i="17"/>
  <c r="AI39" i="17"/>
  <c r="AF36" i="17"/>
  <c r="AF37" i="17"/>
  <c r="AF38" i="17"/>
  <c r="AF39" i="17"/>
  <c r="Y36" i="17"/>
  <c r="Y37" i="17"/>
  <c r="Y38" i="17"/>
  <c r="Y39" i="17"/>
  <c r="V36" i="17"/>
  <c r="V37" i="17"/>
  <c r="V38" i="17"/>
  <c r="V39" i="17"/>
  <c r="S36" i="17"/>
  <c r="S37" i="17"/>
  <c r="S38" i="17"/>
  <c r="S39" i="17"/>
  <c r="P36" i="17"/>
  <c r="P37" i="17"/>
  <c r="P38" i="17"/>
  <c r="P39" i="17"/>
  <c r="M36" i="17"/>
  <c r="M37" i="17"/>
  <c r="M38" i="17"/>
  <c r="M39" i="17"/>
  <c r="AR87" i="16"/>
  <c r="AR88" i="16"/>
  <c r="AR89" i="16"/>
  <c r="AR90" i="16"/>
  <c r="AR81" i="16"/>
  <c r="AR82" i="16"/>
  <c r="AR83" i="16"/>
  <c r="AR84" i="16"/>
  <c r="AO87" i="16"/>
  <c r="AO88" i="16"/>
  <c r="AO89" i="16"/>
  <c r="AO90" i="16"/>
  <c r="AO81" i="16"/>
  <c r="AO82" i="16"/>
  <c r="AO83" i="16"/>
  <c r="AO84" i="16"/>
  <c r="AL87" i="16"/>
  <c r="AL88" i="16"/>
  <c r="AL89" i="16"/>
  <c r="AL90" i="16"/>
  <c r="AL81" i="16"/>
  <c r="AL82" i="16"/>
  <c r="AL83" i="16"/>
  <c r="AL84" i="16"/>
  <c r="AI87" i="16"/>
  <c r="AI88" i="16"/>
  <c r="AI89" i="16"/>
  <c r="AI90" i="16"/>
  <c r="AI81" i="16"/>
  <c r="AI82" i="16"/>
  <c r="AI83" i="16"/>
  <c r="AI84" i="16"/>
  <c r="AF87" i="16"/>
  <c r="AF88" i="16"/>
  <c r="AF89" i="16"/>
  <c r="AF90" i="16"/>
  <c r="AF81" i="16"/>
  <c r="AF82" i="16"/>
  <c r="AF83" i="16"/>
  <c r="AF84" i="16"/>
  <c r="Y87" i="16"/>
  <c r="Y88" i="16"/>
  <c r="Y89" i="16"/>
  <c r="Y90" i="16"/>
  <c r="Y81" i="16"/>
  <c r="Y82" i="16"/>
  <c r="Y83" i="16"/>
  <c r="Y84" i="16"/>
  <c r="V87" i="16"/>
  <c r="V88" i="16"/>
  <c r="V89" i="16"/>
  <c r="V90" i="16"/>
  <c r="V81" i="16"/>
  <c r="V82" i="16"/>
  <c r="V83" i="16"/>
  <c r="V84" i="16"/>
  <c r="S87" i="16"/>
  <c r="S88" i="16"/>
  <c r="S89" i="16"/>
  <c r="S90" i="16"/>
  <c r="S81" i="16"/>
  <c r="S82" i="16"/>
  <c r="S83" i="16"/>
  <c r="S84" i="16"/>
  <c r="M87" i="16"/>
  <c r="M88" i="16"/>
  <c r="M89" i="16"/>
  <c r="M90" i="16"/>
  <c r="M81" i="16"/>
  <c r="M82" i="16"/>
  <c r="M83" i="16"/>
  <c r="M84" i="16"/>
  <c r="BK87" i="16"/>
  <c r="BK88" i="16"/>
  <c r="BK89" i="16"/>
  <c r="BK90" i="16"/>
  <c r="BK81" i="16"/>
  <c r="BK82" i="16"/>
  <c r="BK83" i="16"/>
  <c r="BK84" i="16"/>
  <c r="BH87" i="16"/>
  <c r="BH88" i="16"/>
  <c r="BH89" i="16"/>
  <c r="BH90" i="16"/>
  <c r="BH81" i="16"/>
  <c r="BH82" i="16"/>
  <c r="BH83" i="16"/>
  <c r="BH84" i="16"/>
  <c r="BE87" i="16"/>
  <c r="BE88" i="16"/>
  <c r="BE89" i="16"/>
  <c r="BE90" i="16"/>
  <c r="BE81" i="16"/>
  <c r="BE82" i="16"/>
  <c r="BE83" i="16"/>
  <c r="BE84" i="16"/>
  <c r="BB87" i="16"/>
  <c r="BB88" i="16"/>
  <c r="BB89" i="16"/>
  <c r="BB90" i="16"/>
  <c r="BB81" i="16"/>
  <c r="BB82" i="16"/>
  <c r="BB83" i="16"/>
  <c r="BB84" i="16"/>
  <c r="AY87" i="16"/>
  <c r="AY88" i="16"/>
  <c r="AY89" i="16"/>
  <c r="AY90" i="16"/>
  <c r="AY81" i="16"/>
  <c r="AY82" i="16"/>
  <c r="AY83" i="16"/>
  <c r="AY84" i="16"/>
  <c r="AR80" i="16"/>
  <c r="AR79" i="16"/>
  <c r="AR78" i="16"/>
  <c r="AR77" i="16"/>
  <c r="AO80" i="16"/>
  <c r="AO79" i="16"/>
  <c r="AO78" i="16"/>
  <c r="AO77" i="16"/>
  <c r="AL80" i="16"/>
  <c r="AL79" i="16"/>
  <c r="AL78" i="16"/>
  <c r="AL77" i="16"/>
  <c r="AI80" i="16"/>
  <c r="AI79" i="16"/>
  <c r="AI78" i="16"/>
  <c r="AI77" i="16"/>
  <c r="AF80" i="16"/>
  <c r="AF79" i="16"/>
  <c r="AF78" i="16"/>
  <c r="AF77" i="16"/>
  <c r="Y80" i="16"/>
  <c r="Y79" i="16"/>
  <c r="Y78" i="16"/>
  <c r="Y77" i="16"/>
  <c r="V80" i="16"/>
  <c r="V79" i="16"/>
  <c r="V78" i="16"/>
  <c r="V77" i="16"/>
  <c r="S80" i="16"/>
  <c r="S79" i="16"/>
  <c r="S78" i="16"/>
  <c r="S77" i="16"/>
  <c r="M80" i="16"/>
  <c r="M79" i="16"/>
  <c r="M78" i="16"/>
  <c r="M77" i="16"/>
  <c r="BK80" i="16"/>
  <c r="BK79" i="16"/>
  <c r="BK78" i="16"/>
  <c r="BK77" i="16"/>
  <c r="BH80" i="16"/>
  <c r="BH79" i="16"/>
  <c r="BH78" i="16"/>
  <c r="BH77" i="16"/>
  <c r="BE80" i="16"/>
  <c r="BE79" i="16"/>
  <c r="BE78" i="16"/>
  <c r="BE77" i="16"/>
  <c r="BB80" i="16"/>
  <c r="BB79" i="16"/>
  <c r="BB78" i="16"/>
  <c r="BB77" i="16"/>
  <c r="AY80" i="16"/>
  <c r="AY79" i="16"/>
  <c r="AY78" i="16"/>
  <c r="AY77" i="16"/>
  <c r="AR93" i="16"/>
  <c r="AR92" i="16"/>
  <c r="AR91" i="16"/>
  <c r="AO93" i="16"/>
  <c r="AO92" i="16"/>
  <c r="AO91" i="16"/>
  <c r="AL93" i="16"/>
  <c r="AL92" i="16"/>
  <c r="AL91" i="16"/>
  <c r="AI93" i="16"/>
  <c r="AI92" i="16"/>
  <c r="AI91" i="16"/>
  <c r="AF93" i="16"/>
  <c r="AF92" i="16"/>
  <c r="AF91" i="16"/>
  <c r="Y93" i="16"/>
  <c r="Y92" i="16"/>
  <c r="Y91" i="16"/>
  <c r="V93" i="16"/>
  <c r="V92" i="16"/>
  <c r="V91" i="16"/>
  <c r="S93" i="16"/>
  <c r="S92" i="16"/>
  <c r="S91" i="16"/>
  <c r="M93" i="16"/>
  <c r="M92" i="16"/>
  <c r="M91" i="16"/>
  <c r="BK93" i="16"/>
  <c r="BK92" i="16"/>
  <c r="BK91" i="16"/>
  <c r="BH93" i="16"/>
  <c r="BH92" i="16"/>
  <c r="BH91" i="16"/>
  <c r="BE93" i="16"/>
  <c r="BE92" i="16"/>
  <c r="BE91" i="16"/>
  <c r="BB93" i="16"/>
  <c r="BB92" i="16"/>
  <c r="BB91" i="16"/>
  <c r="AY93" i="16"/>
  <c r="AY92" i="16"/>
  <c r="AY91" i="16"/>
  <c r="AR74" i="16"/>
  <c r="AR73" i="16"/>
  <c r="AR72" i="16"/>
  <c r="AO74" i="16"/>
  <c r="AO73" i="16"/>
  <c r="AO72" i="16"/>
  <c r="AL74" i="16"/>
  <c r="AL73" i="16"/>
  <c r="AL72" i="16"/>
  <c r="AI74" i="16"/>
  <c r="AI73" i="16"/>
  <c r="AI72" i="16"/>
  <c r="AF74" i="16"/>
  <c r="AF73" i="16"/>
  <c r="AF72" i="16"/>
  <c r="Y74" i="16"/>
  <c r="Y73" i="16"/>
  <c r="Y72" i="16"/>
  <c r="V74" i="16"/>
  <c r="V73" i="16"/>
  <c r="V72" i="16"/>
  <c r="S74" i="16"/>
  <c r="S73" i="16"/>
  <c r="S72" i="16"/>
  <c r="M74" i="16"/>
  <c r="M73" i="16"/>
  <c r="M72" i="16"/>
  <c r="BK74" i="16"/>
  <c r="BK73" i="16"/>
  <c r="BK72" i="16"/>
  <c r="BH74" i="16"/>
  <c r="BH73" i="16"/>
  <c r="BH72" i="16"/>
  <c r="BE74" i="16"/>
  <c r="BE73" i="16"/>
  <c r="BE72" i="16"/>
  <c r="BB74" i="16"/>
  <c r="BB73" i="16"/>
  <c r="BB72" i="16"/>
  <c r="AY74" i="16"/>
  <c r="AY73" i="16"/>
  <c r="AY72" i="16"/>
  <c r="AR198" i="16"/>
  <c r="AR199" i="16"/>
  <c r="AR221" i="16"/>
  <c r="AR171" i="16"/>
  <c r="AR172" i="16"/>
  <c r="AR173" i="16"/>
  <c r="AR139" i="16"/>
  <c r="AR140" i="16"/>
  <c r="AR141" i="16"/>
  <c r="AR142" i="16"/>
  <c r="AR143" i="16"/>
  <c r="AR144" i="16"/>
  <c r="AR76" i="16"/>
  <c r="AR75" i="16"/>
  <c r="AO198" i="16"/>
  <c r="AO199" i="16"/>
  <c r="AO221" i="16"/>
  <c r="AO171" i="16"/>
  <c r="AO172" i="16"/>
  <c r="AO173" i="16"/>
  <c r="AO139" i="16"/>
  <c r="AO140" i="16"/>
  <c r="AO141" i="16"/>
  <c r="AO142" i="16"/>
  <c r="AO143" i="16"/>
  <c r="AO144" i="16"/>
  <c r="AO76" i="16"/>
  <c r="AO75" i="16"/>
  <c r="AL198" i="16"/>
  <c r="AL199" i="16"/>
  <c r="AL221" i="16"/>
  <c r="AL171" i="16"/>
  <c r="AL172" i="16"/>
  <c r="AL173" i="16"/>
  <c r="AL139" i="16"/>
  <c r="AL140" i="16"/>
  <c r="AL141" i="16"/>
  <c r="AL142" i="16"/>
  <c r="AL143" i="16"/>
  <c r="AL144" i="16"/>
  <c r="AL76" i="16"/>
  <c r="AL75" i="16"/>
  <c r="AI198" i="16"/>
  <c r="AI199" i="16"/>
  <c r="AI221" i="16"/>
  <c r="AI171" i="16"/>
  <c r="AI172" i="16"/>
  <c r="AI173" i="16"/>
  <c r="AI139" i="16"/>
  <c r="AI140" i="16"/>
  <c r="AI141" i="16"/>
  <c r="AI142" i="16"/>
  <c r="AI143" i="16"/>
  <c r="AI144" i="16"/>
  <c r="AI76" i="16"/>
  <c r="AI75" i="16"/>
  <c r="AF198" i="16"/>
  <c r="AF199" i="16"/>
  <c r="AF221" i="16"/>
  <c r="AF171" i="16"/>
  <c r="AF172" i="16"/>
  <c r="AF173" i="16"/>
  <c r="AF139" i="16"/>
  <c r="AF140" i="16"/>
  <c r="AF141" i="16"/>
  <c r="AF142" i="16"/>
  <c r="AF143" i="16"/>
  <c r="AF144" i="16"/>
  <c r="AF76" i="16"/>
  <c r="AF75" i="16"/>
  <c r="Y198" i="16"/>
  <c r="Y199" i="16"/>
  <c r="Y221" i="16"/>
  <c r="Y171" i="16"/>
  <c r="Y172" i="16"/>
  <c r="Y173" i="16"/>
  <c r="Y139" i="16"/>
  <c r="Y140" i="16"/>
  <c r="Y141" i="16"/>
  <c r="Y142" i="16"/>
  <c r="Y143" i="16"/>
  <c r="Y144" i="16"/>
  <c r="Y76" i="16"/>
  <c r="Y75" i="16"/>
  <c r="V198" i="16"/>
  <c r="V199" i="16"/>
  <c r="V221" i="16"/>
  <c r="V171" i="16"/>
  <c r="V172" i="16"/>
  <c r="V173" i="16"/>
  <c r="V139" i="16"/>
  <c r="V140" i="16"/>
  <c r="V141" i="16"/>
  <c r="V142" i="16"/>
  <c r="V143" i="16"/>
  <c r="V144" i="16"/>
  <c r="V76" i="16"/>
  <c r="V75" i="16"/>
  <c r="S198" i="16"/>
  <c r="S199" i="16"/>
  <c r="S221" i="16"/>
  <c r="S171" i="16"/>
  <c r="S172" i="16"/>
  <c r="S173" i="16"/>
  <c r="S139" i="16"/>
  <c r="S140" i="16"/>
  <c r="S141" i="16"/>
  <c r="S142" i="16"/>
  <c r="S143" i="16"/>
  <c r="S144" i="16"/>
  <c r="S76" i="16"/>
  <c r="S75" i="16"/>
  <c r="M198" i="16"/>
  <c r="M199" i="16"/>
  <c r="M221" i="16"/>
  <c r="M171" i="16"/>
  <c r="M172" i="16"/>
  <c r="M173" i="16"/>
  <c r="M139" i="16"/>
  <c r="M140" i="16"/>
  <c r="M141" i="16"/>
  <c r="M142" i="16"/>
  <c r="M143" i="16"/>
  <c r="M144" i="16"/>
  <c r="M76" i="16"/>
  <c r="M75" i="16"/>
  <c r="AR100" i="16"/>
  <c r="AR101" i="16"/>
  <c r="AR102" i="16"/>
  <c r="AR103" i="16"/>
  <c r="AR106" i="16"/>
  <c r="AR66" i="16"/>
  <c r="AR67" i="16"/>
  <c r="AR68" i="16"/>
  <c r="AR69" i="16"/>
  <c r="AR70" i="16"/>
  <c r="AR71" i="16"/>
  <c r="AR99" i="16"/>
  <c r="AO100" i="16"/>
  <c r="AO101" i="16"/>
  <c r="AO102" i="16"/>
  <c r="AO103" i="16"/>
  <c r="AO106" i="16"/>
  <c r="AO66" i="16"/>
  <c r="AO67" i="16"/>
  <c r="AO68" i="16"/>
  <c r="AO69" i="16"/>
  <c r="AO70" i="16"/>
  <c r="AO71" i="16"/>
  <c r="AO99" i="16"/>
  <c r="AL100" i="16"/>
  <c r="AL101" i="16"/>
  <c r="AL102" i="16"/>
  <c r="AL103" i="16"/>
  <c r="AL106" i="16"/>
  <c r="AL66" i="16"/>
  <c r="AL67" i="16"/>
  <c r="AL68" i="16"/>
  <c r="AL69" i="16"/>
  <c r="AL70" i="16"/>
  <c r="AL71" i="16"/>
  <c r="AL99" i="16"/>
  <c r="AI100" i="16"/>
  <c r="AI101" i="16"/>
  <c r="AI102" i="16"/>
  <c r="AI103" i="16"/>
  <c r="AI106" i="16"/>
  <c r="AI66" i="16"/>
  <c r="AI67" i="16"/>
  <c r="AI68" i="16"/>
  <c r="AI69" i="16"/>
  <c r="AI70" i="16"/>
  <c r="AI71" i="16"/>
  <c r="AI99" i="16"/>
  <c r="AF100" i="16"/>
  <c r="AF101" i="16"/>
  <c r="AF102" i="16"/>
  <c r="AF103" i="16"/>
  <c r="AF106" i="16"/>
  <c r="AF66" i="16"/>
  <c r="AF67" i="16"/>
  <c r="AF68" i="16"/>
  <c r="AF69" i="16"/>
  <c r="AF70" i="16"/>
  <c r="AF71" i="16"/>
  <c r="AF99" i="16"/>
  <c r="Y100" i="16"/>
  <c r="Y101" i="16"/>
  <c r="Y102" i="16"/>
  <c r="Y103" i="16"/>
  <c r="Y106" i="16"/>
  <c r="Y66" i="16"/>
  <c r="Y67" i="16"/>
  <c r="Y68" i="16"/>
  <c r="Y69" i="16"/>
  <c r="Y70" i="16"/>
  <c r="Y71" i="16"/>
  <c r="Y99" i="16"/>
  <c r="V100" i="16"/>
  <c r="V101" i="16"/>
  <c r="V102" i="16"/>
  <c r="V103" i="16"/>
  <c r="V106" i="16"/>
  <c r="V66" i="16"/>
  <c r="V67" i="16"/>
  <c r="V68" i="16"/>
  <c r="V69" i="16"/>
  <c r="V70" i="16"/>
  <c r="V71" i="16"/>
  <c r="V99" i="16"/>
  <c r="S100" i="16"/>
  <c r="S101" i="16"/>
  <c r="S102" i="16"/>
  <c r="S103" i="16"/>
  <c r="S106" i="16"/>
  <c r="S66" i="16"/>
  <c r="S67" i="16"/>
  <c r="S68" i="16"/>
  <c r="S69" i="16"/>
  <c r="S70" i="16"/>
  <c r="S71" i="16"/>
  <c r="S99" i="16"/>
  <c r="M100" i="16"/>
  <c r="M101" i="16"/>
  <c r="M102" i="16"/>
  <c r="M103" i="16"/>
  <c r="M106" i="16"/>
  <c r="M66" i="16"/>
  <c r="M67" i="16"/>
  <c r="M68" i="16"/>
  <c r="M69" i="16"/>
  <c r="M70" i="16"/>
  <c r="M71" i="16"/>
  <c r="M99" i="16"/>
  <c r="A5" i="8" l="1"/>
  <c r="B12" i="16" l="1"/>
  <c r="B86" i="16"/>
  <c r="A6" i="8"/>
  <c r="A11" i="8" l="1"/>
  <c r="B9" i="16" l="1"/>
  <c r="B83" i="16"/>
  <c r="A13" i="8"/>
  <c r="A12" i="8"/>
  <c r="A3" i="22" l="1" a="1"/>
  <c r="A3" i="22" s="1"/>
  <c r="B10" i="16"/>
  <c r="B84" i="16"/>
  <c r="C193" i="16" l="1"/>
  <c r="D193" i="16"/>
  <c r="E193" i="16"/>
  <c r="F193" i="16"/>
  <c r="G193" i="16"/>
  <c r="G36" i="16"/>
  <c r="F36" i="16"/>
  <c r="E36" i="16"/>
  <c r="D36" i="16"/>
  <c r="C36" i="16"/>
  <c r="C86" i="17"/>
  <c r="H86" i="17"/>
  <c r="G86" i="17"/>
  <c r="F86" i="17"/>
  <c r="E86" i="17"/>
  <c r="D86" i="17"/>
  <c r="G85" i="17"/>
  <c r="F85" i="17"/>
  <c r="E85" i="17"/>
  <c r="D85" i="17"/>
  <c r="C85" i="17"/>
  <c r="G84" i="17"/>
  <c r="F84" i="17"/>
  <c r="E84" i="17"/>
  <c r="D84" i="17"/>
  <c r="C84" i="17"/>
  <c r="G83" i="17"/>
  <c r="F83" i="17"/>
  <c r="E83" i="17"/>
  <c r="D83" i="17"/>
  <c r="C83" i="17"/>
  <c r="G99" i="16"/>
  <c r="F99" i="16"/>
  <c r="E99" i="16"/>
  <c r="D99" i="16"/>
  <c r="C99" i="16"/>
  <c r="E166" i="16"/>
  <c r="D166" i="16"/>
  <c r="C166" i="16"/>
  <c r="G166" i="16"/>
  <c r="F166" i="16"/>
  <c r="G165" i="16"/>
  <c r="F165" i="16"/>
  <c r="E165" i="16"/>
  <c r="D165" i="16"/>
  <c r="C165" i="16"/>
  <c r="C164" i="16"/>
  <c r="D164" i="16"/>
  <c r="F164" i="16"/>
  <c r="E164" i="16"/>
  <c r="G164" i="16"/>
  <c r="E163" i="16"/>
  <c r="C163" i="16"/>
  <c r="D163" i="16"/>
  <c r="F163" i="16"/>
  <c r="G163" i="16"/>
  <c r="D162" i="16"/>
  <c r="C162" i="16"/>
  <c r="E162" i="16"/>
  <c r="F162" i="16"/>
  <c r="G162" i="16"/>
  <c r="G161" i="16"/>
  <c r="F161" i="16"/>
  <c r="E161" i="16"/>
  <c r="D161" i="16"/>
  <c r="C161" i="16"/>
  <c r="F160" i="16"/>
  <c r="C160" i="16"/>
  <c r="D160" i="16"/>
  <c r="E160" i="16"/>
  <c r="G160" i="16"/>
  <c r="C159" i="16"/>
  <c r="D159" i="16"/>
  <c r="E159" i="16"/>
  <c r="F159" i="16"/>
  <c r="G159" i="16"/>
  <c r="C158" i="16"/>
  <c r="E158" i="16"/>
  <c r="F158" i="16"/>
  <c r="G158" i="16"/>
  <c r="D158" i="16"/>
  <c r="F157" i="16"/>
  <c r="E157" i="16"/>
  <c r="D157" i="16"/>
  <c r="C157" i="16"/>
  <c r="G157" i="16"/>
  <c r="G156" i="16"/>
  <c r="F156" i="16"/>
  <c r="E156" i="16"/>
  <c r="D156" i="16"/>
  <c r="C156" i="16"/>
  <c r="D155" i="16"/>
  <c r="E155" i="16"/>
  <c r="F155" i="16"/>
  <c r="G155" i="16"/>
  <c r="C155" i="16"/>
  <c r="C154" i="16"/>
  <c r="D154" i="16"/>
  <c r="E154" i="16"/>
  <c r="F154" i="16"/>
  <c r="G154" i="16"/>
  <c r="G153" i="16"/>
  <c r="C153" i="16"/>
  <c r="D153" i="16"/>
  <c r="E153" i="16"/>
  <c r="F153" i="16"/>
  <c r="D152" i="16"/>
  <c r="C152" i="16"/>
  <c r="E152" i="16"/>
  <c r="F152" i="16"/>
  <c r="G152" i="16"/>
  <c r="D151" i="16"/>
  <c r="C151" i="16"/>
  <c r="F151" i="16"/>
  <c r="E151" i="16"/>
  <c r="G151" i="16"/>
  <c r="G150" i="16"/>
  <c r="E150" i="16"/>
  <c r="D150" i="16"/>
  <c r="C150" i="16"/>
  <c r="F150" i="16"/>
  <c r="G149" i="16"/>
  <c r="F149" i="16"/>
  <c r="D149" i="16"/>
  <c r="C149" i="16"/>
  <c r="E149" i="16"/>
  <c r="G148" i="16"/>
  <c r="F148" i="16"/>
  <c r="E148" i="16"/>
  <c r="D148" i="16"/>
  <c r="C148" i="16"/>
  <c r="G147" i="16"/>
  <c r="F147" i="16"/>
  <c r="E147" i="16"/>
  <c r="D147" i="16"/>
  <c r="C147" i="16"/>
  <c r="G146" i="16"/>
  <c r="F146" i="16"/>
  <c r="E146" i="16"/>
  <c r="D146" i="16"/>
  <c r="C146" i="16"/>
  <c r="G145" i="16"/>
  <c r="F145" i="16"/>
  <c r="C145" i="16"/>
  <c r="D145" i="16"/>
  <c r="E145" i="16"/>
  <c r="F144" i="16"/>
  <c r="G144" i="16"/>
  <c r="D144" i="16"/>
  <c r="C144" i="16"/>
  <c r="E144" i="16"/>
  <c r="D143" i="16"/>
  <c r="E143" i="16"/>
  <c r="F143" i="16"/>
  <c r="G143" i="16"/>
  <c r="C143" i="16"/>
  <c r="G142" i="16"/>
  <c r="F142" i="16"/>
  <c r="E142" i="16"/>
  <c r="D142" i="16"/>
  <c r="C142" i="16"/>
  <c r="G141" i="16"/>
  <c r="F141" i="16"/>
  <c r="C141" i="16"/>
  <c r="D141" i="16"/>
  <c r="E141" i="16"/>
  <c r="D140" i="16"/>
  <c r="C140" i="16"/>
  <c r="F140" i="16"/>
  <c r="E140" i="16"/>
  <c r="G140" i="16"/>
  <c r="C139" i="16"/>
  <c r="F139" i="16"/>
  <c r="E139" i="16"/>
  <c r="D139" i="16"/>
  <c r="G139" i="16"/>
  <c r="G138" i="16"/>
  <c r="E138" i="16"/>
  <c r="D138" i="16"/>
  <c r="C138" i="16"/>
  <c r="F138" i="16"/>
  <c r="E137" i="16"/>
  <c r="G137" i="16"/>
  <c r="F137" i="16"/>
  <c r="C137" i="16"/>
  <c r="D137" i="16"/>
  <c r="C136" i="16"/>
  <c r="D136" i="16"/>
  <c r="E136" i="16"/>
  <c r="F136" i="16"/>
  <c r="G136" i="16"/>
  <c r="C135" i="16"/>
  <c r="E135" i="16"/>
  <c r="F135" i="16"/>
  <c r="G135" i="16"/>
  <c r="D135" i="16"/>
  <c r="E128" i="16"/>
  <c r="G128" i="16"/>
  <c r="F128" i="16"/>
  <c r="D128" i="16"/>
  <c r="C128" i="16"/>
  <c r="G127" i="16"/>
  <c r="F127" i="16"/>
  <c r="E127" i="16"/>
  <c r="D127" i="16"/>
  <c r="C127" i="16"/>
  <c r="C126" i="16"/>
  <c r="D126" i="16"/>
  <c r="E126" i="16"/>
  <c r="F126" i="16"/>
  <c r="G126" i="16"/>
  <c r="G125" i="16"/>
  <c r="E125" i="16"/>
  <c r="D125" i="16"/>
  <c r="C125" i="16"/>
  <c r="F125" i="16"/>
  <c r="G124" i="16"/>
  <c r="F124" i="16"/>
  <c r="E124" i="16"/>
  <c r="D124" i="16"/>
  <c r="C124" i="16"/>
  <c r="G123" i="16"/>
  <c r="F123" i="16"/>
  <c r="E123" i="16"/>
  <c r="D123" i="16"/>
  <c r="C123" i="16"/>
  <c r="G122" i="16"/>
  <c r="F122" i="16"/>
  <c r="E122" i="16"/>
  <c r="D122" i="16"/>
  <c r="C122" i="16"/>
  <c r="F121" i="16"/>
  <c r="G121" i="16"/>
  <c r="E121" i="16"/>
  <c r="D121" i="16"/>
  <c r="C121" i="16"/>
  <c r="G120" i="16"/>
  <c r="F120" i="16"/>
  <c r="E120" i="16"/>
  <c r="D120" i="16"/>
  <c r="C120" i="16"/>
  <c r="E119" i="16"/>
  <c r="G119" i="16"/>
  <c r="F119" i="16"/>
  <c r="C119" i="16"/>
  <c r="D119" i="16"/>
  <c r="G118" i="16"/>
  <c r="F118" i="16"/>
  <c r="E118" i="16"/>
  <c r="D118" i="16"/>
  <c r="C118" i="16"/>
  <c r="G117" i="16"/>
  <c r="F117" i="16"/>
  <c r="E117" i="16"/>
  <c r="D117" i="16"/>
  <c r="C117" i="16"/>
  <c r="G116" i="16"/>
  <c r="F116" i="16"/>
  <c r="E116" i="16"/>
  <c r="D116" i="16"/>
  <c r="C116" i="16"/>
  <c r="G115" i="16"/>
  <c r="F115" i="16"/>
  <c r="C115" i="16"/>
  <c r="D115" i="16"/>
  <c r="E115" i="16"/>
  <c r="E114" i="16"/>
  <c r="C114" i="16"/>
  <c r="D114" i="16"/>
  <c r="F114" i="16"/>
  <c r="G114" i="16"/>
  <c r="C113" i="16"/>
  <c r="D113" i="16"/>
  <c r="E113" i="16"/>
  <c r="F113" i="16"/>
  <c r="G113" i="16"/>
  <c r="E112" i="16"/>
  <c r="C112" i="16"/>
  <c r="F112" i="16"/>
  <c r="G112" i="16"/>
  <c r="D112" i="16"/>
  <c r="D111" i="16"/>
  <c r="E111" i="16"/>
  <c r="F111" i="16"/>
  <c r="G111" i="16"/>
  <c r="C111" i="16"/>
  <c r="D110" i="16"/>
  <c r="G110" i="16"/>
  <c r="E110" i="16"/>
  <c r="F110" i="16"/>
  <c r="C110" i="16"/>
  <c r="G109" i="16"/>
  <c r="F109" i="16"/>
  <c r="E109" i="16"/>
  <c r="D109" i="16"/>
  <c r="C109" i="16"/>
  <c r="E108" i="16"/>
  <c r="G108" i="16"/>
  <c r="D108" i="16"/>
  <c r="C108" i="16"/>
  <c r="F108" i="16"/>
  <c r="C107" i="16"/>
  <c r="D107" i="16"/>
  <c r="E107" i="16"/>
  <c r="F107" i="16"/>
  <c r="G107" i="16"/>
  <c r="E106" i="16"/>
  <c r="F106" i="16"/>
  <c r="G106" i="16"/>
  <c r="D106" i="16"/>
  <c r="C106" i="16"/>
  <c r="C105" i="16"/>
  <c r="D105" i="16"/>
  <c r="E105" i="16"/>
  <c r="F105" i="16"/>
  <c r="G105" i="16"/>
  <c r="C104" i="16"/>
  <c r="D104" i="16"/>
  <c r="E104" i="16"/>
  <c r="F104" i="16"/>
  <c r="G104" i="16"/>
  <c r="D103" i="16"/>
  <c r="F103" i="16"/>
  <c r="G103" i="16"/>
  <c r="C103" i="16"/>
  <c r="E103" i="16"/>
  <c r="C102" i="16"/>
  <c r="D102" i="16"/>
  <c r="E102" i="16"/>
  <c r="F102" i="16"/>
  <c r="G102" i="16"/>
  <c r="G101" i="16"/>
  <c r="F101" i="16"/>
  <c r="D101" i="16"/>
  <c r="C101" i="16"/>
  <c r="E101" i="16"/>
  <c r="F94" i="16"/>
  <c r="E94" i="16"/>
  <c r="G94" i="16"/>
  <c r="D94" i="16"/>
  <c r="C94" i="16"/>
  <c r="G93" i="16"/>
  <c r="F93" i="16"/>
  <c r="E93" i="16"/>
  <c r="D93" i="16"/>
  <c r="C93" i="16"/>
  <c r="G92" i="16"/>
  <c r="F92" i="16"/>
  <c r="E92" i="16"/>
  <c r="D92" i="16"/>
  <c r="C92" i="16"/>
  <c r="E91" i="16"/>
  <c r="G91" i="16"/>
  <c r="F91" i="16"/>
  <c r="D91" i="16"/>
  <c r="C91" i="16"/>
  <c r="G90" i="16"/>
  <c r="F90" i="16"/>
  <c r="D90" i="16"/>
  <c r="C90" i="16"/>
  <c r="E90" i="16"/>
  <c r="E89" i="16"/>
  <c r="D89" i="16"/>
  <c r="F89" i="16"/>
  <c r="G89" i="16"/>
  <c r="C89" i="16"/>
  <c r="D88" i="16"/>
  <c r="E88" i="16"/>
  <c r="F88" i="16"/>
  <c r="G88" i="16"/>
  <c r="C88" i="16"/>
  <c r="C87" i="16"/>
  <c r="D87" i="16"/>
  <c r="E87" i="16"/>
  <c r="F87" i="16"/>
  <c r="G87" i="16"/>
  <c r="C85" i="16"/>
  <c r="D85" i="16"/>
  <c r="E85" i="16"/>
  <c r="F85" i="16"/>
  <c r="G85" i="16"/>
  <c r="G82" i="16"/>
  <c r="F82" i="16"/>
  <c r="E82" i="16"/>
  <c r="D82" i="16"/>
  <c r="C82" i="16"/>
  <c r="C81" i="16"/>
  <c r="G81" i="16"/>
  <c r="E81" i="16"/>
  <c r="D81" i="16"/>
  <c r="F81" i="16"/>
  <c r="D80" i="16"/>
  <c r="G80" i="16"/>
  <c r="E80" i="16"/>
  <c r="F80" i="16"/>
  <c r="C80" i="16"/>
  <c r="G79" i="16"/>
  <c r="F79" i="16"/>
  <c r="E79" i="16"/>
  <c r="D79" i="16"/>
  <c r="C79" i="16"/>
  <c r="G78" i="16"/>
  <c r="F78" i="16"/>
  <c r="E78" i="16"/>
  <c r="D78" i="16"/>
  <c r="C78" i="16"/>
  <c r="C77" i="16"/>
  <c r="D77" i="16"/>
  <c r="G77" i="16"/>
  <c r="F77" i="16"/>
  <c r="E77" i="16"/>
  <c r="E76" i="16"/>
  <c r="F76" i="16"/>
  <c r="G76" i="16"/>
  <c r="C76" i="16"/>
  <c r="D76" i="16"/>
  <c r="G75" i="16"/>
  <c r="F75" i="16"/>
  <c r="E75" i="16"/>
  <c r="D75" i="16"/>
  <c r="C75" i="16"/>
  <c r="C74" i="16"/>
  <c r="D74" i="16"/>
  <c r="F74" i="16"/>
  <c r="G74" i="16"/>
  <c r="E74" i="16"/>
  <c r="G73" i="16"/>
  <c r="F73" i="16"/>
  <c r="E73" i="16"/>
  <c r="D73" i="16"/>
  <c r="C73" i="16"/>
  <c r="E72" i="16"/>
  <c r="D72" i="16"/>
  <c r="G72" i="16"/>
  <c r="C72" i="16"/>
  <c r="F72" i="16"/>
  <c r="G71" i="16"/>
  <c r="F71" i="16"/>
  <c r="E71" i="16"/>
  <c r="D71" i="16"/>
  <c r="C71" i="16"/>
  <c r="G70" i="16"/>
  <c r="D70" i="16"/>
  <c r="C70" i="16"/>
  <c r="E70" i="16"/>
  <c r="F70" i="16"/>
  <c r="G69" i="16"/>
  <c r="F69" i="16"/>
  <c r="E69" i="16"/>
  <c r="D69" i="16"/>
  <c r="C69" i="16"/>
  <c r="F68" i="16"/>
  <c r="E68" i="16"/>
  <c r="D68" i="16"/>
  <c r="C68" i="16"/>
  <c r="G68" i="16"/>
  <c r="D67" i="16"/>
  <c r="E67" i="16"/>
  <c r="F67" i="16"/>
  <c r="G67" i="16"/>
  <c r="C67" i="16"/>
  <c r="C27" i="16"/>
  <c r="D27" i="16"/>
  <c r="E27" i="16"/>
  <c r="G27" i="16"/>
  <c r="F27" i="16"/>
  <c r="C22" i="16"/>
  <c r="D22" i="16"/>
  <c r="E22" i="16"/>
  <c r="F22" i="16"/>
  <c r="G22" i="16"/>
  <c r="D21" i="16"/>
  <c r="E21" i="16"/>
  <c r="F21" i="16"/>
  <c r="G21" i="16"/>
  <c r="C21" i="16"/>
  <c r="C20" i="16"/>
  <c r="D20" i="16"/>
  <c r="E20" i="16"/>
  <c r="F20" i="16"/>
  <c r="G20" i="16"/>
  <c r="E19" i="16"/>
  <c r="F19" i="16"/>
  <c r="G19" i="16"/>
  <c r="C19" i="16"/>
  <c r="D19" i="16"/>
  <c r="G18" i="16"/>
  <c r="C18" i="16"/>
  <c r="D18" i="16"/>
  <c r="E18" i="16"/>
  <c r="F18" i="16"/>
  <c r="F17" i="16"/>
  <c r="G17" i="16"/>
  <c r="E17" i="16"/>
  <c r="C17" i="16"/>
  <c r="D17" i="16"/>
  <c r="D16" i="16"/>
  <c r="C16" i="16"/>
  <c r="G16" i="16"/>
  <c r="F16" i="16"/>
  <c r="E16" i="16"/>
  <c r="G15" i="16"/>
  <c r="F15" i="16"/>
  <c r="E15" i="16"/>
  <c r="D15" i="16"/>
  <c r="C15" i="16"/>
  <c r="G14" i="16"/>
  <c r="F14" i="16"/>
  <c r="D14" i="16"/>
  <c r="E14" i="16"/>
  <c r="C14" i="16"/>
  <c r="F13" i="16"/>
  <c r="D13" i="16"/>
  <c r="G13" i="16"/>
  <c r="C13" i="16"/>
  <c r="E13" i="16"/>
  <c r="C11" i="16"/>
  <c r="G11" i="16"/>
  <c r="F11" i="16"/>
  <c r="E11" i="16"/>
  <c r="D11" i="16"/>
  <c r="G8" i="16"/>
  <c r="F8" i="16"/>
  <c r="E8" i="16"/>
  <c r="D8" i="16"/>
  <c r="C8" i="16"/>
  <c r="E7" i="16"/>
  <c r="C7" i="16"/>
  <c r="G7" i="16"/>
  <c r="F7" i="16"/>
  <c r="D7" i="16"/>
  <c r="G29" i="16"/>
  <c r="F29" i="16"/>
  <c r="E29" i="16"/>
  <c r="D29" i="16"/>
  <c r="C29" i="16"/>
  <c r="G30" i="16"/>
  <c r="F30" i="16"/>
  <c r="E30" i="16"/>
  <c r="D30" i="16"/>
  <c r="C30" i="16"/>
  <c r="G28" i="16"/>
  <c r="F28" i="16"/>
  <c r="E28" i="16"/>
  <c r="D28" i="16"/>
  <c r="C28" i="16"/>
  <c r="G44" i="16"/>
  <c r="F44" i="16"/>
  <c r="E44" i="16"/>
  <c r="D44" i="16"/>
  <c r="C44" i="16"/>
  <c r="G43" i="16"/>
  <c r="F43" i="16"/>
  <c r="E43" i="16"/>
  <c r="D43" i="16"/>
  <c r="C43" i="16"/>
  <c r="G42" i="16"/>
  <c r="F42" i="16"/>
  <c r="E42" i="16"/>
  <c r="D42" i="16"/>
  <c r="C42" i="16"/>
  <c r="G41" i="16"/>
  <c r="F41" i="16"/>
  <c r="E41" i="16"/>
  <c r="D41" i="16"/>
  <c r="C41" i="16"/>
  <c r="G40" i="16"/>
  <c r="F40" i="16"/>
  <c r="E40" i="16"/>
  <c r="D40" i="16"/>
  <c r="C40" i="16"/>
  <c r="G39" i="16"/>
  <c r="F39" i="16"/>
  <c r="E39" i="16"/>
  <c r="D39" i="16"/>
  <c r="C39" i="16"/>
  <c r="G38" i="16"/>
  <c r="F38" i="16"/>
  <c r="E38" i="16"/>
  <c r="D38" i="16"/>
  <c r="C38" i="16"/>
  <c r="G57" i="16"/>
  <c r="F57" i="16"/>
  <c r="E57" i="16"/>
  <c r="D57" i="16"/>
  <c r="C57" i="16"/>
  <c r="G56" i="16"/>
  <c r="F56" i="16"/>
  <c r="E56" i="16"/>
  <c r="D56" i="16"/>
  <c r="C56" i="16"/>
  <c r="G55" i="16"/>
  <c r="F55" i="16"/>
  <c r="E55" i="16"/>
  <c r="D55" i="16"/>
  <c r="C55" i="16"/>
  <c r="G54" i="16"/>
  <c r="F54" i="16"/>
  <c r="E54" i="16"/>
  <c r="D54" i="16"/>
  <c r="C54" i="16"/>
  <c r="G53" i="16"/>
  <c r="F53" i="16"/>
  <c r="D53" i="16"/>
  <c r="C53" i="16"/>
  <c r="G51" i="16"/>
  <c r="F51" i="16"/>
  <c r="E51" i="16"/>
  <c r="D51" i="16"/>
  <c r="C51" i="16"/>
  <c r="G50" i="16"/>
  <c r="F50" i="16"/>
  <c r="E50" i="16"/>
  <c r="D50" i="16"/>
  <c r="C50" i="16"/>
  <c r="G49" i="16"/>
  <c r="F49" i="16"/>
  <c r="E49" i="16"/>
  <c r="D49" i="16"/>
  <c r="C49" i="16"/>
  <c r="G47" i="16"/>
  <c r="F47" i="16"/>
  <c r="E47" i="16"/>
  <c r="D47" i="16"/>
  <c r="C47" i="16"/>
  <c r="G46" i="16"/>
  <c r="F46" i="16"/>
  <c r="E46" i="16"/>
  <c r="D46" i="16"/>
  <c r="C46" i="16"/>
  <c r="G45" i="16"/>
  <c r="F45" i="16"/>
  <c r="E45" i="16"/>
  <c r="D45" i="16"/>
  <c r="C45" i="16"/>
  <c r="G186" i="16"/>
  <c r="F186" i="16"/>
  <c r="E186" i="16"/>
  <c r="D186" i="16"/>
  <c r="C186" i="16"/>
  <c r="G185" i="16"/>
  <c r="F185" i="16"/>
  <c r="E185" i="16"/>
  <c r="D185" i="16"/>
  <c r="C185" i="16"/>
  <c r="G184" i="16"/>
  <c r="F184" i="16"/>
  <c r="E184" i="16"/>
  <c r="D184" i="16"/>
  <c r="C184" i="16"/>
  <c r="G183" i="16"/>
  <c r="F183" i="16"/>
  <c r="E183" i="16"/>
  <c r="D183" i="16"/>
  <c r="C183" i="16"/>
  <c r="G182" i="16"/>
  <c r="F182" i="16"/>
  <c r="E182" i="16"/>
  <c r="D182" i="16"/>
  <c r="C182" i="16"/>
  <c r="G181" i="16"/>
  <c r="F181" i="16"/>
  <c r="E181" i="16"/>
  <c r="D181" i="16"/>
  <c r="C181" i="16"/>
  <c r="G180" i="16"/>
  <c r="F180" i="16"/>
  <c r="E180" i="16"/>
  <c r="D180" i="16"/>
  <c r="C180" i="16"/>
  <c r="G179" i="16"/>
  <c r="F179" i="16"/>
  <c r="E179" i="16"/>
  <c r="D179" i="16"/>
  <c r="C179" i="16"/>
  <c r="G178" i="16"/>
  <c r="F178" i="16"/>
  <c r="E178" i="16"/>
  <c r="D178" i="16"/>
  <c r="C178" i="16"/>
  <c r="G177" i="16"/>
  <c r="F177" i="16"/>
  <c r="E177" i="16"/>
  <c r="D177" i="16"/>
  <c r="C177" i="16"/>
  <c r="G176" i="16"/>
  <c r="F176" i="16"/>
  <c r="E176" i="16"/>
  <c r="D176" i="16"/>
  <c r="C176" i="16"/>
  <c r="G175" i="16"/>
  <c r="F175" i="16"/>
  <c r="E175" i="16"/>
  <c r="D175" i="16"/>
  <c r="C175" i="16"/>
  <c r="G173" i="16"/>
  <c r="F173" i="16"/>
  <c r="E173" i="16"/>
  <c r="D173" i="16"/>
  <c r="C173" i="16"/>
  <c r="G172" i="16"/>
  <c r="F172" i="16"/>
  <c r="E172" i="16"/>
  <c r="D172" i="16"/>
  <c r="C172" i="16"/>
  <c r="G222" i="16"/>
  <c r="F222" i="16"/>
  <c r="E222" i="16"/>
  <c r="D222" i="16"/>
  <c r="C222" i="16"/>
  <c r="G221" i="16"/>
  <c r="F221" i="16"/>
  <c r="E221" i="16"/>
  <c r="D221" i="16"/>
  <c r="C221" i="16"/>
  <c r="G220" i="16"/>
  <c r="F220" i="16"/>
  <c r="E220" i="16"/>
  <c r="D220" i="16"/>
  <c r="C220" i="16"/>
  <c r="G219" i="16"/>
  <c r="F219" i="16"/>
  <c r="E219" i="16"/>
  <c r="D219" i="16"/>
  <c r="C219" i="16"/>
  <c r="G217" i="16"/>
  <c r="F217" i="16"/>
  <c r="E217" i="16"/>
  <c r="D217" i="16"/>
  <c r="C217" i="16"/>
  <c r="G216" i="16"/>
  <c r="F216" i="16"/>
  <c r="E216" i="16"/>
  <c r="D216" i="16"/>
  <c r="C216" i="16"/>
  <c r="G215" i="16"/>
  <c r="F215" i="16"/>
  <c r="E215" i="16"/>
  <c r="D215" i="16"/>
  <c r="C215" i="16"/>
  <c r="G213" i="16"/>
  <c r="F213" i="16"/>
  <c r="E213" i="16"/>
  <c r="D213" i="16"/>
  <c r="C213" i="16"/>
  <c r="G212" i="16"/>
  <c r="F212" i="16"/>
  <c r="E212" i="16"/>
  <c r="D212" i="16"/>
  <c r="C212" i="16"/>
  <c r="G211" i="16"/>
  <c r="F211" i="16"/>
  <c r="E211" i="16"/>
  <c r="D211" i="16"/>
  <c r="C211" i="16"/>
  <c r="G210" i="16"/>
  <c r="F210" i="16"/>
  <c r="E210" i="16"/>
  <c r="D210" i="16"/>
  <c r="C210" i="16"/>
  <c r="G209" i="16"/>
  <c r="F209" i="16"/>
  <c r="E209" i="16"/>
  <c r="D209" i="16"/>
  <c r="C209" i="16"/>
  <c r="G208" i="16"/>
  <c r="F208" i="16"/>
  <c r="E208" i="16"/>
  <c r="D208" i="16"/>
  <c r="C208" i="16"/>
  <c r="G207" i="16"/>
  <c r="F207" i="16"/>
  <c r="E207" i="16"/>
  <c r="D207" i="16"/>
  <c r="C207" i="16"/>
  <c r="G201" i="16"/>
  <c r="F201" i="16"/>
  <c r="E201" i="16"/>
  <c r="D201" i="16"/>
  <c r="C201" i="16"/>
  <c r="G200" i="16"/>
  <c r="F200" i="16"/>
  <c r="E200" i="16"/>
  <c r="D200" i="16"/>
  <c r="C200" i="16"/>
  <c r="G199" i="16"/>
  <c r="F199" i="16"/>
  <c r="E199" i="16"/>
  <c r="D199" i="16"/>
  <c r="C199" i="16"/>
  <c r="D32" i="16"/>
  <c r="G32" i="16"/>
  <c r="F32" i="16"/>
  <c r="E32" i="16"/>
  <c r="C32" i="16"/>
  <c r="D31" i="16"/>
  <c r="G31" i="16"/>
  <c r="F31" i="16"/>
  <c r="E31" i="16"/>
  <c r="C31" i="16"/>
  <c r="G12" i="16"/>
  <c r="F12" i="16"/>
  <c r="E12" i="16"/>
  <c r="D12" i="16"/>
  <c r="C12" i="16"/>
  <c r="C86" i="16"/>
  <c r="D86" i="16"/>
  <c r="E86" i="16"/>
  <c r="G86" i="16"/>
  <c r="F86" i="16"/>
  <c r="F83" i="16"/>
  <c r="D83" i="16"/>
  <c r="E83" i="16"/>
  <c r="G83" i="16"/>
  <c r="C83" i="16"/>
  <c r="C9" i="16"/>
  <c r="E9" i="16"/>
  <c r="D9" i="16"/>
  <c r="G9" i="16"/>
  <c r="F9" i="16"/>
  <c r="C133" i="16"/>
  <c r="D133" i="16"/>
  <c r="E133" i="16"/>
  <c r="F133" i="16"/>
  <c r="G133" i="16"/>
  <c r="C5" i="16"/>
  <c r="D5" i="16"/>
  <c r="E5" i="16"/>
  <c r="F5" i="16"/>
  <c r="G5" i="16"/>
  <c r="D6" i="16"/>
  <c r="G6" i="16"/>
  <c r="F6" i="16"/>
  <c r="E6" i="16"/>
  <c r="C6" i="16"/>
  <c r="C17" i="17"/>
  <c r="D17" i="17"/>
  <c r="E17" i="17"/>
  <c r="F17" i="17"/>
  <c r="G17" i="17"/>
  <c r="C129" i="16"/>
  <c r="D129" i="16"/>
  <c r="E129" i="16"/>
  <c r="F129" i="16"/>
  <c r="G129" i="16"/>
  <c r="C130" i="16"/>
  <c r="D130" i="16"/>
  <c r="E130" i="16"/>
  <c r="F130" i="16"/>
  <c r="G130" i="16"/>
  <c r="G59" i="17"/>
  <c r="F59" i="17"/>
  <c r="E59" i="17"/>
  <c r="D59" i="17"/>
  <c r="C59" i="17"/>
  <c r="G58" i="17"/>
  <c r="F58" i="17"/>
  <c r="E58" i="17"/>
  <c r="D58" i="17"/>
  <c r="C58" i="17"/>
  <c r="G57" i="17"/>
  <c r="F57" i="17"/>
  <c r="E57" i="17"/>
  <c r="D57" i="17"/>
  <c r="C57" i="17"/>
  <c r="G56" i="17"/>
  <c r="F56" i="17"/>
  <c r="E56" i="17"/>
  <c r="D56" i="17"/>
  <c r="C56" i="17"/>
  <c r="G60" i="17"/>
  <c r="F60" i="17"/>
  <c r="E60" i="17"/>
  <c r="D60" i="17"/>
  <c r="C60" i="17"/>
  <c r="C54" i="17"/>
  <c r="D54" i="17"/>
  <c r="E54" i="17"/>
  <c r="F54" i="17"/>
  <c r="G54" i="17"/>
  <c r="C55" i="17"/>
  <c r="D55" i="17"/>
  <c r="E55" i="17"/>
  <c r="F55" i="17"/>
  <c r="G55" i="17"/>
  <c r="C40" i="17"/>
  <c r="D40" i="17"/>
  <c r="E40" i="17"/>
  <c r="F40" i="17"/>
  <c r="G40" i="17"/>
  <c r="C41" i="17"/>
  <c r="D41" i="17"/>
  <c r="E41" i="17"/>
  <c r="F41" i="17"/>
  <c r="G41" i="17"/>
  <c r="C42" i="17"/>
  <c r="D42" i="17"/>
  <c r="E42" i="17"/>
  <c r="F42" i="17"/>
  <c r="G42" i="17"/>
  <c r="C43" i="17"/>
  <c r="D43" i="17"/>
  <c r="E43" i="17"/>
  <c r="F43" i="17"/>
  <c r="G43" i="17"/>
  <c r="C34" i="16"/>
  <c r="D34" i="16"/>
  <c r="E34" i="16"/>
  <c r="F34" i="16"/>
  <c r="G34" i="16"/>
  <c r="C36" i="17"/>
  <c r="D36" i="17"/>
  <c r="E36" i="17"/>
  <c r="F36" i="17"/>
  <c r="G36" i="17"/>
  <c r="C37" i="17"/>
  <c r="D37" i="17"/>
  <c r="E37" i="17"/>
  <c r="F37" i="17"/>
  <c r="G37" i="17"/>
  <c r="C38" i="17"/>
  <c r="D38" i="17"/>
  <c r="E38" i="17"/>
  <c r="F38" i="17"/>
  <c r="G38" i="17"/>
  <c r="C39" i="17"/>
  <c r="D39" i="17"/>
  <c r="E39" i="17"/>
  <c r="F39" i="17"/>
  <c r="G39" i="17"/>
  <c r="C191" i="16"/>
  <c r="D191" i="16"/>
  <c r="E191" i="16"/>
  <c r="F191" i="16"/>
  <c r="G191" i="16"/>
  <c r="C192" i="16"/>
  <c r="D192" i="16"/>
  <c r="E192" i="16"/>
  <c r="F192" i="16"/>
  <c r="G192" i="16"/>
  <c r="C214" i="16"/>
  <c r="D214" i="16"/>
  <c r="E214" i="16"/>
  <c r="F214" i="16"/>
  <c r="G214" i="16"/>
  <c r="C218" i="16"/>
  <c r="D218" i="16"/>
  <c r="E218" i="16"/>
  <c r="F218" i="16"/>
  <c r="G218" i="16"/>
  <c r="C224" i="16"/>
  <c r="D224" i="16"/>
  <c r="E224" i="16"/>
  <c r="F224" i="16"/>
  <c r="G224" i="16"/>
  <c r="C174" i="16"/>
  <c r="D174" i="16"/>
  <c r="E174" i="16"/>
  <c r="F174" i="16"/>
  <c r="G174" i="16"/>
  <c r="C205" i="16"/>
  <c r="D205" i="16"/>
  <c r="E205" i="16"/>
  <c r="F205" i="16"/>
  <c r="G205" i="16"/>
  <c r="C206" i="16"/>
  <c r="D206" i="16"/>
  <c r="E206" i="16"/>
  <c r="F206" i="16"/>
  <c r="G206" i="16"/>
  <c r="C58" i="16"/>
  <c r="D58" i="16"/>
  <c r="E58" i="16"/>
  <c r="F58" i="16"/>
  <c r="G58" i="16"/>
  <c r="C59" i="16"/>
  <c r="D59" i="16"/>
  <c r="E59" i="16"/>
  <c r="F59" i="16"/>
  <c r="G59" i="16"/>
  <c r="C60" i="16"/>
  <c r="D60" i="16"/>
  <c r="E60" i="16"/>
  <c r="F60" i="16"/>
  <c r="G60" i="16"/>
  <c r="C61" i="16"/>
  <c r="D61" i="16"/>
  <c r="E61" i="16"/>
  <c r="F61" i="16"/>
  <c r="G61" i="16"/>
  <c r="C203" i="16"/>
  <c r="D203" i="16"/>
  <c r="E203" i="16"/>
  <c r="F203" i="16"/>
  <c r="G203" i="16"/>
  <c r="C202" i="16"/>
  <c r="D202" i="16"/>
  <c r="E202" i="16"/>
  <c r="F202" i="16"/>
  <c r="G202" i="16"/>
  <c r="C52" i="16"/>
  <c r="D52" i="16"/>
  <c r="E52" i="16"/>
  <c r="F52" i="16"/>
  <c r="G52" i="16"/>
  <c r="C189" i="16"/>
  <c r="D189" i="16"/>
  <c r="E189" i="16"/>
  <c r="F189" i="16"/>
  <c r="G189" i="16"/>
  <c r="C190" i="16"/>
  <c r="D190" i="16"/>
  <c r="E190" i="16"/>
  <c r="F190" i="16"/>
  <c r="G190" i="16"/>
  <c r="C187" i="16"/>
  <c r="D187" i="16"/>
  <c r="E187" i="16"/>
  <c r="F187" i="16"/>
  <c r="G187" i="16"/>
  <c r="C188" i="16"/>
  <c r="D188" i="16"/>
  <c r="E188" i="16"/>
  <c r="F188" i="16"/>
  <c r="G188" i="16"/>
  <c r="G65" i="16"/>
  <c r="F65" i="16"/>
  <c r="E65" i="16"/>
  <c r="D65" i="16"/>
  <c r="C65" i="16"/>
  <c r="G33" i="16"/>
  <c r="F33" i="16"/>
  <c r="E33" i="16"/>
  <c r="D33" i="16"/>
  <c r="C33" i="16"/>
  <c r="G35" i="16"/>
  <c r="F35" i="16"/>
  <c r="E35" i="16"/>
  <c r="D35" i="16"/>
  <c r="C35" i="16"/>
  <c r="G16" i="17"/>
  <c r="F16" i="17"/>
  <c r="E16" i="17"/>
  <c r="D16" i="17"/>
  <c r="C16" i="17"/>
  <c r="G170" i="16"/>
  <c r="F170" i="16"/>
  <c r="E170" i="16"/>
  <c r="D170" i="16"/>
  <c r="C170" i="16"/>
  <c r="G197" i="16"/>
  <c r="F197" i="16"/>
  <c r="E197" i="16"/>
  <c r="D197" i="16"/>
  <c r="C197" i="16"/>
  <c r="G227" i="16"/>
  <c r="F227" i="16"/>
  <c r="E227" i="16"/>
  <c r="D227" i="16"/>
  <c r="C227" i="16"/>
  <c r="C5" i="17"/>
  <c r="G5" i="17"/>
  <c r="F5" i="17"/>
  <c r="E5" i="17"/>
  <c r="D5" i="17"/>
  <c r="G87" i="17"/>
  <c r="F87" i="17"/>
  <c r="E87" i="17"/>
  <c r="D87" i="17"/>
  <c r="C87" i="17"/>
  <c r="G82" i="17"/>
  <c r="F82" i="17"/>
  <c r="E82" i="17"/>
  <c r="D82" i="17"/>
  <c r="C82" i="17"/>
  <c r="G81" i="17"/>
  <c r="F81" i="17"/>
  <c r="E81" i="17"/>
  <c r="D81" i="17"/>
  <c r="C81" i="17"/>
  <c r="G80" i="17"/>
  <c r="F80" i="17"/>
  <c r="E80" i="17"/>
  <c r="D80" i="17"/>
  <c r="C80" i="17"/>
  <c r="G79" i="17"/>
  <c r="F79" i="17"/>
  <c r="E79" i="17"/>
  <c r="D79" i="17"/>
  <c r="C79" i="17"/>
  <c r="G78" i="17"/>
  <c r="F78" i="17"/>
  <c r="E78" i="17"/>
  <c r="D78" i="17"/>
  <c r="C78" i="17"/>
  <c r="G77" i="17"/>
  <c r="F77" i="17"/>
  <c r="E77" i="17"/>
  <c r="D77" i="17"/>
  <c r="C77" i="17"/>
  <c r="G76" i="17"/>
  <c r="F76" i="17"/>
  <c r="E76" i="17"/>
  <c r="D76" i="17"/>
  <c r="C76" i="17"/>
  <c r="G75" i="17"/>
  <c r="F75" i="17"/>
  <c r="E75" i="17"/>
  <c r="D75" i="17"/>
  <c r="C75" i="17"/>
  <c r="G74" i="17"/>
  <c r="F74" i="17"/>
  <c r="E74" i="17"/>
  <c r="D74" i="17"/>
  <c r="C74" i="17"/>
  <c r="G53" i="17"/>
  <c r="F53" i="17"/>
  <c r="E53" i="17"/>
  <c r="D53" i="17"/>
  <c r="C53" i="17"/>
  <c r="G52" i="17"/>
  <c r="F52" i="17"/>
  <c r="E52" i="17"/>
  <c r="D52" i="17"/>
  <c r="C52" i="17"/>
  <c r="G51" i="17"/>
  <c r="F51" i="17"/>
  <c r="E51" i="17"/>
  <c r="D51" i="17"/>
  <c r="C51" i="17"/>
  <c r="G50" i="17"/>
  <c r="F50" i="17"/>
  <c r="E50" i="17"/>
  <c r="D50" i="17"/>
  <c r="C50" i="17"/>
  <c r="G49" i="17"/>
  <c r="F49" i="17"/>
  <c r="E49" i="17"/>
  <c r="D49" i="17"/>
  <c r="C49" i="17"/>
  <c r="G35" i="17"/>
  <c r="F35" i="17"/>
  <c r="E35" i="17"/>
  <c r="D35" i="17"/>
  <c r="C35" i="17"/>
  <c r="G34" i="17"/>
  <c r="F34" i="17"/>
  <c r="E34" i="17"/>
  <c r="D34" i="17"/>
  <c r="C34" i="17"/>
  <c r="G33" i="17"/>
  <c r="F33" i="17"/>
  <c r="E33" i="17"/>
  <c r="D33" i="17"/>
  <c r="C33" i="17"/>
  <c r="G32" i="17"/>
  <c r="F32" i="17"/>
  <c r="E32" i="17"/>
  <c r="D32" i="17"/>
  <c r="C32" i="17"/>
  <c r="G31" i="17"/>
  <c r="F31" i="17"/>
  <c r="E31" i="17"/>
  <c r="D31" i="17"/>
  <c r="C31" i="17"/>
  <c r="G30" i="17"/>
  <c r="F30" i="17"/>
  <c r="E30" i="17"/>
  <c r="D30" i="17"/>
  <c r="C30" i="17"/>
  <c r="G29" i="17"/>
  <c r="F29" i="17"/>
  <c r="E29" i="17"/>
  <c r="D29" i="17"/>
  <c r="C29" i="17"/>
  <c r="G28" i="17"/>
  <c r="F28" i="17"/>
  <c r="E28" i="17"/>
  <c r="D28" i="17"/>
  <c r="C28" i="17"/>
  <c r="G27" i="17"/>
  <c r="F27" i="17"/>
  <c r="E27" i="17"/>
  <c r="D27" i="17"/>
  <c r="C27" i="17"/>
  <c r="G26" i="17"/>
  <c r="F26" i="17"/>
  <c r="E26" i="17"/>
  <c r="D26" i="17"/>
  <c r="C26" i="17"/>
  <c r="G25" i="17"/>
  <c r="F25" i="17"/>
  <c r="E25" i="17"/>
  <c r="D25" i="17"/>
  <c r="C25" i="17"/>
  <c r="G24" i="17"/>
  <c r="F24" i="17"/>
  <c r="E24" i="17"/>
  <c r="D24" i="17"/>
  <c r="C24" i="17"/>
  <c r="G23" i="17"/>
  <c r="F23" i="17"/>
  <c r="E23" i="17"/>
  <c r="D23" i="17"/>
  <c r="C23" i="17"/>
  <c r="G22" i="17"/>
  <c r="F22" i="17"/>
  <c r="E22" i="17"/>
  <c r="D22" i="17"/>
  <c r="C22" i="17"/>
  <c r="G21" i="17"/>
  <c r="F21" i="17"/>
  <c r="E21" i="17"/>
  <c r="D21" i="17"/>
  <c r="C21" i="17"/>
  <c r="G20" i="17"/>
  <c r="F20" i="17"/>
  <c r="E20" i="17"/>
  <c r="D20" i="17"/>
  <c r="C20" i="17"/>
  <c r="G19" i="17"/>
  <c r="F19" i="17"/>
  <c r="E19" i="17"/>
  <c r="D19" i="17"/>
  <c r="C19" i="17"/>
  <c r="G15" i="17"/>
  <c r="F15" i="17"/>
  <c r="E15" i="17"/>
  <c r="D15" i="17"/>
  <c r="C15" i="17"/>
  <c r="G14" i="17"/>
  <c r="F14" i="17"/>
  <c r="E14" i="17"/>
  <c r="D14" i="17"/>
  <c r="C14" i="17"/>
  <c r="G13" i="17"/>
  <c r="F13" i="17"/>
  <c r="E13" i="17"/>
  <c r="D13" i="17"/>
  <c r="C13" i="17"/>
  <c r="G12" i="17"/>
  <c r="F12" i="17"/>
  <c r="E12" i="17"/>
  <c r="D12" i="17"/>
  <c r="C12" i="17"/>
  <c r="G11" i="17"/>
  <c r="F11" i="17"/>
  <c r="E11" i="17"/>
  <c r="D11" i="17"/>
  <c r="C11" i="17"/>
  <c r="G10" i="17"/>
  <c r="F10" i="17"/>
  <c r="E10" i="17"/>
  <c r="D10" i="17"/>
  <c r="C10" i="17"/>
  <c r="G9" i="17"/>
  <c r="F9" i="17"/>
  <c r="E9" i="17"/>
  <c r="D9" i="17"/>
  <c r="C9" i="17"/>
  <c r="G8" i="17"/>
  <c r="F8" i="17"/>
  <c r="E8" i="17"/>
  <c r="D8" i="17"/>
  <c r="C8" i="17"/>
  <c r="G7" i="17"/>
  <c r="F7" i="17"/>
  <c r="E7" i="17"/>
  <c r="D7" i="17"/>
  <c r="C7" i="17"/>
  <c r="G6" i="17"/>
  <c r="F6" i="17"/>
  <c r="E6" i="17"/>
  <c r="D6" i="17"/>
  <c r="C6" i="17"/>
  <c r="G26" i="19"/>
  <c r="F26" i="19"/>
  <c r="E26" i="19"/>
  <c r="D26" i="19"/>
  <c r="C26" i="19"/>
  <c r="G25" i="19"/>
  <c r="F25" i="19"/>
  <c r="E25" i="19"/>
  <c r="D25" i="19"/>
  <c r="C25" i="19"/>
  <c r="G24" i="19"/>
  <c r="F24" i="19"/>
  <c r="E24" i="19"/>
  <c r="D24" i="19"/>
  <c r="C24" i="19"/>
  <c r="G23" i="19"/>
  <c r="F23" i="19"/>
  <c r="E23" i="19"/>
  <c r="D23" i="19"/>
  <c r="C23" i="19"/>
  <c r="G22" i="19"/>
  <c r="F22" i="19"/>
  <c r="E22" i="19"/>
  <c r="D22" i="19"/>
  <c r="C22" i="19"/>
  <c r="G21" i="19"/>
  <c r="F21" i="19"/>
  <c r="E21" i="19"/>
  <c r="D21" i="19"/>
  <c r="C21" i="19"/>
  <c r="G20" i="19"/>
  <c r="F20" i="19"/>
  <c r="E20" i="19"/>
  <c r="D20" i="19"/>
  <c r="C20" i="19"/>
  <c r="G19" i="19"/>
  <c r="F19" i="19"/>
  <c r="E19" i="19"/>
  <c r="D19" i="19"/>
  <c r="C19" i="19"/>
  <c r="G18" i="19"/>
  <c r="F18" i="19"/>
  <c r="E18" i="19"/>
  <c r="D18" i="19"/>
  <c r="C18" i="19"/>
  <c r="G17" i="19"/>
  <c r="F17" i="19"/>
  <c r="E17" i="19"/>
  <c r="D17" i="19"/>
  <c r="C17" i="19"/>
  <c r="G16" i="19"/>
  <c r="F16" i="19"/>
  <c r="E16" i="19"/>
  <c r="D16" i="19"/>
  <c r="C16" i="19"/>
  <c r="G15" i="19"/>
  <c r="F15" i="19"/>
  <c r="E15" i="19"/>
  <c r="D15" i="19"/>
  <c r="C15" i="19"/>
  <c r="G14" i="19"/>
  <c r="F14" i="19"/>
  <c r="E14" i="19"/>
  <c r="D14" i="19"/>
  <c r="C14" i="19"/>
  <c r="G13" i="19"/>
  <c r="F13" i="19"/>
  <c r="E13" i="19"/>
  <c r="D13" i="19"/>
  <c r="C13" i="19"/>
  <c r="G7" i="19"/>
  <c r="F7" i="19"/>
  <c r="E7" i="19"/>
  <c r="D7" i="19"/>
  <c r="C7" i="19"/>
  <c r="G6" i="19"/>
  <c r="F6" i="19"/>
  <c r="E6" i="19"/>
  <c r="D6" i="19"/>
  <c r="C6" i="19"/>
  <c r="G5" i="19"/>
  <c r="F5" i="19"/>
  <c r="E5" i="19"/>
  <c r="D5" i="19"/>
  <c r="C5" i="19"/>
  <c r="C10" i="16"/>
  <c r="D10" i="16"/>
  <c r="E10" i="16"/>
  <c r="G10" i="16"/>
  <c r="F10" i="16"/>
  <c r="D84" i="16"/>
  <c r="E84" i="16"/>
  <c r="F84" i="16"/>
  <c r="G84" i="16"/>
  <c r="C84" i="16"/>
  <c r="E48" i="16"/>
  <c r="C48" i="16"/>
  <c r="D48" i="16"/>
  <c r="F48" i="16"/>
  <c r="G48" i="16"/>
  <c r="C204" i="16"/>
  <c r="D204" i="16"/>
  <c r="F204" i="16"/>
  <c r="E204" i="16"/>
  <c r="G204" i="16"/>
  <c r="C11" i="19"/>
  <c r="D11" i="19"/>
  <c r="F11" i="19"/>
  <c r="E11" i="19"/>
  <c r="B11" i="19"/>
  <c r="G11" i="1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<sst xmlns="http://schemas.openxmlformats.org/spreadsheetml/2006/main" count="16608" uniqueCount="866">
  <si>
    <t>BÁO CÁO CÁC CÔNG VIỆC CHUNG PHÒNG BIM</t>
  </si>
  <si>
    <t>STT</t>
  </si>
  <si>
    <t>Công việc chính</t>
  </si>
  <si>
    <t>Tổng số đầu việc</t>
  </si>
  <si>
    <t>Số đầu việc đang thực hiện</t>
  </si>
  <si>
    <t>Số đầu việc hoàn thành</t>
  </si>
  <si>
    <t>Số đầu việc tạm dừng</t>
  </si>
  <si>
    <t>Số đầu việc quá hạn</t>
  </si>
  <si>
    <t>Xây dựng HTTC BIM</t>
  </si>
  <si>
    <t>Đào tạo BIM</t>
  </si>
  <si>
    <t>Quản lý BIM</t>
  </si>
  <si>
    <t>Thanh tra BIM</t>
  </si>
  <si>
    <t>Phát triển BIM Tools</t>
  </si>
  <si>
    <t>Quản lý phần mềm</t>
  </si>
  <si>
    <t>BÁO CÁO CÁC CÔNG VIỆC PHÒNG BIM (XD-MEP/HT)</t>
  </si>
  <si>
    <t>BÁO CÁO CÁC CÔNG VIỆC TỪNG NHÂN SỰ</t>
  </si>
  <si>
    <t>Nhân sự</t>
  </si>
  <si>
    <t>BÁO CÁO ĐỊNH MỨC CÁC CÔNG VIỆC TỪNG NHÂN SỰ</t>
  </si>
  <si>
    <t>Khởi tạo mô hình BIM</t>
  </si>
  <si>
    <t>Tạo lập mô hình BIM TKCS nộp CQNN</t>
  </si>
  <si>
    <t>Tạo lập mô hình BIM TKKT/FEED nộp CQNN</t>
  </si>
  <si>
    <t>Tạo lập mô hình BIM TKBVTC</t>
  </si>
  <si>
    <t>Tạo lập thư viện</t>
  </si>
  <si>
    <t>KSCL mô hình BIM</t>
  </si>
  <si>
    <t>Tổng hợp số liệu QH</t>
  </si>
  <si>
    <t>Tổng hợp số liệu TT</t>
  </si>
  <si>
    <t>Triển khai HS TKCS</t>
  </si>
  <si>
    <t>Cập nhật thông tin mô hình BIM</t>
  </si>
  <si>
    <t>Xuất khối lượng từ mô hình BIM</t>
  </si>
  <si>
    <t>Hà Minh Luân</t>
  </si>
  <si>
    <t>Mai Hồng Hạnh</t>
  </si>
  <si>
    <t>Lý Huy Thành</t>
  </si>
  <si>
    <t>Nguyễn Hải Nam</t>
  </si>
  <si>
    <t>Đỗ Minh Ngọc</t>
  </si>
  <si>
    <t>Trần Văn Diện</t>
  </si>
  <si>
    <t>Đặng Minh Quang</t>
  </si>
  <si>
    <t>Trần Văn Toản</t>
  </si>
  <si>
    <t>MODULE QUẢN TRỊ</t>
  </si>
  <si>
    <t>MODULE PHÂN QUYỀN</t>
  </si>
  <si>
    <t>MODULE GIAO VIỆC</t>
  </si>
  <si>
    <t>MODULE KHAI BÁO CÔNG VIỆC THEO NGÀY</t>
  </si>
  <si>
    <t>MODULE BIỂU DIỄN VÀ BÁO CÁO SỐ LIỆU</t>
  </si>
  <si>
    <t>Mô tả</t>
  </si>
  <si>
    <t>Cấp</t>
  </si>
  <si>
    <t>Thêm thành viên</t>
  </si>
  <si>
    <t>Set quyền</t>
  </si>
  <si>
    <t>Thêm mục</t>
  </si>
  <si>
    <t>Giao việc</t>
  </si>
  <si>
    <t>Khai báo công việc</t>
  </si>
  <si>
    <t>Xem báo cáo</t>
  </si>
  <si>
    <t>Nhóm công việc (Level1)</t>
  </si>
  <si>
    <t>Level 2</t>
  </si>
  <si>
    <t>Level 3</t>
  </si>
  <si>
    <t>Level 4</t>
  </si>
  <si>
    <t>Level 5</t>
  </si>
  <si>
    <t>Tab</t>
  </si>
  <si>
    <t xml:space="preserve">Tên </t>
  </si>
  <si>
    <t>Yêu cầu</t>
  </si>
  <si>
    <t>Ghi chú</t>
  </si>
  <si>
    <t>Thêm thành viên phòng BIM</t>
  </si>
  <si>
    <t>Admin</t>
  </si>
  <si>
    <t>Xem bảng Data</t>
  </si>
  <si>
    <t>BIM XD</t>
  </si>
  <si>
    <t>Xem các Sheet XD, MEPF, HT, IT</t>
  </si>
  <si>
    <t>Tổng hợp công việc P.BIM</t>
  </si>
  <si>
    <t>Thể hiện được số lượng và tình trạng công việc theo từng nhóm (Level 1) theo tuần, tháng, quý, năm và theo mức độ ưu tiên</t>
  </si>
  <si>
    <t>Bộ môn</t>
  </si>
  <si>
    <t>Cấp 1</t>
  </si>
  <si>
    <t>Yes</t>
  </si>
  <si>
    <t>No</t>
  </si>
  <si>
    <t>BIM MEPF</t>
  </si>
  <si>
    <t>Tổng hợp công việc từng phòng</t>
  </si>
  <si>
    <t>Thể hiện được số lượng và tình trạng công việc theo từng phòng BIM XD, MEPF, HT, IT theo tuần, tháng, quý, năm và theo mức độ ưu tiên</t>
  </si>
  <si>
    <t>Set quyền (Cấp 1, Cấp 2, Cấp 3)</t>
  </si>
  <si>
    <t>Cấp 2</t>
  </si>
  <si>
    <t>BIM HT</t>
  </si>
  <si>
    <t>Tổng hợp công việc từng nhân sự</t>
  </si>
  <si>
    <t>Thể hiện được số lượng và tình trạng công việc theo từng nhân sự theo tuần, tháng, quý, năm và theo mức độ ưu tiên</t>
  </si>
  <si>
    <t>Thêm mục (dòng) cho Level 2, 3, 4</t>
  </si>
  <si>
    <t>Cấp 3</t>
  </si>
  <si>
    <t>BIM IT</t>
  </si>
  <si>
    <t>Tính toán định mức</t>
  </si>
  <si>
    <t>Thể hiện được định mức của từng người trong từng công việc cần đo định mức (*) theo từng loại hình công trình</t>
  </si>
  <si>
    <t>Công việc khác</t>
  </si>
  <si>
    <t xml:space="preserve">DATA CÔNG VIỆC </t>
  </si>
  <si>
    <t>Other</t>
  </si>
  <si>
    <t>Quy mô công trình</t>
  </si>
  <si>
    <t>Giai đoạn</t>
  </si>
  <si>
    <t>Mức độ ưu tiên</t>
  </si>
  <si>
    <t>Quy định</t>
  </si>
  <si>
    <t>Quy định triển khai BIM</t>
  </si>
  <si>
    <t>Rà soát</t>
  </si>
  <si>
    <t>HTTC BIM</t>
  </si>
  <si>
    <t>Khảo sát nhu cầu</t>
  </si>
  <si>
    <t>All</t>
  </si>
  <si>
    <t>N/A</t>
  </si>
  <si>
    <t>Set up hệ thống DR3</t>
  </si>
  <si>
    <t>Đánh giá KSCL mô hình</t>
  </si>
  <si>
    <t>Revit</t>
  </si>
  <si>
    <t>Ván khuôn</t>
  </si>
  <si>
    <t>Ghi nhận yêu cầu và tìm hiểu nghiệp vụ</t>
  </si>
  <si>
    <t>Khảo sát nhu cầu và cân đối số lượng</t>
  </si>
  <si>
    <t>Setup hệ thống quản lý công việc</t>
  </si>
  <si>
    <t>BIM</t>
  </si>
  <si>
    <t>Concept</t>
  </si>
  <si>
    <t>Cao</t>
  </si>
  <si>
    <t>Các phụ lục</t>
  </si>
  <si>
    <t>Phụ lục 1_Tiến trình phối hợp mô hình BIM giữa các bộ phận</t>
  </si>
  <si>
    <t>Biên soạn mới</t>
  </si>
  <si>
    <t>CDE</t>
  </si>
  <si>
    <t>Quản lý HSTK</t>
  </si>
  <si>
    <t>Lập kế hoạch và chương trình</t>
  </si>
  <si>
    <t>B.DSHNQN.DMF</t>
  </si>
  <si>
    <t>Bãi đỗ tàu qua đêm Cổ Loa</t>
  </si>
  <si>
    <t>Điền tổng Diện tích sàn</t>
  </si>
  <si>
    <t>KSCL DR3</t>
  </si>
  <si>
    <t>Lấy ý kiến xác nhận lỗi</t>
  </si>
  <si>
    <t>Công cụ định vị</t>
  </si>
  <si>
    <t>Lên và Trình PD phương án</t>
  </si>
  <si>
    <t>Lập ngân sách trang bị PM</t>
  </si>
  <si>
    <t xml:space="preserve">Họp nội bộ </t>
  </si>
  <si>
    <t>TKCS</t>
  </si>
  <si>
    <t>Trung bình</t>
  </si>
  <si>
    <t>Phụ lục 2_Cấu trúc và phân quyền thư mục các dự án trên Server VTK</t>
  </si>
  <si>
    <t>Quản lý HSTC</t>
  </si>
  <si>
    <t>Triển khai đào tạo</t>
  </si>
  <si>
    <t>Depot Hạ Long Xanh</t>
  </si>
  <si>
    <t>Set up hệ thống CDE</t>
  </si>
  <si>
    <t>Lập BB XLVP</t>
  </si>
  <si>
    <t>ViewSheets(Tạo Sheets)</t>
  </si>
  <si>
    <t>Thực hiện Code</t>
  </si>
  <si>
    <t>Trình PD chủ trương trang bị PM</t>
  </si>
  <si>
    <t>Họp với BP khác</t>
  </si>
  <si>
    <t>FEED</t>
  </si>
  <si>
    <t>Thấp</t>
  </si>
  <si>
    <t>Phụ lục 3_Cấu trúc và phân quyền thư mục CDE</t>
  </si>
  <si>
    <t>Mô đun 3</t>
  </si>
  <si>
    <t>Tổ chức thi và đánh giá</t>
  </si>
  <si>
    <t>B.DSHNQN.STA</t>
  </si>
  <si>
    <t>Nhà ga Cổ Loa</t>
  </si>
  <si>
    <t>KSCL CDE</t>
  </si>
  <si>
    <t>Đào/Đặp</t>
  </si>
  <si>
    <t>Chạy thử và Đánh giá</t>
  </si>
  <si>
    <t>Thẩm định giá và bổ nhiệm NCC</t>
  </si>
  <si>
    <t>Phối hợp, hỗ trợ các BP khác</t>
  </si>
  <si>
    <t>TKKT</t>
  </si>
  <si>
    <t>Phụ lục 4_Các quy trình phê duyệt hồ sơ trên CDE</t>
  </si>
  <si>
    <t>Công cụ tạo lập mô hình</t>
  </si>
  <si>
    <t>Revit cơ bản</t>
  </si>
  <si>
    <t>Báo cáo đào tạo</t>
  </si>
  <si>
    <t>Nhà ga Gia Bình</t>
  </si>
  <si>
    <t>Điều phối CDE</t>
  </si>
  <si>
    <t>Selection Tools</t>
  </si>
  <si>
    <t>Fix lỗi</t>
  </si>
  <si>
    <t>Lập PR-PO</t>
  </si>
  <si>
    <t>Báo cáo công việc</t>
  </si>
  <si>
    <t>TKBVTC</t>
  </si>
  <si>
    <t>Phụ lục 5_Quy ước đặt tên tệp tin và đánh mã bản vẽ</t>
  </si>
  <si>
    <t>Revit nâng cao</t>
  </si>
  <si>
    <t>Nhà ga Hạ Long Xanh</t>
  </si>
  <si>
    <t>Select By Parameter</t>
  </si>
  <si>
    <t>Hướng dẫn sử dụng</t>
  </si>
  <si>
    <t>Ký kết HĐ</t>
  </si>
  <si>
    <t>Giao việc/Kiểm tra các đầu việc</t>
  </si>
  <si>
    <t>KT</t>
  </si>
  <si>
    <t>Thi công</t>
  </si>
  <si>
    <t>Phụ lục 6_Quy trình kiểm khớp và ma trận va chạm mẫu</t>
  </si>
  <si>
    <t>Civil3D và InfraWorks</t>
  </si>
  <si>
    <t>Nhà ga Ninh Xá</t>
  </si>
  <si>
    <t>Tạo lập mô hình BIM</t>
  </si>
  <si>
    <t>Highlight Model</t>
  </si>
  <si>
    <t>Xuất bản</t>
  </si>
  <si>
    <t>BB nghiệm thu</t>
  </si>
  <si>
    <t>Nghỉ phép</t>
  </si>
  <si>
    <t>KC</t>
  </si>
  <si>
    <t>Hoàn công</t>
  </si>
  <si>
    <t>Phụ lục 7_Quy định màu sắc các đối tượng trong mô hình BIM</t>
  </si>
  <si>
    <t>Công cụ phối hợp mô hình</t>
  </si>
  <si>
    <t>Navisworks</t>
  </si>
  <si>
    <t>Nhà ga Yên Tử</t>
  </si>
  <si>
    <t>Tag Plantings</t>
  </si>
  <si>
    <t>Thanh toán cho NCC</t>
  </si>
  <si>
    <t>DI</t>
  </si>
  <si>
    <t>Vận hành</t>
  </si>
  <si>
    <t>Phụ lục 8_Các khung nhìn mẫu View Template</t>
  </si>
  <si>
    <t>BIM Tools</t>
  </si>
  <si>
    <t>B.DSHNQN.SUP</t>
  </si>
  <si>
    <t>Bãi đúc dầm 01</t>
  </si>
  <si>
    <t>Central File</t>
  </si>
  <si>
    <t>Phân phối License</t>
  </si>
  <si>
    <t>DN</t>
  </si>
  <si>
    <t>Phụ lục 9_Quy ước đánh mã Tỉnh Thành phố</t>
  </si>
  <si>
    <t>Bãi đúc dầm 01A</t>
  </si>
  <si>
    <t>Điều phối BIM</t>
  </si>
  <si>
    <t>Auto Place</t>
  </si>
  <si>
    <t>NU</t>
  </si>
  <si>
    <t>Vũ Thị Thêu</t>
  </si>
  <si>
    <t>Phụ lục 10_Tiêu chuẩn LOD cho Kiến trúc</t>
  </si>
  <si>
    <t>Bãi đúc dầm 02</t>
  </si>
  <si>
    <t>Auto Join</t>
  </si>
  <si>
    <t>PC</t>
  </si>
  <si>
    <t>Ngô Tuấn Vũ</t>
  </si>
  <si>
    <t>Phụ lục 11_Tiêu chuẩn LOD cho Kết cấu</t>
  </si>
  <si>
    <t>Bãi đúc dầm 02A</t>
  </si>
  <si>
    <t>Assign Level</t>
  </si>
  <si>
    <t>DH</t>
  </si>
  <si>
    <t>Nguyễn Văn Hải</t>
  </si>
  <si>
    <t>Phụ lục 12_Tiêu chuẩn LOD cho MEP</t>
  </si>
  <si>
    <t>Bãi đúc dầm 03</t>
  </si>
  <si>
    <t>Tag Rooms</t>
  </si>
  <si>
    <t>HT</t>
  </si>
  <si>
    <t>Lê Huy Toàn</t>
  </si>
  <si>
    <t>Phụ lục 13_Tiêu chuẩn LOD cho hạ tầng</t>
  </si>
  <si>
    <t>Bãi đúc dầm 04</t>
  </si>
  <si>
    <t>View Range</t>
  </si>
  <si>
    <t>MEPF</t>
  </si>
  <si>
    <t>Đặng Thái Sơn</t>
  </si>
  <si>
    <t>Phụ lục 14_Tiêu chuẩn LOD cho trackwork</t>
  </si>
  <si>
    <t>Bãi đúc dầm 05</t>
  </si>
  <si>
    <t>Auto Numbering</t>
  </si>
  <si>
    <t>Phan Trường Giang</t>
  </si>
  <si>
    <t>Phụ lục 15_Tiêu chuẩn LOD cho Cầu</t>
  </si>
  <si>
    <t>Bãi đúc dầm 06</t>
  </si>
  <si>
    <t>Override CropView</t>
  </si>
  <si>
    <t>Nguyễn Ngọc Cảnh</t>
  </si>
  <si>
    <t>Phụ lục 16_Phạm vi mô hình BIM và xuất khối lượng</t>
  </si>
  <si>
    <t>B.HNO.GL.VSC</t>
  </si>
  <si>
    <t>Trường PTLC hệ Cambride Lô B5-TH01</t>
  </si>
  <si>
    <t>Remove Revit Link</t>
  </si>
  <si>
    <t>Vũ Hải Phong</t>
  </si>
  <si>
    <t>Phụ lục 17_Checklist KSCL Mô hình</t>
  </si>
  <si>
    <t>B.HNO.GL.VUNI</t>
  </si>
  <si>
    <t>Trường Vinuni  - Tòa M</t>
  </si>
  <si>
    <t>Update Element Properties</t>
  </si>
  <si>
    <t>Tạ Bạch Hưng</t>
  </si>
  <si>
    <t>Phụ lục 18_Checklist KSCL CDE</t>
  </si>
  <si>
    <t>Trường Vinuni  - Tòa P</t>
  </si>
  <si>
    <t>Copy Elements From Link</t>
  </si>
  <si>
    <t>Hoàng Bảo Sơn</t>
  </si>
  <si>
    <t>Phụ lục 19_Chi tiết phân loại các nhóm lỗi va chạm trong mô hình BIM</t>
  </si>
  <si>
    <t>Trường Vinuni  - Tòa Q, R, S</t>
  </si>
  <si>
    <t>Export Schedules to Excel</t>
  </si>
  <si>
    <t>Nguyễn Thế Anh</t>
  </si>
  <si>
    <t>Các biểu mẫu</t>
  </si>
  <si>
    <t>Biểu mẫu 1_Mẫu tệp tin BEP cho các dự án áp dụng BIM</t>
  </si>
  <si>
    <t>Trường Vinuni  - Tòa T (KTX)</t>
  </si>
  <si>
    <t>Export Sheets</t>
  </si>
  <si>
    <t>Lê Văn Trí</t>
  </si>
  <si>
    <t>Biểu mẫu 2_Danh sách nhân sự của dự án</t>
  </si>
  <si>
    <t>Trường Vinuni  - Tòa U (KTX)</t>
  </si>
  <si>
    <t>Xuất Familys</t>
  </si>
  <si>
    <t>Nguyễn Tuấn Cường</t>
  </si>
  <si>
    <t>Biểu mẫu 3_Mẫu danh mục tệp tin và bản vẽ</t>
  </si>
  <si>
    <t>B.HNO.TMDM.VSC</t>
  </si>
  <si>
    <t>Trường Cambridge tại lô F3-PTTH1</t>
  </si>
  <si>
    <t>Xuất Khối Lượng</t>
  </si>
  <si>
    <t>Hoàng Đình Trung</t>
  </si>
  <si>
    <t>Biểu mẫu 4_Các bảng thống kê mẫu KT</t>
  </si>
  <si>
    <t>B.HNO.VHCL.VSC</t>
  </si>
  <si>
    <t>A7-NT, A7-CS và PT-02</t>
  </si>
  <si>
    <t>Convert Grid 3D to 2D</t>
  </si>
  <si>
    <t>Nguyễn Văn Tuyên</t>
  </si>
  <si>
    <t>Biểu mẫu 5_Các bảng thống kê mẫu KC</t>
  </si>
  <si>
    <t>B.HNO.VHOHN.KS</t>
  </si>
  <si>
    <t>Lô đất B9-DV-02</t>
  </si>
  <si>
    <t>Bubble On/Off</t>
  </si>
  <si>
    <t xml:space="preserve"> </t>
  </si>
  <si>
    <t>Nguyễn Thanh Phương</t>
  </si>
  <si>
    <t>Biểu mẫu 6_Các bảng thống kê mẫu Điện</t>
  </si>
  <si>
    <t>B.HNO.VHOHN.SVD</t>
  </si>
  <si>
    <t>SVĐ lô đất TDTT01</t>
  </si>
  <si>
    <t>Transfer By Link</t>
  </si>
  <si>
    <t>Biểu mẫu 7_Các bảng thống kê mẫu Điện nhẹ</t>
  </si>
  <si>
    <t>B.HPH.VYHP.VSC</t>
  </si>
  <si>
    <t>Trường VSC B2.THPT02</t>
  </si>
  <si>
    <t>Load Family</t>
  </si>
  <si>
    <t>Biểu mẫu 8_Các bảng thống kê mẫu Cấp thoát nước</t>
  </si>
  <si>
    <t>B.HYE.NOXHHY.CT</t>
  </si>
  <si>
    <t>NOXH01 (04 tòa)</t>
  </si>
  <si>
    <t>Remove Filter</t>
  </si>
  <si>
    <t>Biểu mẫu 9_Các bảng thống kê mẫu ĐHTG</t>
  </si>
  <si>
    <t>NOXH02 (09 tòa)</t>
  </si>
  <si>
    <t>Chuyển giá trị Parameter</t>
  </si>
  <si>
    <t>Biểu mẫu 10_Các bảng thống kê mẫu PCCC</t>
  </si>
  <si>
    <t>NOXH03 (05 tòa)</t>
  </si>
  <si>
    <t>Tồng Hợp Số Liệu</t>
  </si>
  <si>
    <t>Biểu mẫu 11_Phiếu yêu cầu hỗ trợ BIM</t>
  </si>
  <si>
    <t>NOXH04 (07 tòa)</t>
  </si>
  <si>
    <t>Tag Diện Tích</t>
  </si>
  <si>
    <t>Quy định công tác thanh tra BIM</t>
  </si>
  <si>
    <t>B.HYE.NOXHPH.NX</t>
  </si>
  <si>
    <t>Nhà xe BDX-01</t>
  </si>
  <si>
    <t>Move Tag to Center</t>
  </si>
  <si>
    <t>Nhà xe BDX-05</t>
  </si>
  <si>
    <t>Room Finishing</t>
  </si>
  <si>
    <t>B.HYE.PVF</t>
  </si>
  <si>
    <t>Nhà thi đấu TDTT03</t>
  </si>
  <si>
    <t>Wall By Boundary</t>
  </si>
  <si>
    <t>Sân vận động TDTT01</t>
  </si>
  <si>
    <t>Remove Paint</t>
  </si>
  <si>
    <t>B.QNI.HLX.CT</t>
  </si>
  <si>
    <t>Hầm lô B03.2-CCCT-01</t>
  </si>
  <si>
    <t>Edit Layer</t>
  </si>
  <si>
    <t>Hầm lô B03.2-CCCT-02</t>
  </si>
  <si>
    <t>Clear Duplicates</t>
  </si>
  <si>
    <t>Hầm lô B03.2-CCCT-03</t>
  </si>
  <si>
    <t>Column Strength</t>
  </si>
  <si>
    <t>Hầm lô B03.4-CCCT-01</t>
  </si>
  <si>
    <t>Wall/Core Strength</t>
  </si>
  <si>
    <t>Hầm lô B03.4-CCCT-02</t>
  </si>
  <si>
    <t>Hạ cao độ Cọc</t>
  </si>
  <si>
    <t>Hầm lô B03.4-CCCT-03</t>
  </si>
  <si>
    <t>Công cụ Tạo Lanh Tô</t>
  </si>
  <si>
    <t>Tháp Z35</t>
  </si>
  <si>
    <t>AutoCad To Revit</t>
  </si>
  <si>
    <t>B.QNI.HLXHL.VMM</t>
  </si>
  <si>
    <t>VC MEGAMALL LÔ ĐẤT B02.3-TMĐ-01</t>
  </si>
  <si>
    <t>Tạo bê tông lót</t>
  </si>
  <si>
    <t>B.QNI.HLXHL.VP</t>
  </si>
  <si>
    <t>Tòa văn phòng 35 tầng (Lô đất B03.5-TMĐ-01)</t>
  </si>
  <si>
    <t>Hạ Cote Sàn</t>
  </si>
  <si>
    <t>B.QNI.HLXHL.VSC</t>
  </si>
  <si>
    <t>Trường học các lô đất A2-MG-06, A2-TH-05, A2-CS-04</t>
  </si>
  <si>
    <t>Định Vị Đối Tượng</t>
  </si>
  <si>
    <t>Trường học lô đất PT-01</t>
  </si>
  <si>
    <t>Sum By Parameter</t>
  </si>
  <si>
    <t>B.QNI.HLXQY.NH</t>
  </si>
  <si>
    <t>Nhà hát Hạ Long Xanh</t>
  </si>
  <si>
    <t>Bộ công cụ AutoDim</t>
  </si>
  <si>
    <t>B.TQU.VPTQ.VP</t>
  </si>
  <si>
    <t>Lô C.TM11</t>
  </si>
  <si>
    <t>Dàn trang tài liệu bán hàng CAD</t>
  </si>
  <si>
    <t>N.DSHCMCG.STA</t>
  </si>
  <si>
    <t>Nhà Ga Bến Thành</t>
  </si>
  <si>
    <t>Dàn trang TMB Revit</t>
  </si>
  <si>
    <t>Nhà Ga Cần Giờ</t>
  </si>
  <si>
    <t>RotateFloorTag</t>
  </si>
  <si>
    <t>N.DSHCMCG.SUP</t>
  </si>
  <si>
    <t>Desktop App Vinhomes_NenFiles</t>
  </si>
  <si>
    <t>Ghép dãy mẫu căn Revit</t>
  </si>
  <si>
    <t>N.HCM.CGIO.KS</t>
  </si>
  <si>
    <t>Khách sạn Grand Hyatt - A3.24.04</t>
  </si>
  <si>
    <t xml:space="preserve">Tô màu đất và xuất dữ liệu Excel </t>
  </si>
  <si>
    <t>Khách sạn M Gallery - B5.02.04</t>
  </si>
  <si>
    <t>Điền thông tin hạ tầng</t>
  </si>
  <si>
    <t xml:space="preserve">Khách sạn Ritz Carlton - B5-06-10,11 </t>
  </si>
  <si>
    <t>Khách sạn Vinpearl A5.02.13</t>
  </si>
  <si>
    <t>Dàn trang TLBH (loại hình TMDV)</t>
  </si>
  <si>
    <t>N.HCM.CGIO.KSMN</t>
  </si>
  <si>
    <t>Lô A5.01.01, mẫu M1G, M7, M8G</t>
  </si>
  <si>
    <t>Dàn trang TKCS|TKTC(cad)</t>
  </si>
  <si>
    <t>Lô A5.01.02, mẫu M4G, M9, M9G</t>
  </si>
  <si>
    <t>Rotate Element</t>
  </si>
  <si>
    <t>Lô A5.01.04, mẫu M2, M2G, M5, M5G</t>
  </si>
  <si>
    <t>Trim/Extend Pipe 3D</t>
  </si>
  <si>
    <t>A5.01.02_M4G</t>
  </si>
  <si>
    <t>N.HCM.CGIO.NH</t>
  </si>
  <si>
    <t>Nhà hát</t>
  </si>
  <si>
    <t>Trantision Fitting</t>
  </si>
  <si>
    <t>N.HCM.CGIO.NTD</t>
  </si>
  <si>
    <t>Nhà thi đấu lô B5.03.2</t>
  </si>
  <si>
    <t>Align 3D</t>
  </si>
  <si>
    <t>N.HCM.CGIO.VSC</t>
  </si>
  <si>
    <t>Trường MN tại lô đất A4-13</t>
  </si>
  <si>
    <t>Connect To</t>
  </si>
  <si>
    <t>Trường TH tại lô đất A4-15</t>
  </si>
  <si>
    <t>Disconnect</t>
  </si>
  <si>
    <t>Trường THCS tại lô đất A4-16</t>
  </si>
  <si>
    <t>Change Level</t>
  </si>
  <si>
    <t>Trường THPT tại lô đất A4-29</t>
  </si>
  <si>
    <t>Up-Down Duct</t>
  </si>
  <si>
    <t>N.HCM.Q9.VP</t>
  </si>
  <si>
    <t>Toà văn phòng 43 tầng</t>
  </si>
  <si>
    <t>Up-Down Pipe</t>
  </si>
  <si>
    <t>N.HCM.Q9.VSC.THCS</t>
  </si>
  <si>
    <t>Trường Cambridge (PTLC) III.6</t>
  </si>
  <si>
    <t>Up-Down Cable Tray</t>
  </si>
  <si>
    <t>N.TNI.HNLA.VSC</t>
  </si>
  <si>
    <t>Trường PTLC lô THCS-01</t>
  </si>
  <si>
    <t>Up-Down Conduit</t>
  </si>
  <si>
    <t>T.DAN.LVDN.KS</t>
  </si>
  <si>
    <t>KS JW Marriott- Làng Vân (Cao 9 tầng)</t>
  </si>
  <si>
    <t>Copy Special</t>
  </si>
  <si>
    <t>T.HTI.STHT.NOXH.CT</t>
  </si>
  <si>
    <t>NOXH01</t>
  </si>
  <si>
    <t>Brand Pipe</t>
  </si>
  <si>
    <t>NOXH-01 (03 tòa)</t>
  </si>
  <si>
    <t>Axis Pipe</t>
  </si>
  <si>
    <t>T.KHO.VPNT.KSMN</t>
  </si>
  <si>
    <t>Mẫu M1</t>
  </si>
  <si>
    <t>Cap End</t>
  </si>
  <si>
    <t>Mẫu M2</t>
  </si>
  <si>
    <t>MainPipe 1</t>
  </si>
  <si>
    <t>Mẫu M3</t>
  </si>
  <si>
    <t>MainPipe 2A</t>
  </si>
  <si>
    <t>Mẫu M4</t>
  </si>
  <si>
    <t>MainPipe 2B</t>
  </si>
  <si>
    <t>Mẫu M5</t>
  </si>
  <si>
    <t>MainPipe 3A</t>
  </si>
  <si>
    <t>Mẫu M6</t>
  </si>
  <si>
    <t>MainPipe 3B</t>
  </si>
  <si>
    <t>EQM Pipe 90</t>
  </si>
  <si>
    <t>EQM Pipe 45</t>
  </si>
  <si>
    <t>EQM Pipe 180</t>
  </si>
  <si>
    <t>Siphon 90</t>
  </si>
  <si>
    <t>Siphon 45</t>
  </si>
  <si>
    <t>Siphon 180</t>
  </si>
  <si>
    <t>Convert Siphon</t>
  </si>
  <si>
    <t>Vent Pipe A</t>
  </si>
  <si>
    <t>Vent Riser Pipe</t>
  </si>
  <si>
    <t>Kết nối đầu phun</t>
  </si>
  <si>
    <t>Tag Pipes</t>
  </si>
  <si>
    <t>Rect Hanger Tool</t>
  </si>
  <si>
    <t>Rod Hanger Tool</t>
  </si>
  <si>
    <t>Update Schedules</t>
  </si>
  <si>
    <t>Kiểm soát thống kê</t>
  </si>
  <si>
    <t>Xuất Khối lượng MEP</t>
  </si>
  <si>
    <t>Kiểm tra trùng lặp</t>
  </si>
  <si>
    <t>NavisWorks</t>
  </si>
  <si>
    <t>Comment</t>
  </si>
  <si>
    <t>Assign To</t>
  </si>
  <si>
    <t>Xuất báo cáo</t>
  </si>
  <si>
    <t>Cad</t>
  </si>
  <si>
    <t>Quick Region</t>
  </si>
  <si>
    <t>Civil3D</t>
  </si>
  <si>
    <t>Quick Shortcut</t>
  </si>
  <si>
    <t>Entity Handle</t>
  </si>
  <si>
    <t>Quay Siêu Cao</t>
  </si>
  <si>
    <t>Ranh giới Nút giao</t>
  </si>
  <si>
    <t>Apply Rule Mạng lưới</t>
  </si>
  <si>
    <t>Auto Label Network</t>
  </si>
  <si>
    <t>Copy Label Structure</t>
  </si>
  <si>
    <t>Bố trí thiết bị</t>
  </si>
  <si>
    <t>Tạo nhiều tuyến ống</t>
  </si>
  <si>
    <t>Cập nhập cao độ</t>
  </si>
  <si>
    <t>Hiệu chỉnh góc xoay</t>
  </si>
  <si>
    <t>Swap đối tượng</t>
  </si>
  <si>
    <t>Desktop App</t>
  </si>
  <si>
    <t>VINRar</t>
  </si>
  <si>
    <t>Kiểm tra thay đổi QH</t>
  </si>
  <si>
    <t>Ghép dãy thấp tầng</t>
  </si>
  <si>
    <t>Thống kê tình trạng bàn giao đất</t>
  </si>
  <si>
    <t xml:space="preserve">Edit Tường, Sàn KT </t>
  </si>
  <si>
    <t>QC mô hình</t>
  </si>
  <si>
    <t>Web App</t>
  </si>
  <si>
    <t xml:space="preserve">KSCL &amp; Điều phối </t>
  </si>
  <si>
    <t>Cắt bê tông</t>
  </si>
  <si>
    <t>Xác định trọng tâm đối tượng</t>
  </si>
  <si>
    <t>App Digital Twin V1</t>
  </si>
  <si>
    <t>App Digital Twin V2</t>
  </si>
  <si>
    <t>App Digital Twin V3</t>
  </si>
  <si>
    <t>App Digital Twin V4</t>
  </si>
  <si>
    <t>Quản lý công việc P.BIM</t>
  </si>
  <si>
    <t>CAD-QC</t>
  </si>
  <si>
    <t>CAD</t>
  </si>
  <si>
    <t>BẢNG TỔNG HỢP TẤT CẢ CÔNG VIỆC PHÒNG BIM</t>
  </si>
  <si>
    <t>Sum ID</t>
  </si>
  <si>
    <t>Sub ID</t>
  </si>
  <si>
    <t>Level 1</t>
  </si>
  <si>
    <t>BẢNG GIAO VIỆC XÂY DỰNG HTTC BIM</t>
  </si>
  <si>
    <t>Nhân sự thực hiện 01</t>
  </si>
  <si>
    <t>Nhân sự thực hiện 02</t>
  </si>
  <si>
    <t>Nhân sự thực hiện 03</t>
  </si>
  <si>
    <t>Bắt đầu</t>
  </si>
  <si>
    <t>Kết thúc</t>
  </si>
  <si>
    <t>001</t>
  </si>
  <si>
    <t>002</t>
  </si>
  <si>
    <t>003</t>
  </si>
  <si>
    <t>004</t>
  </si>
  <si>
    <t>005</t>
  </si>
  <si>
    <t>006</t>
  </si>
  <si>
    <t>007</t>
  </si>
  <si>
    <t>008</t>
  </si>
  <si>
    <t>009</t>
  </si>
  <si>
    <t>010</t>
  </si>
  <si>
    <t>011</t>
  </si>
  <si>
    <t>012</t>
  </si>
  <si>
    <t>013</t>
  </si>
  <si>
    <t>014</t>
  </si>
  <si>
    <t>015</t>
  </si>
  <si>
    <t>016</t>
  </si>
  <si>
    <t>017</t>
  </si>
  <si>
    <t>018</t>
  </si>
  <si>
    <t>019</t>
  </si>
  <si>
    <t>020</t>
  </si>
  <si>
    <t>021</t>
  </si>
  <si>
    <t>022</t>
  </si>
  <si>
    <t>023</t>
  </si>
  <si>
    <t>024</t>
  </si>
  <si>
    <t>025</t>
  </si>
  <si>
    <t>026</t>
  </si>
  <si>
    <t>027</t>
  </si>
  <si>
    <t>028</t>
  </si>
  <si>
    <t>029</t>
  </si>
  <si>
    <t>030</t>
  </si>
  <si>
    <t>031</t>
  </si>
  <si>
    <t>032</t>
  </si>
  <si>
    <t>BẢNG GIAO VIỆC ĐÀO TẠO BIM</t>
  </si>
  <si>
    <t>BẢNG GIAO VIỆC QUẢN LÝ BIM</t>
  </si>
  <si>
    <t>Mức độ
ưu tiên</t>
  </si>
  <si>
    <t>Nhân sự
thực hiện 01</t>
  </si>
  <si>
    <t>Nhân sự
thực hiện 02</t>
  </si>
  <si>
    <t>Nhân sự
thực hiện 03</t>
  </si>
  <si>
    <t>Nhân sự
thực hiện 04</t>
  </si>
  <si>
    <t>Fillter nhân sự</t>
  </si>
  <si>
    <t>N.DSHCMCG.DMF</t>
  </si>
  <si>
    <t>Depot</t>
  </si>
  <si>
    <t>BẢNG GIAO VIỆC THANH TRA BIM</t>
  </si>
  <si>
    <t>Khách sạn lô B5.02.04</t>
  </si>
  <si>
    <t>BẢNG GIAO VIỆC PHÁT TRIỂN BIM TOOLS</t>
  </si>
  <si>
    <t>01</t>
  </si>
  <si>
    <t>02</t>
  </si>
  <si>
    <t>03</t>
  </si>
  <si>
    <t>04</t>
  </si>
  <si>
    <t>05</t>
  </si>
  <si>
    <t>06</t>
  </si>
  <si>
    <t>07</t>
  </si>
  <si>
    <t>08</t>
  </si>
  <si>
    <t>10</t>
  </si>
  <si>
    <t>11</t>
  </si>
  <si>
    <t>12</t>
  </si>
  <si>
    <t>13</t>
  </si>
  <si>
    <t>14</t>
  </si>
  <si>
    <t>15</t>
  </si>
  <si>
    <t>17</t>
  </si>
  <si>
    <t>18</t>
  </si>
  <si>
    <t>19</t>
  </si>
  <si>
    <t>20</t>
  </si>
  <si>
    <t>21</t>
  </si>
  <si>
    <t>22</t>
  </si>
  <si>
    <t>23</t>
  </si>
  <si>
    <t>24</t>
  </si>
  <si>
    <t>25</t>
  </si>
  <si>
    <t xml:space="preserve">KSCL và Điều phối </t>
  </si>
  <si>
    <t>26</t>
  </si>
  <si>
    <t>27</t>
  </si>
  <si>
    <t>28</t>
  </si>
  <si>
    <t>29</t>
  </si>
  <si>
    <t>30</t>
  </si>
  <si>
    <t>31</t>
  </si>
  <si>
    <t>32</t>
  </si>
  <si>
    <t>33</t>
  </si>
  <si>
    <t>34</t>
  </si>
  <si>
    <t>35</t>
  </si>
  <si>
    <t>36</t>
  </si>
  <si>
    <t>37</t>
  </si>
  <si>
    <t>38</t>
  </si>
  <si>
    <t>39</t>
  </si>
  <si>
    <t>40</t>
  </si>
  <si>
    <t>Didital Twin</t>
  </si>
  <si>
    <t>41</t>
  </si>
  <si>
    <t>42</t>
  </si>
  <si>
    <t>43</t>
  </si>
  <si>
    <t>44</t>
  </si>
  <si>
    <t>45</t>
  </si>
  <si>
    <t>46</t>
  </si>
  <si>
    <t>47</t>
  </si>
  <si>
    <t> </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</si>
  <si>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</si>
  <si>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</si>
  <si>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</si>
  <si>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</si>
  <si>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</si>
  <si>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</si>
  <si>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</si>
  <si>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</si>
  <si>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</si>
  <si>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</si>
  <si>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</si>
  <si>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</si>
  <si>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</si>
  <si>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</si>
  <si>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</si>
  <si>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</si>
  <si>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</si>
  <si>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</si>
  <si>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</si>
  <si>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</si>
  <si>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</si>
  <si>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</si>
  <si>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</si>
  <si>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</si>
  <si>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</si>
  <si>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</si>
  <si>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</si>
  <si>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</si>
  <si>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</si>
  <si>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BẢNG GIAO VIỆC QUẢN LÝ PHẦN MỀM</t>
  </si>
  <si>
    <t>Nhân sự thực hiện</t>
  </si>
  <si>
    <t>Hoàn thành thực tế</t>
  </si>
  <si>
    <t>Tổng số ngày</t>
  </si>
  <si>
    <t>Tổng số giờ</t>
  </si>
  <si>
    <t>Hạng mục 1</t>
  </si>
  <si>
    <t>Hạng mục 2</t>
  </si>
  <si>
    <t>Hạng mục 3</t>
  </si>
  <si>
    <t>Hạng mục 4</t>
  </si>
  <si>
    <t>Hạng mục 5</t>
  </si>
  <si>
    <t>Hạng mục 6</t>
  </si>
  <si>
    <t>Hạng mục 7</t>
  </si>
  <si>
    <t>Hạng mục 8</t>
  </si>
  <si>
    <t>Hạng mục 9</t>
  </si>
  <si>
    <t>Hạng mục 10</t>
  </si>
  <si>
    <t>Hạng mục 11</t>
  </si>
  <si>
    <t>Hạng mục 12</t>
  </si>
  <si>
    <t>Hạng mục 13</t>
  </si>
  <si>
    <t>Hạng mục 14</t>
  </si>
  <si>
    <t>Hạng mục 15</t>
  </si>
  <si>
    <t>BẢNG GIAO VIỆC KHÁC</t>
  </si>
  <si>
    <t>TỔNG QUAN CÁC CÔNG VIỆC PHÒNG BIM</t>
  </si>
  <si>
    <t>Trình tự</t>
  </si>
  <si>
    <t>Chi tiết</t>
  </si>
  <si>
    <t>Trách nhiệm</t>
  </si>
  <si>
    <t>Bước 1</t>
  </si>
  <si>
    <t>Đã bao gồm các phụ lục và biểu mẫu</t>
  </si>
  <si>
    <t>Quy định thanh tra BIM</t>
  </si>
  <si>
    <t>Bước 2</t>
  </si>
  <si>
    <t>Công cụ quản lý mô hình</t>
  </si>
  <si>
    <t>Bước 3</t>
  </si>
  <si>
    <t>Áp vào các dự án VTK đang thực hiện</t>
  </si>
  <si>
    <t>Anh Tuyên</t>
  </si>
  <si>
    <t>BIM XD, MEP, HT</t>
  </si>
  <si>
    <t>BIM XD + IT</t>
  </si>
  <si>
    <t>Triển khai hồ sơ thiết kế</t>
  </si>
  <si>
    <t>Bước 4</t>
  </si>
  <si>
    <t>Thực hiện thanh tra</t>
  </si>
  <si>
    <t>Bước 5</t>
  </si>
  <si>
    <t>Tool tạo lập mô hình</t>
  </si>
  <si>
    <t xml:space="preserve">BIM IT </t>
  </si>
  <si>
    <t>Tool KSCL và Điều phối mô hình</t>
  </si>
  <si>
    <t>Tool khai thác thông tin mô hình</t>
  </si>
  <si>
    <t>Ứng dụng Digital Twin</t>
  </si>
  <si>
    <t>Bước 6</t>
  </si>
  <si>
    <t>Chung cho các PM</t>
  </si>
  <si>
    <t>GĐ + Chủ trì BIM</t>
  </si>
  <si>
    <t>Quản lý chi tiết đến từng PM</t>
  </si>
  <si>
    <t>VSF</t>
  </si>
  <si>
    <t>BÁO CÁO CÔNG VIỆC HÀNG NGÀY - BIM.XD</t>
  </si>
  <si>
    <t>ID</t>
  </si>
  <si>
    <t>Thực tế
hoàn thành</t>
  </si>
  <si>
    <t>Tuần 21</t>
  </si>
  <si>
    <t>Ngày</t>
  </si>
  <si>
    <t>Nội dung công việc</t>
  </si>
  <si>
    <t>Thời gian (h)</t>
  </si>
  <si>
    <t>Tuần 22</t>
  </si>
  <si>
    <t>Tuần 23</t>
  </si>
  <si>
    <t>Phát hành hồ sơ thiết kế BVTC</t>
  </si>
  <si>
    <t>Phát hành hồ sơ (32 review)</t>
  </si>
  <si>
    <t>Phát hành hồ sơ (10 review)</t>
  </si>
  <si>
    <t>Phát hành hồ sơ (12 review)</t>
  </si>
  <si>
    <t xml:space="preserve">Xuất khối lượng Xây, trát, ốp lát. </t>
  </si>
  <si>
    <t>Mô hình từ 2024 khi chưa áp dụng BOQ</t>
  </si>
  <si>
    <t>Check kiểm bảng thống kê</t>
  </si>
  <si>
    <t>Kiểm tra các bảng khối lượng KT, KC; gửi phối hợp HSMT</t>
  </si>
  <si>
    <t>Khởi tạo mô hình</t>
  </si>
  <si>
    <t>Tạo lập Datum</t>
  </si>
  <si>
    <t>Họp nội bộ</t>
  </si>
  <si>
    <t>Tạo lập biểu mẫu cho WM mới</t>
  </si>
  <si>
    <t>Nghiên cứu cải thiện WN mới</t>
  </si>
  <si>
    <t>Chỉnh sửa lọc data cho công việc từ nhiều bảng</t>
  </si>
  <si>
    <t>Hướng dẫn KT8 thực hiện CDE</t>
  </si>
  <si>
    <t>Kiểm tra, soạn và gửi mail điều phối BIM 5 dự án
Soạn mail khảo sát ý kiến về Virtual Tour D5</t>
  </si>
  <si>
    <t>Báo cáo công việc trong ngày và các công việc sắp tới</t>
  </si>
  <si>
    <t>Kiểm tra các đầu việc DS TDC và phân chia lại công việc</t>
  </si>
  <si>
    <t>3.B.DSHNQN.STA.101</t>
  </si>
  <si>
    <t>3.B.DSHNQN.STA.102</t>
  </si>
  <si>
    <t>3.B.HNO.TMDM.VSC.101</t>
  </si>
  <si>
    <t>3.B.HNO.TMDM.VSC.201</t>
  </si>
  <si>
    <t>3.B.HYE.PVF.103</t>
  </si>
  <si>
    <t>3.B.HYE.PVF.203</t>
  </si>
  <si>
    <t>3.B.HYE.PVF.204</t>
  </si>
  <si>
    <t>3.B.QNI.HLXQY.NH.101</t>
  </si>
  <si>
    <t>3.B.QNI.HLXQY.NH.201</t>
  </si>
  <si>
    <t>3.B.TQU.VPTQ.VP.101</t>
  </si>
  <si>
    <t>Xuất khối lượng từ mô hình BIM, tuy nhiên mô hình đang ở mức ra hồ sơ TKBVTC, công trình là bàn giao cả hoàn thiện nội thất nhưng mô hình BIM chưa cập nhật những nội dung về trong nhà cũng như nội thất</t>
  </si>
  <si>
    <t>Xuất khối lượng KT</t>
  </si>
  <si>
    <t> Cập nhật thông tin mô hình</t>
  </si>
  <si>
    <t>3.N.HCM.CGIO.NH.101</t>
  </si>
  <si>
    <t>3.N.HCM.CGIO.NH.201</t>
  </si>
  <si>
    <t>3.T.KHO.VPNT.KSMN.111</t>
  </si>
  <si>
    <t>3.T.KHO.VPNT.KSMN.206</t>
  </si>
  <si>
    <t>3.T.KHO.VPNT.KSMN.112</t>
  </si>
  <si>
    <t>c</t>
  </si>
  <si>
    <t>3.N.HCM.CGIO.KSMN.101</t>
  </si>
  <si>
    <t>3.N.HCM.CGIO.KSMN.201</t>
  </si>
  <si>
    <t>3.N.HCM.CGIO.KS.102</t>
  </si>
  <si>
    <t>3.N.HCM.CGIO.KS.202</t>
  </si>
  <si>
    <t>3.B.DSHNQN.SUP.107</t>
  </si>
  <si>
    <t>3.B.DSHNQN.SUP.108</t>
  </si>
  <si>
    <t>3.B.DSHNQN.SUP.207</t>
  </si>
  <si>
    <t>3.B.DSHNQN.SUP.208</t>
  </si>
  <si>
    <t>Trao đổi family hỗ trợ KSMN CGIO</t>
  </si>
  <si>
    <t>Checklist kiểm soát chất lượng mô hình KT, xuất báo cáo KSCLMH</t>
  </si>
  <si>
    <t>Checklist kiểm soát chất lượng mô hình KT 2 khối hầm NOXH02.HA1 và NOXH02.HA2, xuất báo cáo KSCLMH
Gửi mail báo cáo KSCLMH lần 1</t>
  </si>
  <si>
    <t>Trao đổi TT tiến độ với KC, yêu cầu KC nộp mô hình</t>
  </si>
  <si>
    <t> Trao đổi, hướng dẫn KT về tiến độ, vướng mắc, cách nhập thông tin cho MH</t>
  </si>
  <si>
    <t> Hướng dẫn KT nhập liệu thông tin MH, giải đáp các vướng mắc checklist KSCLMH</t>
  </si>
  <si>
    <t> Hướng dẫn KC nhập liệu thông tin MH, giải đáp các vướng mắc checklist KSCLMH</t>
  </si>
  <si>
    <t>Check va chạm Navisworks KT với KC, xuất báo cáo va chạm
Checklist kiểm soát chất lượng mô hình KT, xuất báo cáo KSCLMH</t>
  </si>
  <si>
    <t>Check va chạm Navisworks KT với KC, xuất báo cáo va chạm
Checklist kiểm soát chất lượng mô hình KT, xuất báo cáo KSCLMH
Gửi mail báo cáo KSCLMH lần 4</t>
  </si>
  <si>
    <t>Check va chạm Navisworks KT với KC, xuất báo cáo va chạm
Checklist kiểm soát chất lượng mô hình KC, xuất báo cáo KSCLMH</t>
  </si>
  <si>
    <t>Xem xét tiến độ, nghiên cứu tình trạng hồ sơ. Dựng mô hình thân thô hạng mục nhà ăn, kí túc xá</t>
  </si>
  <si>
    <t>Khởi tạo mô hình 1 số hạng mục. Dựng mô hình thân thô và hoàn thiện mặt ngoài hạng mục nhà ăn, kí túc xá</t>
  </si>
  <si>
    <t>Xem xét tiến độ, tình trạng hồ sơ điền vào bảng tiến độ</t>
  </si>
  <si>
    <t>Checklist công việc, đầu việc cá nhân, nhập liệu các dự án và tiến độ vào bảng WM mới</t>
  </si>
  <si>
    <t> Nhập liệu lại các đầu việc vào sheet XD bảng WM mới</t>
  </si>
  <si>
    <t>Cập nhật tình trạng hồ sơ, tiến độ dự án DSHNQN vào bảng tiến độ</t>
  </si>
  <si>
    <t>Xuất khối lượng bê tông từ mô hình.</t>
  </si>
  <si>
    <t>Mô hình từ 2024 khi chưa áp dụng BOQ.</t>
  </si>
  <si>
    <t> Xuất khối lượng KCT</t>
  </si>
  <si>
    <t>Mô hình thiếu / sai so với hồ sơ thi công.</t>
  </si>
  <si>
    <t>Dựng hình các cấu kiện KCT còn thiếu.</t>
  </si>
  <si>
    <t> Chấm điểm bài thi Revit tạo lập mô hình, bộ môn KC.</t>
  </si>
  <si>
    <t>Comment phần BIM KC của NVTK DA Di dời đường điện 500kV
Chấm điểm bài thi Revit tạo lập mô hình, bộ môn KC.</t>
  </si>
  <si>
    <t>KSCL mô hình KT đóng gói TK (BC-XD-002)</t>
  </si>
  <si>
    <t>KSCL mô hình KC đóng gói TK (BC-XD-002)</t>
  </si>
  <si>
    <t>KSCL mô hình KT đóng gói TK (BC-XD-001)</t>
  </si>
  <si>
    <t>Trao đổi TT tiến độ với KT14, yêu cầu TVTK nộp MH KT-KC (đóng gói TK các tòa M,P,Q,R,S)</t>
  </si>
  <si>
    <t>KSCL mô hình KT đóng gói TK (BC-XD-001)
Trao đổi với TVTK các ND còn vướng mắc về phạm vi MH</t>
  </si>
  <si>
    <t>KSCL mô hình KT phần hầm (lần 4, BC-XD-002)</t>
  </si>
  <si>
    <t>Hướng dẫn KT điền thông tin MH phần thân</t>
  </si>
  <si>
    <t>Gửi mail KSCL lần 4</t>
  </si>
  <si>
    <t>KSCL mô hình KC phần hầm (lần 4, BC-XD-002)</t>
  </si>
  <si>
    <t>3.B.HNO.VHOHN.SVD.101</t>
  </si>
  <si>
    <t>3.B.HNO.VHOHN.SVD.201</t>
  </si>
  <si>
    <t>3.B.HYE.NOXHPH.NX.102</t>
  </si>
  <si>
    <t>3.B.HYE.NOXHPH.NX.103</t>
  </si>
  <si>
    <t>Dựng model tường xây, cửa, vữa trát, ramp dốc T1. Check kiểm HSTC chưa đúng chuẩn hóa NX và yêu cầu KT chỉnh sửa cập nhật</t>
  </si>
  <si>
    <t>Dựng model tường xây, cửa, vữa trát, ramp dốc T2 3 4 . Điền thông tin mô hình các hạng mục gạch xây , trát.</t>
  </si>
  <si>
    <t>Dựng lõi thang, tường, trát, cửa tầng tum và mái, Family gờ mái,.. Đặt slot đỗ phương tiện, sơn vạch kẻ, trụ sạc, rào chắn tầng 1</t>
  </si>
  <si>
    <t>Hoàn thiện bố trí đặt các lot đỗ xe máy và ô tô, trụ sạc, sơn kẻ chỉ dẫn, rào chắn Inox,.. các tầng 2-5 và tầng tum. Tạo dựng family thang KT lên nóc tum , dựng family hệ mái ramp dốc lên tầng tum</t>
  </si>
  <si>
    <t>3.B.HYE.NOXHPH.NX.202</t>
  </si>
  <si>
    <t>Khớp mô hình KC cập nhật sửa đổi theo KT</t>
  </si>
  <si>
    <t>Check kiểm mô hình KC không khớp KT , yêu cầu chỉnh sửa</t>
  </si>
  <si>
    <t>3.N.HCM.CGIO.KSMN.103</t>
  </si>
  <si>
    <t>3.N.HCM.CGIO.KSMN.202</t>
  </si>
  <si>
    <t>3.N.HCM.Q9.VSC.THCS.101</t>
  </si>
  <si>
    <t>3.N.HCM.Q9.VSC.THCS.201</t>
  </si>
  <si>
    <t>3.T.DAN.LVDN.KS.101</t>
  </si>
  <si>
    <t>3.T.DAN.LVDN.KS.201</t>
  </si>
  <si>
    <t>3.T.KHO.VPNT.KSMN.204</t>
  </si>
  <si>
    <t>3.T.KHO.VPNT.KSMN.107</t>
  </si>
  <si>
    <t>3.B.DSHNQN.SUP.105</t>
  </si>
  <si>
    <t>3.B.DSHNQN.SUP.106</t>
  </si>
  <si>
    <t>3.B.DSHNQN.SUP.205</t>
  </si>
  <si>
    <t>3.B.DSHNQN.SUP.206</t>
  </si>
  <si>
    <t>3.N.DSHCMCG.STA.101</t>
  </si>
  <si>
    <t>3.N.DSHCMCG.STA.201</t>
  </si>
  <si>
    <t>3.N.HCM.CGIO.KSMN.107</t>
  </si>
  <si>
    <t>Nghiên cứu kiểm tra tài liệu chuẩn bị tạo lập thư viện KSMN</t>
  </si>
  <si>
    <t>Cập nhật dự án DSHNQN vào bảng tiến độ</t>
  </si>
  <si>
    <t>3.B.DSHNQN.STA.103</t>
  </si>
  <si>
    <t>3.B.DSHNQN.STA.201</t>
  </si>
  <si>
    <t>3.B.DSHNQN.STA.104</t>
  </si>
  <si>
    <t>3.B.DSHNQN.STA.202</t>
  </si>
  <si>
    <t>3.B.DSHNQN.SUP.101</t>
  </si>
  <si>
    <t>Tạo lập MH nền tổng thể, nhà xưởng.</t>
  </si>
  <si>
    <t>Tạo lập MH nhà xưởng gia công thép, bệ chứa dầm 01</t>
  </si>
  <si>
    <t>3.B.DSHNQN.SUP.201</t>
  </si>
  <si>
    <t>3.B.DSHNQN.SUP.104</t>
  </si>
  <si>
    <t>3.B.DSHNQN.SUP.204</t>
  </si>
  <si>
    <t>3.B.HNO.GL.VSC.101</t>
  </si>
  <si>
    <t>KSCL, hướng dẫn bộ môn điền thông tin MH.</t>
  </si>
  <si>
    <t>3.B.HNO.GL.VSC.201</t>
  </si>
  <si>
    <t>Tạo lại bảng thống kê, hướng dẫn bộ môn điền thông tin MH.</t>
  </si>
  <si>
    <t>3.B.HPH.VYHP.VSC.101</t>
  </si>
  <si>
    <t>Hướng dẫn bộ môn điền thông tin MH.</t>
  </si>
  <si>
    <t>3.B.HPH.VYHP.VSC.201</t>
  </si>
  <si>
    <t>3.N.DSHCMCG.STA.102</t>
  </si>
  <si>
    <t>3.N.DSHCMCG.STA.202</t>
  </si>
  <si>
    <t>3.T.KHO.VPNT.KSMN.109</t>
  </si>
  <si>
    <t>3.T.KHO.VPNT.KSMN.110</t>
  </si>
  <si>
    <t>3.T.KHO.VPNT.KSMN.205</t>
  </si>
  <si>
    <t>Tạo lập MH từ tầng 4-15.</t>
  </si>
  <si>
    <t>3.N.HCM.CGIO.KSMN.105</t>
  </si>
  <si>
    <t>3.N.HCM.CGIO.KSMN.106</t>
  </si>
  <si>
    <t>3.N.HCM.CGIO.KSMN.203</t>
  </si>
  <si>
    <t>BÁO CÁO CÔNG VIỆC HÀNG NGÀY - BIM.MEPF</t>
  </si>
  <si>
    <t>Thực tế hoàn thành</t>
  </si>
  <si>
    <t>1.Quy định.001</t>
  </si>
  <si>
    <t>3.B.HYE.NOXHHY.CT.302</t>
  </si>
  <si>
    <t>3.B.HYE.NOXHHY.CT.402</t>
  </si>
  <si>
    <t>3.B.HYE.NOXHHY.CT.502</t>
  </si>
  <si>
    <t>3.B.HYE.NOXHHY.CT.602</t>
  </si>
  <si>
    <t>3.B.HYE.NOXHHY.CT.702</t>
  </si>
  <si>
    <t>3.T.HTI.STHT.NOXH.CT.301</t>
  </si>
  <si>
    <t>3.T.HTI.STHT.NOXH.CT.401</t>
  </si>
  <si>
    <t>3.T.HTI.STHT.NOXH.CT.501</t>
  </si>
  <si>
    <t>3.T.HTI.STHT.NOXH.CT.601</t>
  </si>
  <si>
    <t>3.N.HCM.Q9.VP.701</t>
  </si>
  <si>
    <t>3.B.HYE.PVF.603</t>
  </si>
  <si>
    <t>3.N.HCM.Q9.VP.601</t>
  </si>
  <si>
    <t xml:space="preserve">Cập nhật thông tin MH. </t>
  </si>
  <si>
    <t>3.N.HCM.Q9.VP.602</t>
  </si>
  <si>
    <t>Xuất khối lượng ống thép và phụ kiện từ mô hình BIM</t>
  </si>
  <si>
    <t>3.B.HYE.NOXHHY.CT.301</t>
  </si>
  <si>
    <t>3.B.HYE.NOXHHY.CT.401</t>
  </si>
  <si>
    <t>3.B.HYE.NOXHHY.CT.501</t>
  </si>
  <si>
    <t>3.B.HYE.NOXHHY.CT.601</t>
  </si>
  <si>
    <t>3.B.HYE.NOXHHY.CT.701</t>
  </si>
  <si>
    <t>3.N.HCM.Q9.VP.603</t>
  </si>
  <si>
    <t>Cập nhật thông tin MH</t>
  </si>
  <si>
    <t>3.N.HCM.Q9.VP.604</t>
  </si>
  <si>
    <t>Xuất khối lượng toàn bộ HVAC từ mô hình BIM</t>
  </si>
  <si>
    <t>3.B.HYE.PVF.302</t>
  </si>
  <si>
    <t>3.B.HYE.PVF.402</t>
  </si>
  <si>
    <t>3.B.HYE.PVF.502</t>
  </si>
  <si>
    <t>3.B.HYE.PVF.602</t>
  </si>
  <si>
    <t>3.B.HYE.PVF.702</t>
  </si>
  <si>
    <t>3.N.HCM.CGIO.KS.605</t>
  </si>
  <si>
    <t>3.N.HCM.CGIO.KS.606</t>
  </si>
  <si>
    <t>3.B.DSHNQN.SUP.601</t>
  </si>
  <si>
    <t>3.B.DSHNQN.SUP.602</t>
  </si>
  <si>
    <t>3.B.DSHNQN.SUP.603</t>
  </si>
  <si>
    <t>3.B.DSHNQN.SUP.604</t>
  </si>
  <si>
    <t>3.B.DSHNQN.SUP.605</t>
  </si>
  <si>
    <t>3.B.DSHNQN.SUP.606</t>
  </si>
  <si>
    <t>3.B.DSHNQN.SUP.607</t>
  </si>
  <si>
    <t>3.B.DSHNQN.SUP.608</t>
  </si>
  <si>
    <t>3.B.HYE.PVF.503</t>
  </si>
  <si>
    <t>3.N.HCM.Q9.VP.501</t>
  </si>
  <si>
    <t>3.T.HTI.STHT.NOXH.CT.502</t>
  </si>
  <si>
    <t>3.N.HCM.CGIO.KS.505</t>
  </si>
  <si>
    <t>3.N.HCM.CGIO.KS.506</t>
  </si>
  <si>
    <t>3.B.DSHNQN.SUP.501</t>
  </si>
  <si>
    <t>3.B.DSHNQN.SUP.507</t>
  </si>
  <si>
    <t>3.B.HNO.GL.VUNI.303</t>
  </si>
  <si>
    <t>3.B.HNO.GL.VUNI.403</t>
  </si>
  <si>
    <t>3.B.HNO.GL.VUNI.503</t>
  </si>
  <si>
    <t>3.B.HNO.GL.VUNI.603</t>
  </si>
  <si>
    <t>3.B.HNO.GL.VUNI.703</t>
  </si>
  <si>
    <t>3.N.HCM.CGIO.NTD.601</t>
  </si>
  <si>
    <t>3.N.HCM.CGIO.KS.304</t>
  </si>
  <si>
    <t>3.N.HCM.CGIO.KS.404</t>
  </si>
  <si>
    <t>3.N.HCM.CGIO.KS.504</t>
  </si>
  <si>
    <t>3.N.HCM.CGIO.KS.604</t>
  </si>
  <si>
    <t>3.N.HCM.CGIO.KS.704</t>
  </si>
  <si>
    <t>3.B.HYE.PVF.501</t>
  </si>
  <si>
    <t>3.B.HYE.PVF.601</t>
  </si>
  <si>
    <t>3.B.HYE.PVF.701</t>
  </si>
  <si>
    <t>3.B.DSHNQN.SUP.301</t>
  </si>
  <si>
    <t>3.B.DSHNQN.SUP.307</t>
  </si>
  <si>
    <t>3.B.DSHNQN.SUP.401</t>
  </si>
  <si>
    <t>3.B.DSHNQN.SUP.407</t>
  </si>
  <si>
    <t>2.Công cụ tạo lập mô hình.005</t>
  </si>
  <si>
    <t>5.CAD.36</t>
  </si>
  <si>
    <t>5.CAD.37</t>
  </si>
  <si>
    <t>5.CAD.38</t>
  </si>
  <si>
    <t>5.Revit.07</t>
  </si>
  <si>
    <t>5.Revit.08</t>
  </si>
  <si>
    <t>5.Revit.17</t>
  </si>
  <si>
    <t>5.Revit.22</t>
  </si>
  <si>
    <t>5.Revit.10</t>
  </si>
  <si>
    <t>5.Revit.11</t>
  </si>
  <si>
    <t>5.Revit.23</t>
  </si>
  <si>
    <t>5.Revit.18</t>
  </si>
  <si>
    <t>5.Revit.24</t>
  </si>
  <si>
    <t>5.Revit.01</t>
  </si>
  <si>
    <t>5.Revit.02</t>
  </si>
  <si>
    <t>5.Revit.03</t>
  </si>
  <si>
    <t>5.Revit.04</t>
  </si>
  <si>
    <t>5.Revit.68</t>
  </si>
  <si>
    <t>5.Revit.69</t>
  </si>
  <si>
    <t>5.Revit.70</t>
  </si>
  <si>
    <t>5.Revit.71</t>
  </si>
  <si>
    <t>5.Revit.73</t>
  </si>
  <si>
    <t>5.Revit.74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</si>
</sst>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d/m/yyyy;@"/>
  </numFmts>
  <fonts count="27">
    <font>
      <sz val="11"/>
      <color theme="1"/>
      <name val="Calibri"/>
      <family val="2"/>
      <scheme val="minor"/>
    </font>
    <font>
      <sz val="11"/>
      <color theme="1"/>
      <name val="Calibri"/>
      <scheme val="minor"/>
    </font>
    <font>
      <sz val="11"/>
      <color rgb="FFFF0000"/>
      <name val="Calibri"/>
      <family val="2"/>
      <scheme val="minor"/>
    </font>
    <font>
      <b/>
      <sz val="11"/>
      <color theme="1"/>
      <name val="Calibri"/>
      <family val="2"/>
      <scheme val="minor"/>
    </font>
    <font>
      <sz val="8"/>
      <name val="Calibri"/>
      <family val="2"/>
      <scheme val="minor"/>
    </font>
    <font>
      <sz val="11"/>
      <color rgb="FF000000"/>
      <name val="Calibri"/>
      <family val="2"/>
      <scheme val="minor"/>
    </font>
    <font>
      <b/>
      <sz val="11"/>
      <color theme="0"/>
      <name val="Calibri"/>
      <family val="2"/>
      <scheme val="minor"/>
    </font>
    <font>
      <sz val="11"/>
      <color rgb="FFFFC000"/>
      <name val="Calibri"/>
      <family val="2"/>
      <scheme val="minor"/>
    </font>
    <font>
      <sz val="11"/>
      <color rgb="FF92D050"/>
      <name val="Calibri"/>
      <family val="2"/>
      <scheme val="minor"/>
    </font>
    <font>
      <sz val="11"/>
      <color rgb="FF000000"/>
      <name val="Calibri"/>
    </font>
    <font>
      <sz val="11"/>
      <color rgb="FF000000"/>
      <name val="Calibri"/>
      <charset val="1"/>
    </font>
    <font>
      <b/>
      <sz val="11"/>
      <color rgb="FF000000"/>
      <name val="Calibri"/>
      <family val="2"/>
      <scheme val="minor"/>
    </font>
    <font>
      <sz val="11"/>
      <color theme="0"/>
      <name val="Calibri"/>
      <family val="2"/>
      <scheme val="minor"/>
    </font>
    <font>
      <u/>
      <sz val="11"/>
      <color theme="10"/>
      <name val="Calibri"/>
      <family val="2"/>
      <scheme val="minor"/>
    </font>
    <font>
      <b/>
      <sz val="12"/>
      <color theme="0"/>
      <name val="Calibri"/>
      <family val="2"/>
      <scheme val="minor"/>
    </font>
    <font>
      <b/>
      <sz val="12"/>
      <color rgb="FFFFFFFF"/>
      <name val="Calibri"/>
    </font>
    <font>
      <sz val="11"/>
      <color rgb="FFFFFFFF"/>
      <name val="Calibri"/>
    </font>
    <font>
      <sz val="11"/>
      <color rgb="FFBFBFBF"/>
      <name val="Calibri"/>
    </font>
    <font>
      <sz val="11"/>
      <color theme="0" tint="-0.34998626667073579"/>
      <name val="Calibri"/>
      <family val="2"/>
      <scheme val="minor"/>
    </font>
    <font>
      <b/>
      <sz val="11"/>
      <color theme="1"/>
      <name val="Calibri"/>
    </font>
    <font>
      <sz val="11"/>
      <color rgb="FF000000"/>
      <name val="Calibri"/>
      <family val="2"/>
    </font>
    <font>
      <sz val="11"/>
      <color theme="1"/>
      <name val="Calibri"/>
    </font>
    <font>
      <sz val="11"/>
      <color rgb="FF000000"/>
      <name val="Times New Roman"/>
    </font>
    <font>
      <sz val="11"/>
      <color theme="1"/>
      <name val="Times New Roman"/>
    </font>
    <font>
      <b/>
      <sz val="11"/>
      <color rgb="FF000000"/>
      <name val="Calibri"/>
    </font>
    <font>
      <b/>
      <sz val="11"/>
      <color rgb="FF00B0F0"/>
      <name val="Calibri"/>
      <family val="2"/>
      <scheme val="minor"/>
    </font>
    <font>
      <b/>
      <sz val="11"/>
      <color rgb="FFFF0000"/>
      <name val="Calibri"/>
      <family val="2"/>
      <scheme val="minor"/>
    </font>
  </fonts>
  <fills count="1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4" tint="-0.499984740745262"/>
        <bgColor indexed="64"/>
      </patternFill>
    </fill>
    <fill>
      <patternFill patternType="solid">
        <fgColor theme="9" tint="-0.499984740745262"/>
        <bgColor indexed="64"/>
      </patternFill>
    </fill>
    <fill>
      <patternFill patternType="solid">
        <fgColor rgb="FF833C0C"/>
        <bgColor rgb="FF000000"/>
      </patternFill>
    </fill>
    <fill>
      <patternFill patternType="solid">
        <fgColor theme="7" tint="-0.499984740745262"/>
        <bgColor rgb="FF000000"/>
      </patternFill>
    </fill>
    <fill>
      <patternFill patternType="solid">
        <fgColor theme="7" tint="-0.499984740745262"/>
        <bgColor indexed="64"/>
      </patternFill>
    </fill>
    <fill>
      <patternFill patternType="solid">
        <fgColor rgb="FFFF000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rgb="FF00B0F0"/>
        <bgColor indexed="64"/>
      </patternFill>
    </fill>
    <fill>
      <patternFill patternType="solid">
        <fgColor rgb="FFFFFFFF"/>
        <bgColor indexed="64"/>
      </patternFill>
    </fill>
  </fills>
  <borders count="29">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bottom/>
      <diagonal/>
    </border>
    <border>
      <left/>
      <right style="thin">
        <color indexed="64"/>
      </right>
      <top style="thin">
        <color indexed="64"/>
      </top>
      <bottom style="thin">
        <color indexed="64"/>
      </bottom>
      <diagonal/>
    </border>
    <border>
      <left/>
      <right style="thin">
        <color rgb="FF000000"/>
      </right>
      <top style="thin">
        <color rgb="FF000000"/>
      </top>
      <bottom/>
      <diagonal/>
    </border>
    <border>
      <left/>
      <right style="thin">
        <color rgb="FF000000"/>
      </right>
      <top/>
      <bottom style="thin">
        <color rgb="FF000000"/>
      </bottom>
      <diagonal/>
    </border>
    <border>
      <left/>
      <right style="thin">
        <color rgb="FF000000"/>
      </right>
      <top/>
      <bottom/>
      <diagonal/>
    </border>
    <border>
      <left/>
      <right/>
      <top/>
      <bottom style="thin">
        <color indexed="64"/>
      </bottom>
      <diagonal/>
    </border>
    <border>
      <left/>
      <right style="thin">
        <color indexed="64"/>
      </right>
      <top/>
      <bottom style="thin">
        <color indexed="64"/>
      </bottom>
      <diagonal/>
    </border>
    <border>
      <left/>
      <right/>
      <top style="thin">
        <color rgb="FF000000"/>
      </top>
      <bottom/>
      <diagonal/>
    </border>
    <border>
      <left style="thin">
        <color rgb="FF000000"/>
      </left>
      <right/>
      <top/>
      <bottom/>
      <diagonal/>
    </border>
    <border>
      <left/>
      <right/>
      <top style="thin">
        <color indexed="64"/>
      </top>
      <bottom style="thin">
        <color indexed="64"/>
      </bottom>
      <diagonal/>
    </border>
    <border>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361">
    <xf numFmtId="0" fontId="0" fillId="0" borderId="0" xfId="0"/>
    <xf numFmtId="0" fontId="5" fillId="0" borderId="2" xfId="0" applyFont="1" applyBorder="1" applyAlignment="1">
      <alignment horizontal="left" vertical="center"/>
    </xf>
    <xf numFmtId="0" fontId="3" fillId="0" borderId="0" xfId="0" applyFont="1" applyAlignment="1">
      <alignment horizontal="center" vertical="center"/>
    </xf>
    <xf numFmtId="0" fontId="3" fillId="2" borderId="2" xfId="0" applyFont="1" applyFill="1" applyBorder="1" applyAlignment="1">
      <alignment horizontal="center" vertical="center"/>
    </xf>
    <xf numFmtId="0" fontId="0" fillId="0" borderId="2" xfId="0" applyBorder="1"/>
    <xf numFmtId="0" fontId="3" fillId="0" borderId="2" xfId="0" applyFont="1" applyBorder="1"/>
    <xf numFmtId="0" fontId="5" fillId="0" borderId="2" xfId="0" applyFont="1" applyBorder="1" applyAlignment="1">
      <alignment vertical="center"/>
    </xf>
    <xf numFmtId="0" fontId="0" fillId="0" borderId="0" xfId="0" applyAlignment="1">
      <alignment horizontal="center"/>
    </xf>
    <xf numFmtId="0" fontId="0" fillId="0" borderId="2" xfId="0" applyBorder="1" applyAlignment="1">
      <alignment horizontal="center" vertical="center"/>
    </xf>
    <xf numFmtId="0" fontId="0" fillId="0" borderId="0" xfId="0" applyAlignment="1">
      <alignment horizontal="center" vertical="center"/>
    </xf>
    <xf numFmtId="0" fontId="0" fillId="0" borderId="0" xfId="0" applyAlignment="1">
      <alignment horizontal="left"/>
    </xf>
    <xf numFmtId="0" fontId="3" fillId="0" borderId="2" xfId="0" applyFont="1" applyBorder="1" applyAlignment="1">
      <alignment horizontal="left"/>
    </xf>
    <xf numFmtId="0" fontId="0" fillId="0" borderId="0" xfId="0" applyAlignment="1">
      <alignment vertical="center"/>
    </xf>
    <xf numFmtId="0" fontId="3" fillId="2" borderId="5" xfId="0" applyFont="1" applyFill="1" applyBorder="1" applyAlignment="1">
      <alignment horizontal="center" vertical="center"/>
    </xf>
    <xf numFmtId="0" fontId="0" fillId="0" borderId="5" xfId="0" applyBorder="1" applyAlignment="1">
      <alignment horizontal="center" vertical="center"/>
    </xf>
    <xf numFmtId="0" fontId="3" fillId="3" borderId="5" xfId="0" applyFont="1" applyFill="1" applyBorder="1" applyAlignment="1">
      <alignment horizontal="center"/>
    </xf>
    <xf numFmtId="0" fontId="2" fillId="0" borderId="2" xfId="0" applyFont="1" applyBorder="1" applyAlignment="1">
      <alignment horizontal="left" vertical="center"/>
    </xf>
    <xf numFmtId="0" fontId="3" fillId="2" borderId="9" xfId="0" applyFont="1" applyFill="1" applyBorder="1" applyAlignment="1">
      <alignment horizontal="center" vertical="center"/>
    </xf>
    <xf numFmtId="0" fontId="0" fillId="0" borderId="9" xfId="0" applyBorder="1"/>
    <xf numFmtId="0" fontId="5" fillId="0" borderId="9" xfId="0" applyFont="1" applyBorder="1" applyAlignment="1">
      <alignment horizontal="left" vertical="center"/>
    </xf>
    <xf numFmtId="0" fontId="5" fillId="0" borderId="9" xfId="0" applyFont="1" applyBorder="1" applyAlignment="1">
      <alignment vertical="center"/>
    </xf>
    <xf numFmtId="0" fontId="0" fillId="0" borderId="5" xfId="0" applyBorder="1"/>
    <xf numFmtId="0" fontId="3" fillId="2" borderId="4" xfId="0" applyFont="1" applyFill="1" applyBorder="1" applyAlignment="1">
      <alignment horizontal="center" vertical="center"/>
    </xf>
    <xf numFmtId="0" fontId="5" fillId="0" borderId="5" xfId="0" applyFont="1" applyBorder="1" applyAlignment="1">
      <alignment horizontal="left" vertical="center"/>
    </xf>
    <xf numFmtId="0" fontId="5" fillId="0" borderId="12" xfId="0" applyFont="1" applyBorder="1" applyAlignment="1">
      <alignment horizontal="left" vertical="center"/>
    </xf>
    <xf numFmtId="0" fontId="5" fillId="0" borderId="12" xfId="0" applyFont="1" applyBorder="1" applyAlignment="1">
      <alignment vertical="center"/>
    </xf>
    <xf numFmtId="0" fontId="0" fillId="0" borderId="12" xfId="0" applyBorder="1"/>
    <xf numFmtId="0" fontId="6" fillId="4" borderId="0" xfId="0" applyFont="1" applyFill="1"/>
    <xf numFmtId="0" fontId="0" fillId="0" borderId="9" xfId="0" applyBorder="1" applyAlignment="1">
      <alignment vertical="center"/>
    </xf>
    <xf numFmtId="0" fontId="0" fillId="0" borderId="9" xfId="0" applyBorder="1" applyAlignment="1">
      <alignment horizontal="center"/>
    </xf>
    <xf numFmtId="14" fontId="0" fillId="0" borderId="9" xfId="0" applyNumberFormat="1" applyBorder="1"/>
    <xf numFmtId="14" fontId="0" fillId="0" borderId="12" xfId="0" applyNumberFormat="1" applyBorder="1"/>
    <xf numFmtId="0" fontId="3" fillId="0" borderId="0" xfId="0" applyFont="1"/>
    <xf numFmtId="0" fontId="9" fillId="0" borderId="9" xfId="0" applyFont="1" applyBorder="1"/>
    <xf numFmtId="0" fontId="3" fillId="0" borderId="9" xfId="0" applyFont="1" applyBorder="1"/>
    <xf numFmtId="0" fontId="0" fillId="0" borderId="9" xfId="0" applyBorder="1" applyAlignment="1">
      <alignment horizontal="center" vertical="center"/>
    </xf>
    <xf numFmtId="0" fontId="3" fillId="0" borderId="9" xfId="0" applyFont="1" applyBorder="1" applyAlignment="1">
      <alignment vertical="center"/>
    </xf>
    <xf numFmtId="0" fontId="6" fillId="4" borderId="7" xfId="0" applyFont="1" applyFill="1" applyBorder="1"/>
    <xf numFmtId="0" fontId="0" fillId="0" borderId="13" xfId="0" applyBorder="1"/>
    <xf numFmtId="0" fontId="3" fillId="2" borderId="6" xfId="0" applyFont="1" applyFill="1" applyBorder="1" applyAlignment="1">
      <alignment horizontal="center" vertical="center"/>
    </xf>
    <xf numFmtId="0" fontId="11" fillId="2" borderId="9" xfId="0" applyFont="1" applyFill="1" applyBorder="1" applyAlignment="1">
      <alignment horizontal="center" vertical="center"/>
    </xf>
    <xf numFmtId="0" fontId="11" fillId="2" borderId="2" xfId="0" applyFont="1" applyFill="1" applyBorder="1" applyAlignment="1">
      <alignment horizontal="center" vertical="center"/>
    </xf>
    <xf numFmtId="14" fontId="6" fillId="4" borderId="0" xfId="0" applyNumberFormat="1" applyFont="1" applyFill="1"/>
    <xf numFmtId="14" fontId="3" fillId="2" borderId="9" xfId="0" applyNumberFormat="1" applyFont="1" applyFill="1" applyBorder="1" applyAlignment="1">
      <alignment horizontal="center" vertical="center"/>
    </xf>
    <xf numFmtId="14" fontId="0" fillId="0" borderId="0" xfId="0" applyNumberFormat="1"/>
    <xf numFmtId="14" fontId="3" fillId="2" borderId="13" xfId="0" applyNumberFormat="1" applyFont="1" applyFill="1" applyBorder="1" applyAlignment="1">
      <alignment horizontal="center" vertical="center"/>
    </xf>
    <xf numFmtId="0" fontId="3" fillId="0" borderId="13" xfId="0" applyFont="1" applyBorder="1" applyAlignment="1">
      <alignment vertical="center"/>
    </xf>
    <xf numFmtId="0" fontId="0" fillId="0" borderId="13" xfId="0" applyBorder="1" applyAlignment="1">
      <alignment horizontal="center" vertical="center"/>
    </xf>
    <xf numFmtId="0" fontId="0" fillId="0" borderId="13" xfId="0" applyBorder="1" applyAlignment="1">
      <alignment horizontal="center"/>
    </xf>
    <xf numFmtId="0" fontId="6" fillId="4" borderId="9" xfId="0" applyFont="1" applyFill="1" applyBorder="1" applyAlignment="1">
      <alignment vertical="center"/>
    </xf>
    <xf numFmtId="0" fontId="12" fillId="4" borderId="0" xfId="0" applyFont="1" applyFill="1" applyAlignment="1">
      <alignment vertical="center"/>
    </xf>
    <xf numFmtId="0" fontId="3" fillId="2" borderId="13" xfId="0" applyFont="1" applyFill="1" applyBorder="1"/>
    <xf numFmtId="0" fontId="12" fillId="4" borderId="9" xfId="0" applyFont="1" applyFill="1" applyBorder="1" applyAlignment="1">
      <alignment vertical="center"/>
    </xf>
    <xf numFmtId="0" fontId="0" fillId="0" borderId="12" xfId="0" applyBorder="1" applyAlignment="1">
      <alignment vertical="center"/>
    </xf>
    <xf numFmtId="0" fontId="0" fillId="0" borderId="17" xfId="0" applyBorder="1" applyAlignment="1">
      <alignment vertical="center"/>
    </xf>
    <xf numFmtId="0" fontId="0" fillId="0" borderId="12" xfId="0" applyBorder="1" applyAlignment="1">
      <alignment horizontal="center" vertical="center"/>
    </xf>
    <xf numFmtId="0" fontId="0" fillId="0" borderId="0" xfId="0" quotePrefix="1"/>
    <xf numFmtId="0" fontId="0" fillId="4" borderId="0" xfId="0" applyFill="1"/>
    <xf numFmtId="14" fontId="3" fillId="2" borderId="17" xfId="0" applyNumberFormat="1" applyFont="1" applyFill="1" applyBorder="1" applyAlignment="1">
      <alignment horizontal="center" vertical="center"/>
    </xf>
    <xf numFmtId="0" fontId="3" fillId="2" borderId="19" xfId="0" applyFont="1" applyFill="1" applyBorder="1" applyAlignment="1">
      <alignment horizontal="center" vertical="center"/>
    </xf>
    <xf numFmtId="0" fontId="5" fillId="0" borderId="5" xfId="0" applyFont="1" applyBorder="1" applyAlignment="1">
      <alignment vertical="center"/>
    </xf>
    <xf numFmtId="0" fontId="3" fillId="2" borderId="9" xfId="0" applyFont="1" applyFill="1" applyBorder="1" applyAlignment="1">
      <alignment horizontal="center" vertical="center" wrapText="1"/>
    </xf>
    <xf numFmtId="0" fontId="6" fillId="4" borderId="9" xfId="0" applyFont="1" applyFill="1" applyBorder="1" applyAlignment="1">
      <alignment vertical="center" wrapText="1"/>
    </xf>
    <xf numFmtId="0" fontId="11" fillId="4" borderId="9" xfId="0" applyFont="1" applyFill="1" applyBorder="1" applyAlignment="1">
      <alignment vertical="center"/>
    </xf>
    <xf numFmtId="14" fontId="6" fillId="4" borderId="9" xfId="0" applyNumberFormat="1" applyFont="1" applyFill="1" applyBorder="1" applyAlignment="1">
      <alignment vertical="center"/>
    </xf>
    <xf numFmtId="0" fontId="0" fillId="4" borderId="0" xfId="0" applyFill="1" applyAlignment="1">
      <alignment vertical="center"/>
    </xf>
    <xf numFmtId="0" fontId="0" fillId="4" borderId="0" xfId="0" applyFill="1" applyAlignment="1">
      <alignment vertical="center" wrapText="1"/>
    </xf>
    <xf numFmtId="0" fontId="9" fillId="0" borderId="9" xfId="0" applyFont="1" applyBorder="1" applyAlignment="1">
      <alignment vertical="center" wrapText="1"/>
    </xf>
    <xf numFmtId="0" fontId="0" fillId="0" borderId="9" xfId="0" applyBorder="1" applyAlignment="1">
      <alignment vertical="center" wrapText="1"/>
    </xf>
    <xf numFmtId="0" fontId="2" fillId="0" borderId="9" xfId="0" applyFont="1" applyBorder="1" applyAlignment="1">
      <alignment vertical="center"/>
    </xf>
    <xf numFmtId="14" fontId="0" fillId="0" borderId="9" xfId="0" applyNumberFormat="1" applyBorder="1" applyAlignment="1">
      <alignment vertical="center"/>
    </xf>
    <xf numFmtId="0" fontId="0" fillId="0" borderId="13" xfId="0" applyBorder="1" applyAlignment="1">
      <alignment vertical="center"/>
    </xf>
    <xf numFmtId="0" fontId="0" fillId="0" borderId="13" xfId="0" applyBorder="1" applyAlignment="1">
      <alignment vertical="center" wrapText="1"/>
    </xf>
    <xf numFmtId="0" fontId="10" fillId="0" borderId="9" xfId="0" applyFont="1" applyBorder="1" applyAlignment="1">
      <alignment vertical="center" wrapText="1"/>
    </xf>
    <xf numFmtId="0" fontId="10" fillId="0" borderId="13" xfId="0" applyFont="1" applyBorder="1" applyAlignment="1">
      <alignment vertical="center" wrapText="1"/>
    </xf>
    <xf numFmtId="0" fontId="0" fillId="0" borderId="0" xfId="0" applyAlignment="1">
      <alignment vertical="center" wrapText="1"/>
    </xf>
    <xf numFmtId="0" fontId="5" fillId="0" borderId="0" xfId="0" applyFont="1" applyAlignment="1">
      <alignment vertical="center"/>
    </xf>
    <xf numFmtId="14" fontId="0" fillId="0" borderId="0" xfId="0" applyNumberFormat="1" applyAlignment="1">
      <alignment vertical="center"/>
    </xf>
    <xf numFmtId="0" fontId="6" fillId="4" borderId="0" xfId="0" applyFont="1" applyFill="1" applyAlignment="1">
      <alignment vertical="center"/>
    </xf>
    <xf numFmtId="0" fontId="11" fillId="4" borderId="0" xfId="0" applyFont="1" applyFill="1" applyAlignment="1">
      <alignment vertical="center"/>
    </xf>
    <xf numFmtId="14" fontId="6" fillId="4" borderId="0" xfId="0" applyNumberFormat="1" applyFont="1" applyFill="1" applyAlignment="1">
      <alignment vertical="center"/>
    </xf>
    <xf numFmtId="0" fontId="0" fillId="0" borderId="19" xfId="0" applyBorder="1" applyAlignment="1">
      <alignment vertical="center"/>
    </xf>
    <xf numFmtId="0" fontId="0" fillId="0" borderId="2" xfId="0" applyBorder="1" applyAlignment="1">
      <alignment vertical="center"/>
    </xf>
    <xf numFmtId="0" fontId="2" fillId="0" borderId="2" xfId="0" applyFont="1" applyBorder="1" applyAlignment="1">
      <alignment vertical="center"/>
    </xf>
    <xf numFmtId="14" fontId="0" fillId="0" borderId="12" xfId="0" applyNumberFormat="1" applyBorder="1" applyAlignment="1">
      <alignment vertical="center"/>
    </xf>
    <xf numFmtId="0" fontId="7" fillId="0" borderId="2" xfId="0" applyFont="1" applyBorder="1" applyAlignment="1">
      <alignment vertical="center"/>
    </xf>
    <xf numFmtId="0" fontId="8" fillId="0" borderId="2" xfId="0" applyFont="1" applyBorder="1" applyAlignment="1">
      <alignment vertical="center"/>
    </xf>
    <xf numFmtId="0" fontId="0" fillId="0" borderId="2" xfId="0" applyBorder="1" applyAlignment="1">
      <alignment horizontal="left" vertical="center"/>
    </xf>
    <xf numFmtId="0" fontId="0" fillId="0" borderId="9" xfId="0" applyBorder="1" applyAlignment="1">
      <alignment horizontal="left" vertical="center"/>
    </xf>
    <xf numFmtId="0" fontId="0" fillId="0" borderId="0" xfId="0" applyAlignment="1">
      <alignment horizontal="left" vertical="center"/>
    </xf>
    <xf numFmtId="0" fontId="6" fillId="4" borderId="11" xfId="0" applyFont="1" applyFill="1" applyBorder="1" applyAlignment="1">
      <alignment vertical="center"/>
    </xf>
    <xf numFmtId="0" fontId="11" fillId="4" borderId="11" xfId="0" applyFont="1" applyFill="1" applyBorder="1" applyAlignment="1">
      <alignment vertical="center"/>
    </xf>
    <xf numFmtId="14" fontId="6" fillId="4" borderId="11" xfId="0" applyNumberFormat="1" applyFont="1" applyFill="1" applyBorder="1" applyAlignment="1">
      <alignment vertical="center"/>
    </xf>
    <xf numFmtId="164" fontId="0" fillId="0" borderId="0" xfId="0" applyNumberFormat="1" applyAlignment="1">
      <alignment vertical="center"/>
    </xf>
    <xf numFmtId="14" fontId="3" fillId="2" borderId="20" xfId="0" applyNumberFormat="1" applyFont="1" applyFill="1" applyBorder="1" applyAlignment="1">
      <alignment horizontal="center" vertical="center"/>
    </xf>
    <xf numFmtId="0" fontId="0" fillId="0" borderId="14" xfId="0" applyBorder="1" applyAlignment="1">
      <alignment vertical="center"/>
    </xf>
    <xf numFmtId="164" fontId="0" fillId="0" borderId="9" xfId="0" applyNumberFormat="1" applyBorder="1" applyAlignment="1">
      <alignment horizontal="right" vertical="center"/>
    </xf>
    <xf numFmtId="164" fontId="0" fillId="0" borderId="2" xfId="0" applyNumberFormat="1" applyBorder="1" applyAlignment="1">
      <alignment horizontal="right" vertical="center"/>
    </xf>
    <xf numFmtId="0" fontId="0" fillId="0" borderId="14" xfId="0" applyBorder="1" applyAlignment="1">
      <alignment vertical="center" wrapText="1"/>
    </xf>
    <xf numFmtId="0" fontId="5" fillId="0" borderId="14" xfId="0" applyFont="1" applyBorder="1" applyAlignment="1">
      <alignment vertical="center"/>
    </xf>
    <xf numFmtId="0" fontId="0" fillId="0" borderId="15" xfId="0" applyBorder="1" applyAlignment="1">
      <alignment vertical="center"/>
    </xf>
    <xf numFmtId="0" fontId="10" fillId="0" borderId="9" xfId="0" applyFont="1" applyBorder="1"/>
    <xf numFmtId="0" fontId="9" fillId="0" borderId="14" xfId="0" applyFont="1" applyBorder="1" applyAlignment="1">
      <alignment vertical="center" wrapText="1"/>
    </xf>
    <xf numFmtId="0" fontId="5" fillId="0" borderId="10" xfId="0" applyFont="1" applyBorder="1" applyAlignment="1">
      <alignment vertical="center"/>
    </xf>
    <xf numFmtId="0" fontId="6" fillId="4" borderId="0" xfId="0" applyFont="1" applyFill="1" applyAlignment="1">
      <alignment horizontal="left" vertical="center"/>
    </xf>
    <xf numFmtId="14" fontId="0" fillId="0" borderId="9" xfId="0" applyNumberFormat="1" applyBorder="1" applyAlignment="1">
      <alignment horizontal="center" vertical="center"/>
    </xf>
    <xf numFmtId="164" fontId="0" fillId="0" borderId="9" xfId="0" applyNumberFormat="1" applyBorder="1" applyAlignment="1">
      <alignment horizontal="center" vertical="center"/>
    </xf>
    <xf numFmtId="14" fontId="3" fillId="2" borderId="9" xfId="0" applyNumberFormat="1" applyFont="1" applyFill="1" applyBorder="1" applyAlignment="1">
      <alignment horizontal="center" vertical="center" wrapText="1"/>
    </xf>
    <xf numFmtId="0" fontId="0" fillId="0" borderId="9" xfId="0" quotePrefix="1" applyBorder="1"/>
    <xf numFmtId="0" fontId="0" fillId="0" borderId="19" xfId="0" applyBorder="1"/>
    <xf numFmtId="0" fontId="0" fillId="0" borderId="9" xfId="0" quotePrefix="1" applyBorder="1" applyAlignment="1">
      <alignment vertical="center"/>
    </xf>
    <xf numFmtId="0" fontId="3" fillId="2" borderId="15" xfId="0" applyFont="1" applyFill="1" applyBorder="1" applyAlignment="1">
      <alignment horizontal="center" vertical="center"/>
    </xf>
    <xf numFmtId="0" fontId="14" fillId="5" borderId="2" xfId="0" applyFont="1" applyFill="1" applyBorder="1" applyAlignment="1">
      <alignment horizontal="center" vertical="center" wrapText="1"/>
    </xf>
    <xf numFmtId="0" fontId="0" fillId="4" borderId="4" xfId="0" applyFill="1" applyBorder="1" applyAlignment="1">
      <alignment vertical="center"/>
    </xf>
    <xf numFmtId="0" fontId="0" fillId="4" borderId="2" xfId="0" applyFill="1" applyBorder="1" applyAlignment="1">
      <alignment vertical="center"/>
    </xf>
    <xf numFmtId="0" fontId="0" fillId="4" borderId="2" xfId="0" applyFill="1" applyBorder="1" applyAlignment="1">
      <alignment horizontal="center" vertical="center"/>
    </xf>
    <xf numFmtId="0" fontId="0" fillId="5" borderId="2" xfId="0" applyFill="1" applyBorder="1" applyAlignment="1">
      <alignment vertical="center"/>
    </xf>
    <xf numFmtId="164" fontId="16" fillId="6" borderId="1" xfId="0" applyNumberFormat="1" applyFont="1" applyFill="1" applyBorder="1" applyAlignment="1">
      <alignment horizontal="right" vertical="center"/>
    </xf>
    <xf numFmtId="0" fontId="9" fillId="6" borderId="24" xfId="0" applyFont="1" applyFill="1" applyBorder="1" applyAlignment="1">
      <alignment horizontal="center" vertical="center"/>
    </xf>
    <xf numFmtId="164" fontId="16" fillId="7" borderId="1" xfId="0" applyNumberFormat="1" applyFont="1" applyFill="1" applyBorder="1" applyAlignment="1">
      <alignment horizontal="right" vertical="center"/>
    </xf>
    <xf numFmtId="0" fontId="9" fillId="7" borderId="24" xfId="0" applyFont="1" applyFill="1" applyBorder="1" applyAlignment="1">
      <alignment horizontal="center" vertical="center"/>
    </xf>
    <xf numFmtId="164" fontId="0" fillId="0" borderId="2" xfId="0" applyNumberFormat="1" applyBorder="1" applyAlignment="1">
      <alignment vertical="center"/>
    </xf>
    <xf numFmtId="0" fontId="18" fillId="0" borderId="9" xfId="0" applyFont="1" applyBorder="1" applyAlignment="1">
      <alignment vertical="center"/>
    </xf>
    <xf numFmtId="0" fontId="0" fillId="0" borderId="1" xfId="0" applyBorder="1" applyAlignment="1">
      <alignment vertical="center"/>
    </xf>
    <xf numFmtId="0" fontId="14" fillId="4" borderId="2" xfId="0" applyFont="1" applyFill="1" applyBorder="1" applyAlignment="1">
      <alignment horizontal="center" vertical="center" wrapText="1"/>
    </xf>
    <xf numFmtId="0" fontId="15" fillId="6" borderId="2" xfId="0" applyFont="1" applyFill="1" applyBorder="1" applyAlignment="1">
      <alignment horizontal="center" vertical="center" wrapText="1"/>
    </xf>
    <xf numFmtId="0" fontId="15" fillId="6" borderId="19" xfId="0" applyFont="1" applyFill="1" applyBorder="1" applyAlignment="1">
      <alignment horizontal="center" vertical="center" wrapText="1"/>
    </xf>
    <xf numFmtId="0" fontId="15" fillId="7" borderId="2" xfId="0" applyFont="1" applyFill="1" applyBorder="1" applyAlignment="1">
      <alignment horizontal="center" vertical="center" wrapText="1"/>
    </xf>
    <xf numFmtId="0" fontId="15" fillId="7" borderId="19" xfId="0" applyFont="1" applyFill="1" applyBorder="1" applyAlignment="1">
      <alignment horizontal="center" vertical="center" wrapText="1"/>
    </xf>
    <xf numFmtId="0" fontId="0" fillId="0" borderId="0" xfId="0" applyAlignment="1">
      <alignment wrapText="1"/>
    </xf>
    <xf numFmtId="164" fontId="16" fillId="8" borderId="1" xfId="0" applyNumberFormat="1" applyFont="1" applyFill="1" applyBorder="1" applyAlignment="1">
      <alignment horizontal="right" vertical="center"/>
    </xf>
    <xf numFmtId="0" fontId="9" fillId="8" borderId="24" xfId="0" applyFont="1" applyFill="1" applyBorder="1" applyAlignment="1">
      <alignment horizontal="center" vertical="center"/>
    </xf>
    <xf numFmtId="0" fontId="19" fillId="0" borderId="24" xfId="0" applyFont="1" applyBorder="1" applyAlignment="1">
      <alignment vertical="center"/>
    </xf>
    <xf numFmtId="2" fontId="19" fillId="0" borderId="24" xfId="0" applyNumberFormat="1" applyFont="1" applyBorder="1" applyAlignment="1">
      <alignment vertical="center"/>
    </xf>
    <xf numFmtId="0" fontId="3" fillId="0" borderId="0" xfId="0" applyFont="1" applyAlignment="1">
      <alignment vertical="center"/>
    </xf>
    <xf numFmtId="164" fontId="17" fillId="0" borderId="1" xfId="0" applyNumberFormat="1" applyFont="1" applyBorder="1" applyAlignment="1">
      <alignment vertical="center"/>
    </xf>
    <xf numFmtId="0" fontId="9" fillId="0" borderId="24" xfId="0" applyFont="1" applyBorder="1" applyAlignment="1">
      <alignment vertical="center"/>
    </xf>
    <xf numFmtId="2" fontId="9" fillId="0" borderId="24" xfId="0" applyNumberFormat="1" applyFont="1" applyBorder="1" applyAlignment="1">
      <alignment vertical="center"/>
    </xf>
    <xf numFmtId="164" fontId="19" fillId="0" borderId="1" xfId="0" applyNumberFormat="1" applyFont="1" applyBorder="1" applyAlignment="1">
      <alignment vertical="center"/>
    </xf>
    <xf numFmtId="0" fontId="0" fillId="0" borderId="20" xfId="0" applyBorder="1" applyAlignment="1">
      <alignment vertical="center"/>
    </xf>
    <xf numFmtId="0" fontId="5" fillId="0" borderId="15" xfId="1" applyFont="1" applyBorder="1" applyAlignment="1">
      <alignment vertical="center"/>
    </xf>
    <xf numFmtId="0" fontId="9" fillId="0" borderId="15" xfId="0" applyFont="1" applyBorder="1"/>
    <xf numFmtId="0" fontId="9" fillId="0" borderId="20" xfId="0" applyFont="1" applyBorder="1"/>
    <xf numFmtId="0" fontId="5" fillId="0" borderId="17" xfId="0" applyFont="1" applyBorder="1" applyAlignment="1">
      <alignment vertical="center"/>
    </xf>
    <xf numFmtId="14" fontId="0" fillId="0" borderId="13" xfId="0" applyNumberFormat="1" applyBorder="1"/>
    <xf numFmtId="14" fontId="0" fillId="3" borderId="9" xfId="0" applyNumberFormat="1" applyFill="1" applyBorder="1" applyAlignment="1">
      <alignment vertical="center"/>
    </xf>
    <xf numFmtId="0" fontId="9" fillId="6" borderId="24" xfId="0" applyFont="1" applyFill="1" applyBorder="1" applyAlignment="1">
      <alignment horizontal="center" vertical="center" wrapText="1"/>
    </xf>
    <xf numFmtId="0" fontId="19" fillId="0" borderId="24" xfId="0" applyFont="1" applyBorder="1" applyAlignment="1">
      <alignment vertical="center" wrapText="1"/>
    </xf>
    <xf numFmtId="0" fontId="9" fillId="0" borderId="24" xfId="0" applyFont="1" applyBorder="1" applyAlignment="1">
      <alignment vertical="center" wrapText="1"/>
    </xf>
    <xf numFmtId="0" fontId="0" fillId="4" borderId="2" xfId="0" applyFill="1" applyBorder="1" applyAlignment="1">
      <alignment horizontal="center" vertical="center" wrapText="1"/>
    </xf>
    <xf numFmtId="0" fontId="0" fillId="0" borderId="19" xfId="0" applyBorder="1" applyAlignment="1">
      <alignment vertical="center" wrapText="1"/>
    </xf>
    <xf numFmtId="0" fontId="0" fillId="4" borderId="2" xfId="0" applyFill="1" applyBorder="1" applyAlignment="1">
      <alignment vertical="center" wrapText="1"/>
    </xf>
    <xf numFmtId="0" fontId="18" fillId="0" borderId="0" xfId="0" applyFont="1" applyAlignment="1">
      <alignment vertical="center"/>
    </xf>
    <xf numFmtId="164" fontId="17" fillId="0" borderId="0" xfId="0" applyNumberFormat="1" applyFont="1" applyAlignment="1">
      <alignment vertical="center"/>
    </xf>
    <xf numFmtId="0" fontId="9" fillId="0" borderId="0" xfId="0" applyFont="1" applyAlignment="1">
      <alignment vertical="center" wrapText="1"/>
    </xf>
    <xf numFmtId="2" fontId="9" fillId="0" borderId="0" xfId="0" applyNumberFormat="1" applyFont="1" applyAlignment="1">
      <alignment vertical="center"/>
    </xf>
    <xf numFmtId="0" fontId="9" fillId="0" borderId="0" xfId="0" applyFont="1" applyAlignment="1">
      <alignment vertical="center"/>
    </xf>
    <xf numFmtId="0" fontId="20" fillId="0" borderId="9" xfId="0" applyFont="1" applyBorder="1"/>
    <xf numFmtId="0" fontId="3" fillId="2" borderId="2" xfId="0" applyFont="1" applyFill="1" applyBorder="1" applyAlignment="1">
      <alignment horizontal="center" vertical="center" wrapText="1"/>
    </xf>
    <xf numFmtId="0" fontId="11" fillId="2" borderId="5" xfId="0" applyFont="1" applyFill="1" applyBorder="1" applyAlignment="1">
      <alignment horizontal="center" vertical="center" wrapText="1"/>
    </xf>
    <xf numFmtId="0" fontId="0" fillId="4" borderId="0" xfId="0" applyFill="1" applyAlignment="1">
      <alignment horizontal="right" vertical="center"/>
    </xf>
    <xf numFmtId="0" fontId="15" fillId="6" borderId="19" xfId="0" applyFont="1" applyFill="1" applyBorder="1" applyAlignment="1">
      <alignment horizontal="right" vertical="center" wrapText="1"/>
    </xf>
    <xf numFmtId="0" fontId="9" fillId="6" borderId="24" xfId="0" applyFont="1" applyFill="1" applyBorder="1" applyAlignment="1">
      <alignment horizontal="right" vertical="center"/>
    </xf>
    <xf numFmtId="2" fontId="9" fillId="0" borderId="24" xfId="0" applyNumberFormat="1" applyFont="1" applyBorder="1" applyAlignment="1">
      <alignment horizontal="right" vertical="center"/>
    </xf>
    <xf numFmtId="2" fontId="9" fillId="0" borderId="0" xfId="0" applyNumberFormat="1" applyFont="1" applyAlignment="1">
      <alignment horizontal="right" vertical="center"/>
    </xf>
    <xf numFmtId="0" fontId="0" fillId="0" borderId="0" xfId="0" applyAlignment="1">
      <alignment horizontal="right"/>
    </xf>
    <xf numFmtId="0" fontId="18" fillId="0" borderId="12" xfId="0" applyFont="1" applyBorder="1" applyAlignment="1">
      <alignment vertical="center"/>
    </xf>
    <xf numFmtId="0" fontId="0" fillId="0" borderId="4" xfId="0" applyBorder="1" applyAlignment="1">
      <alignment vertical="center"/>
    </xf>
    <xf numFmtId="0" fontId="5" fillId="0" borderId="13" xfId="0" applyFont="1" applyBorder="1" applyAlignment="1">
      <alignment vertical="center"/>
    </xf>
    <xf numFmtId="0" fontId="5" fillId="0" borderId="18" xfId="0" applyFont="1" applyBorder="1" applyAlignment="1">
      <alignment vertical="center"/>
    </xf>
    <xf numFmtId="14" fontId="0" fillId="3" borderId="9" xfId="0" applyNumberFormat="1" applyFill="1" applyBorder="1"/>
    <xf numFmtId="0" fontId="0" fillId="9" borderId="14" xfId="0" applyFill="1" applyBorder="1" applyAlignment="1">
      <alignment vertical="center" wrapText="1"/>
    </xf>
    <xf numFmtId="0" fontId="5" fillId="9" borderId="9" xfId="0" applyFont="1" applyFill="1" applyBorder="1" applyAlignment="1">
      <alignment vertical="center" wrapText="1"/>
    </xf>
    <xf numFmtId="0" fontId="5" fillId="0" borderId="17" xfId="0" applyFont="1" applyBorder="1" applyAlignment="1">
      <alignment horizontal="left" vertical="center"/>
    </xf>
    <xf numFmtId="0" fontId="11" fillId="11" borderId="12" xfId="0" applyFont="1" applyFill="1" applyBorder="1" applyAlignment="1">
      <alignment horizontal="left" vertical="center"/>
    </xf>
    <xf numFmtId="0" fontId="3" fillId="12" borderId="11" xfId="0" applyFont="1" applyFill="1" applyBorder="1" applyAlignment="1">
      <alignment horizontal="left" vertical="center"/>
    </xf>
    <xf numFmtId="0" fontId="3" fillId="14" borderId="16" xfId="0" applyFont="1" applyFill="1" applyBorder="1" applyAlignment="1">
      <alignment horizontal="left" vertical="center"/>
    </xf>
    <xf numFmtId="0" fontId="11" fillId="13" borderId="16" xfId="0" applyFont="1" applyFill="1" applyBorder="1" applyAlignment="1">
      <alignment horizontal="left" vertical="center"/>
    </xf>
    <xf numFmtId="0" fontId="11" fillId="4" borderId="0" xfId="0" applyFont="1" applyFill="1"/>
    <xf numFmtId="0" fontId="5" fillId="0" borderId="2" xfId="0" applyFont="1" applyBorder="1"/>
    <xf numFmtId="0" fontId="5" fillId="0" borderId="0" xfId="0" applyFont="1"/>
    <xf numFmtId="0" fontId="11" fillId="10" borderId="14" xfId="0" applyFont="1" applyFill="1" applyBorder="1" applyAlignment="1">
      <alignment vertical="center"/>
    </xf>
    <xf numFmtId="0" fontId="11" fillId="2" borderId="14" xfId="0" applyFont="1" applyFill="1" applyBorder="1" applyAlignment="1">
      <alignment vertical="center"/>
    </xf>
    <xf numFmtId="0" fontId="11" fillId="11" borderId="14" xfId="0" applyFont="1" applyFill="1" applyBorder="1" applyAlignment="1">
      <alignment vertical="center"/>
    </xf>
    <xf numFmtId="0" fontId="3" fillId="12" borderId="14" xfId="0" applyFont="1" applyFill="1" applyBorder="1" applyAlignment="1">
      <alignment vertical="center"/>
    </xf>
    <xf numFmtId="0" fontId="11" fillId="13" borderId="14" xfId="0" applyFont="1" applyFill="1" applyBorder="1" applyAlignment="1">
      <alignment vertical="center"/>
    </xf>
    <xf numFmtId="0" fontId="3" fillId="14" borderId="18" xfId="0" applyFont="1" applyFill="1" applyBorder="1" applyAlignment="1">
      <alignment vertical="center"/>
    </xf>
    <xf numFmtId="0" fontId="3" fillId="0" borderId="21" xfId="0" applyFont="1" applyBorder="1" applyAlignment="1">
      <alignment vertical="center"/>
    </xf>
    <xf numFmtId="0" fontId="3" fillId="0" borderId="18" xfId="0" applyFont="1" applyBorder="1" applyAlignment="1">
      <alignment vertical="center"/>
    </xf>
    <xf numFmtId="0" fontId="11" fillId="13" borderId="10" xfId="0" applyFont="1" applyFill="1" applyBorder="1" applyAlignment="1">
      <alignment vertical="center"/>
    </xf>
    <xf numFmtId="0" fontId="11" fillId="14" borderId="18" xfId="0" applyFont="1" applyFill="1" applyBorder="1" applyAlignment="1">
      <alignment vertical="center"/>
    </xf>
    <xf numFmtId="0" fontId="11" fillId="15" borderId="22" xfId="0" applyFont="1" applyFill="1" applyBorder="1" applyAlignment="1">
      <alignment vertical="center"/>
    </xf>
    <xf numFmtId="0" fontId="3" fillId="16" borderId="12" xfId="0" applyFont="1" applyFill="1" applyBorder="1" applyAlignment="1">
      <alignment horizontal="left" vertical="center"/>
    </xf>
    <xf numFmtId="0" fontId="9" fillId="0" borderId="15" xfId="0" applyFont="1" applyBorder="1" applyAlignment="1">
      <alignment wrapText="1"/>
    </xf>
    <xf numFmtId="0" fontId="9" fillId="0" borderId="21" xfId="0" applyFont="1" applyBorder="1" applyAlignment="1">
      <alignment wrapText="1"/>
    </xf>
    <xf numFmtId="0" fontId="9" fillId="0" borderId="16" xfId="0" applyFont="1" applyBorder="1"/>
    <xf numFmtId="0" fontId="9" fillId="0" borderId="10" xfId="0" applyFont="1" applyBorder="1"/>
    <xf numFmtId="14" fontId="9" fillId="0" borderId="9" xfId="0" applyNumberFormat="1" applyFont="1" applyBorder="1"/>
    <xf numFmtId="0" fontId="9" fillId="0" borderId="21" xfId="0" applyFont="1" applyBorder="1"/>
    <xf numFmtId="0" fontId="9" fillId="0" borderId="11" xfId="0" applyFont="1" applyBorder="1"/>
    <xf numFmtId="0" fontId="9" fillId="0" borderId="22" xfId="0" applyFont="1" applyBorder="1"/>
    <xf numFmtId="0" fontId="9" fillId="0" borderId="22" xfId="0" applyFont="1" applyBorder="1" applyAlignment="1">
      <alignment wrapText="1"/>
    </xf>
    <xf numFmtId="0" fontId="9" fillId="0" borderId="0" xfId="0" applyFont="1"/>
    <xf numFmtId="0" fontId="9" fillId="0" borderId="26" xfId="0" applyFont="1" applyBorder="1"/>
    <xf numFmtId="0" fontId="9" fillId="0" borderId="19" xfId="0" applyFont="1" applyBorder="1"/>
    <xf numFmtId="0" fontId="9" fillId="0" borderId="19" xfId="0" applyFont="1" applyBorder="1" applyAlignment="1">
      <alignment wrapText="1"/>
    </xf>
    <xf numFmtId="0" fontId="9" fillId="0" borderId="24" xfId="0" applyFont="1" applyBorder="1"/>
    <xf numFmtId="0" fontId="9" fillId="0" borderId="24" xfId="0" applyFont="1" applyBorder="1" applyAlignment="1">
      <alignment wrapText="1"/>
    </xf>
    <xf numFmtId="164" fontId="0" fillId="3" borderId="9" xfId="0" applyNumberFormat="1" applyFill="1" applyBorder="1" applyAlignment="1">
      <alignment horizontal="right" vertical="center"/>
    </xf>
    <xf numFmtId="0" fontId="3" fillId="0" borderId="11" xfId="0" applyFont="1" applyBorder="1" applyAlignment="1">
      <alignment vertical="center"/>
    </xf>
    <xf numFmtId="0" fontId="3" fillId="16" borderId="25" xfId="0" applyFont="1" applyFill="1" applyBorder="1" applyAlignment="1">
      <alignment horizontal="left" vertical="center"/>
    </xf>
    <xf numFmtId="0" fontId="12" fillId="0" borderId="0" xfId="0" applyFont="1" applyAlignment="1">
      <alignment vertical="center"/>
    </xf>
    <xf numFmtId="0" fontId="6" fillId="0" borderId="0" xfId="0" applyFont="1" applyAlignment="1">
      <alignment horizontal="center" vertical="center"/>
    </xf>
    <xf numFmtId="0" fontId="23" fillId="0" borderId="9" xfId="0" applyFont="1" applyBorder="1" applyAlignment="1">
      <alignment horizontal="left" vertical="center"/>
    </xf>
    <xf numFmtId="0" fontId="22" fillId="0" borderId="9" xfId="0" applyFont="1" applyBorder="1" applyAlignment="1">
      <alignment vertical="center"/>
    </xf>
    <xf numFmtId="0" fontId="22" fillId="0" borderId="9" xfId="0" applyFont="1" applyBorder="1" applyAlignment="1">
      <alignment vertical="center" wrapText="1"/>
    </xf>
    <xf numFmtId="0" fontId="6" fillId="4" borderId="12" xfId="0" applyFont="1" applyFill="1" applyBorder="1" applyAlignment="1">
      <alignment vertical="center"/>
    </xf>
    <xf numFmtId="0" fontId="6" fillId="4" borderId="17" xfId="0" applyFont="1" applyFill="1" applyBorder="1" applyAlignment="1">
      <alignment vertical="center"/>
    </xf>
    <xf numFmtId="0" fontId="6" fillId="4" borderId="25" xfId="0" applyFont="1" applyFill="1" applyBorder="1" applyAlignment="1">
      <alignment vertical="center"/>
    </xf>
    <xf numFmtId="0" fontId="6" fillId="4" borderId="16" xfId="0" applyFont="1" applyFill="1" applyBorder="1" applyAlignment="1">
      <alignment vertical="center"/>
    </xf>
    <xf numFmtId="0" fontId="6" fillId="4" borderId="20" xfId="0" applyFont="1" applyFill="1" applyBorder="1" applyAlignment="1">
      <alignment vertical="center"/>
    </xf>
    <xf numFmtId="0" fontId="11" fillId="10" borderId="12" xfId="0" applyFont="1" applyFill="1" applyBorder="1" applyAlignment="1">
      <alignment vertical="center"/>
    </xf>
    <xf numFmtId="0" fontId="11" fillId="10" borderId="16" xfId="0" applyFont="1" applyFill="1" applyBorder="1" applyAlignment="1">
      <alignment vertical="center"/>
    </xf>
    <xf numFmtId="0" fontId="11" fillId="2" borderId="12" xfId="0" applyFont="1" applyFill="1" applyBorder="1" applyAlignment="1">
      <alignment vertical="center"/>
    </xf>
    <xf numFmtId="0" fontId="11" fillId="2" borderId="16" xfId="0" applyFont="1" applyFill="1" applyBorder="1" applyAlignment="1">
      <alignment vertical="center"/>
    </xf>
    <xf numFmtId="0" fontId="11" fillId="11" borderId="16" xfId="0" applyFont="1" applyFill="1" applyBorder="1" applyAlignment="1">
      <alignment vertical="center"/>
    </xf>
    <xf numFmtId="0" fontId="11" fillId="11" borderId="15" xfId="0" applyFont="1" applyFill="1" applyBorder="1" applyAlignment="1">
      <alignment vertical="center"/>
    </xf>
    <xf numFmtId="0" fontId="11" fillId="13" borderId="12" xfId="0" applyFont="1" applyFill="1" applyBorder="1" applyAlignment="1">
      <alignment horizontal="left" vertical="center"/>
    </xf>
    <xf numFmtId="0" fontId="11" fillId="13" borderId="15" xfId="0" applyFont="1" applyFill="1" applyBorder="1" applyAlignment="1">
      <alignment horizontal="left" vertical="center"/>
    </xf>
    <xf numFmtId="0" fontId="11" fillId="14" borderId="16" xfId="0" applyFont="1" applyFill="1" applyBorder="1" applyAlignment="1">
      <alignment horizontal="left" vertical="center"/>
    </xf>
    <xf numFmtId="0" fontId="6" fillId="14" borderId="16" xfId="0" applyFont="1" applyFill="1" applyBorder="1" applyAlignment="1">
      <alignment horizontal="left" vertical="center"/>
    </xf>
    <xf numFmtId="0" fontId="11" fillId="15" borderId="12" xfId="0" applyFont="1" applyFill="1" applyBorder="1" applyAlignment="1">
      <alignment horizontal="left" vertical="center"/>
    </xf>
    <xf numFmtId="0" fontId="11" fillId="15" borderId="15" xfId="0" applyFont="1" applyFill="1" applyBorder="1" applyAlignment="1">
      <alignment horizontal="left" vertical="center"/>
    </xf>
    <xf numFmtId="0" fontId="11" fillId="15" borderId="16" xfId="0" applyFont="1" applyFill="1" applyBorder="1" applyAlignment="1">
      <alignment horizontal="left" vertical="center"/>
    </xf>
    <xf numFmtId="0" fontId="6" fillId="16" borderId="16" xfId="0" applyFont="1" applyFill="1" applyBorder="1" applyAlignment="1">
      <alignment vertical="center"/>
    </xf>
    <xf numFmtId="0" fontId="6" fillId="16" borderId="15" xfId="0" applyFont="1" applyFill="1" applyBorder="1" applyAlignment="1">
      <alignment vertical="center"/>
    </xf>
    <xf numFmtId="0" fontId="0" fillId="0" borderId="16" xfId="0" applyBorder="1" applyAlignment="1">
      <alignment vertical="center"/>
    </xf>
    <xf numFmtId="0" fontId="2" fillId="0" borderId="27" xfId="0" applyFont="1" applyBorder="1" applyAlignment="1">
      <alignment vertical="center"/>
    </xf>
    <xf numFmtId="0" fontId="9" fillId="0" borderId="9" xfId="0" applyFont="1" applyBorder="1" applyAlignment="1">
      <alignment vertical="center"/>
    </xf>
    <xf numFmtId="0" fontId="7" fillId="0" borderId="27" xfId="0" applyFont="1" applyBorder="1" applyAlignment="1">
      <alignment vertical="center"/>
    </xf>
    <xf numFmtId="0" fontId="8" fillId="0" borderId="27" xfId="0" applyFont="1" applyBorder="1" applyAlignment="1">
      <alignment vertical="center"/>
    </xf>
    <xf numFmtId="0" fontId="0" fillId="0" borderId="10" xfId="0" applyBorder="1" applyAlignment="1">
      <alignment vertical="center"/>
    </xf>
    <xf numFmtId="0" fontId="0" fillId="0" borderId="11" xfId="0" applyBorder="1" applyAlignment="1">
      <alignment vertical="center"/>
    </xf>
    <xf numFmtId="0" fontId="0" fillId="0" borderId="25" xfId="0" applyBorder="1" applyAlignment="1">
      <alignment vertical="center"/>
    </xf>
    <xf numFmtId="0" fontId="9" fillId="0" borderId="13" xfId="0" applyFont="1" applyBorder="1" applyAlignment="1">
      <alignment vertical="center"/>
    </xf>
    <xf numFmtId="0" fontId="22" fillId="0" borderId="14" xfId="0" applyFont="1" applyBorder="1" applyAlignment="1">
      <alignment vertical="center"/>
    </xf>
    <xf numFmtId="0" fontId="22" fillId="0" borderId="18" xfId="0" applyFont="1" applyBorder="1" applyAlignment="1">
      <alignment vertical="center"/>
    </xf>
    <xf numFmtId="0" fontId="22" fillId="0" borderId="13" xfId="0" applyFont="1" applyBorder="1" applyAlignment="1">
      <alignment vertical="center"/>
    </xf>
    <xf numFmtId="14" fontId="6" fillId="4" borderId="12" xfId="0" applyNumberFormat="1" applyFont="1" applyFill="1" applyBorder="1" applyAlignment="1">
      <alignment vertical="center"/>
    </xf>
    <xf numFmtId="14" fontId="3" fillId="2" borderId="12" xfId="0" applyNumberFormat="1" applyFont="1" applyFill="1" applyBorder="1" applyAlignment="1">
      <alignment horizontal="center" vertical="center"/>
    </xf>
    <xf numFmtId="14" fontId="0" fillId="3" borderId="12" xfId="0" applyNumberFormat="1" applyFill="1" applyBorder="1" applyAlignment="1">
      <alignment vertical="center"/>
    </xf>
    <xf numFmtId="14" fontId="0" fillId="0" borderId="17" xfId="0" applyNumberFormat="1" applyBorder="1" applyAlignment="1">
      <alignment vertical="center"/>
    </xf>
    <xf numFmtId="14" fontId="0" fillId="3" borderId="10" xfId="0" applyNumberFormat="1" applyFill="1" applyBorder="1" applyAlignment="1">
      <alignment vertical="center"/>
    </xf>
    <xf numFmtId="14" fontId="0" fillId="0" borderId="10" xfId="0" applyNumberFormat="1" applyBorder="1" applyAlignment="1">
      <alignment vertical="center"/>
    </xf>
    <xf numFmtId="14" fontId="0" fillId="0" borderId="16" xfId="0" applyNumberFormat="1" applyBorder="1" applyAlignment="1">
      <alignment vertical="center"/>
    </xf>
    <xf numFmtId="14" fontId="0" fillId="3" borderId="12" xfId="0" applyNumberFormat="1" applyFill="1" applyBorder="1"/>
    <xf numFmtId="14" fontId="9" fillId="0" borderId="12" xfId="0" applyNumberFormat="1" applyFont="1" applyBorder="1"/>
    <xf numFmtId="14" fontId="9" fillId="0" borderId="10" xfId="0" applyNumberFormat="1" applyFont="1" applyBorder="1"/>
    <xf numFmtId="14" fontId="9" fillId="0" borderId="26" xfId="0" applyNumberFormat="1" applyFont="1" applyBorder="1"/>
    <xf numFmtId="14" fontId="9" fillId="0" borderId="27" xfId="0" applyNumberFormat="1" applyFont="1" applyBorder="1"/>
    <xf numFmtId="14" fontId="9" fillId="0" borderId="23" xfId="0" applyNumberFormat="1" applyFont="1" applyBorder="1"/>
    <xf numFmtId="0" fontId="0" fillId="9" borderId="9" xfId="0" applyFill="1" applyBorder="1" applyAlignment="1">
      <alignment vertical="center"/>
    </xf>
    <xf numFmtId="164" fontId="17" fillId="0" borderId="8" xfId="0" applyNumberFormat="1" applyFont="1" applyBorder="1" applyAlignment="1">
      <alignment vertical="center"/>
    </xf>
    <xf numFmtId="0" fontId="24" fillId="0" borderId="24" xfId="0" applyFont="1" applyBorder="1" applyAlignment="1">
      <alignment vertical="center" wrapText="1"/>
    </xf>
    <xf numFmtId="0" fontId="10" fillId="0" borderId="9" xfId="0" applyFont="1" applyBorder="1" applyAlignment="1">
      <alignment wrapText="1"/>
    </xf>
    <xf numFmtId="2" fontId="9" fillId="0" borderId="9" xfId="0" applyNumberFormat="1" applyFont="1" applyBorder="1" applyAlignment="1">
      <alignment vertical="center"/>
    </xf>
    <xf numFmtId="164" fontId="17" fillId="0" borderId="24" xfId="0" applyNumberFormat="1" applyFont="1" applyBorder="1" applyAlignment="1">
      <alignment vertical="center"/>
    </xf>
    <xf numFmtId="0" fontId="6" fillId="4" borderId="9" xfId="0" applyFont="1" applyFill="1" applyBorder="1" applyAlignment="1">
      <alignment horizontal="left" vertical="center"/>
    </xf>
    <xf numFmtId="0" fontId="3" fillId="2" borderId="9" xfId="0" applyFont="1" applyFill="1" applyBorder="1" applyAlignment="1">
      <alignment horizontal="left" vertical="center"/>
    </xf>
    <xf numFmtId="0" fontId="0" fillId="0" borderId="15" xfId="0" applyBorder="1" applyAlignment="1">
      <alignment horizontal="left" vertical="center"/>
    </xf>
    <xf numFmtId="0" fontId="0" fillId="0" borderId="17" xfId="0" applyBorder="1" applyAlignment="1">
      <alignment horizontal="left" vertical="center"/>
    </xf>
    <xf numFmtId="0" fontId="0" fillId="0" borderId="12" xfId="0" applyBorder="1" applyAlignment="1">
      <alignment horizontal="left" vertical="center"/>
    </xf>
    <xf numFmtId="0" fontId="9" fillId="0" borderId="15" xfId="0" applyFont="1" applyBorder="1" applyAlignment="1">
      <alignment horizontal="left"/>
    </xf>
    <xf numFmtId="0" fontId="9" fillId="0" borderId="21" xfId="0" applyFont="1" applyBorder="1" applyAlignment="1">
      <alignment horizontal="left"/>
    </xf>
    <xf numFmtId="0" fontId="9" fillId="0" borderId="22" xfId="0" applyFont="1" applyBorder="1" applyAlignment="1">
      <alignment horizontal="left"/>
    </xf>
    <xf numFmtId="0" fontId="9" fillId="0" borderId="19" xfId="0" applyFont="1" applyBorder="1" applyAlignment="1">
      <alignment horizontal="left"/>
    </xf>
    <xf numFmtId="0" fontId="9" fillId="0" borderId="24" xfId="0" applyFont="1" applyBorder="1" applyAlignment="1">
      <alignment horizontal="left"/>
    </xf>
    <xf numFmtId="14" fontId="0" fillId="17" borderId="9" xfId="0" applyNumberFormat="1" applyFill="1" applyBorder="1" applyAlignment="1">
      <alignment vertical="center"/>
    </xf>
    <xf numFmtId="14" fontId="0" fillId="17" borderId="12" xfId="0" applyNumberFormat="1" applyFill="1" applyBorder="1" applyAlignment="1">
      <alignment vertical="center"/>
    </xf>
    <xf numFmtId="14" fontId="0" fillId="17" borderId="12" xfId="0" applyNumberFormat="1" applyFill="1" applyBorder="1"/>
    <xf numFmtId="14" fontId="0" fillId="17" borderId="9" xfId="0" applyNumberFormat="1" applyFill="1" applyBorder="1"/>
    <xf numFmtId="164" fontId="17" fillId="0" borderId="9" xfId="0" applyNumberFormat="1" applyFont="1" applyBorder="1" applyAlignment="1">
      <alignment vertical="center"/>
    </xf>
    <xf numFmtId="164" fontId="0" fillId="0" borderId="5" xfId="0" applyNumberFormat="1" applyBorder="1" applyAlignment="1">
      <alignment vertical="center"/>
    </xf>
    <xf numFmtId="164" fontId="17" fillId="0" borderId="3" xfId="0" applyNumberFormat="1" applyFont="1" applyBorder="1" applyAlignment="1">
      <alignment vertical="center"/>
    </xf>
    <xf numFmtId="164" fontId="0" fillId="3" borderId="9" xfId="0" applyNumberFormat="1" applyFill="1" applyBorder="1" applyAlignment="1">
      <alignment horizontal="center" vertical="center"/>
    </xf>
    <xf numFmtId="0" fontId="3" fillId="0" borderId="9" xfId="0" applyFont="1" applyBorder="1" applyAlignment="1">
      <alignment horizontal="center" vertical="center"/>
    </xf>
    <xf numFmtId="0" fontId="3" fillId="0" borderId="13" xfId="0" applyFont="1" applyBorder="1" applyAlignment="1">
      <alignment horizontal="center" vertical="center"/>
    </xf>
    <xf numFmtId="0" fontId="3" fillId="0" borderId="0" xfId="0" applyFont="1" applyAlignment="1">
      <alignment horizontal="center"/>
    </xf>
    <xf numFmtId="0" fontId="25" fillId="0" borderId="9" xfId="0" applyFont="1" applyBorder="1" applyAlignment="1">
      <alignment horizontal="center" vertical="center"/>
    </xf>
    <xf numFmtId="0" fontId="26" fillId="0" borderId="9" xfId="0" applyFont="1" applyBorder="1" applyAlignment="1">
      <alignment horizontal="center" vertical="center"/>
    </xf>
    <xf numFmtId="0" fontId="3" fillId="14" borderId="9" xfId="0" applyFont="1" applyFill="1" applyBorder="1" applyAlignment="1">
      <alignment vertical="center"/>
    </xf>
    <xf numFmtId="0" fontId="0" fillId="14" borderId="2" xfId="0" applyFill="1" applyBorder="1" applyAlignment="1">
      <alignment vertical="center"/>
    </xf>
    <xf numFmtId="0" fontId="0" fillId="14" borderId="19" xfId="0" applyFill="1" applyBorder="1" applyAlignment="1">
      <alignment vertical="center"/>
    </xf>
    <xf numFmtId="164" fontId="0" fillId="14" borderId="2" xfId="0" applyNumberFormat="1" applyFill="1" applyBorder="1" applyAlignment="1">
      <alignment vertical="center"/>
    </xf>
    <xf numFmtId="164" fontId="19" fillId="14" borderId="1" xfId="0" applyNumberFormat="1" applyFont="1" applyFill="1" applyBorder="1" applyAlignment="1">
      <alignment vertical="center"/>
    </xf>
    <xf numFmtId="0" fontId="21" fillId="14" borderId="24" xfId="0" applyFont="1" applyFill="1" applyBorder="1" applyAlignment="1">
      <alignment vertical="center" wrapText="1"/>
    </xf>
    <xf numFmtId="2" fontId="19" fillId="14" borderId="24" xfId="0" applyNumberFormat="1" applyFont="1" applyFill="1" applyBorder="1" applyAlignment="1">
      <alignment horizontal="right" vertical="center"/>
    </xf>
    <xf numFmtId="0" fontId="19" fillId="14" borderId="24" xfId="0" applyFont="1" applyFill="1" applyBorder="1" applyAlignment="1">
      <alignment vertical="center" wrapText="1"/>
    </xf>
    <xf numFmtId="2" fontId="19" fillId="14" borderId="24" xfId="0" applyNumberFormat="1" applyFont="1" applyFill="1" applyBorder="1" applyAlignment="1">
      <alignment vertical="center"/>
    </xf>
    <xf numFmtId="0" fontId="19" fillId="14" borderId="24" xfId="0" applyFont="1" applyFill="1" applyBorder="1" applyAlignment="1">
      <alignment vertical="center"/>
    </xf>
    <xf numFmtId="0" fontId="0" fillId="14" borderId="9" xfId="0" applyFill="1" applyBorder="1" applyAlignment="1">
      <alignment vertical="center"/>
    </xf>
    <xf numFmtId="0" fontId="0" fillId="14" borderId="14" xfId="0" applyFill="1" applyBorder="1" applyAlignment="1">
      <alignment vertical="center"/>
    </xf>
    <xf numFmtId="0" fontId="3" fillId="14" borderId="12" xfId="0" applyFont="1" applyFill="1" applyBorder="1" applyAlignment="1">
      <alignment vertical="center"/>
    </xf>
    <xf numFmtId="2" fontId="9" fillId="0" borderId="9" xfId="0" applyNumberFormat="1" applyFont="1" applyBorder="1" applyAlignment="1">
      <alignment horizontal="right" vertical="center"/>
    </xf>
    <xf numFmtId="0" fontId="0" fillId="0" borderId="14" xfId="0" applyBorder="1" applyAlignment="1">
      <alignment horizontal="center" vertical="center"/>
    </xf>
    <xf numFmtId="0" fontId="25" fillId="0" borderId="14" xfId="0" applyFont="1" applyBorder="1" applyAlignment="1">
      <alignment horizontal="center" vertical="center"/>
    </xf>
    <xf numFmtId="0" fontId="26" fillId="0" borderId="14" xfId="0" applyFont="1" applyBorder="1" applyAlignment="1">
      <alignment horizontal="center" vertical="center"/>
    </xf>
    <xf numFmtId="164" fontId="19" fillId="14" borderId="3" xfId="0" applyNumberFormat="1" applyFont="1" applyFill="1" applyBorder="1" applyAlignment="1">
      <alignment vertical="center"/>
    </xf>
    <xf numFmtId="0" fontId="21" fillId="14" borderId="28" xfId="0" applyFont="1" applyFill="1" applyBorder="1" applyAlignment="1">
      <alignment vertical="center" wrapText="1"/>
    </xf>
    <xf numFmtId="2" fontId="19" fillId="14" borderId="28" xfId="0" applyNumberFormat="1" applyFont="1" applyFill="1" applyBorder="1" applyAlignment="1">
      <alignment horizontal="right" vertical="center"/>
    </xf>
    <xf numFmtId="0" fontId="19" fillId="14" borderId="28" xfId="0" applyFont="1" applyFill="1" applyBorder="1" applyAlignment="1">
      <alignment vertical="center" wrapText="1"/>
    </xf>
    <xf numFmtId="2" fontId="19" fillId="14" borderId="28" xfId="0" applyNumberFormat="1" applyFont="1" applyFill="1" applyBorder="1" applyAlignment="1">
      <alignment vertical="center"/>
    </xf>
    <xf numFmtId="0" fontId="10" fillId="0" borderId="13" xfId="0" applyFont="1" applyBorder="1"/>
    <xf numFmtId="0" fontId="10" fillId="3" borderId="9" xfId="0" applyFont="1" applyFill="1" applyBorder="1" applyAlignment="1">
      <alignment vertical="center" wrapText="1"/>
    </xf>
    <xf numFmtId="0" fontId="10" fillId="3" borderId="13" xfId="0" applyFont="1" applyFill="1" applyBorder="1" applyAlignment="1">
      <alignment vertical="center" wrapText="1"/>
    </xf>
    <xf numFmtId="0" fontId="10" fillId="3" borderId="9" xfId="0" applyFont="1" applyFill="1" applyBorder="1"/>
    <xf numFmtId="0" fontId="0" fillId="3" borderId="14" xfId="0" applyFill="1" applyBorder="1" applyAlignment="1">
      <alignment vertical="center" wrapText="1"/>
    </xf>
    <xf numFmtId="14" fontId="9" fillId="0" borderId="13" xfId="0" applyNumberFormat="1" applyFont="1" applyBorder="1"/>
    <xf numFmtId="14" fontId="0" fillId="3" borderId="14" xfId="0" applyNumberFormat="1" applyFill="1" applyBorder="1"/>
    <xf numFmtId="14" fontId="0" fillId="0" borderId="13" xfId="0" applyNumberFormat="1" applyBorder="1" applyAlignment="1">
      <alignment vertical="center"/>
    </xf>
    <xf numFmtId="14" fontId="0" fillId="0" borderId="14" xfId="0" applyNumberFormat="1" applyBorder="1" applyAlignment="1">
      <alignment vertical="center"/>
    </xf>
    <xf numFmtId="0" fontId="0" fillId="0" borderId="13" xfId="0" applyBorder="1" applyAlignment="1">
      <alignment horizontal="left" vertical="center"/>
    </xf>
    <xf numFmtId="164" fontId="0" fillId="0" borderId="13" xfId="0" applyNumberFormat="1" applyBorder="1" applyAlignment="1">
      <alignment horizontal="right" vertical="center"/>
    </xf>
    <xf numFmtId="14" fontId="0" fillId="0" borderId="0" xfId="0" applyNumberFormat="1" applyAlignment="1">
      <alignment horizontal="center" vertical="center"/>
    </xf>
    <xf numFmtId="0" fontId="0" fillId="0" borderId="13" xfId="0" quotePrefix="1" applyBorder="1" applyAlignment="1">
      <alignment vertical="center"/>
    </xf>
    <xf numFmtId="0" fontId="9" fillId="0" borderId="24" xfId="0" applyFont="1" applyBorder="1" applyAlignment="1">
      <alignment horizontal="center" vertical="center"/>
    </xf>
    <xf numFmtId="0" fontId="10" fillId="18" borderId="9" xfId="0" applyFont="1" applyFill="1" applyBorder="1" applyAlignment="1">
      <alignment wrapText="1"/>
    </xf>
    <xf numFmtId="0" fontId="9" fillId="0" borderId="28" xfId="0" applyFont="1" applyBorder="1" applyAlignment="1">
      <alignment vertical="center"/>
    </xf>
    <xf numFmtId="2" fontId="9" fillId="0" borderId="28" xfId="0" applyNumberFormat="1" applyFont="1" applyBorder="1" applyAlignment="1">
      <alignment vertical="center"/>
    </xf>
    <xf numFmtId="0" fontId="14" fillId="4" borderId="23" xfId="0" applyFont="1" applyFill="1" applyBorder="1" applyAlignment="1">
      <alignment horizontal="center" vertical="center"/>
    </xf>
    <xf numFmtId="0" fontId="3" fillId="2" borderId="9" xfId="0" applyFont="1" applyFill="1" applyBorder="1" applyAlignment="1">
      <alignment horizontal="center" vertical="center"/>
    </xf>
    <xf numFmtId="0" fontId="3" fillId="2" borderId="9" xfId="0" applyFont="1" applyFill="1" applyBorder="1" applyAlignment="1">
      <alignment horizontal="center"/>
    </xf>
    <xf numFmtId="0" fontId="0" fillId="0" borderId="9" xfId="0" applyBorder="1" applyAlignment="1">
      <alignment horizontal="center" vertical="center"/>
    </xf>
    <xf numFmtId="0" fontId="3" fillId="2" borderId="12" xfId="0" applyFont="1" applyFill="1" applyBorder="1" applyAlignment="1">
      <alignment horizontal="center"/>
    </xf>
    <xf numFmtId="0" fontId="3" fillId="2" borderId="16" xfId="0" applyFont="1" applyFill="1" applyBorder="1" applyAlignment="1">
      <alignment horizontal="center"/>
    </xf>
    <xf numFmtId="0" fontId="3" fillId="2" borderId="15" xfId="0" applyFont="1" applyFill="1" applyBorder="1" applyAlignment="1">
      <alignment horizontal="center"/>
    </xf>
    <xf numFmtId="0" fontId="3" fillId="0" borderId="12" xfId="0" applyFont="1" applyBorder="1" applyAlignment="1">
      <alignment horizontal="center" vertical="center"/>
    </xf>
    <xf numFmtId="0" fontId="3" fillId="0" borderId="16" xfId="0" applyFont="1" applyBorder="1" applyAlignment="1">
      <alignment horizontal="center" vertical="center"/>
    </xf>
    <xf numFmtId="0" fontId="3" fillId="0" borderId="15" xfId="0" applyFont="1" applyBorder="1" applyAlignment="1">
      <alignment horizontal="center" vertical="center"/>
    </xf>
    <xf numFmtId="0" fontId="0" fillId="0" borderId="17" xfId="0" applyBorder="1" applyAlignment="1">
      <alignment horizontal="center" vertical="center"/>
    </xf>
    <xf numFmtId="0" fontId="0" fillId="0" borderId="25" xfId="0" applyBorder="1" applyAlignment="1">
      <alignment horizontal="center" vertical="center"/>
    </xf>
    <xf numFmtId="0" fontId="0" fillId="0" borderId="20" xfId="0" applyBorder="1" applyAlignment="1">
      <alignment horizontal="center" vertical="center"/>
    </xf>
    <xf numFmtId="0" fontId="0" fillId="0" borderId="26" xfId="0" applyBorder="1" applyAlignment="1">
      <alignment horizontal="center" vertical="center"/>
    </xf>
    <xf numFmtId="0" fontId="0" fillId="0" borderId="0" xfId="0" applyAlignment="1">
      <alignment horizontal="center" vertical="center"/>
    </xf>
    <xf numFmtId="0" fontId="0" fillId="0" borderId="22"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21" xfId="0" applyBorder="1" applyAlignment="1">
      <alignment horizontal="center" vertical="center"/>
    </xf>
    <xf numFmtId="0" fontId="3" fillId="0" borderId="17" xfId="0" applyFont="1" applyBorder="1" applyAlignment="1">
      <alignment horizontal="center" vertical="center"/>
    </xf>
    <xf numFmtId="0" fontId="3" fillId="0" borderId="2" xfId="0" applyFont="1" applyBorder="1" applyAlignment="1">
      <alignment horizontal="left" vertical="center"/>
    </xf>
    <xf numFmtId="0" fontId="3" fillId="2" borderId="2" xfId="0" applyFont="1" applyFill="1" applyBorder="1" applyAlignment="1">
      <alignment horizontal="center" vertical="center"/>
    </xf>
    <xf numFmtId="0" fontId="3" fillId="2" borderId="5" xfId="0" applyFont="1" applyFill="1" applyBorder="1" applyAlignment="1">
      <alignment horizontal="center" vertical="center"/>
    </xf>
    <xf numFmtId="0" fontId="3" fillId="0" borderId="4" xfId="0" applyFont="1" applyBorder="1" applyAlignment="1">
      <alignment horizontal="left" vertical="center"/>
    </xf>
    <xf numFmtId="0" fontId="3" fillId="0" borderId="3" xfId="0" applyFont="1" applyBorder="1" applyAlignment="1">
      <alignment horizontal="left" vertical="center"/>
    </xf>
    <xf numFmtId="0" fontId="3" fillId="0" borderId="1" xfId="0" applyFont="1" applyBorder="1" applyAlignment="1">
      <alignment horizontal="lef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5" xfId="0" applyBorder="1" applyAlignment="1">
      <alignment horizontal="center" vertical="center"/>
    </xf>
    <xf numFmtId="0" fontId="3" fillId="0" borderId="2" xfId="0" applyFont="1" applyBorder="1" applyAlignment="1">
      <alignment horizontal="center" vertical="center"/>
    </xf>
    <xf numFmtId="14" fontId="1" fillId="0" borderId="9" xfId="0" applyNumberFormat="1" applyFont="1" applyBorder="1" applyAlignment="1">
      <alignment horizontal="left" vertical="center" wrapText="1"/>
    </xf>
  </cellXfs>
  <cellStyles count="2">
    <cellStyle name="Bình thường" xfId="0" builtinId="0"/>
    <cellStyle name="Siêu kết nối" xfId="1" builtinId="8"/>
  </cellStyles>
  <dxfs count="184">
    <dxf>
      <font>
        <color theme="1"/>
      </font>
      <fill>
        <patternFill patternType="solid">
          <bgColor rgb="FFFFFF00"/>
        </patternFill>
      </fill>
    </dxf>
    <dxf>
      <font>
        <color theme="1"/>
      </font>
      <fill>
        <patternFill patternType="solid">
          <bgColor rgb="FFFFFF00"/>
        </patternFill>
      </fill>
    </dxf>
    <dxf>
      <font>
        <color theme="1"/>
      </font>
      <fill>
        <patternFill patternType="solid">
          <bgColor rgb="FFFFFF00"/>
        </patternFill>
      </fill>
    </dxf>
    <dxf>
      <font>
        <color theme="1"/>
      </font>
      <fill>
        <patternFill patternType="solid">
          <bgColor rgb="FFFFFF00"/>
        </patternFill>
      </fill>
    </dxf>
    <dxf>
      <font>
        <color theme="1"/>
      </font>
      <fill>
        <patternFill patternType="solid">
          <bgColor rgb="FFFFFF00"/>
        </patternFill>
      </fill>
    </dxf>
    <dxf>
      <font>
        <color theme="1"/>
      </font>
      <fill>
        <patternFill patternType="solid">
          <bgColor rgb="FFFFFF00"/>
        </patternFill>
      </fill>
    </dxf>
    <dxf>
      <font>
        <color theme="1"/>
      </font>
      <fill>
        <patternFill patternType="solid">
          <bgColor rgb="FFFFFF00"/>
        </patternFill>
      </fill>
    </dxf>
    <dxf>
      <font>
        <color theme="1"/>
      </font>
      <fill>
        <patternFill patternType="solid">
          <bgColor rgb="FFFFFF00"/>
        </patternFill>
      </fill>
    </dxf>
    <dxf>
      <font>
        <color theme="1"/>
      </font>
      <fill>
        <patternFill patternType="solid">
          <bgColor rgb="FFFFFF00"/>
        </patternFill>
      </fill>
    </dxf>
    <dxf>
      <font>
        <color theme="1"/>
      </font>
      <fill>
        <patternFill patternType="solid">
          <bgColor rgb="FFFFFF00"/>
        </patternFill>
      </fill>
    </dxf>
    <dxf>
      <font>
        <color theme="1"/>
      </font>
      <fill>
        <patternFill patternType="solid">
          <bgColor rgb="FFFFFF00"/>
        </patternFill>
      </fill>
    </dxf>
    <dxf>
      <font>
        <color theme="1"/>
      </font>
      <fill>
        <patternFill patternType="solid">
          <bgColor rgb="FFFFFF00"/>
        </patternFill>
      </fill>
    </dxf>
    <dxf>
      <fill>
        <patternFill patternType="solid">
          <bgColor rgb="FFFFFF00"/>
        </patternFill>
      </fill>
    </dxf>
    <dxf>
      <font>
        <color theme="1"/>
      </font>
      <fill>
        <patternFill patternType="solid">
          <bgColor rgb="FFFFFF00"/>
        </patternFill>
      </fill>
    </dxf>
    <dxf>
      <font>
        <color theme="1"/>
      </font>
      <fill>
        <patternFill patternType="solid">
          <bgColor rgb="FFFFFF00"/>
        </patternFill>
      </fill>
    </dxf>
    <dxf>
      <font>
        <color theme="1"/>
      </font>
      <fill>
        <patternFill patternType="solid">
          <bgColor rgb="FFFFFF00"/>
        </patternFill>
      </fill>
    </dxf>
    <dxf>
      <font>
        <color theme="1"/>
      </font>
      <fill>
        <patternFill patternType="solid">
          <bgColor rgb="FFFFFF00"/>
        </patternFill>
      </fill>
    </dxf>
    <dxf>
      <font>
        <color theme="1"/>
      </font>
      <fill>
        <patternFill patternType="solid">
          <bgColor rgb="FFFFFF00"/>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
      <font>
        <color theme="1"/>
      </font>
      <fill>
        <patternFill patternType="solid">
          <bgColor rgb="FFFFFF00"/>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
      <font>
        <color theme="1"/>
      </font>
      <fill>
        <patternFill patternType="solid">
          <bgColor rgb="FFFFFF00"/>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
      <font>
        <color theme="1"/>
      </font>
      <fill>
        <patternFill patternType="solid">
          <bgColor theme="5" tint="0.39997558519241921"/>
        </patternFill>
      </fill>
    </dxf>
    <dxf>
      <font>
        <color theme="1"/>
      </font>
      <fill>
        <patternFill patternType="solid">
          <bgColor rgb="FFFFFF00"/>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
      <font>
        <color theme="1"/>
      </font>
      <fill>
        <patternFill patternType="solid">
          <bgColor theme="5" tint="0.39997558519241921"/>
        </patternFill>
      </fill>
    </dxf>
    <dxf>
      <font>
        <color theme="1"/>
      </font>
      <fill>
        <patternFill patternType="solid">
          <bgColor rgb="FFFFFF00"/>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
      <font>
        <color theme="1"/>
      </font>
      <fill>
        <patternFill patternType="solid">
          <bgColor rgb="FFFFFF00"/>
        </patternFill>
      </fill>
    </dxf>
    <dxf>
      <fill>
        <patternFill>
          <bgColor rgb="FFFFE181"/>
        </patternFill>
      </fill>
    </dxf>
    <dxf>
      <fill>
        <patternFill>
          <bgColor rgb="FF00B0F0"/>
        </patternFill>
      </fill>
    </dxf>
    <dxf>
      <fill>
        <patternFill>
          <bgColor rgb="FF00B050"/>
        </patternFill>
      </fill>
    </dxf>
    <dxf>
      <fill>
        <patternFill>
          <bgColor theme="6" tint="0.59996337778862885"/>
        </patternFill>
      </fill>
    </dxf>
    <dxf>
      <font>
        <color theme="1"/>
      </font>
      <fill>
        <patternFill patternType="solid">
          <bgColor rgb="FFA063CF"/>
        </patternFill>
      </fill>
    </dxf>
    <dxf>
      <font>
        <color theme="1"/>
      </font>
      <fill>
        <patternFill patternType="solid">
          <bgColor theme="5" tint="0.39997558519241921"/>
        </patternFill>
      </fill>
    </dxf>
    <dxf>
      <font>
        <color theme="1"/>
      </font>
      <fill>
        <patternFill patternType="solid">
          <bgColor rgb="FFF23F3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74AB2FA-8B20-44EF-80D6-A59FE5E01968}">
  <we:reference id="WA200009404" version="1.0.0.8" store="en-us" storeType="omex"/>
  <we:alternateReferences>
    <we:reference id="WA200009404" version="1.0.0.8" store="en-us" storeType="omex"/>
  </we:alternateReferences>
  <we:properties>
    <we:property name="claude.fileId" value="&quot;6c1df6a2-364e-4c2f-9943-c37bd1f62e6e&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FB9CC-31F2-4C3A-B668-19397525DB10}">
  <dimension ref="A1:G9"/>
  <sheetViews>
    <sheetView workbookViewId="0">
      <selection activeCell="E14" sqref="E14"/>
    </sheetView>
  </sheetViews>
  <sheetFormatPr defaultRowHeight="15" customHeight="1"/>
  <cols>
    <col min="1" max="1" width="8.5703125" style="12" customWidth="1"/>
    <col min="2" max="2" width="20" customWidth="1"/>
    <col min="3" max="3" width="15.85546875" bestFit="1" customWidth="1"/>
    <col min="4" max="4" width="25.7109375" bestFit="1" customWidth="1"/>
    <col min="5" max="5" width="22.42578125" bestFit="1" customWidth="1"/>
    <col min="6" max="6" width="20.7109375" style="9" bestFit="1" customWidth="1"/>
    <col min="7" max="7" width="19.140625" style="9" bestFit="1" customWidth="1"/>
    <col min="8" max="8" width="20.5703125" customWidth="1"/>
  </cols>
  <sheetData>
    <row r="1" spans="1:7" s="12" customFormat="1" ht="19.899999999999999" customHeight="1">
      <c r="A1" s="49" t="s">
        <v>0</v>
      </c>
      <c r="B1" s="49"/>
      <c r="C1" s="49"/>
      <c r="D1" s="49"/>
      <c r="E1" s="49"/>
      <c r="F1" s="49"/>
      <c r="G1" s="49"/>
    </row>
    <row r="2" spans="1:7">
      <c r="A2" s="17" t="s">
        <v>1</v>
      </c>
      <c r="B2" s="17" t="s">
        <v>2</v>
      </c>
      <c r="C2" s="17" t="s">
        <v>3</v>
      </c>
      <c r="D2" s="17" t="s">
        <v>4</v>
      </c>
      <c r="E2" s="17" t="s">
        <v>5</v>
      </c>
      <c r="F2" s="17" t="s">
        <v>6</v>
      </c>
      <c r="G2" s="17" t="s">
        <v>7</v>
      </c>
    </row>
    <row r="3" spans="1:7">
      <c r="A3" s="35">
        <v>1</v>
      </c>
      <c r="B3" s="36" t="s">
        <v>8</v>
      </c>
      <c r="C3" s="35">
        <f>SUM(D3:G3)</f>
        <v>40</v>
      </c>
      <c r="D3" s="29">
        <v>10</v>
      </c>
      <c r="E3" s="29">
        <v>10</v>
      </c>
      <c r="F3" s="35">
        <v>10</v>
      </c>
      <c r="G3" s="35">
        <v>10</v>
      </c>
    </row>
    <row r="4" spans="1:7">
      <c r="A4" s="35">
        <v>2</v>
      </c>
      <c r="B4" s="36" t="s">
        <v>9</v>
      </c>
      <c r="C4" s="35">
        <f>SUM(D4:G4)</f>
        <v>44</v>
      </c>
      <c r="D4" s="29">
        <v>11</v>
      </c>
      <c r="E4" s="29">
        <v>11</v>
      </c>
      <c r="F4" s="35">
        <v>11</v>
      </c>
      <c r="G4" s="35">
        <v>11</v>
      </c>
    </row>
    <row r="5" spans="1:7">
      <c r="A5" s="35">
        <v>3</v>
      </c>
      <c r="B5" s="36" t="s">
        <v>10</v>
      </c>
      <c r="C5" s="35">
        <f>SUM(D5:G5)</f>
        <v>48</v>
      </c>
      <c r="D5" s="29">
        <v>12</v>
      </c>
      <c r="E5" s="29">
        <v>12</v>
      </c>
      <c r="F5" s="35">
        <v>12</v>
      </c>
      <c r="G5" s="35">
        <v>12</v>
      </c>
    </row>
    <row r="6" spans="1:7">
      <c r="A6" s="35">
        <v>4</v>
      </c>
      <c r="B6" s="34" t="s">
        <v>11</v>
      </c>
      <c r="C6" s="35">
        <f>SUM(D6:G6)</f>
        <v>52</v>
      </c>
      <c r="D6" s="29">
        <v>13</v>
      </c>
      <c r="E6" s="29">
        <v>13</v>
      </c>
      <c r="F6" s="35">
        <v>13</v>
      </c>
      <c r="G6" s="35">
        <v>13</v>
      </c>
    </row>
    <row r="7" spans="1:7">
      <c r="A7" s="35">
        <v>5</v>
      </c>
      <c r="B7" s="36" t="s">
        <v>12</v>
      </c>
      <c r="C7" s="35">
        <f>SUM(D7:G7)</f>
        <v>56</v>
      </c>
      <c r="D7" s="29">
        <v>14</v>
      </c>
      <c r="E7" s="29">
        <v>14</v>
      </c>
      <c r="F7" s="35">
        <v>14</v>
      </c>
      <c r="G7" s="35">
        <v>14</v>
      </c>
    </row>
    <row r="8" spans="1:7">
      <c r="A8" s="35">
        <v>6</v>
      </c>
      <c r="B8" s="36" t="s">
        <v>13</v>
      </c>
      <c r="C8" s="35">
        <f>SUM(D8:G8)</f>
        <v>60</v>
      </c>
      <c r="D8" s="29">
        <v>15</v>
      </c>
      <c r="E8" s="29">
        <v>15</v>
      </c>
      <c r="F8" s="35">
        <v>15</v>
      </c>
      <c r="G8" s="35">
        <v>15</v>
      </c>
    </row>
    <row r="9" spans="1:7" ht="15" customHeight="1">
      <c r="D9" s="56"/>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F1AAB-44C4-45AE-BD3C-9986E16851E9}">
  <dimension ref="A1:G8"/>
  <sheetViews>
    <sheetView workbookViewId="0">
      <selection activeCell="J11" sqref="J11"/>
    </sheetView>
  </sheetViews>
  <sheetFormatPr defaultRowHeight="15" customHeight="1"/>
  <cols>
    <col min="1" max="1" width="8.5703125" style="12" customWidth="1"/>
    <col min="2" max="2" width="20" customWidth="1"/>
    <col min="3" max="3" width="15.85546875" bestFit="1" customWidth="1"/>
    <col min="4" max="4" width="25.7109375" bestFit="1" customWidth="1"/>
    <col min="5" max="5" width="22.42578125" bestFit="1" customWidth="1"/>
    <col min="6" max="6" width="20.7109375" style="9" bestFit="1" customWidth="1"/>
    <col min="7" max="7" width="19.140625" style="9" bestFit="1" customWidth="1"/>
    <col min="8" max="8" width="20.5703125" customWidth="1"/>
  </cols>
  <sheetData>
    <row r="1" spans="1:7" s="12" customFormat="1" ht="19.899999999999999" customHeight="1">
      <c r="A1" s="49" t="s">
        <v>14</v>
      </c>
      <c r="B1" s="49"/>
      <c r="C1" s="49"/>
      <c r="D1" s="49"/>
      <c r="E1" s="49"/>
      <c r="F1" s="49"/>
      <c r="G1" s="49"/>
    </row>
    <row r="2" spans="1:7">
      <c r="A2" s="17" t="s">
        <v>1</v>
      </c>
      <c r="B2" s="17" t="s">
        <v>2</v>
      </c>
      <c r="C2" s="17" t="s">
        <v>3</v>
      </c>
      <c r="D2" s="17" t="s">
        <v>4</v>
      </c>
      <c r="E2" s="17" t="s">
        <v>5</v>
      </c>
      <c r="F2" s="17" t="s">
        <v>6</v>
      </c>
      <c r="G2" s="17" t="s">
        <v>7</v>
      </c>
    </row>
    <row r="3" spans="1:7">
      <c r="A3" s="35">
        <v>1</v>
      </c>
      <c r="B3" s="36" t="s">
        <v>8</v>
      </c>
      <c r="C3" s="35">
        <f>SUM(D3:G3)</f>
        <v>40</v>
      </c>
      <c r="D3" s="29">
        <v>10</v>
      </c>
      <c r="E3" s="29">
        <v>10</v>
      </c>
      <c r="F3" s="35">
        <v>10</v>
      </c>
      <c r="G3" s="35">
        <v>10</v>
      </c>
    </row>
    <row r="4" spans="1:7">
      <c r="A4" s="35">
        <v>2</v>
      </c>
      <c r="B4" s="36" t="s">
        <v>9</v>
      </c>
      <c r="C4" s="35">
        <f>SUM(D4:G4)</f>
        <v>44</v>
      </c>
      <c r="D4" s="29">
        <v>11</v>
      </c>
      <c r="E4" s="29">
        <v>11</v>
      </c>
      <c r="F4" s="35">
        <v>11</v>
      </c>
      <c r="G4" s="35">
        <v>11</v>
      </c>
    </row>
    <row r="5" spans="1:7">
      <c r="A5" s="35">
        <v>3</v>
      </c>
      <c r="B5" s="36" t="s">
        <v>10</v>
      </c>
      <c r="C5" s="35">
        <f>SUM(D5:G5)</f>
        <v>48</v>
      </c>
      <c r="D5" s="29">
        <v>12</v>
      </c>
      <c r="E5" s="29">
        <v>12</v>
      </c>
      <c r="F5" s="35">
        <v>12</v>
      </c>
      <c r="G5" s="35">
        <v>12</v>
      </c>
    </row>
    <row r="6" spans="1:7">
      <c r="A6" s="35">
        <v>4</v>
      </c>
      <c r="B6" s="34" t="s">
        <v>11</v>
      </c>
      <c r="C6" s="35">
        <f>SUM(D6:G6)</f>
        <v>52</v>
      </c>
      <c r="D6" s="29">
        <v>13</v>
      </c>
      <c r="E6" s="29">
        <v>13</v>
      </c>
      <c r="F6" s="35">
        <v>13</v>
      </c>
      <c r="G6" s="35">
        <v>13</v>
      </c>
    </row>
    <row r="7" spans="1:7">
      <c r="A7" s="35">
        <v>5</v>
      </c>
      <c r="B7" s="36" t="s">
        <v>12</v>
      </c>
      <c r="C7" s="35">
        <f>SUM(D7:G7)</f>
        <v>56</v>
      </c>
      <c r="D7" s="29">
        <v>14</v>
      </c>
      <c r="E7" s="29">
        <v>14</v>
      </c>
      <c r="F7" s="35">
        <v>14</v>
      </c>
      <c r="G7" s="35">
        <v>14</v>
      </c>
    </row>
    <row r="8" spans="1:7">
      <c r="A8" s="35">
        <v>6</v>
      </c>
      <c r="B8" s="36" t="s">
        <v>13</v>
      </c>
      <c r="C8" s="35">
        <f>SUM(D8:G8)</f>
        <v>60</v>
      </c>
      <c r="D8" s="29">
        <v>15</v>
      </c>
      <c r="E8" s="29">
        <v>15</v>
      </c>
      <c r="F8" s="35">
        <v>15</v>
      </c>
      <c r="G8" s="35">
        <v>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C15C8-DD69-418F-ADBA-26AFD264B164}">
  <dimension ref="A1:G27"/>
  <sheetViews>
    <sheetView workbookViewId="0">
      <selection activeCell="B3" sqref="B3:B9"/>
    </sheetView>
  </sheetViews>
  <sheetFormatPr defaultRowHeight="15" customHeight="1"/>
  <cols>
    <col min="1" max="1" width="8.5703125" style="12" customWidth="1"/>
    <col min="2" max="2" width="20" customWidth="1"/>
    <col min="3" max="3" width="15.85546875" bestFit="1" customWidth="1"/>
    <col min="4" max="4" width="25.7109375" bestFit="1" customWidth="1"/>
    <col min="5" max="5" width="22.42578125" bestFit="1" customWidth="1"/>
    <col min="6" max="6" width="20.7109375" style="9" bestFit="1" customWidth="1"/>
    <col min="7" max="7" width="19.140625" style="9" bestFit="1" customWidth="1"/>
    <col min="8" max="8" width="20.5703125" customWidth="1"/>
  </cols>
  <sheetData>
    <row r="1" spans="1:7" s="12" customFormat="1" ht="19.899999999999999" customHeight="1">
      <c r="A1" s="49" t="s">
        <v>15</v>
      </c>
      <c r="B1" s="49"/>
      <c r="C1" s="49"/>
      <c r="D1" s="49"/>
      <c r="E1" s="49"/>
      <c r="F1" s="49"/>
      <c r="G1" s="49"/>
    </row>
    <row r="2" spans="1:7">
      <c r="A2" s="17" t="s">
        <v>1</v>
      </c>
      <c r="B2" s="17" t="s">
        <v>16</v>
      </c>
      <c r="C2" s="17" t="s">
        <v>3</v>
      </c>
      <c r="D2" s="17" t="s">
        <v>4</v>
      </c>
      <c r="E2" s="17" t="s">
        <v>5</v>
      </c>
      <c r="F2" s="17" t="s">
        <v>6</v>
      </c>
      <c r="G2" s="17" t="s">
        <v>7</v>
      </c>
    </row>
    <row r="3" spans="1:7">
      <c r="A3" s="35">
        <v>1</v>
      </c>
      <c r="B3" s="36"/>
      <c r="C3" s="35">
        <f>SUM(D3:G3)</f>
        <v>40</v>
      </c>
      <c r="D3" s="29">
        <v>10</v>
      </c>
      <c r="E3" s="29">
        <v>10</v>
      </c>
      <c r="F3" s="35">
        <v>10</v>
      </c>
      <c r="G3" s="35">
        <v>10</v>
      </c>
    </row>
    <row r="4" spans="1:7">
      <c r="A4" s="35">
        <v>2</v>
      </c>
      <c r="B4" s="36"/>
      <c r="C4" s="35">
        <f>SUM(D4:G4)</f>
        <v>44</v>
      </c>
      <c r="D4" s="29">
        <v>11</v>
      </c>
      <c r="E4" s="29">
        <v>11</v>
      </c>
      <c r="F4" s="35">
        <v>11</v>
      </c>
      <c r="G4" s="35">
        <v>11</v>
      </c>
    </row>
    <row r="5" spans="1:7">
      <c r="A5" s="35">
        <v>3</v>
      </c>
      <c r="B5" s="36"/>
      <c r="C5" s="35">
        <f>SUM(D5:G5)</f>
        <v>48</v>
      </c>
      <c r="D5" s="29">
        <v>12</v>
      </c>
      <c r="E5" s="29">
        <v>12</v>
      </c>
      <c r="F5" s="35">
        <v>12</v>
      </c>
      <c r="G5" s="35">
        <v>12</v>
      </c>
    </row>
    <row r="6" spans="1:7">
      <c r="A6" s="35">
        <v>4</v>
      </c>
      <c r="B6" s="34"/>
      <c r="C6" s="35">
        <f>SUM(D6:G6)</f>
        <v>52</v>
      </c>
      <c r="D6" s="29">
        <v>13</v>
      </c>
      <c r="E6" s="29">
        <v>13</v>
      </c>
      <c r="F6" s="35">
        <v>13</v>
      </c>
      <c r="G6" s="35">
        <v>13</v>
      </c>
    </row>
    <row r="7" spans="1:7">
      <c r="A7" s="35">
        <v>5</v>
      </c>
      <c r="B7" s="36"/>
      <c r="C7" s="35">
        <f>SUM(D7:G7)</f>
        <v>56</v>
      </c>
      <c r="D7" s="29">
        <v>14</v>
      </c>
      <c r="E7" s="29">
        <v>14</v>
      </c>
      <c r="F7" s="35">
        <v>14</v>
      </c>
      <c r="G7" s="35">
        <v>14</v>
      </c>
    </row>
    <row r="8" spans="1:7">
      <c r="A8" s="35">
        <v>6</v>
      </c>
      <c r="B8" s="46"/>
      <c r="C8" s="47">
        <f>SUM(D8:G8)</f>
        <v>60</v>
      </c>
      <c r="D8" s="48">
        <v>15</v>
      </c>
      <c r="E8" s="48">
        <v>15</v>
      </c>
      <c r="F8" s="47">
        <v>15</v>
      </c>
      <c r="G8" s="47">
        <v>15</v>
      </c>
    </row>
    <row r="9" spans="1:7" ht="15" customHeight="1">
      <c r="A9" s="55">
        <v>7</v>
      </c>
      <c r="B9" s="18"/>
      <c r="C9" s="18"/>
      <c r="D9" s="18"/>
      <c r="E9" s="18"/>
      <c r="F9" s="35"/>
      <c r="G9" s="35"/>
    </row>
    <row r="10" spans="1:7" ht="15" customHeight="1">
      <c r="A10" s="55">
        <v>8</v>
      </c>
      <c r="B10" s="18"/>
      <c r="C10" s="18"/>
      <c r="D10" s="18"/>
      <c r="E10" s="18"/>
      <c r="F10" s="35"/>
      <c r="G10" s="35"/>
    </row>
    <row r="11" spans="1:7" ht="15" customHeight="1">
      <c r="A11" s="55">
        <v>9</v>
      </c>
      <c r="B11" s="18"/>
      <c r="C11" s="18"/>
      <c r="D11" s="18"/>
      <c r="E11" s="18"/>
      <c r="F11" s="35"/>
      <c r="G11" s="35"/>
    </row>
    <row r="12" spans="1:7" ht="15" customHeight="1">
      <c r="A12" s="55">
        <v>10</v>
      </c>
      <c r="B12" s="18"/>
      <c r="C12" s="18"/>
      <c r="D12" s="18"/>
      <c r="E12" s="18"/>
      <c r="F12" s="35"/>
      <c r="G12" s="35"/>
    </row>
    <row r="13" spans="1:7" ht="15" customHeight="1">
      <c r="A13" s="55">
        <v>11</v>
      </c>
      <c r="B13" s="18"/>
      <c r="C13" s="18"/>
      <c r="D13" s="18"/>
      <c r="E13" s="18"/>
      <c r="F13" s="35"/>
      <c r="G13" s="35"/>
    </row>
    <row r="14" spans="1:7" ht="15" customHeight="1">
      <c r="A14" s="55">
        <v>12</v>
      </c>
      <c r="B14" s="18"/>
      <c r="C14" s="18"/>
      <c r="D14" s="18"/>
      <c r="E14" s="18"/>
      <c r="F14" s="35"/>
      <c r="G14" s="35"/>
    </row>
    <row r="15" spans="1:7" ht="15" customHeight="1">
      <c r="A15" s="55">
        <v>13</v>
      </c>
      <c r="B15" s="18"/>
      <c r="C15" s="18"/>
      <c r="D15" s="18"/>
      <c r="E15" s="18"/>
      <c r="F15" s="35"/>
      <c r="G15" s="35"/>
    </row>
    <row r="16" spans="1:7" ht="15" customHeight="1">
      <c r="A16" s="55">
        <v>14</v>
      </c>
      <c r="B16" s="18"/>
      <c r="C16" s="18"/>
      <c r="D16" s="18"/>
      <c r="E16" s="18"/>
      <c r="F16" s="35"/>
      <c r="G16" s="35"/>
    </row>
    <row r="17" spans="1:7" ht="15" customHeight="1">
      <c r="A17" s="55">
        <v>15</v>
      </c>
      <c r="B17" s="18"/>
      <c r="C17" s="18"/>
      <c r="D17" s="18"/>
      <c r="E17" s="18"/>
      <c r="F17" s="35"/>
      <c r="G17" s="35"/>
    </row>
    <row r="18" spans="1:7" ht="15" customHeight="1">
      <c r="A18" s="55">
        <v>16</v>
      </c>
      <c r="B18" s="18"/>
      <c r="C18" s="18"/>
      <c r="D18" s="18"/>
      <c r="E18" s="18"/>
      <c r="F18" s="35"/>
      <c r="G18" s="35"/>
    </row>
    <row r="19" spans="1:7" ht="15" customHeight="1">
      <c r="A19" s="55">
        <v>17</v>
      </c>
      <c r="B19" s="18"/>
      <c r="C19" s="18"/>
      <c r="D19" s="18"/>
      <c r="E19" s="18"/>
      <c r="F19" s="35"/>
      <c r="G19" s="35"/>
    </row>
    <row r="20" spans="1:7" ht="15" customHeight="1">
      <c r="A20" s="55">
        <v>18</v>
      </c>
      <c r="B20" s="18"/>
      <c r="C20" s="18"/>
      <c r="D20" s="18"/>
      <c r="E20" s="18"/>
      <c r="F20" s="35"/>
      <c r="G20" s="35"/>
    </row>
    <row r="21" spans="1:7" ht="15" customHeight="1">
      <c r="A21" s="55">
        <v>19</v>
      </c>
      <c r="B21" s="18"/>
      <c r="C21" s="18"/>
      <c r="D21" s="18"/>
      <c r="E21" s="18"/>
      <c r="F21" s="35"/>
      <c r="G21" s="35"/>
    </row>
    <row r="22" spans="1:7" ht="15" customHeight="1">
      <c r="A22" s="55">
        <v>20</v>
      </c>
      <c r="B22" s="18"/>
      <c r="C22" s="18"/>
      <c r="D22" s="18"/>
      <c r="E22" s="18"/>
      <c r="F22" s="35"/>
      <c r="G22" s="35"/>
    </row>
    <row r="23" spans="1:7" ht="15" customHeight="1">
      <c r="A23" s="55">
        <v>21</v>
      </c>
      <c r="B23" s="18"/>
      <c r="C23" s="18"/>
      <c r="D23" s="18"/>
      <c r="E23" s="18"/>
      <c r="F23" s="35"/>
      <c r="G23" s="35"/>
    </row>
    <row r="24" spans="1:7" ht="15" customHeight="1">
      <c r="A24" s="55">
        <v>22</v>
      </c>
      <c r="B24" s="18"/>
      <c r="C24" s="18"/>
      <c r="D24" s="18"/>
      <c r="E24" s="18"/>
      <c r="F24" s="35"/>
      <c r="G24" s="35"/>
    </row>
    <row r="25" spans="1:7" ht="15" customHeight="1">
      <c r="A25" s="55">
        <v>23</v>
      </c>
      <c r="B25" s="18"/>
      <c r="C25" s="18"/>
      <c r="D25" s="18"/>
      <c r="E25" s="18"/>
      <c r="F25" s="35"/>
      <c r="G25" s="35"/>
    </row>
    <row r="26" spans="1:7" ht="15" customHeight="1">
      <c r="A26" s="55">
        <v>24</v>
      </c>
      <c r="B26" s="18"/>
      <c r="C26" s="18"/>
      <c r="D26" s="18"/>
      <c r="E26" s="18"/>
      <c r="F26" s="35"/>
      <c r="G26" s="35"/>
    </row>
    <row r="27" spans="1:7" ht="15" customHeight="1">
      <c r="A27" s="55">
        <v>25</v>
      </c>
      <c r="B27" s="18"/>
      <c r="C27" s="18"/>
      <c r="D27" s="18"/>
      <c r="E27" s="18"/>
      <c r="F27" s="35"/>
      <c r="G27" s="35"/>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46CCB-7397-432F-8231-0BC4783A65A8}">
  <dimension ref="A1:M27"/>
  <sheetViews>
    <sheetView workbookViewId="0">
      <pane xSplit="2" ySplit="2" topLeftCell="C3" activePane="bottomRight" state="frozen"/>
      <selection pane="bottomRight" activeCell="B35" sqref="B35"/>
      <selection pane="bottomLeft"/>
      <selection pane="topRight"/>
    </sheetView>
  </sheetViews>
  <sheetFormatPr defaultRowHeight="15" customHeight="1"/>
  <cols>
    <col min="1" max="1" width="8.5703125" style="12" customWidth="1"/>
    <col min="2" max="2" width="40.140625" customWidth="1"/>
    <col min="3" max="3" width="20.42578125" bestFit="1" customWidth="1"/>
    <col min="4" max="4" width="34.28515625" bestFit="1" customWidth="1"/>
    <col min="5" max="5" width="39.5703125" bestFit="1" customWidth="1"/>
    <col min="6" max="6" width="26.42578125" style="9" customWidth="1"/>
    <col min="7" max="7" width="19.140625" style="9" bestFit="1" customWidth="1"/>
    <col min="8" max="8" width="17.5703125" bestFit="1" customWidth="1"/>
    <col min="9" max="9" width="18.85546875" bestFit="1" customWidth="1"/>
    <col min="10" max="10" width="18.28515625" bestFit="1" customWidth="1"/>
    <col min="11" max="11" width="17.42578125" bestFit="1" customWidth="1"/>
    <col min="12" max="12" width="29.5703125" bestFit="1" customWidth="1"/>
    <col min="13" max="13" width="29.85546875" bestFit="1" customWidth="1"/>
  </cols>
  <sheetData>
    <row r="1" spans="1:13" s="12" customFormat="1" ht="19.899999999999999" customHeight="1">
      <c r="A1" s="49" t="s">
        <v>17</v>
      </c>
      <c r="B1" s="52"/>
      <c r="C1" s="49"/>
      <c r="D1" s="49"/>
      <c r="E1" s="49"/>
      <c r="F1" s="49"/>
      <c r="G1" s="49"/>
      <c r="H1" s="50"/>
      <c r="I1" s="50"/>
      <c r="J1" s="50"/>
      <c r="K1" s="50"/>
      <c r="L1" s="50"/>
      <c r="M1" s="50"/>
    </row>
    <row r="2" spans="1:13" s="32" customFormat="1">
      <c r="A2" s="17" t="s">
        <v>1</v>
      </c>
      <c r="B2" s="17" t="s">
        <v>16</v>
      </c>
      <c r="C2" s="51" t="s">
        <v>18</v>
      </c>
      <c r="D2" s="51" t="s">
        <v>19</v>
      </c>
      <c r="E2" s="51" t="s">
        <v>20</v>
      </c>
      <c r="F2" s="51" t="s">
        <v>21</v>
      </c>
      <c r="G2" s="51" t="s">
        <v>22</v>
      </c>
      <c r="H2" s="51" t="s">
        <v>23</v>
      </c>
      <c r="I2" s="51" t="s">
        <v>24</v>
      </c>
      <c r="J2" s="51" t="s">
        <v>25</v>
      </c>
      <c r="K2" s="51" t="s">
        <v>26</v>
      </c>
      <c r="L2" s="51" t="s">
        <v>27</v>
      </c>
      <c r="M2" s="51" t="s">
        <v>28</v>
      </c>
    </row>
    <row r="3" spans="1:13">
      <c r="A3" s="35">
        <v>1</v>
      </c>
      <c r="B3" s="53" t="s">
        <v>29</v>
      </c>
      <c r="C3" s="29">
        <v>10</v>
      </c>
      <c r="D3" s="29">
        <v>10</v>
      </c>
      <c r="E3" s="29">
        <v>10</v>
      </c>
      <c r="F3" s="29">
        <v>10</v>
      </c>
      <c r="G3" s="29">
        <v>10</v>
      </c>
      <c r="H3" s="29">
        <v>10</v>
      </c>
      <c r="I3" s="29">
        <v>10</v>
      </c>
      <c r="J3" s="29">
        <v>10</v>
      </c>
      <c r="K3" s="29">
        <v>10</v>
      </c>
      <c r="L3" s="29">
        <v>10</v>
      </c>
      <c r="M3" s="29">
        <v>10</v>
      </c>
    </row>
    <row r="4" spans="1:13">
      <c r="A4" s="35">
        <v>2</v>
      </c>
      <c r="B4" s="53" t="s">
        <v>30</v>
      </c>
      <c r="C4" s="29">
        <v>10</v>
      </c>
      <c r="D4" s="29">
        <v>10</v>
      </c>
      <c r="E4" s="29">
        <v>10</v>
      </c>
      <c r="F4" s="29">
        <v>10</v>
      </c>
      <c r="G4" s="29">
        <v>10</v>
      </c>
      <c r="H4" s="29">
        <v>10</v>
      </c>
      <c r="I4" s="29">
        <v>10</v>
      </c>
      <c r="J4" s="29">
        <v>10</v>
      </c>
      <c r="K4" s="29">
        <v>10</v>
      </c>
      <c r="L4" s="29">
        <v>10</v>
      </c>
      <c r="M4" s="29">
        <v>10</v>
      </c>
    </row>
    <row r="5" spans="1:13">
      <c r="A5" s="35">
        <v>3</v>
      </c>
      <c r="B5" s="53" t="s">
        <v>31</v>
      </c>
      <c r="C5" s="29">
        <v>10</v>
      </c>
      <c r="D5" s="29">
        <v>10</v>
      </c>
      <c r="E5" s="29">
        <v>10</v>
      </c>
      <c r="F5" s="29">
        <v>10</v>
      </c>
      <c r="G5" s="29">
        <v>10</v>
      </c>
      <c r="H5" s="29">
        <v>10</v>
      </c>
      <c r="I5" s="29">
        <v>10</v>
      </c>
      <c r="J5" s="29">
        <v>10</v>
      </c>
      <c r="K5" s="29">
        <v>10</v>
      </c>
      <c r="L5" s="29">
        <v>10</v>
      </c>
      <c r="M5" s="29">
        <v>10</v>
      </c>
    </row>
    <row r="6" spans="1:13">
      <c r="A6" s="35">
        <v>4</v>
      </c>
      <c r="B6" s="26" t="s">
        <v>32</v>
      </c>
      <c r="C6" s="29">
        <v>10</v>
      </c>
      <c r="D6" s="29">
        <v>10</v>
      </c>
      <c r="E6" s="29">
        <v>10</v>
      </c>
      <c r="F6" s="29">
        <v>10</v>
      </c>
      <c r="G6" s="29">
        <v>10</v>
      </c>
      <c r="H6" s="29">
        <v>10</v>
      </c>
      <c r="I6" s="29">
        <v>10</v>
      </c>
      <c r="J6" s="29">
        <v>10</v>
      </c>
      <c r="K6" s="29">
        <v>10</v>
      </c>
      <c r="L6" s="29">
        <v>10</v>
      </c>
      <c r="M6" s="29">
        <v>10</v>
      </c>
    </row>
    <row r="7" spans="1:13">
      <c r="A7" s="35">
        <v>5</v>
      </c>
      <c r="B7" s="53" t="s">
        <v>33</v>
      </c>
      <c r="C7" s="29">
        <v>10</v>
      </c>
      <c r="D7" s="29">
        <v>10</v>
      </c>
      <c r="E7" s="29">
        <v>10</v>
      </c>
      <c r="F7" s="29">
        <v>10</v>
      </c>
      <c r="G7" s="29">
        <v>10</v>
      </c>
      <c r="H7" s="29">
        <v>10</v>
      </c>
      <c r="I7" s="29">
        <v>10</v>
      </c>
      <c r="J7" s="29">
        <v>10</v>
      </c>
      <c r="K7" s="29">
        <v>10</v>
      </c>
      <c r="L7" s="29">
        <v>10</v>
      </c>
      <c r="M7" s="29">
        <v>10</v>
      </c>
    </row>
    <row r="8" spans="1:13">
      <c r="A8" s="35">
        <v>6</v>
      </c>
      <c r="B8" s="54" t="s">
        <v>34</v>
      </c>
      <c r="C8" s="29">
        <v>10</v>
      </c>
      <c r="D8" s="29">
        <v>10</v>
      </c>
      <c r="E8" s="29">
        <v>10</v>
      </c>
      <c r="F8" s="29">
        <v>10</v>
      </c>
      <c r="G8" s="29">
        <v>10</v>
      </c>
      <c r="H8" s="29">
        <v>10</v>
      </c>
      <c r="I8" s="29">
        <v>10</v>
      </c>
      <c r="J8" s="29">
        <v>10</v>
      </c>
      <c r="K8" s="29">
        <v>10</v>
      </c>
      <c r="L8" s="29">
        <v>10</v>
      </c>
      <c r="M8" s="29">
        <v>10</v>
      </c>
    </row>
    <row r="9" spans="1:13" ht="15" customHeight="1">
      <c r="A9" s="55">
        <v>7</v>
      </c>
      <c r="B9" s="26" t="s">
        <v>35</v>
      </c>
      <c r="C9" s="29">
        <v>10</v>
      </c>
      <c r="D9" s="29">
        <v>10</v>
      </c>
      <c r="E9" s="29">
        <v>10</v>
      </c>
      <c r="F9" s="29">
        <v>10</v>
      </c>
      <c r="G9" s="29">
        <v>10</v>
      </c>
      <c r="H9" s="29">
        <v>10</v>
      </c>
      <c r="I9" s="29">
        <v>10</v>
      </c>
      <c r="J9" s="29">
        <v>10</v>
      </c>
      <c r="K9" s="29">
        <v>10</v>
      </c>
      <c r="L9" s="29">
        <v>10</v>
      </c>
      <c r="M9" s="29">
        <v>10</v>
      </c>
    </row>
    <row r="10" spans="1:13" ht="15" customHeight="1">
      <c r="A10" s="55">
        <v>8</v>
      </c>
      <c r="B10" s="26" t="s">
        <v>36</v>
      </c>
      <c r="C10" s="29">
        <v>10</v>
      </c>
      <c r="D10" s="29">
        <v>10</v>
      </c>
      <c r="E10" s="29">
        <v>10</v>
      </c>
      <c r="F10" s="29">
        <v>10</v>
      </c>
      <c r="G10" s="29">
        <v>10</v>
      </c>
      <c r="H10" s="29">
        <v>10</v>
      </c>
      <c r="I10" s="29">
        <v>10</v>
      </c>
      <c r="J10" s="29">
        <v>10</v>
      </c>
      <c r="K10" s="29">
        <v>10</v>
      </c>
      <c r="L10" s="29">
        <v>10</v>
      </c>
      <c r="M10" s="29">
        <v>10</v>
      </c>
    </row>
    <row r="11" spans="1:13" ht="15" customHeight="1">
      <c r="A11" s="55">
        <v>9</v>
      </c>
      <c r="B11" s="26"/>
      <c r="C11" s="18"/>
      <c r="D11" s="18"/>
      <c r="E11" s="18"/>
      <c r="F11" s="35"/>
      <c r="G11" s="35"/>
      <c r="H11" s="18"/>
      <c r="I11" s="18"/>
      <c r="J11" s="18"/>
      <c r="K11" s="18"/>
      <c r="L11" s="18"/>
      <c r="M11" s="18"/>
    </row>
    <row r="12" spans="1:13" ht="15" customHeight="1">
      <c r="A12" s="55">
        <v>10</v>
      </c>
      <c r="B12" s="26"/>
      <c r="C12" s="18"/>
      <c r="D12" s="18"/>
      <c r="E12" s="18"/>
      <c r="F12" s="35"/>
      <c r="G12" s="35"/>
      <c r="H12" s="18"/>
      <c r="I12" s="18"/>
      <c r="J12" s="18"/>
      <c r="K12" s="18"/>
      <c r="L12" s="18"/>
      <c r="M12" s="18"/>
    </row>
    <row r="13" spans="1:13" ht="15" customHeight="1">
      <c r="A13" s="55">
        <v>11</v>
      </c>
      <c r="B13" s="26"/>
      <c r="C13" s="18"/>
      <c r="D13" s="18"/>
      <c r="E13" s="18"/>
      <c r="F13" s="35"/>
      <c r="G13" s="35"/>
      <c r="H13" s="18"/>
      <c r="I13" s="18"/>
      <c r="J13" s="18"/>
      <c r="K13" s="18"/>
      <c r="L13" s="18"/>
      <c r="M13" s="18"/>
    </row>
    <row r="14" spans="1:13" ht="15" customHeight="1">
      <c r="A14" s="55">
        <v>12</v>
      </c>
      <c r="B14" s="26"/>
      <c r="C14" s="18"/>
      <c r="D14" s="18"/>
      <c r="E14" s="18"/>
      <c r="F14" s="35"/>
      <c r="G14" s="35"/>
      <c r="H14" s="18"/>
      <c r="I14" s="18"/>
      <c r="J14" s="18"/>
      <c r="K14" s="18"/>
      <c r="L14" s="18"/>
      <c r="M14" s="18"/>
    </row>
    <row r="15" spans="1:13" ht="15" customHeight="1">
      <c r="A15" s="55">
        <v>13</v>
      </c>
      <c r="B15" s="26"/>
      <c r="C15" s="18"/>
      <c r="D15" s="18"/>
      <c r="E15" s="18"/>
      <c r="F15" s="35"/>
      <c r="G15" s="35"/>
      <c r="H15" s="18"/>
      <c r="I15" s="18"/>
      <c r="J15" s="18"/>
      <c r="K15" s="18"/>
      <c r="L15" s="18"/>
      <c r="M15" s="18"/>
    </row>
    <row r="16" spans="1:13" ht="15" customHeight="1">
      <c r="A16" s="55">
        <v>14</v>
      </c>
      <c r="B16" s="26"/>
      <c r="C16" s="18"/>
      <c r="D16" s="18"/>
      <c r="E16" s="18"/>
      <c r="F16" s="35"/>
      <c r="G16" s="35"/>
      <c r="H16" s="18"/>
      <c r="I16" s="18"/>
      <c r="J16" s="18"/>
      <c r="K16" s="18"/>
      <c r="L16" s="18"/>
      <c r="M16" s="18"/>
    </row>
    <row r="17" spans="1:13" ht="15" customHeight="1">
      <c r="A17" s="55">
        <v>15</v>
      </c>
      <c r="B17" s="26"/>
      <c r="C17" s="18"/>
      <c r="D17" s="18"/>
      <c r="E17" s="18"/>
      <c r="F17" s="35"/>
      <c r="G17" s="35"/>
      <c r="H17" s="18"/>
      <c r="I17" s="18"/>
      <c r="J17" s="18"/>
      <c r="K17" s="18"/>
      <c r="L17" s="18"/>
      <c r="M17" s="18"/>
    </row>
    <row r="18" spans="1:13" ht="15" customHeight="1">
      <c r="A18" s="55">
        <v>16</v>
      </c>
      <c r="B18" s="26"/>
      <c r="C18" s="18"/>
      <c r="D18" s="18"/>
      <c r="E18" s="18"/>
      <c r="F18" s="35"/>
      <c r="G18" s="35"/>
      <c r="H18" s="18"/>
      <c r="I18" s="18"/>
      <c r="J18" s="18"/>
      <c r="K18" s="18"/>
      <c r="L18" s="18"/>
      <c r="M18" s="18"/>
    </row>
    <row r="19" spans="1:13" ht="15" customHeight="1">
      <c r="A19" s="55">
        <v>17</v>
      </c>
      <c r="B19" s="26"/>
      <c r="C19" s="18"/>
      <c r="D19" s="18"/>
      <c r="E19" s="18"/>
      <c r="F19" s="35"/>
      <c r="G19" s="35"/>
      <c r="H19" s="18"/>
      <c r="I19" s="18"/>
      <c r="J19" s="18"/>
      <c r="K19" s="18"/>
      <c r="L19" s="18"/>
      <c r="M19" s="18"/>
    </row>
    <row r="20" spans="1:13" ht="15" customHeight="1">
      <c r="A20" s="55">
        <v>18</v>
      </c>
      <c r="B20" s="26"/>
      <c r="C20" s="18"/>
      <c r="D20" s="18"/>
      <c r="E20" s="18"/>
      <c r="F20" s="35"/>
      <c r="G20" s="35"/>
      <c r="H20" s="18"/>
      <c r="I20" s="18"/>
      <c r="J20" s="18"/>
      <c r="K20" s="18"/>
      <c r="L20" s="18"/>
      <c r="M20" s="18"/>
    </row>
    <row r="21" spans="1:13" ht="15" customHeight="1">
      <c r="A21" s="55">
        <v>19</v>
      </c>
      <c r="B21" s="26"/>
      <c r="C21" s="18"/>
      <c r="D21" s="18"/>
      <c r="E21" s="18"/>
      <c r="F21" s="35"/>
      <c r="G21" s="35"/>
      <c r="H21" s="18"/>
      <c r="I21" s="18"/>
      <c r="J21" s="18"/>
      <c r="K21" s="18"/>
      <c r="L21" s="18"/>
      <c r="M21" s="18"/>
    </row>
    <row r="22" spans="1:13" ht="15" customHeight="1">
      <c r="A22" s="55">
        <v>20</v>
      </c>
      <c r="B22" s="26"/>
      <c r="C22" s="18"/>
      <c r="D22" s="18"/>
      <c r="E22" s="18"/>
      <c r="F22" s="35"/>
      <c r="G22" s="35"/>
      <c r="H22" s="18"/>
      <c r="I22" s="18"/>
      <c r="J22" s="18"/>
      <c r="K22" s="18"/>
      <c r="L22" s="18"/>
      <c r="M22" s="18"/>
    </row>
    <row r="23" spans="1:13" ht="15" customHeight="1">
      <c r="A23" s="55">
        <v>21</v>
      </c>
      <c r="B23" s="26"/>
      <c r="C23" s="18"/>
      <c r="D23" s="18"/>
      <c r="E23" s="18"/>
      <c r="F23" s="35"/>
      <c r="G23" s="35"/>
      <c r="H23" s="18"/>
      <c r="I23" s="18"/>
      <c r="J23" s="18"/>
      <c r="K23" s="18"/>
      <c r="L23" s="18"/>
      <c r="M23" s="18"/>
    </row>
    <row r="24" spans="1:13" ht="15" customHeight="1">
      <c r="A24" s="55">
        <v>22</v>
      </c>
      <c r="B24" s="26"/>
      <c r="C24" s="18"/>
      <c r="D24" s="18"/>
      <c r="E24" s="18"/>
      <c r="F24" s="35"/>
      <c r="G24" s="35"/>
      <c r="H24" s="18"/>
      <c r="I24" s="18"/>
      <c r="J24" s="18"/>
      <c r="K24" s="18"/>
      <c r="L24" s="18"/>
      <c r="M24" s="18"/>
    </row>
    <row r="25" spans="1:13" ht="15" customHeight="1">
      <c r="A25" s="55">
        <v>23</v>
      </c>
      <c r="B25" s="26"/>
      <c r="C25" s="18"/>
      <c r="D25" s="18"/>
      <c r="E25" s="18"/>
      <c r="F25" s="35"/>
      <c r="G25" s="35"/>
      <c r="H25" s="18"/>
      <c r="I25" s="18"/>
      <c r="J25" s="18"/>
      <c r="K25" s="18"/>
      <c r="L25" s="18"/>
      <c r="M25" s="18"/>
    </row>
    <row r="26" spans="1:13" ht="15" customHeight="1">
      <c r="A26" s="55">
        <v>24</v>
      </c>
      <c r="B26" s="26"/>
      <c r="C26" s="18"/>
      <c r="D26" s="18"/>
      <c r="E26" s="18"/>
      <c r="F26" s="35"/>
      <c r="G26" s="35"/>
      <c r="H26" s="18"/>
      <c r="I26" s="18"/>
      <c r="J26" s="18"/>
      <c r="K26" s="18"/>
      <c r="L26" s="18"/>
      <c r="M26" s="18"/>
    </row>
    <row r="27" spans="1:13" ht="15" customHeight="1">
      <c r="A27" s="55">
        <v>25</v>
      </c>
      <c r="B27" s="26"/>
      <c r="C27" s="18"/>
      <c r="D27" s="18"/>
      <c r="E27" s="18"/>
      <c r="F27" s="35"/>
      <c r="G27" s="35"/>
      <c r="H27" s="18"/>
      <c r="I27" s="18"/>
      <c r="J27" s="18"/>
      <c r="K27" s="18"/>
      <c r="L27" s="18"/>
      <c r="M27" s="18"/>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7ADFE39E-CB06-4763-941C-A3A0556C7E4B}">
          <x14:formula1>
            <xm:f>Data!$Y$4:$Y$33</xm:f>
          </x14:formula1>
          <xm:sqref>B1:B1048576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92CCC-7E1D-4FD9-9E8A-03FD4DC6D8EE}">
  <dimension ref="A1:AD12"/>
  <sheetViews>
    <sheetView workbookViewId="0">
      <selection activeCell="S42" sqref="S42"/>
    </sheetView>
  </sheetViews>
  <sheetFormatPr defaultRowHeight="15"/>
  <cols>
    <col min="1" max="1" width="5.5703125" customWidth="1"/>
    <col min="2" max="2" width="32.85546875" customWidth="1"/>
    <col min="3" max="3" width="10.140625" customWidth="1"/>
    <col min="4" max="4" width="5.5703125" customWidth="1"/>
    <col min="5" max="5" width="7.140625" customWidth="1"/>
    <col min="6" max="6" width="16.28515625" bestFit="1" customWidth="1"/>
    <col min="7" max="7" width="10" bestFit="1" customWidth="1"/>
    <col min="8" max="8" width="10.42578125" bestFit="1" customWidth="1"/>
    <col min="9" max="9" width="9.28515625" bestFit="1" customWidth="1"/>
    <col min="10" max="10" width="18" customWidth="1"/>
    <col min="11" max="11" width="12.5703125" bestFit="1" customWidth="1"/>
    <col min="12" max="12" width="11.85546875" customWidth="1"/>
    <col min="13" max="13" width="5.7109375" customWidth="1"/>
    <col min="14" max="14" width="22.7109375" customWidth="1"/>
    <col min="15" max="18" width="7.140625" bestFit="1" customWidth="1"/>
    <col min="20" max="20" width="4.28515625" bestFit="1" customWidth="1"/>
    <col min="21" max="21" width="10.28515625" customWidth="1"/>
    <col min="27" max="27" width="4.28515625" bestFit="1" customWidth="1"/>
    <col min="28" max="28" width="30" customWidth="1"/>
    <col min="29" max="29" width="122.140625" customWidth="1"/>
    <col min="30" max="30" width="18.140625" customWidth="1"/>
  </cols>
  <sheetData>
    <row r="1" spans="1:30">
      <c r="A1" s="331" t="s">
        <v>37</v>
      </c>
      <c r="B1" s="331"/>
      <c r="C1" s="287"/>
      <c r="D1" s="331" t="s">
        <v>38</v>
      </c>
      <c r="E1" s="331"/>
      <c r="F1" s="331"/>
      <c r="G1" s="331"/>
      <c r="H1" s="331"/>
      <c r="I1" s="331"/>
      <c r="J1" s="331"/>
      <c r="K1" s="331"/>
      <c r="M1" s="333" t="s">
        <v>39</v>
      </c>
      <c r="N1" s="334"/>
      <c r="O1" s="334"/>
      <c r="P1" s="334"/>
      <c r="Q1" s="334"/>
      <c r="R1" s="335"/>
      <c r="T1" s="330" t="s">
        <v>40</v>
      </c>
      <c r="U1" s="330"/>
      <c r="V1" s="330"/>
      <c r="W1" s="330"/>
      <c r="X1" s="330"/>
      <c r="Y1" s="330"/>
      <c r="AA1" s="330" t="s">
        <v>41</v>
      </c>
      <c r="AB1" s="330"/>
      <c r="AC1" s="330"/>
      <c r="AD1" s="330"/>
    </row>
    <row r="2" spans="1:30" s="32" customFormat="1">
      <c r="A2" s="285" t="s">
        <v>1</v>
      </c>
      <c r="B2" s="285" t="s">
        <v>42</v>
      </c>
      <c r="C2" s="2"/>
      <c r="D2" s="285" t="s">
        <v>1</v>
      </c>
      <c r="E2" s="286" t="s">
        <v>43</v>
      </c>
      <c r="F2" s="286" t="s">
        <v>44</v>
      </c>
      <c r="G2" s="286" t="s">
        <v>45</v>
      </c>
      <c r="H2" s="286" t="s">
        <v>46</v>
      </c>
      <c r="I2" s="286" t="s">
        <v>47</v>
      </c>
      <c r="J2" s="286" t="s">
        <v>48</v>
      </c>
      <c r="K2" s="286" t="s">
        <v>49</v>
      </c>
      <c r="M2" s="286" t="s">
        <v>1</v>
      </c>
      <c r="N2" s="286" t="s">
        <v>50</v>
      </c>
      <c r="O2" s="286" t="s">
        <v>51</v>
      </c>
      <c r="P2" s="286" t="s">
        <v>52</v>
      </c>
      <c r="Q2" s="286" t="s">
        <v>53</v>
      </c>
      <c r="R2" s="286" t="s">
        <v>54</v>
      </c>
      <c r="T2" s="285" t="s">
        <v>1</v>
      </c>
      <c r="U2" s="285" t="s">
        <v>55</v>
      </c>
      <c r="V2" s="336" t="s">
        <v>42</v>
      </c>
      <c r="W2" s="337"/>
      <c r="X2" s="337"/>
      <c r="Y2" s="338"/>
      <c r="AA2" s="285" t="s">
        <v>1</v>
      </c>
      <c r="AB2" s="285" t="s">
        <v>56</v>
      </c>
      <c r="AC2" s="285" t="s">
        <v>57</v>
      </c>
      <c r="AD2" s="285" t="s">
        <v>58</v>
      </c>
    </row>
    <row r="3" spans="1:30">
      <c r="A3" s="18">
        <v>1</v>
      </c>
      <c r="B3" s="18" t="s">
        <v>59</v>
      </c>
      <c r="D3" s="55">
        <v>1</v>
      </c>
      <c r="E3" s="18" t="s">
        <v>60</v>
      </c>
      <c r="F3" s="35" t="s">
        <v>60</v>
      </c>
      <c r="G3" s="35" t="s">
        <v>60</v>
      </c>
      <c r="H3" s="35" t="s">
        <v>60</v>
      </c>
      <c r="I3" s="35" t="s">
        <v>60</v>
      </c>
      <c r="J3" s="35" t="s">
        <v>60</v>
      </c>
      <c r="K3" s="35" t="s">
        <v>60</v>
      </c>
      <c r="M3" s="18">
        <v>1</v>
      </c>
      <c r="N3" s="18" t="s">
        <v>8</v>
      </c>
      <c r="O3" s="332" t="s">
        <v>61</v>
      </c>
      <c r="P3" s="332"/>
      <c r="Q3" s="332"/>
      <c r="R3" s="332"/>
      <c r="T3" s="18">
        <v>1</v>
      </c>
      <c r="U3" s="18" t="s">
        <v>62</v>
      </c>
      <c r="V3" s="339" t="s">
        <v>63</v>
      </c>
      <c r="W3" s="340"/>
      <c r="X3" s="340"/>
      <c r="Y3" s="341"/>
      <c r="AA3" s="18">
        <v>1</v>
      </c>
      <c r="AB3" s="18" t="s">
        <v>64</v>
      </c>
      <c r="AC3" s="18" t="s">
        <v>65</v>
      </c>
      <c r="AD3" s="18"/>
    </row>
    <row r="4" spans="1:30">
      <c r="A4" s="18">
        <v>2</v>
      </c>
      <c r="B4" s="18" t="s">
        <v>66</v>
      </c>
      <c r="D4" s="35">
        <v>2</v>
      </c>
      <c r="E4" s="304" t="s">
        <v>67</v>
      </c>
      <c r="F4" s="305" t="s">
        <v>68</v>
      </c>
      <c r="G4" s="305" t="s">
        <v>68</v>
      </c>
      <c r="H4" s="305" t="s">
        <v>68</v>
      </c>
      <c r="I4" s="305" t="s">
        <v>68</v>
      </c>
      <c r="J4" s="306" t="s">
        <v>69</v>
      </c>
      <c r="K4" s="305" t="s">
        <v>68</v>
      </c>
      <c r="M4" s="18">
        <v>2</v>
      </c>
      <c r="N4" s="18" t="s">
        <v>9</v>
      </c>
      <c r="O4" s="332"/>
      <c r="P4" s="332"/>
      <c r="Q4" s="332"/>
      <c r="R4" s="332"/>
      <c r="T4" s="18">
        <v>2</v>
      </c>
      <c r="U4" s="18" t="s">
        <v>70</v>
      </c>
      <c r="V4" s="342"/>
      <c r="W4" s="343"/>
      <c r="X4" s="343"/>
      <c r="Y4" s="344"/>
      <c r="AA4" s="18">
        <v>2</v>
      </c>
      <c r="AB4" s="18" t="s">
        <v>71</v>
      </c>
      <c r="AC4" s="18" t="s">
        <v>72</v>
      </c>
      <c r="AD4" s="18"/>
    </row>
    <row r="5" spans="1:30">
      <c r="A5" s="18">
        <v>3</v>
      </c>
      <c r="B5" s="18" t="s">
        <v>73</v>
      </c>
      <c r="D5" s="35">
        <v>3</v>
      </c>
      <c r="E5" s="35" t="s">
        <v>74</v>
      </c>
      <c r="F5" s="289" t="s">
        <v>69</v>
      </c>
      <c r="G5" s="289" t="s">
        <v>69</v>
      </c>
      <c r="H5" s="289" t="s">
        <v>69</v>
      </c>
      <c r="I5" s="288" t="s">
        <v>68</v>
      </c>
      <c r="J5" s="288" t="s">
        <v>68</v>
      </c>
      <c r="K5" s="288" t="s">
        <v>68</v>
      </c>
      <c r="M5" s="18">
        <v>3</v>
      </c>
      <c r="N5" s="18" t="s">
        <v>10</v>
      </c>
      <c r="O5" s="332"/>
      <c r="P5" s="332"/>
      <c r="Q5" s="332"/>
      <c r="R5" s="332"/>
      <c r="T5" s="18">
        <v>3</v>
      </c>
      <c r="U5" s="18" t="s">
        <v>75</v>
      </c>
      <c r="V5" s="342"/>
      <c r="W5" s="343"/>
      <c r="X5" s="343"/>
      <c r="Y5" s="344"/>
      <c r="AA5" s="18">
        <v>3</v>
      </c>
      <c r="AB5" s="18" t="s">
        <v>76</v>
      </c>
      <c r="AC5" s="18" t="s">
        <v>77</v>
      </c>
      <c r="AD5" s="18"/>
    </row>
    <row r="6" spans="1:30">
      <c r="A6" s="18">
        <v>4</v>
      </c>
      <c r="B6" s="18" t="s">
        <v>78</v>
      </c>
      <c r="D6" s="35">
        <v>4</v>
      </c>
      <c r="E6" s="35" t="s">
        <v>79</v>
      </c>
      <c r="F6" s="289" t="s">
        <v>69</v>
      </c>
      <c r="G6" s="289" t="s">
        <v>69</v>
      </c>
      <c r="H6" s="289" t="s">
        <v>69</v>
      </c>
      <c r="I6" s="289" t="s">
        <v>69</v>
      </c>
      <c r="J6" s="288" t="s">
        <v>68</v>
      </c>
      <c r="K6" s="288" t="s">
        <v>68</v>
      </c>
      <c r="M6" s="18">
        <v>4</v>
      </c>
      <c r="N6" s="18" t="s">
        <v>11</v>
      </c>
      <c r="O6" s="332"/>
      <c r="P6" s="332"/>
      <c r="Q6" s="332"/>
      <c r="R6" s="332"/>
      <c r="T6" s="18">
        <v>4</v>
      </c>
      <c r="U6" s="18" t="s">
        <v>80</v>
      </c>
      <c r="V6" s="345"/>
      <c r="W6" s="346"/>
      <c r="X6" s="346"/>
      <c r="Y6" s="347"/>
      <c r="AA6" s="18">
        <v>4</v>
      </c>
      <c r="AB6" s="18" t="s">
        <v>81</v>
      </c>
      <c r="AC6" s="18" t="s">
        <v>82</v>
      </c>
      <c r="AD6" s="18"/>
    </row>
    <row r="7" spans="1:30">
      <c r="A7" s="18">
        <v>5</v>
      </c>
      <c r="B7" s="18"/>
      <c r="D7" s="35"/>
      <c r="E7" s="35"/>
      <c r="F7" s="35"/>
      <c r="G7" s="35"/>
      <c r="H7" s="35"/>
      <c r="I7" s="35"/>
      <c r="J7" s="35"/>
      <c r="K7" s="35"/>
      <c r="M7" s="18">
        <v>5</v>
      </c>
      <c r="N7" s="18" t="s">
        <v>12</v>
      </c>
      <c r="O7" s="332"/>
      <c r="P7" s="332"/>
      <c r="Q7" s="332"/>
      <c r="R7" s="332"/>
      <c r="T7" s="18">
        <v>5</v>
      </c>
      <c r="U7" s="18"/>
      <c r="V7" s="18"/>
      <c r="W7" s="18"/>
      <c r="X7" s="18"/>
      <c r="Y7" s="18"/>
      <c r="AA7" s="18">
        <v>5</v>
      </c>
      <c r="AB7" s="18"/>
      <c r="AC7" s="18"/>
      <c r="AD7" s="18"/>
    </row>
    <row r="8" spans="1:30">
      <c r="A8" s="18">
        <v>6</v>
      </c>
      <c r="B8" s="38"/>
      <c r="D8" s="35"/>
      <c r="E8" s="35"/>
      <c r="F8" s="35"/>
      <c r="G8" s="35"/>
      <c r="H8" s="35"/>
      <c r="I8" s="35"/>
      <c r="J8" s="35"/>
      <c r="K8" s="35"/>
      <c r="M8" s="18">
        <v>6</v>
      </c>
      <c r="N8" s="18" t="s">
        <v>13</v>
      </c>
      <c r="O8" s="332"/>
      <c r="P8" s="332"/>
      <c r="Q8" s="332"/>
      <c r="R8" s="332"/>
      <c r="T8" s="18">
        <v>6</v>
      </c>
      <c r="U8" s="38"/>
      <c r="V8" s="38"/>
      <c r="W8" s="38"/>
      <c r="X8" s="38"/>
      <c r="Y8" s="38"/>
      <c r="AA8" s="18">
        <v>6</v>
      </c>
      <c r="AB8" s="18"/>
      <c r="AC8" s="18"/>
      <c r="AD8" s="18"/>
    </row>
    <row r="9" spans="1:30">
      <c r="A9" s="18">
        <v>7</v>
      </c>
      <c r="B9" s="18"/>
      <c r="D9" s="35"/>
      <c r="E9" s="35"/>
      <c r="F9" s="35"/>
      <c r="G9" s="35"/>
      <c r="H9" s="35"/>
      <c r="I9" s="35"/>
      <c r="J9" s="35"/>
      <c r="K9" s="35"/>
      <c r="M9" s="18">
        <v>7</v>
      </c>
      <c r="N9" s="18" t="s">
        <v>83</v>
      </c>
      <c r="O9" s="332"/>
      <c r="P9" s="332"/>
      <c r="Q9" s="332"/>
      <c r="R9" s="332"/>
      <c r="T9" s="18">
        <v>7</v>
      </c>
      <c r="U9" s="18"/>
      <c r="V9" s="18"/>
      <c r="W9" s="18"/>
      <c r="X9" s="18"/>
      <c r="Y9" s="18"/>
      <c r="AA9" s="18">
        <v>7</v>
      </c>
      <c r="AB9" s="18"/>
      <c r="AC9" s="18"/>
      <c r="AD9" s="18"/>
    </row>
    <row r="10" spans="1:30">
      <c r="A10" s="18">
        <v>8</v>
      </c>
      <c r="B10" s="18"/>
      <c r="D10" s="35"/>
      <c r="E10" s="35"/>
      <c r="F10" s="35"/>
      <c r="G10" s="35"/>
      <c r="H10" s="35"/>
      <c r="I10" s="35"/>
      <c r="J10" s="35"/>
      <c r="K10" s="35"/>
      <c r="M10" s="18">
        <v>8</v>
      </c>
      <c r="N10" s="18"/>
      <c r="O10" s="18"/>
      <c r="P10" s="18"/>
      <c r="Q10" s="18"/>
      <c r="R10" s="18"/>
      <c r="T10" s="18">
        <v>8</v>
      </c>
      <c r="U10" s="18"/>
      <c r="V10" s="18"/>
      <c r="W10" s="18"/>
      <c r="X10" s="18"/>
      <c r="Y10" s="18"/>
      <c r="AA10" s="18">
        <v>8</v>
      </c>
      <c r="AB10" s="18"/>
      <c r="AC10" s="18"/>
      <c r="AD10" s="18"/>
    </row>
    <row r="11" spans="1:30">
      <c r="A11" s="18">
        <v>9</v>
      </c>
      <c r="B11" s="18"/>
      <c r="D11" s="35"/>
      <c r="E11" s="35"/>
      <c r="F11" s="35"/>
      <c r="G11" s="35"/>
      <c r="H11" s="35"/>
      <c r="I11" s="35"/>
      <c r="J11" s="35"/>
      <c r="K11" s="35"/>
      <c r="M11" s="18">
        <v>9</v>
      </c>
      <c r="N11" s="18"/>
      <c r="O11" s="18"/>
      <c r="P11" s="18"/>
      <c r="Q11" s="18"/>
      <c r="R11" s="18"/>
      <c r="T11" s="18">
        <v>9</v>
      </c>
      <c r="U11" s="18"/>
      <c r="V11" s="18"/>
      <c r="W11" s="18"/>
      <c r="X11" s="18"/>
      <c r="Y11" s="18"/>
      <c r="AA11" s="18">
        <v>9</v>
      </c>
      <c r="AB11" s="18"/>
      <c r="AC11" s="18"/>
      <c r="AD11" s="18"/>
    </row>
    <row r="12" spans="1:30">
      <c r="A12" s="18">
        <v>10</v>
      </c>
      <c r="B12" s="18"/>
      <c r="D12" s="35"/>
      <c r="E12" s="35"/>
      <c r="F12" s="35"/>
      <c r="G12" s="35"/>
      <c r="H12" s="35"/>
      <c r="I12" s="35"/>
      <c r="J12" s="35"/>
      <c r="K12" s="35"/>
      <c r="M12" s="18">
        <v>10</v>
      </c>
      <c r="N12" s="18"/>
      <c r="O12" s="18"/>
      <c r="P12" s="18"/>
      <c r="Q12" s="18"/>
      <c r="R12" s="18"/>
      <c r="T12" s="18">
        <v>10</v>
      </c>
      <c r="U12" s="18"/>
      <c r="V12" s="18"/>
      <c r="W12" s="18"/>
      <c r="X12" s="18"/>
      <c r="Y12" s="18"/>
      <c r="AA12" s="18">
        <v>10</v>
      </c>
      <c r="AB12" s="18"/>
      <c r="AC12" s="18"/>
      <c r="AD12" s="18"/>
    </row>
  </sheetData>
  <mergeCells count="8">
    <mergeCell ref="AA1:AD1"/>
    <mergeCell ref="D1:K1"/>
    <mergeCell ref="T1:Y1"/>
    <mergeCell ref="O3:R9"/>
    <mergeCell ref="A1:B1"/>
    <mergeCell ref="M1:R1"/>
    <mergeCell ref="V2:Y2"/>
    <mergeCell ref="V3:Y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DEF33-E755-4686-B876-70DEAE893EDC}">
  <dimension ref="A1:Y227"/>
  <sheetViews>
    <sheetView topLeftCell="C45" workbookViewId="0">
      <selection activeCell="G66" sqref="G66"/>
    </sheetView>
  </sheetViews>
  <sheetFormatPr defaultRowHeight="15" outlineLevelCol="1"/>
  <cols>
    <col min="1" max="1" width="5.28515625" style="12" customWidth="1"/>
    <col min="2" max="2" width="29" style="12" customWidth="1"/>
    <col min="3" max="3" width="61.42578125" style="12" customWidth="1" outlineLevel="1"/>
    <col min="4" max="4" width="13.7109375" style="12" bestFit="1" customWidth="1" outlineLevel="1"/>
    <col min="5" max="5" width="24.85546875" style="12" customWidth="1"/>
    <col min="6" max="6" width="20.28515625" style="12" customWidth="1" outlineLevel="1"/>
    <col min="7" max="7" width="27.28515625" style="12" bestFit="1" customWidth="1" outlineLevel="1"/>
    <col min="8" max="8" width="19.7109375" style="12" bestFit="1" customWidth="1"/>
    <col min="9" max="9" width="48.85546875" style="12" bestFit="1" customWidth="1" outlineLevel="1"/>
    <col min="10" max="10" width="23.5703125" style="12" customWidth="1" outlineLevel="1"/>
    <col min="11" max="11" width="29.85546875" style="12" bestFit="1" customWidth="1" outlineLevel="1"/>
    <col min="12" max="12" width="25" style="12" customWidth="1"/>
    <col min="13" max="13" width="19.42578125" style="12" bestFit="1" customWidth="1"/>
    <col min="14" max="14" width="29.85546875" style="12" customWidth="1" outlineLevel="1"/>
    <col min="15" max="15" width="35.140625" style="12" customWidth="1" outlineLevel="1"/>
    <col min="16" max="16" width="35.140625" style="12" customWidth="1"/>
    <col min="17" max="17" width="35.140625" style="12" customWidth="1" outlineLevel="1"/>
    <col min="18" max="18" width="34.140625" style="12" bestFit="1" customWidth="1" outlineLevel="1"/>
    <col min="19" max="19" width="14.28515625" style="12" bestFit="1" customWidth="1"/>
    <col min="20" max="20" width="14.140625" style="12" bestFit="1" customWidth="1" outlineLevel="1"/>
    <col min="21" max="21" width="30.5703125" style="12" bestFit="1" customWidth="1" outlineLevel="1"/>
    <col min="22" max="23" width="14.85546875" style="12" customWidth="1"/>
    <col min="24" max="24" width="15.5703125" style="12" customWidth="1"/>
    <col min="25" max="25" width="21.42578125" style="12" customWidth="1"/>
    <col min="26" max="16384" width="9.140625" style="12"/>
  </cols>
  <sheetData>
    <row r="1" spans="1:25">
      <c r="A1" s="216" t="s">
        <v>84</v>
      </c>
      <c r="B1" s="217"/>
      <c r="C1" s="217"/>
      <c r="D1" s="217"/>
      <c r="E1" s="218"/>
      <c r="F1" s="218"/>
      <c r="G1" s="218"/>
      <c r="H1" s="218"/>
      <c r="I1" s="218"/>
      <c r="J1" s="218"/>
      <c r="K1" s="218"/>
      <c r="L1" s="219"/>
      <c r="M1" s="218"/>
      <c r="N1" s="218"/>
      <c r="O1" s="218"/>
      <c r="P1" s="218"/>
      <c r="Q1" s="218"/>
      <c r="R1" s="218"/>
      <c r="S1" s="218"/>
      <c r="T1" s="218"/>
      <c r="U1" s="218"/>
      <c r="V1" s="218"/>
      <c r="W1" s="218"/>
      <c r="X1" s="218"/>
      <c r="Y1" s="220"/>
    </row>
    <row r="2" spans="1:25">
      <c r="A2" s="348" t="s">
        <v>1</v>
      </c>
      <c r="B2" s="221" t="s">
        <v>8</v>
      </c>
      <c r="C2" s="222"/>
      <c r="D2" s="222"/>
      <c r="E2" s="223" t="s">
        <v>9</v>
      </c>
      <c r="F2" s="224"/>
      <c r="G2" s="224"/>
      <c r="H2" s="174" t="s">
        <v>10</v>
      </c>
      <c r="I2" s="225"/>
      <c r="J2" s="225"/>
      <c r="K2" s="226"/>
      <c r="L2" s="175" t="s">
        <v>11</v>
      </c>
      <c r="M2" s="227" t="s">
        <v>12</v>
      </c>
      <c r="N2" s="177"/>
      <c r="O2" s="228"/>
      <c r="P2" s="176" t="s">
        <v>13</v>
      </c>
      <c r="Q2" s="229"/>
      <c r="R2" s="230"/>
      <c r="S2" s="231" t="s">
        <v>83</v>
      </c>
      <c r="T2" s="232"/>
      <c r="U2" s="233"/>
      <c r="V2" s="192" t="s">
        <v>85</v>
      </c>
      <c r="W2" s="210"/>
      <c r="X2" s="234"/>
      <c r="Y2" s="235"/>
    </row>
    <row r="3" spans="1:25">
      <c r="A3" s="348"/>
      <c r="B3" s="181" t="s">
        <v>51</v>
      </c>
      <c r="C3" s="181" t="s">
        <v>52</v>
      </c>
      <c r="D3" s="181" t="s">
        <v>54</v>
      </c>
      <c r="E3" s="182" t="s">
        <v>51</v>
      </c>
      <c r="F3" s="182" t="s">
        <v>52</v>
      </c>
      <c r="G3" s="182" t="s">
        <v>54</v>
      </c>
      <c r="H3" s="183" t="s">
        <v>51</v>
      </c>
      <c r="I3" s="183" t="s">
        <v>52</v>
      </c>
      <c r="J3" s="183" t="s">
        <v>86</v>
      </c>
      <c r="K3" s="183" t="s">
        <v>54</v>
      </c>
      <c r="L3" s="184" t="s">
        <v>54</v>
      </c>
      <c r="M3" s="185" t="s">
        <v>51</v>
      </c>
      <c r="N3" s="185" t="s">
        <v>52</v>
      </c>
      <c r="O3" s="189" t="s">
        <v>54</v>
      </c>
      <c r="P3" s="190" t="s">
        <v>51</v>
      </c>
      <c r="Q3" s="190" t="s">
        <v>52</v>
      </c>
      <c r="R3" s="186" t="s">
        <v>54</v>
      </c>
      <c r="S3" s="191" t="s">
        <v>51</v>
      </c>
      <c r="T3" s="191" t="s">
        <v>52</v>
      </c>
      <c r="U3" s="191" t="s">
        <v>54</v>
      </c>
      <c r="V3" s="209" t="s">
        <v>66</v>
      </c>
      <c r="W3" s="36" t="s">
        <v>87</v>
      </c>
      <c r="X3" s="187" t="s">
        <v>88</v>
      </c>
      <c r="Y3" s="188" t="s">
        <v>16</v>
      </c>
    </row>
    <row r="4" spans="1:25">
      <c r="A4" s="28">
        <v>1</v>
      </c>
      <c r="B4" s="28" t="s">
        <v>89</v>
      </c>
      <c r="C4" s="28" t="s">
        <v>90</v>
      </c>
      <c r="D4" s="28" t="s">
        <v>91</v>
      </c>
      <c r="E4" s="28" t="s">
        <v>92</v>
      </c>
      <c r="F4" s="28" t="s">
        <v>92</v>
      </c>
      <c r="G4" s="28" t="s">
        <v>93</v>
      </c>
      <c r="H4" s="28" t="s">
        <v>94</v>
      </c>
      <c r="I4" s="28" t="s">
        <v>94</v>
      </c>
      <c r="J4" s="28" t="s">
        <v>95</v>
      </c>
      <c r="K4" s="28" t="s">
        <v>96</v>
      </c>
      <c r="L4" s="28" t="s">
        <v>97</v>
      </c>
      <c r="M4" s="28" t="s">
        <v>98</v>
      </c>
      <c r="N4" s="67" t="s">
        <v>99</v>
      </c>
      <c r="O4" s="53" t="s">
        <v>100</v>
      </c>
      <c r="P4" s="28"/>
      <c r="Q4" s="28"/>
      <c r="R4" s="28" t="s">
        <v>101</v>
      </c>
      <c r="S4" s="100" t="s">
        <v>83</v>
      </c>
      <c r="T4" s="100" t="s">
        <v>83</v>
      </c>
      <c r="U4" s="100" t="s">
        <v>102</v>
      </c>
      <c r="V4" s="236" t="s">
        <v>103</v>
      </c>
      <c r="W4" s="28" t="s">
        <v>104</v>
      </c>
      <c r="X4" s="237" t="s">
        <v>105</v>
      </c>
      <c r="Y4" s="238" t="s">
        <v>94</v>
      </c>
    </row>
    <row r="5" spans="1:25">
      <c r="A5" s="28">
        <v>2</v>
      </c>
      <c r="B5" s="28" t="s">
        <v>106</v>
      </c>
      <c r="C5" s="28" t="s">
        <v>107</v>
      </c>
      <c r="D5" s="28" t="s">
        <v>108</v>
      </c>
      <c r="E5" s="28" t="s">
        <v>109</v>
      </c>
      <c r="F5" s="28" t="s">
        <v>110</v>
      </c>
      <c r="G5" s="28" t="s">
        <v>111</v>
      </c>
      <c r="H5" s="28" t="s">
        <v>112</v>
      </c>
      <c r="I5" s="28" t="s">
        <v>113</v>
      </c>
      <c r="J5" s="261" t="s">
        <v>114</v>
      </c>
      <c r="K5" s="28" t="s">
        <v>115</v>
      </c>
      <c r="L5" s="28" t="s">
        <v>116</v>
      </c>
      <c r="M5" s="28" t="s">
        <v>98</v>
      </c>
      <c r="N5" s="67" t="s">
        <v>117</v>
      </c>
      <c r="O5" s="53" t="s">
        <v>118</v>
      </c>
      <c r="P5" s="28"/>
      <c r="Q5" s="28"/>
      <c r="R5" s="28" t="s">
        <v>119</v>
      </c>
      <c r="S5" s="100"/>
      <c r="T5" s="100"/>
      <c r="U5" s="100" t="s">
        <v>120</v>
      </c>
      <c r="V5" s="236" t="s">
        <v>62</v>
      </c>
      <c r="W5" s="28" t="s">
        <v>121</v>
      </c>
      <c r="X5" s="239" t="s">
        <v>122</v>
      </c>
      <c r="Y5" s="238" t="s">
        <v>29</v>
      </c>
    </row>
    <row r="6" spans="1:25">
      <c r="A6" s="28">
        <v>3</v>
      </c>
      <c r="B6" s="28" t="s">
        <v>106</v>
      </c>
      <c r="C6" s="28" t="s">
        <v>123</v>
      </c>
      <c r="D6" s="28"/>
      <c r="E6" s="28" t="s">
        <v>109</v>
      </c>
      <c r="F6" s="28" t="s">
        <v>124</v>
      </c>
      <c r="G6" s="28" t="s">
        <v>125</v>
      </c>
      <c r="H6" s="28" t="s">
        <v>112</v>
      </c>
      <c r="I6" s="28" t="s">
        <v>126</v>
      </c>
      <c r="J6" s="261" t="s">
        <v>114</v>
      </c>
      <c r="K6" s="28" t="s">
        <v>127</v>
      </c>
      <c r="L6" s="28" t="s">
        <v>128</v>
      </c>
      <c r="M6" s="28" t="s">
        <v>98</v>
      </c>
      <c r="N6" s="67" t="s">
        <v>129</v>
      </c>
      <c r="O6" s="53" t="s">
        <v>130</v>
      </c>
      <c r="P6" s="28"/>
      <c r="Q6" s="28"/>
      <c r="R6" s="28" t="s">
        <v>131</v>
      </c>
      <c r="S6" s="100"/>
      <c r="T6" s="100"/>
      <c r="U6" s="100" t="s">
        <v>132</v>
      </c>
      <c r="V6" s="236" t="s">
        <v>70</v>
      </c>
      <c r="W6" s="28" t="s">
        <v>133</v>
      </c>
      <c r="X6" s="240" t="s">
        <v>134</v>
      </c>
      <c r="Y6" s="238" t="s">
        <v>30</v>
      </c>
    </row>
    <row r="7" spans="1:25">
      <c r="A7" s="28">
        <v>4</v>
      </c>
      <c r="B7" s="28" t="s">
        <v>106</v>
      </c>
      <c r="C7" s="28" t="s">
        <v>135</v>
      </c>
      <c r="D7" s="28"/>
      <c r="E7" s="28" t="s">
        <v>109</v>
      </c>
      <c r="F7" s="28" t="s">
        <v>136</v>
      </c>
      <c r="G7" s="28" t="s">
        <v>137</v>
      </c>
      <c r="H7" s="28" t="s">
        <v>138</v>
      </c>
      <c r="I7" s="28" t="s">
        <v>139</v>
      </c>
      <c r="J7" s="261" t="s">
        <v>114</v>
      </c>
      <c r="K7" s="71" t="s">
        <v>140</v>
      </c>
      <c r="L7" s="71"/>
      <c r="M7" s="28" t="s">
        <v>98</v>
      </c>
      <c r="N7" s="67" t="s">
        <v>141</v>
      </c>
      <c r="O7" s="53" t="s">
        <v>142</v>
      </c>
      <c r="P7" s="28"/>
      <c r="Q7" s="28"/>
      <c r="R7" s="28" t="s">
        <v>143</v>
      </c>
      <c r="S7" s="100"/>
      <c r="T7" s="100"/>
      <c r="U7" s="100" t="s">
        <v>144</v>
      </c>
      <c r="V7" s="236" t="s">
        <v>75</v>
      </c>
      <c r="W7" s="28" t="s">
        <v>145</v>
      </c>
      <c r="X7" s="236"/>
      <c r="Y7" s="238" t="s">
        <v>31</v>
      </c>
    </row>
    <row r="8" spans="1:25">
      <c r="A8" s="28">
        <v>5</v>
      </c>
      <c r="B8" s="28" t="s">
        <v>106</v>
      </c>
      <c r="C8" s="28" t="s">
        <v>146</v>
      </c>
      <c r="D8" s="28"/>
      <c r="E8" s="28" t="s">
        <v>147</v>
      </c>
      <c r="F8" s="28" t="s">
        <v>148</v>
      </c>
      <c r="G8" s="28" t="s">
        <v>149</v>
      </c>
      <c r="H8" s="71" t="s">
        <v>138</v>
      </c>
      <c r="I8" s="71" t="s">
        <v>150</v>
      </c>
      <c r="J8" s="261" t="s">
        <v>114</v>
      </c>
      <c r="K8" s="28" t="s">
        <v>151</v>
      </c>
      <c r="L8" s="28"/>
      <c r="M8" s="28" t="s">
        <v>98</v>
      </c>
      <c r="N8" s="67" t="s">
        <v>152</v>
      </c>
      <c r="O8" s="53" t="s">
        <v>153</v>
      </c>
      <c r="P8" s="28"/>
      <c r="Q8" s="28"/>
      <c r="R8" s="28" t="s">
        <v>154</v>
      </c>
      <c r="S8" s="100"/>
      <c r="T8" s="100"/>
      <c r="U8" s="100" t="s">
        <v>155</v>
      </c>
      <c r="V8" s="236" t="s">
        <v>80</v>
      </c>
      <c r="W8" s="28" t="s">
        <v>156</v>
      </c>
      <c r="X8" s="236"/>
      <c r="Y8" s="238" t="s">
        <v>32</v>
      </c>
    </row>
    <row r="9" spans="1:25">
      <c r="A9" s="28">
        <v>6</v>
      </c>
      <c r="B9" s="28" t="s">
        <v>106</v>
      </c>
      <c r="C9" s="28" t="s">
        <v>157</v>
      </c>
      <c r="D9" s="28"/>
      <c r="E9" s="28" t="s">
        <v>147</v>
      </c>
      <c r="F9" s="28" t="s">
        <v>158</v>
      </c>
      <c r="G9" s="53"/>
      <c r="H9" s="28" t="s">
        <v>138</v>
      </c>
      <c r="I9" s="28" t="s">
        <v>159</v>
      </c>
      <c r="J9" s="261" t="s">
        <v>114</v>
      </c>
      <c r="K9" s="28" t="s">
        <v>18</v>
      </c>
      <c r="L9" s="28"/>
      <c r="M9" s="28" t="s">
        <v>98</v>
      </c>
      <c r="N9" s="67" t="s">
        <v>160</v>
      </c>
      <c r="O9" s="173" t="s">
        <v>161</v>
      </c>
      <c r="P9" s="19"/>
      <c r="Q9" s="19"/>
      <c r="R9" s="28" t="s">
        <v>162</v>
      </c>
      <c r="S9" s="100"/>
      <c r="T9" s="100"/>
      <c r="U9" s="100" t="s">
        <v>163</v>
      </c>
      <c r="V9" s="236" t="s">
        <v>164</v>
      </c>
      <c r="W9" s="28" t="s">
        <v>165</v>
      </c>
      <c r="X9" s="236"/>
      <c r="Y9" s="238" t="s">
        <v>33</v>
      </c>
    </row>
    <row r="10" spans="1:25">
      <c r="A10" s="28">
        <v>7</v>
      </c>
      <c r="B10" s="28" t="s">
        <v>106</v>
      </c>
      <c r="C10" s="28" t="s">
        <v>166</v>
      </c>
      <c r="D10" s="28"/>
      <c r="E10" s="71" t="s">
        <v>147</v>
      </c>
      <c r="F10" s="71" t="s">
        <v>167</v>
      </c>
      <c r="G10" s="53"/>
      <c r="H10" s="28" t="s">
        <v>138</v>
      </c>
      <c r="I10" s="28" t="s">
        <v>168</v>
      </c>
      <c r="J10" s="261" t="s">
        <v>114</v>
      </c>
      <c r="K10" s="28" t="s">
        <v>169</v>
      </c>
      <c r="L10" s="28"/>
      <c r="M10" s="28" t="s">
        <v>98</v>
      </c>
      <c r="N10" s="67" t="s">
        <v>170</v>
      </c>
      <c r="O10" s="53" t="s">
        <v>171</v>
      </c>
      <c r="P10" s="28"/>
      <c r="Q10" s="28"/>
      <c r="R10" s="28" t="s">
        <v>172</v>
      </c>
      <c r="S10" s="100"/>
      <c r="T10" s="100"/>
      <c r="U10" s="100" t="s">
        <v>173</v>
      </c>
      <c r="V10" s="236" t="s">
        <v>174</v>
      </c>
      <c r="W10" s="28" t="s">
        <v>175</v>
      </c>
      <c r="X10" s="236"/>
      <c r="Y10" s="238" t="s">
        <v>34</v>
      </c>
    </row>
    <row r="11" spans="1:25">
      <c r="A11" s="28">
        <v>8</v>
      </c>
      <c r="B11" s="28" t="s">
        <v>106</v>
      </c>
      <c r="C11" s="28" t="s">
        <v>176</v>
      </c>
      <c r="D11" s="53"/>
      <c r="E11" s="28" t="s">
        <v>177</v>
      </c>
      <c r="F11" s="28" t="s">
        <v>178</v>
      </c>
      <c r="G11" s="236"/>
      <c r="H11" s="28" t="s">
        <v>138</v>
      </c>
      <c r="I11" s="28" t="s">
        <v>179</v>
      </c>
      <c r="J11" s="261" t="s">
        <v>114</v>
      </c>
      <c r="K11" s="53" t="s">
        <v>22</v>
      </c>
      <c r="L11" s="28"/>
      <c r="M11" s="28" t="s">
        <v>98</v>
      </c>
      <c r="N11" s="67" t="s">
        <v>180</v>
      </c>
      <c r="O11" s="53"/>
      <c r="P11" s="28"/>
      <c r="Q11" s="28"/>
      <c r="R11" s="28" t="s">
        <v>181</v>
      </c>
      <c r="S11" s="100"/>
      <c r="T11" s="100"/>
      <c r="U11" s="100"/>
      <c r="V11" s="236" t="s">
        <v>182</v>
      </c>
      <c r="W11" s="28" t="s">
        <v>183</v>
      </c>
      <c r="X11" s="236"/>
      <c r="Y11" s="238" t="s">
        <v>35</v>
      </c>
    </row>
    <row r="12" spans="1:25">
      <c r="A12" s="28">
        <v>9</v>
      </c>
      <c r="B12" s="28" t="s">
        <v>106</v>
      </c>
      <c r="C12" s="28" t="s">
        <v>184</v>
      </c>
      <c r="D12" s="53"/>
      <c r="E12" s="28" t="s">
        <v>185</v>
      </c>
      <c r="F12" s="28" t="s">
        <v>185</v>
      </c>
      <c r="G12" s="236"/>
      <c r="H12" s="28" t="s">
        <v>186</v>
      </c>
      <c r="I12" s="28" t="s">
        <v>187</v>
      </c>
      <c r="J12" s="261" t="s">
        <v>114</v>
      </c>
      <c r="K12" s="53" t="s">
        <v>23</v>
      </c>
      <c r="L12" s="95"/>
      <c r="M12" s="28" t="s">
        <v>98</v>
      </c>
      <c r="N12" s="67" t="s">
        <v>188</v>
      </c>
      <c r="O12" s="53"/>
      <c r="P12" s="28"/>
      <c r="Q12" s="28"/>
      <c r="R12" s="28" t="s">
        <v>189</v>
      </c>
      <c r="S12" s="100"/>
      <c r="T12" s="100"/>
      <c r="U12" s="100"/>
      <c r="V12" s="236" t="s">
        <v>190</v>
      </c>
      <c r="W12" s="28"/>
      <c r="X12" s="236"/>
      <c r="Y12" s="238" t="s">
        <v>36</v>
      </c>
    </row>
    <row r="13" spans="1:25">
      <c r="A13" s="28">
        <v>10</v>
      </c>
      <c r="B13" s="28" t="s">
        <v>106</v>
      </c>
      <c r="C13" s="28" t="s">
        <v>191</v>
      </c>
      <c r="D13" s="28"/>
      <c r="E13" s="95"/>
      <c r="F13" s="95"/>
      <c r="G13" s="53"/>
      <c r="H13" s="28" t="s">
        <v>186</v>
      </c>
      <c r="I13" s="28" t="s">
        <v>192</v>
      </c>
      <c r="J13" s="261" t="s">
        <v>114</v>
      </c>
      <c r="K13" s="53" t="s">
        <v>193</v>
      </c>
      <c r="L13" s="28"/>
      <c r="M13" s="28" t="s">
        <v>98</v>
      </c>
      <c r="N13" s="67" t="s">
        <v>194</v>
      </c>
      <c r="O13" s="53"/>
      <c r="P13" s="28"/>
      <c r="Q13" s="28"/>
      <c r="R13" s="28"/>
      <c r="S13" s="100"/>
      <c r="T13" s="100"/>
      <c r="U13" s="100"/>
      <c r="V13" s="236" t="s">
        <v>195</v>
      </c>
      <c r="W13" s="28"/>
      <c r="X13" s="236"/>
      <c r="Y13" s="238" t="s">
        <v>196</v>
      </c>
    </row>
    <row r="14" spans="1:25">
      <c r="A14" s="28">
        <v>11</v>
      </c>
      <c r="B14" s="28" t="s">
        <v>106</v>
      </c>
      <c r="C14" s="28" t="s">
        <v>197</v>
      </c>
      <c r="D14" s="28"/>
      <c r="E14" s="28"/>
      <c r="F14" s="28"/>
      <c r="G14" s="53"/>
      <c r="H14" s="28" t="s">
        <v>186</v>
      </c>
      <c r="I14" s="28" t="s">
        <v>198</v>
      </c>
      <c r="J14" s="261" t="s">
        <v>114</v>
      </c>
      <c r="K14" s="53" t="s">
        <v>24</v>
      </c>
      <c r="L14" s="28"/>
      <c r="M14" s="28" t="s">
        <v>98</v>
      </c>
      <c r="N14" s="67" t="s">
        <v>199</v>
      </c>
      <c r="O14" s="53"/>
      <c r="P14" s="28"/>
      <c r="Q14" s="28"/>
      <c r="R14" s="28"/>
      <c r="S14" s="100"/>
      <c r="T14" s="100"/>
      <c r="U14" s="100"/>
      <c r="V14" s="236" t="s">
        <v>200</v>
      </c>
      <c r="W14" s="28"/>
      <c r="X14" s="236"/>
      <c r="Y14" s="238" t="s">
        <v>201</v>
      </c>
    </row>
    <row r="15" spans="1:25">
      <c r="A15" s="28">
        <v>12</v>
      </c>
      <c r="B15" s="28" t="s">
        <v>106</v>
      </c>
      <c r="C15" s="28" t="s">
        <v>202</v>
      </c>
      <c r="D15" s="28"/>
      <c r="E15" s="28"/>
      <c r="F15" s="28"/>
      <c r="G15" s="53"/>
      <c r="H15" s="28" t="s">
        <v>186</v>
      </c>
      <c r="I15" s="28" t="s">
        <v>203</v>
      </c>
      <c r="J15" s="261" t="s">
        <v>114</v>
      </c>
      <c r="K15" s="53" t="s">
        <v>25</v>
      </c>
      <c r="L15" s="28"/>
      <c r="M15" s="28" t="s">
        <v>98</v>
      </c>
      <c r="N15" s="67" t="s">
        <v>204</v>
      </c>
      <c r="O15" s="53"/>
      <c r="P15" s="28"/>
      <c r="Q15" s="28"/>
      <c r="R15" s="28"/>
      <c r="S15" s="100"/>
      <c r="T15" s="100"/>
      <c r="U15" s="100"/>
      <c r="V15" s="236" t="s">
        <v>205</v>
      </c>
      <c r="W15" s="28"/>
      <c r="X15" s="236"/>
      <c r="Y15" s="238" t="s">
        <v>206</v>
      </c>
    </row>
    <row r="16" spans="1:25">
      <c r="A16" s="28">
        <v>13</v>
      </c>
      <c r="B16" s="28" t="s">
        <v>106</v>
      </c>
      <c r="C16" s="28" t="s">
        <v>207</v>
      </c>
      <c r="D16" s="28"/>
      <c r="E16" s="28"/>
      <c r="F16" s="28"/>
      <c r="G16" s="53"/>
      <c r="H16" s="28" t="s">
        <v>186</v>
      </c>
      <c r="I16" s="28" t="s">
        <v>208</v>
      </c>
      <c r="J16" s="261" t="s">
        <v>114</v>
      </c>
      <c r="K16" s="53" t="s">
        <v>26</v>
      </c>
      <c r="L16" s="28"/>
      <c r="M16" s="28" t="s">
        <v>98</v>
      </c>
      <c r="N16" s="67" t="s">
        <v>209</v>
      </c>
      <c r="O16" s="53"/>
      <c r="P16" s="28"/>
      <c r="Q16" s="28"/>
      <c r="R16" s="28"/>
      <c r="S16" s="100"/>
      <c r="T16" s="100"/>
      <c r="U16" s="100"/>
      <c r="V16" s="236" t="s">
        <v>210</v>
      </c>
      <c r="W16" s="28"/>
      <c r="X16" s="236"/>
      <c r="Y16" s="238" t="s">
        <v>211</v>
      </c>
    </row>
    <row r="17" spans="1:25">
      <c r="A17" s="28">
        <v>14</v>
      </c>
      <c r="B17" s="28" t="s">
        <v>106</v>
      </c>
      <c r="C17" s="28" t="s">
        <v>212</v>
      </c>
      <c r="D17" s="28"/>
      <c r="E17" s="28"/>
      <c r="F17" s="28"/>
      <c r="G17" s="53"/>
      <c r="H17" s="28" t="s">
        <v>186</v>
      </c>
      <c r="I17" s="28" t="s">
        <v>213</v>
      </c>
      <c r="J17" s="261" t="s">
        <v>114</v>
      </c>
      <c r="K17" s="53" t="s">
        <v>27</v>
      </c>
      <c r="L17" s="28"/>
      <c r="M17" s="28" t="s">
        <v>98</v>
      </c>
      <c r="N17" s="67" t="s">
        <v>214</v>
      </c>
      <c r="O17" s="53"/>
      <c r="P17" s="28"/>
      <c r="Q17" s="28"/>
      <c r="R17" s="28"/>
      <c r="S17" s="100"/>
      <c r="T17" s="100"/>
      <c r="U17" s="100"/>
      <c r="V17" s="236" t="s">
        <v>215</v>
      </c>
      <c r="W17" s="28"/>
      <c r="X17" s="236"/>
      <c r="Y17" s="238" t="s">
        <v>216</v>
      </c>
    </row>
    <row r="18" spans="1:25">
      <c r="A18" s="28">
        <v>15</v>
      </c>
      <c r="B18" s="28" t="s">
        <v>106</v>
      </c>
      <c r="C18" s="28" t="s">
        <v>217</v>
      </c>
      <c r="D18" s="28"/>
      <c r="E18" s="28"/>
      <c r="F18" s="28"/>
      <c r="G18" s="53"/>
      <c r="H18" s="28" t="s">
        <v>186</v>
      </c>
      <c r="I18" s="28" t="s">
        <v>218</v>
      </c>
      <c r="J18" s="261" t="s">
        <v>114</v>
      </c>
      <c r="K18" s="54" t="s">
        <v>28</v>
      </c>
      <c r="L18" s="28"/>
      <c r="M18" s="28" t="s">
        <v>98</v>
      </c>
      <c r="N18" s="67" t="s">
        <v>219</v>
      </c>
      <c r="O18" s="53"/>
      <c r="P18" s="28"/>
      <c r="Q18" s="28"/>
      <c r="R18" s="28"/>
      <c r="S18" s="100"/>
      <c r="T18" s="100"/>
      <c r="U18" s="100"/>
      <c r="V18" s="236"/>
      <c r="W18" s="28"/>
      <c r="X18" s="236"/>
      <c r="Y18" s="238" t="s">
        <v>220</v>
      </c>
    </row>
    <row r="19" spans="1:25">
      <c r="A19" s="28">
        <v>16</v>
      </c>
      <c r="B19" s="28" t="s">
        <v>106</v>
      </c>
      <c r="C19" s="28" t="s">
        <v>221</v>
      </c>
      <c r="D19" s="28"/>
      <c r="E19" s="28"/>
      <c r="F19" s="28"/>
      <c r="G19" s="53"/>
      <c r="H19" s="28" t="s">
        <v>186</v>
      </c>
      <c r="I19" s="28" t="s">
        <v>222</v>
      </c>
      <c r="J19" s="261" t="s">
        <v>114</v>
      </c>
      <c r="K19" s="28"/>
      <c r="L19" s="100"/>
      <c r="M19" s="28" t="s">
        <v>98</v>
      </c>
      <c r="N19" s="67" t="s">
        <v>223</v>
      </c>
      <c r="O19" s="53"/>
      <c r="P19" s="28"/>
      <c r="Q19" s="28"/>
      <c r="R19" s="28"/>
      <c r="S19" s="100"/>
      <c r="T19" s="100"/>
      <c r="U19" s="100"/>
      <c r="V19" s="236"/>
      <c r="W19" s="28"/>
      <c r="X19" s="236"/>
      <c r="Y19" s="238" t="s">
        <v>224</v>
      </c>
    </row>
    <row r="20" spans="1:25">
      <c r="A20" s="28">
        <v>17</v>
      </c>
      <c r="B20" s="28" t="s">
        <v>106</v>
      </c>
      <c r="C20" s="28" t="s">
        <v>225</v>
      </c>
      <c r="D20" s="28"/>
      <c r="E20" s="28"/>
      <c r="F20" s="28"/>
      <c r="G20" s="53"/>
      <c r="H20" s="28" t="s">
        <v>226</v>
      </c>
      <c r="I20" s="28" t="s">
        <v>227</v>
      </c>
      <c r="J20" s="261" t="s">
        <v>114</v>
      </c>
      <c r="K20" s="28"/>
      <c r="L20" s="100"/>
      <c r="M20" s="28" t="s">
        <v>98</v>
      </c>
      <c r="N20" s="67" t="s">
        <v>228</v>
      </c>
      <c r="O20" s="53"/>
      <c r="P20" s="28"/>
      <c r="Q20" s="28"/>
      <c r="R20" s="28"/>
      <c r="S20" s="100"/>
      <c r="T20" s="100"/>
      <c r="U20" s="100"/>
      <c r="V20" s="100"/>
      <c r="W20" s="242"/>
      <c r="X20" s="53"/>
      <c r="Y20" s="238" t="s">
        <v>229</v>
      </c>
    </row>
    <row r="21" spans="1:25">
      <c r="A21" s="28">
        <v>18</v>
      </c>
      <c r="B21" s="28" t="s">
        <v>106</v>
      </c>
      <c r="C21" s="28" t="s">
        <v>230</v>
      </c>
      <c r="D21" s="28"/>
      <c r="E21" s="28"/>
      <c r="F21" s="28"/>
      <c r="G21" s="53"/>
      <c r="H21" s="241" t="s">
        <v>231</v>
      </c>
      <c r="I21" s="241" t="s">
        <v>232</v>
      </c>
      <c r="J21" s="261" t="s">
        <v>114</v>
      </c>
      <c r="K21" s="28"/>
      <c r="L21" s="100"/>
      <c r="M21" s="28" t="s">
        <v>98</v>
      </c>
      <c r="N21" s="67" t="s">
        <v>233</v>
      </c>
      <c r="O21" s="53"/>
      <c r="P21" s="28"/>
      <c r="Q21" s="28"/>
      <c r="R21" s="28"/>
      <c r="S21" s="100"/>
      <c r="T21" s="100"/>
      <c r="U21" s="100"/>
      <c r="V21" s="100"/>
      <c r="W21" s="236"/>
      <c r="X21" s="53"/>
      <c r="Y21" s="238" t="s">
        <v>234</v>
      </c>
    </row>
    <row r="22" spans="1:25">
      <c r="A22" s="28">
        <v>19</v>
      </c>
      <c r="B22" s="71" t="s">
        <v>106</v>
      </c>
      <c r="C22" s="71" t="s">
        <v>235</v>
      </c>
      <c r="D22" s="28"/>
      <c r="E22" s="28"/>
      <c r="F22" s="28"/>
      <c r="G22" s="53"/>
      <c r="H22" s="53" t="s">
        <v>231</v>
      </c>
      <c r="I22" s="53" t="s">
        <v>236</v>
      </c>
      <c r="J22" s="261" t="s">
        <v>114</v>
      </c>
      <c r="K22" s="28"/>
      <c r="L22" s="100"/>
      <c r="M22" s="28" t="s">
        <v>98</v>
      </c>
      <c r="N22" s="67" t="s">
        <v>237</v>
      </c>
      <c r="O22" s="53"/>
      <c r="P22" s="28"/>
      <c r="Q22" s="28"/>
      <c r="R22" s="28"/>
      <c r="S22" s="100"/>
      <c r="T22" s="100"/>
      <c r="U22" s="100"/>
      <c r="V22" s="100"/>
      <c r="W22" s="236"/>
      <c r="X22" s="53"/>
      <c r="Y22" s="238" t="s">
        <v>238</v>
      </c>
    </row>
    <row r="23" spans="1:25">
      <c r="A23" s="28">
        <v>20</v>
      </c>
      <c r="B23" s="53" t="s">
        <v>106</v>
      </c>
      <c r="C23" s="53" t="s">
        <v>239</v>
      </c>
      <c r="D23" s="71"/>
      <c r="E23" s="71"/>
      <c r="F23" s="71"/>
      <c r="G23" s="54"/>
      <c r="H23" s="53" t="s">
        <v>231</v>
      </c>
      <c r="I23" s="53" t="s">
        <v>240</v>
      </c>
      <c r="J23" s="261" t="s">
        <v>114</v>
      </c>
      <c r="K23" s="28"/>
      <c r="L23" s="100"/>
      <c r="M23" s="28" t="s">
        <v>98</v>
      </c>
      <c r="N23" s="67" t="s">
        <v>241</v>
      </c>
      <c r="O23" s="53"/>
      <c r="P23" s="28"/>
      <c r="Q23" s="28"/>
      <c r="R23" s="28"/>
      <c r="S23" s="139"/>
      <c r="T23" s="139"/>
      <c r="U23" s="139"/>
      <c r="V23" s="139"/>
      <c r="W23" s="243"/>
      <c r="X23" s="54"/>
      <c r="Y23" s="238" t="s">
        <v>242</v>
      </c>
    </row>
    <row r="24" spans="1:25">
      <c r="A24" s="53">
        <v>21</v>
      </c>
      <c r="B24" s="53" t="s">
        <v>243</v>
      </c>
      <c r="C24" s="53" t="s">
        <v>244</v>
      </c>
      <c r="D24" s="28"/>
      <c r="E24" s="28"/>
      <c r="F24" s="28"/>
      <c r="G24" s="53"/>
      <c r="H24" s="53" t="s">
        <v>231</v>
      </c>
      <c r="I24" s="53" t="s">
        <v>245</v>
      </c>
      <c r="J24" s="261" t="s">
        <v>114</v>
      </c>
      <c r="K24" s="28"/>
      <c r="L24" s="100"/>
      <c r="M24" s="28" t="s">
        <v>98</v>
      </c>
      <c r="N24" s="67" t="s">
        <v>246</v>
      </c>
      <c r="O24" s="53"/>
      <c r="P24" s="28"/>
      <c r="Q24" s="28"/>
      <c r="R24" s="28"/>
      <c r="S24" s="100"/>
      <c r="T24" s="100"/>
      <c r="U24" s="100"/>
      <c r="V24" s="100"/>
      <c r="W24" s="236"/>
      <c r="X24" s="53"/>
      <c r="Y24" s="238" t="s">
        <v>247</v>
      </c>
    </row>
    <row r="25" spans="1:25">
      <c r="A25" s="53">
        <v>22</v>
      </c>
      <c r="B25" s="53" t="s">
        <v>243</v>
      </c>
      <c r="C25" s="53" t="s">
        <v>248</v>
      </c>
      <c r="D25" s="28"/>
      <c r="E25" s="28"/>
      <c r="F25" s="28"/>
      <c r="G25" s="28"/>
      <c r="H25" s="53" t="s">
        <v>231</v>
      </c>
      <c r="I25" s="53" t="s">
        <v>249</v>
      </c>
      <c r="J25" s="261" t="s">
        <v>114</v>
      </c>
      <c r="K25" s="241"/>
      <c r="L25" s="28"/>
      <c r="M25" s="28" t="s">
        <v>98</v>
      </c>
      <c r="N25" s="67" t="s">
        <v>250</v>
      </c>
      <c r="O25" s="53"/>
      <c r="P25" s="28"/>
      <c r="Q25" s="28"/>
      <c r="R25" s="28"/>
      <c r="S25" s="100"/>
      <c r="T25" s="100"/>
      <c r="U25" s="100"/>
      <c r="V25" s="100"/>
      <c r="W25" s="236"/>
      <c r="X25" s="53"/>
      <c r="Y25" s="238" t="s">
        <v>251</v>
      </c>
    </row>
    <row r="26" spans="1:25">
      <c r="A26" s="53">
        <v>23</v>
      </c>
      <c r="B26" s="53" t="s">
        <v>243</v>
      </c>
      <c r="C26" s="53" t="s">
        <v>252</v>
      </c>
      <c r="D26" s="28"/>
      <c r="E26" s="28"/>
      <c r="F26" s="28"/>
      <c r="G26" s="28"/>
      <c r="H26" s="53" t="s">
        <v>253</v>
      </c>
      <c r="I26" s="53" t="s">
        <v>254</v>
      </c>
      <c r="J26" s="261" t="s">
        <v>114</v>
      </c>
      <c r="K26" s="53"/>
      <c r="L26" s="28"/>
      <c r="M26" s="28" t="s">
        <v>98</v>
      </c>
      <c r="N26" s="67" t="s">
        <v>255</v>
      </c>
      <c r="O26" s="53"/>
      <c r="P26" s="28"/>
      <c r="Q26" s="28"/>
      <c r="R26" s="28"/>
      <c r="S26" s="100"/>
      <c r="T26" s="100"/>
      <c r="U26" s="100"/>
      <c r="V26" s="100"/>
      <c r="W26" s="236"/>
      <c r="X26" s="53"/>
      <c r="Y26" s="244" t="s">
        <v>256</v>
      </c>
    </row>
    <row r="27" spans="1:25">
      <c r="A27" s="53">
        <v>24</v>
      </c>
      <c r="B27" s="53" t="s">
        <v>243</v>
      </c>
      <c r="C27" s="53" t="s">
        <v>257</v>
      </c>
      <c r="D27" s="28"/>
      <c r="E27" s="28"/>
      <c r="F27" s="28"/>
      <c r="G27" s="28"/>
      <c r="H27" s="53" t="s">
        <v>258</v>
      </c>
      <c r="I27" s="53" t="s">
        <v>259</v>
      </c>
      <c r="J27" s="261" t="s">
        <v>114</v>
      </c>
      <c r="K27" s="53"/>
      <c r="L27" s="28"/>
      <c r="M27" s="28" t="s">
        <v>98</v>
      </c>
      <c r="N27" s="67" t="s">
        <v>260</v>
      </c>
      <c r="O27" s="53"/>
      <c r="P27" s="28"/>
      <c r="Q27" s="28"/>
      <c r="R27" s="28"/>
      <c r="S27" s="100"/>
      <c r="T27" s="100"/>
      <c r="U27" s="100"/>
      <c r="V27" s="100"/>
      <c r="W27" s="236"/>
      <c r="X27" s="53"/>
      <c r="Y27" s="238" t="s">
        <v>261</v>
      </c>
    </row>
    <row r="28" spans="1:25">
      <c r="A28" s="53">
        <v>25</v>
      </c>
      <c r="B28" s="53" t="s">
        <v>243</v>
      </c>
      <c r="C28" s="53" t="s">
        <v>262</v>
      </c>
      <c r="D28" s="28"/>
      <c r="E28" s="28"/>
      <c r="F28" s="28"/>
      <c r="G28" s="28"/>
      <c r="H28" s="53" t="s">
        <v>263</v>
      </c>
      <c r="I28" s="53" t="s">
        <v>264</v>
      </c>
      <c r="J28" s="261" t="s">
        <v>114</v>
      </c>
      <c r="K28" s="53"/>
      <c r="L28" s="28"/>
      <c r="M28" s="28" t="s">
        <v>98</v>
      </c>
      <c r="N28" s="67" t="s">
        <v>265</v>
      </c>
      <c r="O28" s="53" t="s">
        <v>266</v>
      </c>
      <c r="P28" s="28"/>
      <c r="Q28" s="28"/>
      <c r="R28" s="28"/>
      <c r="S28" s="100"/>
      <c r="T28" s="100"/>
      <c r="U28" s="100"/>
      <c r="V28" s="100"/>
      <c r="W28" s="236"/>
      <c r="X28" s="53"/>
      <c r="Y28" s="238" t="s">
        <v>267</v>
      </c>
    </row>
    <row r="29" spans="1:25">
      <c r="A29" s="53">
        <v>26</v>
      </c>
      <c r="B29" s="53" t="s">
        <v>243</v>
      </c>
      <c r="C29" s="53" t="s">
        <v>268</v>
      </c>
      <c r="D29" s="28"/>
      <c r="E29" s="28"/>
      <c r="F29" s="28"/>
      <c r="G29" s="28"/>
      <c r="H29" s="53" t="s">
        <v>269</v>
      </c>
      <c r="I29" s="53" t="s">
        <v>270</v>
      </c>
      <c r="J29" s="261" t="s">
        <v>114</v>
      </c>
      <c r="K29" s="28"/>
      <c r="L29" s="95"/>
      <c r="M29" s="28" t="s">
        <v>98</v>
      </c>
      <c r="N29" s="67" t="s">
        <v>271</v>
      </c>
      <c r="O29" s="95"/>
      <c r="P29" s="95"/>
      <c r="Q29" s="95"/>
      <c r="R29" s="95"/>
      <c r="S29" s="95"/>
      <c r="T29" s="95"/>
      <c r="U29" s="95"/>
      <c r="V29" s="28"/>
      <c r="W29" s="53"/>
      <c r="X29" s="53"/>
      <c r="Y29" s="28"/>
    </row>
    <row r="30" spans="1:25">
      <c r="A30" s="53">
        <v>27</v>
      </c>
      <c r="B30" s="53" t="s">
        <v>243</v>
      </c>
      <c r="C30" s="53" t="s">
        <v>272</v>
      </c>
      <c r="D30" s="28"/>
      <c r="E30" s="28"/>
      <c r="F30" s="28"/>
      <c r="G30" s="28"/>
      <c r="H30" s="53" t="s">
        <v>273</v>
      </c>
      <c r="I30" s="53" t="s">
        <v>274</v>
      </c>
      <c r="J30" s="261" t="s">
        <v>114</v>
      </c>
      <c r="K30" s="28"/>
      <c r="L30" s="28"/>
      <c r="M30" s="28" t="s">
        <v>98</v>
      </c>
      <c r="N30" s="67" t="s">
        <v>275</v>
      </c>
      <c r="O30" s="28"/>
      <c r="P30" s="28"/>
      <c r="Q30" s="28"/>
      <c r="R30" s="28"/>
      <c r="S30" s="28"/>
      <c r="T30" s="28"/>
      <c r="U30" s="28"/>
      <c r="V30" s="28"/>
      <c r="W30" s="28"/>
      <c r="X30" s="28"/>
      <c r="Y30" s="95"/>
    </row>
    <row r="31" spans="1:25">
      <c r="A31" s="53">
        <v>28</v>
      </c>
      <c r="B31" s="54" t="s">
        <v>243</v>
      </c>
      <c r="C31" s="54" t="s">
        <v>276</v>
      </c>
      <c r="D31" s="28"/>
      <c r="E31" s="28"/>
      <c r="F31" s="28"/>
      <c r="G31" s="28"/>
      <c r="H31" s="54" t="s">
        <v>277</v>
      </c>
      <c r="I31" s="54" t="s">
        <v>278</v>
      </c>
      <c r="J31" s="261" t="s">
        <v>114</v>
      </c>
      <c r="K31" s="28"/>
      <c r="L31" s="28"/>
      <c r="M31" s="28" t="s">
        <v>98</v>
      </c>
      <c r="N31" s="67" t="s">
        <v>279</v>
      </c>
      <c r="O31" s="28"/>
      <c r="P31" s="28"/>
      <c r="Q31" s="28"/>
      <c r="R31" s="28"/>
      <c r="S31" s="28"/>
      <c r="T31" s="28"/>
      <c r="U31" s="28"/>
      <c r="V31" s="28"/>
      <c r="W31" s="28"/>
      <c r="X31" s="28"/>
      <c r="Y31" s="28"/>
    </row>
    <row r="32" spans="1:25">
      <c r="A32" s="54">
        <v>29</v>
      </c>
      <c r="B32" s="71" t="s">
        <v>243</v>
      </c>
      <c r="C32" s="71" t="s">
        <v>280</v>
      </c>
      <c r="D32" s="71"/>
      <c r="E32" s="71"/>
      <c r="F32" s="71"/>
      <c r="G32" s="71"/>
      <c r="H32" s="28" t="s">
        <v>277</v>
      </c>
      <c r="I32" s="53" t="s">
        <v>281</v>
      </c>
      <c r="J32" s="261" t="s">
        <v>114</v>
      </c>
      <c r="K32" s="71"/>
      <c r="L32" s="71"/>
      <c r="M32" s="28" t="s">
        <v>98</v>
      </c>
      <c r="N32" s="67" t="s">
        <v>282</v>
      </c>
      <c r="O32" s="71"/>
      <c r="P32" s="71"/>
      <c r="Q32" s="71"/>
      <c r="R32" s="71"/>
      <c r="S32" s="71"/>
      <c r="T32" s="71"/>
      <c r="U32" s="71"/>
      <c r="V32" s="71"/>
      <c r="W32" s="71"/>
      <c r="X32" s="71"/>
      <c r="Y32" s="71"/>
    </row>
    <row r="33" spans="1:25">
      <c r="A33" s="53">
        <v>30</v>
      </c>
      <c r="B33" s="28" t="s">
        <v>243</v>
      </c>
      <c r="C33" s="28" t="s">
        <v>283</v>
      </c>
      <c r="D33" s="28"/>
      <c r="E33" s="28"/>
      <c r="F33" s="100"/>
      <c r="G33" s="28"/>
      <c r="H33" s="28" t="s">
        <v>277</v>
      </c>
      <c r="I33" s="53" t="s">
        <v>284</v>
      </c>
      <c r="J33" s="261" t="s">
        <v>114</v>
      </c>
      <c r="L33" s="28"/>
      <c r="M33" s="28" t="s">
        <v>98</v>
      </c>
      <c r="N33" s="67" t="s">
        <v>285</v>
      </c>
      <c r="O33" s="28"/>
      <c r="P33" s="28"/>
      <c r="Q33" s="28"/>
      <c r="R33" s="28"/>
      <c r="S33" s="28"/>
      <c r="T33" s="28"/>
      <c r="U33" s="28"/>
      <c r="V33" s="28"/>
      <c r="W33" s="28"/>
      <c r="X33" s="28"/>
      <c r="Y33" s="28"/>
    </row>
    <row r="34" spans="1:25">
      <c r="A34" s="53">
        <v>31</v>
      </c>
      <c r="B34" s="28" t="s">
        <v>243</v>
      </c>
      <c r="C34" s="28" t="s">
        <v>286</v>
      </c>
      <c r="D34" s="28"/>
      <c r="E34" s="28"/>
      <c r="F34" s="100"/>
      <c r="G34" s="28"/>
      <c r="H34" s="95" t="s">
        <v>277</v>
      </c>
      <c r="I34" s="95" t="s">
        <v>287</v>
      </c>
      <c r="J34" s="261" t="s">
        <v>114</v>
      </c>
      <c r="K34" s="28"/>
      <c r="L34" s="28"/>
      <c r="M34" s="28" t="s">
        <v>98</v>
      </c>
      <c r="N34" s="67" t="s">
        <v>288</v>
      </c>
      <c r="O34" s="28"/>
      <c r="P34" s="28"/>
      <c r="Q34" s="28"/>
      <c r="R34" s="28"/>
      <c r="S34" s="28"/>
      <c r="T34" s="28"/>
      <c r="U34" s="28"/>
      <c r="V34" s="28"/>
      <c r="W34" s="28"/>
      <c r="X34" s="28"/>
      <c r="Y34" s="28"/>
    </row>
    <row r="35" spans="1:25">
      <c r="A35" s="53">
        <v>32</v>
      </c>
      <c r="B35" s="28" t="s">
        <v>289</v>
      </c>
      <c r="C35" s="28" t="s">
        <v>289</v>
      </c>
      <c r="D35" s="28"/>
      <c r="E35" s="28"/>
      <c r="F35" s="100"/>
      <c r="G35" s="28"/>
      <c r="H35" s="28" t="s">
        <v>290</v>
      </c>
      <c r="I35" s="28" t="s">
        <v>291</v>
      </c>
      <c r="J35" s="261" t="s">
        <v>114</v>
      </c>
      <c r="K35" s="28"/>
      <c r="L35" s="28"/>
      <c r="M35" s="28" t="s">
        <v>98</v>
      </c>
      <c r="N35" s="67" t="s">
        <v>292</v>
      </c>
      <c r="O35" s="28"/>
      <c r="P35" s="28"/>
      <c r="Q35" s="28"/>
      <c r="R35" s="28"/>
      <c r="S35" s="28"/>
      <c r="T35" s="28"/>
      <c r="U35" s="28"/>
      <c r="V35" s="28"/>
      <c r="W35" s="28"/>
      <c r="X35" s="28"/>
      <c r="Y35" s="28"/>
    </row>
    <row r="36" spans="1:25">
      <c r="A36" s="53">
        <v>33</v>
      </c>
      <c r="B36" s="28"/>
      <c r="C36" s="28"/>
      <c r="D36" s="28"/>
      <c r="E36" s="28"/>
      <c r="F36" s="100"/>
      <c r="G36" s="28"/>
      <c r="H36" s="28" t="s">
        <v>290</v>
      </c>
      <c r="I36" s="28" t="s">
        <v>293</v>
      </c>
      <c r="J36" s="261" t="s">
        <v>114</v>
      </c>
      <c r="K36" s="28"/>
      <c r="L36" s="28"/>
      <c r="M36" s="28" t="s">
        <v>98</v>
      </c>
      <c r="N36" s="67" t="s">
        <v>294</v>
      </c>
      <c r="O36" s="28"/>
      <c r="P36" s="28"/>
      <c r="Q36" s="28"/>
      <c r="R36" s="28"/>
      <c r="S36" s="28"/>
      <c r="T36" s="28"/>
      <c r="U36" s="28"/>
      <c r="V36" s="28"/>
      <c r="W36" s="28"/>
      <c r="X36" s="28"/>
      <c r="Y36" s="28"/>
    </row>
    <row r="37" spans="1:25">
      <c r="A37" s="28">
        <v>34</v>
      </c>
      <c r="B37" s="95"/>
      <c r="C37" s="95"/>
      <c r="D37" s="95"/>
      <c r="E37" s="95"/>
      <c r="F37" s="28"/>
      <c r="G37" s="28"/>
      <c r="H37" s="28" t="s">
        <v>295</v>
      </c>
      <c r="I37" s="28" t="s">
        <v>296</v>
      </c>
      <c r="J37" s="261" t="s">
        <v>114</v>
      </c>
      <c r="K37" s="28"/>
      <c r="L37" s="28"/>
      <c r="M37" s="28" t="s">
        <v>98</v>
      </c>
      <c r="N37" s="67" t="s">
        <v>297</v>
      </c>
      <c r="O37" s="28"/>
      <c r="P37" s="28"/>
      <c r="Q37" s="28"/>
      <c r="R37" s="28"/>
      <c r="S37" s="28"/>
      <c r="T37" s="28"/>
      <c r="U37" s="28"/>
      <c r="V37" s="28"/>
      <c r="W37" s="28"/>
      <c r="X37" s="28"/>
      <c r="Y37" s="28"/>
    </row>
    <row r="38" spans="1:25">
      <c r="A38" s="28">
        <v>35</v>
      </c>
      <c r="B38" s="28"/>
      <c r="C38" s="28"/>
      <c r="D38" s="28"/>
      <c r="E38" s="28"/>
      <c r="F38" s="28"/>
      <c r="G38" s="28"/>
      <c r="H38" s="28" t="s">
        <v>295</v>
      </c>
      <c r="I38" s="28" t="s">
        <v>298</v>
      </c>
      <c r="J38" s="261" t="s">
        <v>114</v>
      </c>
      <c r="K38" s="28"/>
      <c r="L38" s="28"/>
      <c r="M38" s="28" t="s">
        <v>98</v>
      </c>
      <c r="N38" s="67" t="s">
        <v>299</v>
      </c>
      <c r="O38" s="28"/>
      <c r="P38" s="28"/>
      <c r="Q38" s="28"/>
      <c r="R38" s="28"/>
      <c r="S38" s="28"/>
      <c r="T38" s="28"/>
      <c r="U38" s="28"/>
      <c r="V38" s="28"/>
      <c r="W38" s="28"/>
      <c r="X38" s="28"/>
      <c r="Y38" s="28"/>
    </row>
    <row r="39" spans="1:25">
      <c r="A39" s="28">
        <v>36</v>
      </c>
      <c r="B39" s="28"/>
      <c r="C39" s="28"/>
      <c r="D39" s="28"/>
      <c r="E39" s="28"/>
      <c r="F39" s="28"/>
      <c r="G39" s="28"/>
      <c r="H39" s="28" t="s">
        <v>300</v>
      </c>
      <c r="I39" s="28" t="s">
        <v>301</v>
      </c>
      <c r="J39" s="261" t="s">
        <v>114</v>
      </c>
      <c r="K39" s="28"/>
      <c r="L39" s="28"/>
      <c r="M39" s="28" t="s">
        <v>98</v>
      </c>
      <c r="N39" s="67" t="s">
        <v>302</v>
      </c>
      <c r="O39" s="28"/>
      <c r="P39" s="28"/>
      <c r="Q39" s="28"/>
      <c r="R39" s="28"/>
      <c r="S39" s="28"/>
      <c r="T39" s="28"/>
      <c r="U39" s="28"/>
      <c r="V39" s="28"/>
      <c r="W39" s="28"/>
      <c r="X39" s="28"/>
      <c r="Y39" s="28"/>
    </row>
    <row r="40" spans="1:25">
      <c r="A40" s="28">
        <v>37</v>
      </c>
      <c r="B40" s="28"/>
      <c r="C40" s="28"/>
      <c r="D40" s="28"/>
      <c r="E40" s="28"/>
      <c r="F40" s="28"/>
      <c r="G40" s="28"/>
      <c r="H40" s="28" t="s">
        <v>300</v>
      </c>
      <c r="I40" s="28" t="s">
        <v>303</v>
      </c>
      <c r="J40" s="261" t="s">
        <v>114</v>
      </c>
      <c r="K40" s="28"/>
      <c r="L40" s="28"/>
      <c r="M40" s="28" t="s">
        <v>98</v>
      </c>
      <c r="N40" s="67" t="s">
        <v>304</v>
      </c>
      <c r="O40" s="28"/>
      <c r="P40" s="28"/>
      <c r="Q40" s="28"/>
      <c r="R40" s="28"/>
      <c r="S40" s="28"/>
      <c r="T40" s="28"/>
      <c r="U40" s="28"/>
      <c r="V40" s="28"/>
      <c r="W40" s="28"/>
      <c r="X40" s="28"/>
      <c r="Y40" s="28"/>
    </row>
    <row r="41" spans="1:25">
      <c r="A41" s="28">
        <v>38</v>
      </c>
      <c r="B41" s="28"/>
      <c r="C41" s="28"/>
      <c r="D41" s="28"/>
      <c r="E41" s="28"/>
      <c r="F41" s="28"/>
      <c r="G41" s="28"/>
      <c r="H41" s="71" t="s">
        <v>300</v>
      </c>
      <c r="I41" s="71" t="s">
        <v>305</v>
      </c>
      <c r="J41" s="261" t="s">
        <v>114</v>
      </c>
      <c r="K41" s="28"/>
      <c r="L41" s="28"/>
      <c r="M41" s="28" t="s">
        <v>98</v>
      </c>
      <c r="N41" s="67" t="s">
        <v>306</v>
      </c>
      <c r="O41" s="28"/>
      <c r="P41" s="28"/>
      <c r="Q41" s="28"/>
      <c r="R41" s="28"/>
      <c r="S41" s="28"/>
      <c r="T41" s="28"/>
      <c r="U41" s="28"/>
      <c r="V41" s="28"/>
      <c r="W41" s="28"/>
      <c r="X41" s="28"/>
      <c r="Y41" s="28"/>
    </row>
    <row r="42" spans="1:25">
      <c r="A42" s="28">
        <v>39</v>
      </c>
      <c r="B42" s="28"/>
      <c r="C42" s="28"/>
      <c r="D42" s="28"/>
      <c r="E42" s="28"/>
      <c r="F42" s="28"/>
      <c r="G42" s="28"/>
      <c r="H42" s="28" t="s">
        <v>300</v>
      </c>
      <c r="I42" s="28" t="s">
        <v>307</v>
      </c>
      <c r="J42" s="261" t="s">
        <v>114</v>
      </c>
      <c r="K42" s="28"/>
      <c r="L42" s="28"/>
      <c r="M42" s="28" t="s">
        <v>98</v>
      </c>
      <c r="N42" s="67" t="s">
        <v>308</v>
      </c>
      <c r="O42" s="28"/>
      <c r="P42" s="28"/>
      <c r="Q42" s="28"/>
      <c r="R42" s="28"/>
      <c r="S42" s="28"/>
      <c r="T42" s="28"/>
      <c r="U42" s="28"/>
      <c r="V42" s="28"/>
      <c r="W42" s="28"/>
      <c r="X42" s="28"/>
      <c r="Y42" s="28"/>
    </row>
    <row r="43" spans="1:25">
      <c r="A43" s="28">
        <v>40</v>
      </c>
      <c r="B43" s="28"/>
      <c r="C43" s="28"/>
      <c r="D43" s="28"/>
      <c r="E43" s="28"/>
      <c r="F43" s="28"/>
      <c r="G43" s="28"/>
      <c r="H43" s="28" t="s">
        <v>300</v>
      </c>
      <c r="I43" s="28" t="s">
        <v>309</v>
      </c>
      <c r="J43" s="261" t="s">
        <v>114</v>
      </c>
      <c r="K43" s="28"/>
      <c r="L43" s="28"/>
      <c r="M43" s="28" t="s">
        <v>98</v>
      </c>
      <c r="N43" s="67" t="s">
        <v>310</v>
      </c>
      <c r="O43" s="71"/>
      <c r="P43" s="71"/>
      <c r="Q43" s="71"/>
      <c r="R43" s="71"/>
      <c r="S43" s="71"/>
      <c r="T43" s="71"/>
      <c r="U43" s="71"/>
      <c r="V43" s="71"/>
      <c r="W43" s="71"/>
      <c r="X43" s="71"/>
      <c r="Y43" s="71"/>
    </row>
    <row r="44" spans="1:25">
      <c r="A44" s="71">
        <v>41</v>
      </c>
      <c r="B44" s="71"/>
      <c r="C44" s="71"/>
      <c r="D44" s="71"/>
      <c r="E44" s="71"/>
      <c r="F44" s="71"/>
      <c r="G44" s="71"/>
      <c r="H44" s="28" t="s">
        <v>300</v>
      </c>
      <c r="I44" s="28" t="s">
        <v>311</v>
      </c>
      <c r="J44" s="261" t="s">
        <v>114</v>
      </c>
      <c r="K44" s="71"/>
      <c r="L44" s="54"/>
      <c r="M44" s="28" t="s">
        <v>98</v>
      </c>
      <c r="N44" s="67" t="s">
        <v>312</v>
      </c>
      <c r="O44" s="28"/>
      <c r="P44" s="28"/>
      <c r="Q44" s="28"/>
      <c r="R44" s="28"/>
      <c r="S44" s="28"/>
      <c r="T44" s="28"/>
      <c r="U44" s="28"/>
      <c r="V44" s="28"/>
      <c r="W44" s="28"/>
      <c r="X44" s="28"/>
      <c r="Y44" s="28"/>
    </row>
    <row r="45" spans="1:25">
      <c r="A45" s="28">
        <v>42</v>
      </c>
      <c r="B45" s="28"/>
      <c r="C45" s="28"/>
      <c r="D45" s="28"/>
      <c r="E45" s="28"/>
      <c r="F45" s="28"/>
      <c r="G45" s="28"/>
      <c r="H45" s="28" t="s">
        <v>300</v>
      </c>
      <c r="I45" s="28" t="s">
        <v>313</v>
      </c>
      <c r="J45" s="261" t="s">
        <v>114</v>
      </c>
      <c r="K45" s="28"/>
      <c r="L45" s="53"/>
      <c r="M45" s="28" t="s">
        <v>98</v>
      </c>
      <c r="N45" s="67" t="s">
        <v>314</v>
      </c>
      <c r="O45" s="28"/>
      <c r="P45" s="28"/>
      <c r="Q45" s="28"/>
      <c r="R45" s="28"/>
      <c r="S45" s="28"/>
      <c r="T45" s="28"/>
      <c r="U45" s="28"/>
      <c r="V45" s="28"/>
      <c r="W45" s="28"/>
      <c r="X45" s="28"/>
      <c r="Y45" s="28"/>
    </row>
    <row r="46" spans="1:25">
      <c r="A46" s="28">
        <v>43</v>
      </c>
      <c r="B46" s="28"/>
      <c r="C46" s="28"/>
      <c r="D46" s="28"/>
      <c r="E46" s="28"/>
      <c r="F46" s="28"/>
      <c r="G46" s="28"/>
      <c r="H46" s="28" t="s">
        <v>315</v>
      </c>
      <c r="I46" s="28" t="s">
        <v>316</v>
      </c>
      <c r="J46" s="261" t="s">
        <v>114</v>
      </c>
      <c r="K46" s="28"/>
      <c r="L46" s="53"/>
      <c r="M46" s="28" t="s">
        <v>98</v>
      </c>
      <c r="N46" s="67" t="s">
        <v>317</v>
      </c>
      <c r="O46" s="28"/>
      <c r="P46" s="28"/>
      <c r="Q46" s="28"/>
      <c r="R46" s="28"/>
      <c r="S46" s="28"/>
      <c r="T46" s="28"/>
      <c r="U46" s="28"/>
      <c r="V46" s="28"/>
      <c r="W46" s="28"/>
      <c r="X46" s="28"/>
      <c r="Y46" s="28"/>
    </row>
    <row r="47" spans="1:25">
      <c r="A47" s="28">
        <v>44</v>
      </c>
      <c r="B47" s="28"/>
      <c r="C47" s="28"/>
      <c r="D47" s="28"/>
      <c r="E47" s="28"/>
      <c r="F47" s="28"/>
      <c r="G47" s="28"/>
      <c r="H47" s="28" t="s">
        <v>318</v>
      </c>
      <c r="I47" s="28" t="s">
        <v>319</v>
      </c>
      <c r="J47" s="261" t="s">
        <v>114</v>
      </c>
      <c r="K47" s="28"/>
      <c r="L47" s="53"/>
      <c r="M47" s="28" t="s">
        <v>98</v>
      </c>
      <c r="N47" s="67" t="s">
        <v>320</v>
      </c>
      <c r="O47" s="28"/>
      <c r="P47" s="28"/>
      <c r="Q47" s="28"/>
      <c r="R47" s="28"/>
      <c r="S47" s="28"/>
      <c r="T47" s="28"/>
      <c r="U47" s="28"/>
      <c r="V47" s="28"/>
      <c r="W47" s="28"/>
      <c r="X47" s="28"/>
      <c r="Y47" s="28"/>
    </row>
    <row r="48" spans="1:25">
      <c r="A48" s="28">
        <v>45</v>
      </c>
      <c r="B48" s="28"/>
      <c r="C48" s="28"/>
      <c r="D48" s="28"/>
      <c r="E48" s="28"/>
      <c r="F48" s="28"/>
      <c r="G48" s="28"/>
      <c r="H48" s="28" t="s">
        <v>321</v>
      </c>
      <c r="I48" s="28" t="s">
        <v>322</v>
      </c>
      <c r="J48" s="261" t="s">
        <v>114</v>
      </c>
      <c r="K48" s="28"/>
      <c r="L48" s="53"/>
      <c r="M48" s="28" t="s">
        <v>98</v>
      </c>
      <c r="N48" s="67" t="s">
        <v>323</v>
      </c>
      <c r="O48" s="28"/>
      <c r="P48" s="28"/>
      <c r="Q48" s="28"/>
      <c r="R48" s="28"/>
      <c r="S48" s="28"/>
      <c r="T48" s="28"/>
      <c r="U48" s="28"/>
      <c r="V48" s="28"/>
      <c r="W48" s="28"/>
      <c r="X48" s="28"/>
      <c r="Y48" s="28"/>
    </row>
    <row r="49" spans="1:25">
      <c r="A49" s="28">
        <v>46</v>
      </c>
      <c r="B49" s="28"/>
      <c r="C49" s="28"/>
      <c r="D49" s="28"/>
      <c r="E49" s="28"/>
      <c r="F49" s="28"/>
      <c r="G49" s="28"/>
      <c r="H49" s="28" t="s">
        <v>321</v>
      </c>
      <c r="I49" s="28" t="s">
        <v>324</v>
      </c>
      <c r="J49" s="261" t="s">
        <v>114</v>
      </c>
      <c r="K49" s="28"/>
      <c r="L49" s="53"/>
      <c r="M49" s="28" t="s">
        <v>98</v>
      </c>
      <c r="N49" s="67" t="s">
        <v>325</v>
      </c>
      <c r="O49" s="28"/>
      <c r="P49" s="28"/>
      <c r="Q49" s="28"/>
      <c r="R49" s="28"/>
      <c r="S49" s="28"/>
      <c r="T49" s="28"/>
      <c r="U49" s="28"/>
      <c r="V49" s="28"/>
      <c r="W49" s="28"/>
      <c r="X49" s="28"/>
      <c r="Y49" s="28"/>
    </row>
    <row r="50" spans="1:25">
      <c r="A50" s="28">
        <v>47</v>
      </c>
      <c r="B50" s="28"/>
      <c r="C50" s="28"/>
      <c r="D50" s="28"/>
      <c r="E50" s="28"/>
      <c r="F50" s="28"/>
      <c r="G50" s="28"/>
      <c r="H50" s="28" t="s">
        <v>326</v>
      </c>
      <c r="I50" s="28" t="s">
        <v>327</v>
      </c>
      <c r="J50" s="261" t="s">
        <v>114</v>
      </c>
      <c r="K50" s="28"/>
      <c r="L50" s="53"/>
      <c r="M50" s="28" t="s">
        <v>98</v>
      </c>
      <c r="N50" s="67" t="s">
        <v>328</v>
      </c>
      <c r="O50" s="28"/>
      <c r="P50" s="28"/>
      <c r="Q50" s="28"/>
      <c r="R50" s="28"/>
      <c r="S50" s="28"/>
      <c r="T50" s="28"/>
      <c r="U50" s="28"/>
      <c r="V50" s="28"/>
      <c r="W50" s="28"/>
      <c r="X50" s="28"/>
      <c r="Y50" s="28"/>
    </row>
    <row r="51" spans="1:25">
      <c r="A51" s="28">
        <v>48</v>
      </c>
      <c r="B51" s="28"/>
      <c r="C51" s="28"/>
      <c r="D51" s="28"/>
      <c r="E51" s="28"/>
      <c r="F51" s="28"/>
      <c r="G51" s="28"/>
      <c r="H51" s="28" t="s">
        <v>329</v>
      </c>
      <c r="I51" s="28" t="s">
        <v>330</v>
      </c>
      <c r="J51" s="261" t="s">
        <v>114</v>
      </c>
      <c r="K51" s="28"/>
      <c r="L51" s="53"/>
      <c r="M51" s="28" t="s">
        <v>98</v>
      </c>
      <c r="N51" s="67" t="s">
        <v>331</v>
      </c>
      <c r="O51" s="28"/>
      <c r="P51" s="28"/>
      <c r="Q51" s="28"/>
      <c r="R51" s="28"/>
      <c r="S51" s="28"/>
      <c r="T51" s="28"/>
      <c r="U51" s="28"/>
      <c r="V51" s="28"/>
      <c r="W51" s="28"/>
      <c r="X51" s="28"/>
      <c r="Y51" s="28"/>
    </row>
    <row r="52" spans="1:25">
      <c r="A52" s="28">
        <v>49</v>
      </c>
      <c r="B52" s="28"/>
      <c r="C52" s="28"/>
      <c r="D52" s="28"/>
      <c r="E52" s="28"/>
      <c r="F52" s="28"/>
      <c r="G52" s="28"/>
      <c r="H52" s="28" t="s">
        <v>332</v>
      </c>
      <c r="I52" s="28" t="s">
        <v>333</v>
      </c>
      <c r="J52" s="261" t="s">
        <v>114</v>
      </c>
      <c r="K52" s="28"/>
      <c r="L52" s="53"/>
      <c r="M52" s="28" t="s">
        <v>98</v>
      </c>
      <c r="N52" s="67" t="s">
        <v>334</v>
      </c>
      <c r="O52" s="28"/>
      <c r="P52" s="28"/>
      <c r="Q52" s="28"/>
      <c r="R52" s="28"/>
      <c r="S52" s="28"/>
      <c r="T52" s="28"/>
      <c r="U52" s="28"/>
      <c r="V52" s="28"/>
      <c r="W52" s="28"/>
      <c r="X52" s="28"/>
      <c r="Y52" s="28"/>
    </row>
    <row r="53" spans="1:25">
      <c r="A53" s="28">
        <v>50</v>
      </c>
      <c r="B53" s="28"/>
      <c r="C53" s="28"/>
      <c r="D53" s="28"/>
      <c r="E53" s="28"/>
      <c r="F53" s="28"/>
      <c r="G53" s="28"/>
      <c r="H53" s="71" t="s">
        <v>332</v>
      </c>
      <c r="I53" s="71" t="s">
        <v>335</v>
      </c>
      <c r="J53" s="261" t="s">
        <v>114</v>
      </c>
      <c r="K53" s="28"/>
      <c r="L53" s="53"/>
      <c r="M53" s="28" t="s">
        <v>98</v>
      </c>
      <c r="N53" s="67" t="s">
        <v>336</v>
      </c>
      <c r="O53" s="28"/>
      <c r="P53" s="28"/>
      <c r="Q53" s="28"/>
      <c r="R53" s="28"/>
      <c r="S53" s="28"/>
      <c r="T53" s="28"/>
      <c r="U53" s="28"/>
      <c r="V53" s="28"/>
      <c r="W53" s="28"/>
      <c r="X53" s="28"/>
      <c r="Y53" s="28"/>
    </row>
    <row r="54" spans="1:25">
      <c r="A54" s="28">
        <v>51</v>
      </c>
      <c r="B54" s="28"/>
      <c r="C54" s="28"/>
      <c r="D54" s="28"/>
      <c r="E54" s="28"/>
      <c r="F54" s="28"/>
      <c r="G54" s="28"/>
      <c r="H54" s="71" t="s">
        <v>337</v>
      </c>
      <c r="I54" s="28" t="s">
        <v>187</v>
      </c>
      <c r="J54" s="261" t="s">
        <v>114</v>
      </c>
      <c r="K54" s="28"/>
      <c r="L54" s="53"/>
      <c r="M54" s="28" t="s">
        <v>98</v>
      </c>
      <c r="N54" s="67" t="s">
        <v>338</v>
      </c>
      <c r="O54" s="28"/>
      <c r="P54" s="28"/>
      <c r="Q54" s="28"/>
      <c r="R54" s="28"/>
      <c r="S54" s="28"/>
      <c r="T54" s="28"/>
      <c r="U54" s="28"/>
      <c r="V54" s="28"/>
      <c r="W54" s="28"/>
      <c r="X54" s="28"/>
      <c r="Y54" s="28"/>
    </row>
    <row r="55" spans="1:25">
      <c r="A55" s="28">
        <v>52</v>
      </c>
      <c r="B55" s="28"/>
      <c r="C55" s="28"/>
      <c r="D55" s="28"/>
      <c r="E55" s="28"/>
      <c r="F55" s="28"/>
      <c r="G55" s="28"/>
      <c r="H55" s="71" t="s">
        <v>337</v>
      </c>
      <c r="I55" s="28" t="s">
        <v>198</v>
      </c>
      <c r="J55" s="261" t="s">
        <v>114</v>
      </c>
      <c r="K55" s="28"/>
      <c r="L55" s="53"/>
      <c r="M55" s="28" t="s">
        <v>98</v>
      </c>
      <c r="N55" s="67" t="s">
        <v>339</v>
      </c>
      <c r="O55" s="28"/>
      <c r="P55" s="28"/>
      <c r="Q55" s="28"/>
      <c r="R55" s="28"/>
      <c r="S55" s="28"/>
      <c r="T55" s="28"/>
      <c r="U55" s="28"/>
      <c r="V55" s="28"/>
      <c r="W55" s="28"/>
      <c r="X55" s="28"/>
      <c r="Y55" s="28"/>
    </row>
    <row r="56" spans="1:25">
      <c r="A56" s="28">
        <v>53</v>
      </c>
      <c r="B56" s="28"/>
      <c r="C56" s="28"/>
      <c r="D56" s="28"/>
      <c r="E56" s="28"/>
      <c r="F56" s="28"/>
      <c r="G56" s="28"/>
      <c r="H56" s="28" t="s">
        <v>340</v>
      </c>
      <c r="I56" s="28" t="s">
        <v>341</v>
      </c>
      <c r="J56" s="261" t="s">
        <v>114</v>
      </c>
      <c r="K56" s="28"/>
      <c r="L56" s="53"/>
      <c r="M56" s="28" t="s">
        <v>98</v>
      </c>
      <c r="N56" s="67" t="s">
        <v>342</v>
      </c>
      <c r="O56" s="28"/>
      <c r="P56" s="28"/>
      <c r="Q56" s="28"/>
      <c r="R56" s="28"/>
      <c r="S56" s="28"/>
      <c r="T56" s="28"/>
      <c r="U56" s="28"/>
      <c r="V56" s="28"/>
      <c r="W56" s="28"/>
      <c r="X56" s="28"/>
      <c r="Y56" s="28"/>
    </row>
    <row r="57" spans="1:25">
      <c r="A57" s="28">
        <v>54</v>
      </c>
      <c r="B57" s="28"/>
      <c r="C57" s="28"/>
      <c r="D57" s="28"/>
      <c r="E57" s="28"/>
      <c r="F57" s="28"/>
      <c r="G57" s="28"/>
      <c r="H57" s="28" t="s">
        <v>340</v>
      </c>
      <c r="I57" s="28" t="s">
        <v>343</v>
      </c>
      <c r="J57" s="261" t="s">
        <v>114</v>
      </c>
      <c r="K57" s="28"/>
      <c r="L57" s="53"/>
      <c r="M57" s="28" t="s">
        <v>98</v>
      </c>
      <c r="N57" s="67" t="s">
        <v>344</v>
      </c>
      <c r="O57" s="28"/>
      <c r="P57" s="28"/>
      <c r="Q57" s="28"/>
      <c r="R57" s="28"/>
      <c r="S57" s="28"/>
      <c r="T57" s="28"/>
      <c r="U57" s="28"/>
      <c r="V57" s="28"/>
      <c r="W57" s="28"/>
      <c r="X57" s="28"/>
      <c r="Y57" s="28"/>
    </row>
    <row r="58" spans="1:25">
      <c r="A58" s="28">
        <v>55</v>
      </c>
      <c r="B58" s="28"/>
      <c r="C58" s="28"/>
      <c r="D58" s="28"/>
      <c r="E58" s="28"/>
      <c r="F58" s="28"/>
      <c r="G58" s="28"/>
      <c r="H58" s="28" t="s">
        <v>340</v>
      </c>
      <c r="I58" s="28" t="s">
        <v>345</v>
      </c>
      <c r="J58" s="261" t="s">
        <v>114</v>
      </c>
      <c r="K58" s="28"/>
      <c r="L58" s="53"/>
      <c r="M58" s="28" t="s">
        <v>98</v>
      </c>
      <c r="N58" s="67" t="s">
        <v>339</v>
      </c>
      <c r="O58" s="28"/>
      <c r="P58" s="28"/>
      <c r="Q58" s="28"/>
      <c r="R58" s="28"/>
      <c r="S58" s="28"/>
      <c r="T58" s="28"/>
      <c r="U58" s="28"/>
      <c r="V58" s="28"/>
      <c r="W58" s="28"/>
      <c r="X58" s="28"/>
      <c r="Y58" s="28"/>
    </row>
    <row r="59" spans="1:25">
      <c r="A59" s="28">
        <v>56</v>
      </c>
      <c r="B59" s="28"/>
      <c r="C59" s="28"/>
      <c r="D59" s="28"/>
      <c r="E59" s="28"/>
      <c r="F59" s="28"/>
      <c r="G59" s="28"/>
      <c r="H59" s="28" t="s">
        <v>340</v>
      </c>
      <c r="I59" s="28" t="s">
        <v>346</v>
      </c>
      <c r="J59" s="261" t="s">
        <v>114</v>
      </c>
      <c r="K59" s="28"/>
      <c r="L59" s="53"/>
      <c r="M59" s="28" t="s">
        <v>98</v>
      </c>
      <c r="N59" s="67" t="s">
        <v>347</v>
      </c>
      <c r="O59" s="28"/>
      <c r="P59" s="28"/>
      <c r="Q59" s="28"/>
      <c r="R59" s="28"/>
      <c r="S59" s="28"/>
      <c r="T59" s="28"/>
      <c r="U59" s="28"/>
      <c r="V59" s="28"/>
      <c r="W59" s="28"/>
      <c r="X59" s="28"/>
      <c r="Y59" s="28"/>
    </row>
    <row r="60" spans="1:25">
      <c r="A60" s="28">
        <v>57</v>
      </c>
      <c r="B60" s="28"/>
      <c r="C60" s="28"/>
      <c r="D60" s="28"/>
      <c r="E60" s="28"/>
      <c r="F60" s="28"/>
      <c r="G60" s="28"/>
      <c r="H60" s="28" t="s">
        <v>348</v>
      </c>
      <c r="I60" s="28" t="s">
        <v>349</v>
      </c>
      <c r="J60" s="261" t="s">
        <v>114</v>
      </c>
      <c r="K60" s="28"/>
      <c r="L60" s="53"/>
      <c r="M60" s="28" t="s">
        <v>98</v>
      </c>
      <c r="N60" s="67" t="s">
        <v>350</v>
      </c>
      <c r="O60" s="28"/>
      <c r="P60" s="28"/>
      <c r="Q60" s="28"/>
      <c r="R60" s="28"/>
      <c r="S60" s="28"/>
      <c r="T60" s="28"/>
      <c r="U60" s="28"/>
      <c r="V60" s="28"/>
      <c r="W60" s="28"/>
      <c r="X60" s="28"/>
      <c r="Y60" s="28"/>
    </row>
    <row r="61" spans="1:25">
      <c r="A61" s="28">
        <v>58</v>
      </c>
      <c r="B61" s="28"/>
      <c r="C61" s="28"/>
      <c r="D61" s="28"/>
      <c r="E61" s="28"/>
      <c r="F61" s="28"/>
      <c r="G61" s="28"/>
      <c r="H61" s="28" t="s">
        <v>348</v>
      </c>
      <c r="I61" s="28" t="s">
        <v>351</v>
      </c>
      <c r="J61" s="261" t="s">
        <v>114</v>
      </c>
      <c r="K61" s="28"/>
      <c r="L61" s="53"/>
      <c r="M61" s="28" t="s">
        <v>98</v>
      </c>
      <c r="N61" s="214" t="s">
        <v>352</v>
      </c>
      <c r="O61" s="28"/>
      <c r="P61" s="28"/>
      <c r="Q61" s="28"/>
      <c r="R61" s="28"/>
      <c r="S61" s="28"/>
      <c r="T61" s="28"/>
      <c r="U61" s="28"/>
      <c r="V61" s="28"/>
      <c r="W61" s="28"/>
      <c r="X61" s="28"/>
      <c r="Y61" s="28"/>
    </row>
    <row r="62" spans="1:25">
      <c r="A62" s="28">
        <v>59</v>
      </c>
      <c r="B62" s="28"/>
      <c r="C62" s="28"/>
      <c r="D62" s="28"/>
      <c r="E62" s="28"/>
      <c r="F62" s="28"/>
      <c r="G62" s="28"/>
      <c r="H62" s="28" t="s">
        <v>348</v>
      </c>
      <c r="I62" s="28" t="s">
        <v>353</v>
      </c>
      <c r="J62" s="261" t="s">
        <v>114</v>
      </c>
      <c r="K62" s="28"/>
      <c r="L62" s="53"/>
      <c r="M62" s="28" t="s">
        <v>98</v>
      </c>
      <c r="N62" s="245" t="s">
        <v>354</v>
      </c>
      <c r="O62" s="28"/>
      <c r="P62" s="28"/>
      <c r="Q62" s="28"/>
      <c r="R62" s="28"/>
      <c r="S62" s="28"/>
      <c r="T62" s="28"/>
      <c r="U62" s="28"/>
      <c r="V62" s="28"/>
      <c r="W62" s="28"/>
      <c r="X62" s="28"/>
      <c r="Y62" s="28"/>
    </row>
    <row r="63" spans="1:25">
      <c r="A63" s="28"/>
      <c r="B63" s="28"/>
      <c r="C63" s="28"/>
      <c r="D63" s="28"/>
      <c r="E63" s="28"/>
      <c r="F63" s="28"/>
      <c r="G63" s="28"/>
      <c r="H63" s="28" t="s">
        <v>348</v>
      </c>
      <c r="I63" s="28" t="s">
        <v>355</v>
      </c>
      <c r="J63" s="261"/>
      <c r="K63" s="28"/>
      <c r="L63" s="53"/>
      <c r="M63" s="28"/>
      <c r="N63" s="245"/>
      <c r="O63" s="28"/>
      <c r="P63" s="28"/>
      <c r="Q63" s="28"/>
      <c r="R63" s="28"/>
      <c r="S63" s="28"/>
      <c r="T63" s="28"/>
      <c r="U63" s="28"/>
      <c r="V63" s="28"/>
      <c r="W63" s="28"/>
      <c r="X63" s="28"/>
      <c r="Y63" s="28"/>
    </row>
    <row r="64" spans="1:25">
      <c r="A64" s="28">
        <v>60</v>
      </c>
      <c r="B64" s="28"/>
      <c r="C64" s="28"/>
      <c r="D64" s="28"/>
      <c r="E64" s="28"/>
      <c r="F64" s="28"/>
      <c r="G64" s="28"/>
      <c r="H64" s="28" t="s">
        <v>356</v>
      </c>
      <c r="I64" s="28" t="s">
        <v>357</v>
      </c>
      <c r="J64" s="261" t="s">
        <v>114</v>
      </c>
      <c r="K64" s="28"/>
      <c r="L64" s="53"/>
      <c r="M64" s="28" t="s">
        <v>98</v>
      </c>
      <c r="N64" s="245" t="s">
        <v>358</v>
      </c>
      <c r="O64" s="28"/>
      <c r="P64" s="28"/>
      <c r="Q64" s="28"/>
      <c r="R64" s="28"/>
      <c r="S64" s="28"/>
      <c r="T64" s="28"/>
      <c r="U64" s="28"/>
      <c r="V64" s="28"/>
      <c r="W64" s="28"/>
      <c r="X64" s="28"/>
      <c r="Y64" s="28"/>
    </row>
    <row r="65" spans="1:25">
      <c r="A65" s="28">
        <v>61</v>
      </c>
      <c r="B65" s="28"/>
      <c r="C65" s="28"/>
      <c r="D65" s="28"/>
      <c r="E65" s="28"/>
      <c r="F65" s="28"/>
      <c r="G65" s="28"/>
      <c r="H65" s="28" t="s">
        <v>359</v>
      </c>
      <c r="I65" s="28" t="s">
        <v>360</v>
      </c>
      <c r="J65" s="261" t="s">
        <v>114</v>
      </c>
      <c r="K65" s="28"/>
      <c r="L65" s="53"/>
      <c r="M65" s="28" t="s">
        <v>98</v>
      </c>
      <c r="N65" s="245" t="s">
        <v>361</v>
      </c>
      <c r="O65" s="28"/>
      <c r="P65" s="28"/>
      <c r="Q65" s="28"/>
      <c r="R65" s="28"/>
      <c r="S65" s="28"/>
      <c r="T65" s="28"/>
      <c r="U65" s="28"/>
      <c r="V65" s="28"/>
      <c r="W65" s="28"/>
      <c r="X65" s="28"/>
      <c r="Y65" s="28"/>
    </row>
    <row r="66" spans="1:25">
      <c r="A66" s="28">
        <v>62</v>
      </c>
      <c r="B66" s="28"/>
      <c r="C66" s="28"/>
      <c r="D66" s="28"/>
      <c r="E66" s="28"/>
      <c r="F66" s="28"/>
      <c r="G66" s="28"/>
      <c r="H66" s="28" t="s">
        <v>362</v>
      </c>
      <c r="I66" s="28" t="s">
        <v>363</v>
      </c>
      <c r="J66" s="261" t="s">
        <v>114</v>
      </c>
      <c r="K66" s="28"/>
      <c r="L66" s="53"/>
      <c r="M66" s="28" t="s">
        <v>98</v>
      </c>
      <c r="N66" s="245" t="s">
        <v>364</v>
      </c>
      <c r="O66" s="28"/>
      <c r="P66" s="28"/>
      <c r="Q66" s="28"/>
      <c r="R66" s="28"/>
      <c r="S66" s="28"/>
      <c r="T66" s="28"/>
      <c r="U66" s="28"/>
      <c r="V66" s="28"/>
      <c r="W66" s="28"/>
      <c r="X66" s="28"/>
      <c r="Y66" s="28"/>
    </row>
    <row r="67" spans="1:25">
      <c r="A67" s="28">
        <v>63</v>
      </c>
      <c r="B67" s="28"/>
      <c r="C67" s="28"/>
      <c r="D67" s="28"/>
      <c r="E67" s="28"/>
      <c r="F67" s="28"/>
      <c r="G67" s="28"/>
      <c r="H67" s="28" t="s">
        <v>362</v>
      </c>
      <c r="I67" s="28" t="s">
        <v>365</v>
      </c>
      <c r="J67" s="261" t="s">
        <v>114</v>
      </c>
      <c r="K67" s="28"/>
      <c r="L67" s="53"/>
      <c r="M67" s="28" t="s">
        <v>98</v>
      </c>
      <c r="N67" s="245" t="s">
        <v>366</v>
      </c>
      <c r="O67" s="28"/>
      <c r="P67" s="28"/>
      <c r="Q67" s="28"/>
      <c r="R67" s="28"/>
      <c r="S67" s="28"/>
      <c r="T67" s="28"/>
      <c r="U67" s="28"/>
      <c r="V67" s="28"/>
      <c r="W67" s="28"/>
      <c r="X67" s="28"/>
      <c r="Y67" s="28"/>
    </row>
    <row r="68" spans="1:25">
      <c r="A68" s="28">
        <v>64</v>
      </c>
      <c r="B68" s="28"/>
      <c r="C68" s="28"/>
      <c r="D68" s="28"/>
      <c r="E68" s="28"/>
      <c r="F68" s="28"/>
      <c r="G68" s="28"/>
      <c r="H68" s="28" t="s">
        <v>362</v>
      </c>
      <c r="I68" s="28" t="s">
        <v>367</v>
      </c>
      <c r="J68" s="261" t="s">
        <v>114</v>
      </c>
      <c r="K68" s="28"/>
      <c r="L68" s="53"/>
      <c r="M68" s="28" t="s">
        <v>98</v>
      </c>
      <c r="N68" s="245" t="s">
        <v>368</v>
      </c>
      <c r="O68" s="28"/>
      <c r="P68" s="28"/>
      <c r="Q68" s="28"/>
      <c r="R68" s="28"/>
      <c r="S68" s="28"/>
      <c r="T68" s="28"/>
      <c r="U68" s="28"/>
      <c r="V68" s="28"/>
      <c r="W68" s="28"/>
      <c r="X68" s="28"/>
      <c r="Y68" s="28"/>
    </row>
    <row r="69" spans="1:25">
      <c r="A69" s="28">
        <v>65</v>
      </c>
      <c r="B69" s="28"/>
      <c r="C69" s="28"/>
      <c r="D69" s="28"/>
      <c r="E69" s="28"/>
      <c r="F69" s="28"/>
      <c r="G69" s="28"/>
      <c r="H69" s="28" t="s">
        <v>362</v>
      </c>
      <c r="I69" s="28" t="s">
        <v>369</v>
      </c>
      <c r="J69" s="261" t="s">
        <v>114</v>
      </c>
      <c r="K69" s="28"/>
      <c r="L69" s="53"/>
      <c r="M69" s="28" t="s">
        <v>98</v>
      </c>
      <c r="N69" s="245" t="s">
        <v>370</v>
      </c>
      <c r="O69" s="28"/>
      <c r="P69" s="28"/>
      <c r="Q69" s="28"/>
      <c r="R69" s="28"/>
      <c r="S69" s="28"/>
      <c r="T69" s="28"/>
      <c r="U69" s="28"/>
      <c r="V69" s="28"/>
      <c r="W69" s="28"/>
      <c r="X69" s="28"/>
      <c r="Y69" s="28"/>
    </row>
    <row r="70" spans="1:25">
      <c r="A70" s="28">
        <v>66</v>
      </c>
      <c r="B70" s="28"/>
      <c r="C70" s="28"/>
      <c r="D70" s="28"/>
      <c r="E70" s="28"/>
      <c r="F70" s="28"/>
      <c r="G70" s="28"/>
      <c r="H70" s="28" t="s">
        <v>371</v>
      </c>
      <c r="I70" s="28" t="s">
        <v>372</v>
      </c>
      <c r="J70" s="261" t="s">
        <v>114</v>
      </c>
      <c r="K70" s="28"/>
      <c r="L70" s="53"/>
      <c r="M70" s="28" t="s">
        <v>98</v>
      </c>
      <c r="N70" s="245" t="s">
        <v>373</v>
      </c>
      <c r="O70" s="28"/>
      <c r="P70" s="28"/>
      <c r="Q70" s="28"/>
      <c r="R70" s="28"/>
      <c r="S70" s="28"/>
      <c r="T70" s="28"/>
      <c r="U70" s="28"/>
      <c r="V70" s="28"/>
      <c r="W70" s="28"/>
      <c r="X70" s="28"/>
      <c r="Y70" s="28"/>
    </row>
    <row r="71" spans="1:25">
      <c r="A71" s="28">
        <v>67</v>
      </c>
      <c r="B71" s="28"/>
      <c r="C71" s="28"/>
      <c r="D71" s="28"/>
      <c r="E71" s="28"/>
      <c r="F71" s="28"/>
      <c r="G71" s="28"/>
      <c r="H71" s="28" t="s">
        <v>374</v>
      </c>
      <c r="I71" s="28" t="s">
        <v>375</v>
      </c>
      <c r="J71" s="261" t="s">
        <v>114</v>
      </c>
      <c r="K71" s="28"/>
      <c r="L71" s="53"/>
      <c r="M71" s="28" t="s">
        <v>98</v>
      </c>
      <c r="N71" s="245" t="s">
        <v>376</v>
      </c>
      <c r="O71" s="28"/>
      <c r="P71" s="28"/>
      <c r="Q71" s="28"/>
      <c r="R71" s="28"/>
      <c r="S71" s="28"/>
      <c r="T71" s="28"/>
      <c r="U71" s="28"/>
      <c r="V71" s="28"/>
      <c r="W71" s="28"/>
      <c r="X71" s="28"/>
      <c r="Y71" s="28"/>
    </row>
    <row r="72" spans="1:25">
      <c r="A72" s="28">
        <v>68</v>
      </c>
      <c r="B72" s="28"/>
      <c r="C72" s="28"/>
      <c r="D72" s="28"/>
      <c r="E72" s="28"/>
      <c r="F72" s="28"/>
      <c r="G72" s="28"/>
      <c r="H72" s="28" t="s">
        <v>377</v>
      </c>
      <c r="I72" s="28" t="s">
        <v>378</v>
      </c>
      <c r="J72" s="261" t="s">
        <v>114</v>
      </c>
      <c r="K72" s="28"/>
      <c r="L72" s="53"/>
      <c r="M72" s="28" t="s">
        <v>98</v>
      </c>
      <c r="N72" s="245" t="s">
        <v>379</v>
      </c>
      <c r="O72" s="28"/>
      <c r="P72" s="28"/>
      <c r="Q72" s="28"/>
      <c r="R72" s="28"/>
      <c r="S72" s="28"/>
      <c r="T72" s="28"/>
      <c r="U72" s="28"/>
      <c r="V72" s="28"/>
      <c r="W72" s="28"/>
      <c r="X72" s="28"/>
      <c r="Y72" s="28"/>
    </row>
    <row r="73" spans="1:25">
      <c r="A73" s="28">
        <v>69</v>
      </c>
      <c r="B73" s="28"/>
      <c r="C73" s="28"/>
      <c r="D73" s="28"/>
      <c r="E73" s="28"/>
      <c r="F73" s="28"/>
      <c r="G73" s="28"/>
      <c r="H73" s="28" t="s">
        <v>380</v>
      </c>
      <c r="I73" s="28" t="s">
        <v>381</v>
      </c>
      <c r="J73" s="261" t="s">
        <v>114</v>
      </c>
      <c r="K73" s="28"/>
      <c r="L73" s="53"/>
      <c r="M73" s="28" t="s">
        <v>98</v>
      </c>
      <c r="N73" s="245" t="s">
        <v>382</v>
      </c>
      <c r="O73" s="28"/>
      <c r="P73" s="28"/>
      <c r="Q73" s="28"/>
      <c r="R73" s="28"/>
      <c r="S73" s="28"/>
      <c r="T73" s="28"/>
      <c r="U73" s="28"/>
      <c r="V73" s="28"/>
      <c r="W73" s="28"/>
      <c r="X73" s="28"/>
      <c r="Y73" s="28"/>
    </row>
    <row r="74" spans="1:25">
      <c r="A74" s="28">
        <v>70</v>
      </c>
      <c r="B74" s="28"/>
      <c r="C74" s="28"/>
      <c r="D74" s="28"/>
      <c r="E74" s="28"/>
      <c r="F74" s="28"/>
      <c r="G74" s="28"/>
      <c r="H74" s="28" t="s">
        <v>383</v>
      </c>
      <c r="I74" s="28" t="s">
        <v>384</v>
      </c>
      <c r="J74" s="261" t="s">
        <v>114</v>
      </c>
      <c r="K74" s="28"/>
      <c r="L74" s="53"/>
      <c r="M74" s="28" t="s">
        <v>98</v>
      </c>
      <c r="N74" s="245" t="s">
        <v>385</v>
      </c>
      <c r="O74" s="28"/>
      <c r="P74" s="28"/>
      <c r="Q74" s="28"/>
      <c r="R74" s="28"/>
      <c r="S74" s="28"/>
      <c r="T74" s="28"/>
      <c r="U74" s="28"/>
      <c r="V74" s="28"/>
      <c r="W74" s="28"/>
      <c r="X74" s="28"/>
      <c r="Y74" s="28"/>
    </row>
    <row r="75" spans="1:25">
      <c r="A75" s="28">
        <v>71</v>
      </c>
      <c r="B75" s="28"/>
      <c r="C75" s="28"/>
      <c r="D75" s="28"/>
      <c r="E75" s="28"/>
      <c r="F75" s="28"/>
      <c r="G75" s="28"/>
      <c r="H75" s="28" t="s">
        <v>383</v>
      </c>
      <c r="I75" s="28" t="s">
        <v>386</v>
      </c>
      <c r="J75" s="261" t="s">
        <v>114</v>
      </c>
      <c r="K75" s="28"/>
      <c r="L75" s="53"/>
      <c r="M75" s="28" t="s">
        <v>98</v>
      </c>
      <c r="N75" s="245" t="s">
        <v>387</v>
      </c>
      <c r="O75" s="28"/>
      <c r="P75" s="28"/>
      <c r="Q75" s="28"/>
      <c r="R75" s="28"/>
      <c r="S75" s="28"/>
      <c r="T75" s="28"/>
      <c r="U75" s="28"/>
      <c r="V75" s="28"/>
      <c r="W75" s="28"/>
      <c r="X75" s="28"/>
      <c r="Y75" s="28"/>
    </row>
    <row r="76" spans="1:25">
      <c r="A76" s="28">
        <v>72</v>
      </c>
      <c r="B76" s="28"/>
      <c r="C76" s="28"/>
      <c r="D76" s="28"/>
      <c r="E76" s="28"/>
      <c r="F76" s="28"/>
      <c r="G76" s="28"/>
      <c r="H76" s="28" t="s">
        <v>388</v>
      </c>
      <c r="I76" s="28" t="s">
        <v>389</v>
      </c>
      <c r="J76" s="261" t="s">
        <v>114</v>
      </c>
      <c r="K76" s="28"/>
      <c r="L76" s="53"/>
      <c r="M76" s="28" t="s">
        <v>98</v>
      </c>
      <c r="N76" s="245" t="s">
        <v>390</v>
      </c>
      <c r="O76" s="28"/>
      <c r="P76" s="28"/>
      <c r="Q76" s="28"/>
      <c r="R76" s="28"/>
      <c r="S76" s="28"/>
      <c r="T76" s="28"/>
      <c r="U76" s="28"/>
      <c r="V76" s="28"/>
      <c r="W76" s="28"/>
      <c r="X76" s="28"/>
      <c r="Y76" s="28"/>
    </row>
    <row r="77" spans="1:25">
      <c r="A77" s="28">
        <v>73</v>
      </c>
      <c r="B77" s="28"/>
      <c r="C77" s="28"/>
      <c r="D77" s="28"/>
      <c r="E77" s="28"/>
      <c r="F77" s="28"/>
      <c r="G77" s="28"/>
      <c r="H77" s="28" t="s">
        <v>388</v>
      </c>
      <c r="I77" s="28" t="s">
        <v>391</v>
      </c>
      <c r="J77" s="261" t="s">
        <v>114</v>
      </c>
      <c r="K77" s="28"/>
      <c r="L77" s="53"/>
      <c r="M77" s="28" t="s">
        <v>98</v>
      </c>
      <c r="N77" s="245" t="s">
        <v>392</v>
      </c>
      <c r="O77" s="28"/>
      <c r="P77" s="28"/>
      <c r="Q77" s="28"/>
      <c r="R77" s="28"/>
      <c r="S77" s="28"/>
      <c r="T77" s="28"/>
      <c r="U77" s="28"/>
      <c r="V77" s="28"/>
      <c r="W77" s="28"/>
      <c r="X77" s="28"/>
      <c r="Y77" s="28"/>
    </row>
    <row r="78" spans="1:25">
      <c r="A78" s="28">
        <v>74</v>
      </c>
      <c r="B78" s="28"/>
      <c r="C78" s="28"/>
      <c r="D78" s="28"/>
      <c r="E78" s="28"/>
      <c r="F78" s="28"/>
      <c r="G78" s="28"/>
      <c r="H78" s="28" t="s">
        <v>388</v>
      </c>
      <c r="I78" s="28" t="s">
        <v>393</v>
      </c>
      <c r="J78" s="261" t="s">
        <v>114</v>
      </c>
      <c r="K78" s="28"/>
      <c r="L78" s="53"/>
      <c r="M78" s="28" t="s">
        <v>98</v>
      </c>
      <c r="N78" s="245" t="s">
        <v>394</v>
      </c>
      <c r="O78" s="28"/>
      <c r="P78" s="28"/>
      <c r="Q78" s="28"/>
      <c r="R78" s="28"/>
      <c r="S78" s="28"/>
      <c r="T78" s="28"/>
      <c r="U78" s="28"/>
      <c r="V78" s="28"/>
      <c r="W78" s="28"/>
      <c r="X78" s="28"/>
      <c r="Y78" s="28"/>
    </row>
    <row r="79" spans="1:25">
      <c r="A79" s="28">
        <v>75</v>
      </c>
      <c r="B79" s="28"/>
      <c r="C79" s="28"/>
      <c r="D79" s="28"/>
      <c r="E79" s="28"/>
      <c r="F79" s="28"/>
      <c r="G79" s="28"/>
      <c r="H79" s="28" t="s">
        <v>388</v>
      </c>
      <c r="I79" s="28" t="s">
        <v>395</v>
      </c>
      <c r="J79" s="261" t="s">
        <v>114</v>
      </c>
      <c r="K79" s="28"/>
      <c r="L79" s="53"/>
      <c r="M79" s="28" t="s">
        <v>98</v>
      </c>
      <c r="N79" s="245" t="s">
        <v>396</v>
      </c>
      <c r="O79" s="28"/>
      <c r="P79" s="28"/>
      <c r="Q79" s="28"/>
      <c r="R79" s="28"/>
      <c r="S79" s="28"/>
      <c r="T79" s="28"/>
      <c r="U79" s="28"/>
      <c r="V79" s="28"/>
      <c r="W79" s="28"/>
      <c r="X79" s="28"/>
      <c r="Y79" s="28"/>
    </row>
    <row r="80" spans="1:25">
      <c r="A80" s="28">
        <v>76</v>
      </c>
      <c r="B80" s="28"/>
      <c r="C80" s="28"/>
      <c r="D80" s="28"/>
      <c r="E80" s="28"/>
      <c r="F80" s="28"/>
      <c r="G80" s="28"/>
      <c r="H80" s="28" t="s">
        <v>388</v>
      </c>
      <c r="I80" s="28" t="s">
        <v>397</v>
      </c>
      <c r="J80" s="261" t="s">
        <v>114</v>
      </c>
      <c r="K80" s="28"/>
      <c r="L80" s="53"/>
      <c r="M80" s="28" t="s">
        <v>98</v>
      </c>
      <c r="N80" s="245" t="s">
        <v>398</v>
      </c>
      <c r="O80" s="28"/>
      <c r="P80" s="28"/>
      <c r="Q80" s="28"/>
      <c r="R80" s="28"/>
      <c r="S80" s="28"/>
      <c r="T80" s="28"/>
      <c r="U80" s="28"/>
      <c r="V80" s="28"/>
      <c r="W80" s="28"/>
      <c r="X80" s="28"/>
      <c r="Y80" s="28"/>
    </row>
    <row r="81" spans="1:25">
      <c r="A81" s="28">
        <v>77</v>
      </c>
      <c r="B81" s="28"/>
      <c r="C81" s="28"/>
      <c r="D81" s="28"/>
      <c r="E81" s="28"/>
      <c r="F81" s="28"/>
      <c r="G81" s="28"/>
      <c r="H81" s="28" t="s">
        <v>388</v>
      </c>
      <c r="I81" s="28" t="s">
        <v>399</v>
      </c>
      <c r="J81" s="261" t="s">
        <v>114</v>
      </c>
      <c r="K81" s="28"/>
      <c r="L81" s="53"/>
      <c r="M81" s="28" t="s">
        <v>98</v>
      </c>
      <c r="N81" s="245" t="s">
        <v>400</v>
      </c>
      <c r="O81" s="28"/>
      <c r="P81" s="28"/>
      <c r="Q81" s="28"/>
      <c r="R81" s="28"/>
      <c r="S81" s="28"/>
      <c r="T81" s="28"/>
      <c r="U81" s="28"/>
      <c r="V81" s="28"/>
      <c r="W81" s="28"/>
      <c r="X81" s="28"/>
      <c r="Y81" s="28"/>
    </row>
    <row r="82" spans="1:25">
      <c r="A82" s="28">
        <v>78</v>
      </c>
      <c r="B82" s="28"/>
      <c r="C82" s="28"/>
      <c r="D82" s="28"/>
      <c r="E82" s="28"/>
      <c r="F82" s="28"/>
      <c r="G82" s="28"/>
      <c r="H82" s="28"/>
      <c r="I82" s="28"/>
      <c r="J82" s="28"/>
      <c r="K82" s="28"/>
      <c r="L82" s="53"/>
      <c r="M82" s="28" t="s">
        <v>98</v>
      </c>
      <c r="N82" s="245" t="s">
        <v>401</v>
      </c>
      <c r="O82" s="28"/>
      <c r="P82" s="28"/>
      <c r="Q82" s="28"/>
      <c r="R82" s="28"/>
      <c r="S82" s="28"/>
      <c r="T82" s="28"/>
      <c r="U82" s="28"/>
      <c r="V82" s="28"/>
      <c r="W82" s="28"/>
      <c r="X82" s="28"/>
      <c r="Y82" s="28"/>
    </row>
    <row r="83" spans="1:25">
      <c r="A83" s="28"/>
      <c r="B83" s="28"/>
      <c r="C83" s="28"/>
      <c r="D83" s="28"/>
      <c r="E83" s="28"/>
      <c r="F83" s="28"/>
      <c r="G83" s="28"/>
      <c r="H83" s="28"/>
      <c r="I83" s="28"/>
      <c r="J83" s="28"/>
      <c r="K83" s="28"/>
      <c r="L83" s="53"/>
      <c r="M83" s="28" t="s">
        <v>98</v>
      </c>
      <c r="N83" s="245" t="s">
        <v>402</v>
      </c>
      <c r="O83" s="28"/>
      <c r="P83" s="28"/>
      <c r="Q83" s="28"/>
      <c r="R83" s="28"/>
      <c r="S83" s="28"/>
      <c r="T83" s="28"/>
      <c r="U83" s="28"/>
      <c r="V83" s="28"/>
      <c r="W83" s="28"/>
      <c r="X83" s="28"/>
      <c r="Y83" s="28"/>
    </row>
    <row r="84" spans="1:25">
      <c r="A84" s="28"/>
      <c r="B84" s="28"/>
      <c r="C84" s="28"/>
      <c r="D84" s="28"/>
      <c r="E84" s="28"/>
      <c r="F84" s="28"/>
      <c r="G84" s="28"/>
      <c r="H84" s="28"/>
      <c r="I84" s="28"/>
      <c r="J84" s="28"/>
      <c r="K84" s="28"/>
      <c r="L84" s="53"/>
      <c r="M84" s="28" t="s">
        <v>98</v>
      </c>
      <c r="N84" s="245" t="s">
        <v>403</v>
      </c>
      <c r="O84" s="28"/>
      <c r="P84" s="28"/>
      <c r="Q84" s="28"/>
      <c r="R84" s="28"/>
      <c r="S84" s="28"/>
      <c r="T84" s="28"/>
      <c r="U84" s="28"/>
      <c r="V84" s="28"/>
      <c r="W84" s="28"/>
      <c r="X84" s="28"/>
      <c r="Y84" s="28"/>
    </row>
    <row r="85" spans="1:25">
      <c r="A85" s="28"/>
      <c r="B85" s="28"/>
      <c r="C85" s="28"/>
      <c r="D85" s="28"/>
      <c r="E85" s="28"/>
      <c r="F85" s="28"/>
      <c r="G85" s="28"/>
      <c r="H85" s="28"/>
      <c r="I85" s="28"/>
      <c r="J85" s="28"/>
      <c r="K85" s="28"/>
      <c r="L85" s="53"/>
      <c r="M85" s="28" t="s">
        <v>98</v>
      </c>
      <c r="N85" s="245" t="s">
        <v>404</v>
      </c>
      <c r="O85" s="28"/>
      <c r="P85" s="28"/>
      <c r="Q85" s="28"/>
      <c r="R85" s="28"/>
      <c r="S85" s="28"/>
      <c r="T85" s="28"/>
      <c r="U85" s="28"/>
      <c r="V85" s="28"/>
      <c r="W85" s="28"/>
      <c r="X85" s="28"/>
      <c r="Y85" s="28"/>
    </row>
    <row r="86" spans="1:25">
      <c r="A86" s="28"/>
      <c r="B86" s="28"/>
      <c r="C86" s="28"/>
      <c r="D86" s="28"/>
      <c r="E86" s="28"/>
      <c r="F86" s="28"/>
      <c r="G86" s="28"/>
      <c r="H86" s="28"/>
      <c r="I86" s="28"/>
      <c r="J86" s="28"/>
      <c r="K86" s="28"/>
      <c r="L86" s="53"/>
      <c r="M86" s="28" t="s">
        <v>98</v>
      </c>
      <c r="N86" s="245" t="s">
        <v>405</v>
      </c>
      <c r="O86" s="28"/>
      <c r="P86" s="28"/>
      <c r="Q86" s="28"/>
      <c r="R86" s="28"/>
      <c r="S86" s="28"/>
      <c r="T86" s="28"/>
      <c r="U86" s="28"/>
      <c r="V86" s="28"/>
      <c r="W86" s="28"/>
      <c r="X86" s="28"/>
      <c r="Y86" s="28"/>
    </row>
    <row r="87" spans="1:25">
      <c r="A87" s="28"/>
      <c r="B87" s="28"/>
      <c r="C87" s="28"/>
      <c r="D87" s="28"/>
      <c r="E87" s="28"/>
      <c r="F87" s="28"/>
      <c r="G87" s="28"/>
      <c r="H87" s="28"/>
      <c r="I87" s="28"/>
      <c r="J87" s="28"/>
      <c r="K87" s="28"/>
      <c r="L87" s="53"/>
      <c r="M87" s="28" t="s">
        <v>98</v>
      </c>
      <c r="N87" s="245" t="s">
        <v>406</v>
      </c>
      <c r="O87" s="28"/>
      <c r="P87" s="28"/>
      <c r="Q87" s="28"/>
      <c r="R87" s="28"/>
      <c r="S87" s="28"/>
      <c r="T87" s="28"/>
      <c r="U87" s="28"/>
      <c r="V87" s="28"/>
      <c r="W87" s="28"/>
      <c r="X87" s="28"/>
      <c r="Y87" s="28"/>
    </row>
    <row r="88" spans="1:25">
      <c r="A88" s="28"/>
      <c r="B88" s="28"/>
      <c r="C88" s="28"/>
      <c r="D88" s="28"/>
      <c r="E88" s="28"/>
      <c r="F88" s="28"/>
      <c r="G88" s="28"/>
      <c r="H88" s="28"/>
      <c r="I88" s="28"/>
      <c r="J88" s="28"/>
      <c r="K88" s="28"/>
      <c r="L88" s="53"/>
      <c r="M88" s="28" t="s">
        <v>98</v>
      </c>
      <c r="N88" s="245" t="s">
        <v>407</v>
      </c>
      <c r="O88" s="28"/>
      <c r="P88" s="28"/>
      <c r="Q88" s="28"/>
      <c r="R88" s="28"/>
      <c r="S88" s="28"/>
      <c r="T88" s="28"/>
      <c r="U88" s="28"/>
      <c r="V88" s="28"/>
      <c r="W88" s="28"/>
      <c r="X88" s="28"/>
      <c r="Y88" s="28"/>
    </row>
    <row r="89" spans="1:25">
      <c r="A89" s="28"/>
      <c r="B89" s="28"/>
      <c r="C89" s="28"/>
      <c r="D89" s="28"/>
      <c r="E89" s="28"/>
      <c r="F89" s="28"/>
      <c r="G89" s="28"/>
      <c r="H89" s="28"/>
      <c r="I89" s="28"/>
      <c r="J89" s="28"/>
      <c r="K89" s="28"/>
      <c r="L89" s="53"/>
      <c r="M89" s="28" t="s">
        <v>98</v>
      </c>
      <c r="N89" s="245" t="s">
        <v>408</v>
      </c>
      <c r="O89" s="28"/>
      <c r="P89" s="28"/>
      <c r="Q89" s="28"/>
      <c r="R89" s="28"/>
      <c r="S89" s="28"/>
      <c r="T89" s="28"/>
      <c r="U89" s="28"/>
      <c r="V89" s="28"/>
      <c r="W89" s="28"/>
      <c r="X89" s="28"/>
      <c r="Y89" s="28"/>
    </row>
    <row r="90" spans="1:25">
      <c r="A90" s="28"/>
      <c r="B90" s="28"/>
      <c r="C90" s="28"/>
      <c r="D90" s="28"/>
      <c r="E90" s="28"/>
      <c r="F90" s="28"/>
      <c r="G90" s="28"/>
      <c r="H90" s="28"/>
      <c r="I90" s="28"/>
      <c r="J90" s="28"/>
      <c r="K90" s="28"/>
      <c r="L90" s="53"/>
      <c r="M90" s="28" t="s">
        <v>98</v>
      </c>
      <c r="N90" s="245" t="s">
        <v>409</v>
      </c>
      <c r="O90" s="28"/>
      <c r="P90" s="28"/>
      <c r="Q90" s="28"/>
      <c r="R90" s="28"/>
      <c r="S90" s="28"/>
      <c r="T90" s="28"/>
      <c r="U90" s="28"/>
      <c r="V90" s="28"/>
      <c r="W90" s="28"/>
      <c r="X90" s="28"/>
      <c r="Y90" s="28"/>
    </row>
    <row r="91" spans="1:25">
      <c r="A91" s="28"/>
      <c r="B91" s="28"/>
      <c r="C91" s="28"/>
      <c r="D91" s="28"/>
      <c r="E91" s="28"/>
      <c r="F91" s="28"/>
      <c r="G91" s="28"/>
      <c r="H91" s="28"/>
      <c r="I91" s="28"/>
      <c r="J91" s="28"/>
      <c r="K91" s="28"/>
      <c r="L91" s="53"/>
      <c r="M91" s="28" t="s">
        <v>98</v>
      </c>
      <c r="N91" s="245" t="s">
        <v>410</v>
      </c>
      <c r="O91" s="28"/>
      <c r="P91" s="28"/>
      <c r="Q91" s="28"/>
      <c r="R91" s="28"/>
      <c r="S91" s="28"/>
      <c r="T91" s="28"/>
      <c r="U91" s="28"/>
      <c r="V91" s="28"/>
      <c r="W91" s="28"/>
      <c r="X91" s="28"/>
      <c r="Y91" s="28"/>
    </row>
    <row r="92" spans="1:25">
      <c r="A92" s="28"/>
      <c r="B92" s="28"/>
      <c r="C92" s="28"/>
      <c r="D92" s="28"/>
      <c r="E92" s="28"/>
      <c r="F92" s="28"/>
      <c r="G92" s="28"/>
      <c r="H92" s="28"/>
      <c r="I92" s="28"/>
      <c r="J92" s="28"/>
      <c r="K92" s="28"/>
      <c r="L92" s="53"/>
      <c r="M92" s="28" t="s">
        <v>98</v>
      </c>
      <c r="N92" s="245" t="s">
        <v>411</v>
      </c>
      <c r="O92" s="28"/>
      <c r="P92" s="28"/>
      <c r="Q92" s="28"/>
      <c r="R92" s="28"/>
      <c r="S92" s="28"/>
      <c r="T92" s="28"/>
      <c r="U92" s="28"/>
      <c r="V92" s="28"/>
      <c r="W92" s="28"/>
      <c r="X92" s="28"/>
      <c r="Y92" s="28"/>
    </row>
    <row r="93" spans="1:25">
      <c r="A93" s="28"/>
      <c r="B93" s="28"/>
      <c r="C93" s="28"/>
      <c r="D93" s="28"/>
      <c r="E93" s="28"/>
      <c r="F93" s="28"/>
      <c r="G93" s="28"/>
      <c r="H93" s="28"/>
      <c r="I93" s="28"/>
      <c r="J93" s="28"/>
      <c r="K93" s="28"/>
      <c r="L93" s="53"/>
      <c r="M93" s="28" t="s">
        <v>98</v>
      </c>
      <c r="N93" s="245" t="s">
        <v>412</v>
      </c>
      <c r="O93" s="28"/>
      <c r="P93" s="28"/>
      <c r="Q93" s="28"/>
      <c r="R93" s="28"/>
      <c r="S93" s="28"/>
      <c r="T93" s="28"/>
      <c r="U93" s="28"/>
      <c r="V93" s="28"/>
      <c r="W93" s="28"/>
      <c r="X93" s="28"/>
      <c r="Y93" s="28"/>
    </row>
    <row r="94" spans="1:25">
      <c r="A94" s="28"/>
      <c r="B94" s="28"/>
      <c r="C94" s="28"/>
      <c r="D94" s="28"/>
      <c r="E94" s="28"/>
      <c r="F94" s="28"/>
      <c r="G94" s="28"/>
      <c r="H94" s="28"/>
      <c r="I94" s="28"/>
      <c r="J94" s="28"/>
      <c r="K94" s="28"/>
      <c r="L94" s="53"/>
      <c r="M94" s="28" t="s">
        <v>98</v>
      </c>
      <c r="N94" s="245" t="s">
        <v>413</v>
      </c>
      <c r="O94" s="28"/>
      <c r="P94" s="28"/>
      <c r="Q94" s="28"/>
      <c r="R94" s="28"/>
      <c r="S94" s="28"/>
      <c r="T94" s="28"/>
      <c r="U94" s="28"/>
      <c r="V94" s="28"/>
      <c r="W94" s="28"/>
      <c r="X94" s="28"/>
      <c r="Y94" s="28"/>
    </row>
    <row r="95" spans="1:25">
      <c r="A95" s="28"/>
      <c r="B95" s="28"/>
      <c r="C95" s="28"/>
      <c r="D95" s="28"/>
      <c r="E95" s="28"/>
      <c r="F95" s="28"/>
      <c r="G95" s="28"/>
      <c r="H95" s="28"/>
      <c r="I95" s="28"/>
      <c r="J95" s="28"/>
      <c r="K95" s="28"/>
      <c r="L95" s="53"/>
      <c r="M95" s="28" t="s">
        <v>98</v>
      </c>
      <c r="N95" s="245" t="s">
        <v>414</v>
      </c>
      <c r="O95" s="28"/>
      <c r="P95" s="28"/>
      <c r="Q95" s="28"/>
      <c r="R95" s="28"/>
      <c r="S95" s="28"/>
      <c r="T95" s="28"/>
      <c r="U95" s="28"/>
      <c r="V95" s="28"/>
      <c r="W95" s="28"/>
      <c r="X95" s="28"/>
      <c r="Y95" s="28"/>
    </row>
    <row r="96" spans="1:25">
      <c r="A96" s="28"/>
      <c r="B96" s="28"/>
      <c r="C96" s="28"/>
      <c r="D96" s="28"/>
      <c r="E96" s="28"/>
      <c r="F96" s="28"/>
      <c r="G96" s="28"/>
      <c r="H96" s="28"/>
      <c r="I96" s="28"/>
      <c r="J96" s="28"/>
      <c r="K96" s="28"/>
      <c r="L96" s="53"/>
      <c r="M96" s="28" t="s">
        <v>98</v>
      </c>
      <c r="N96" s="245" t="s">
        <v>415</v>
      </c>
      <c r="O96" s="28"/>
      <c r="P96" s="28"/>
      <c r="Q96" s="28"/>
      <c r="R96" s="28"/>
      <c r="S96" s="28"/>
      <c r="T96" s="28"/>
      <c r="U96" s="28"/>
      <c r="V96" s="28"/>
      <c r="W96" s="28"/>
      <c r="X96" s="28"/>
      <c r="Y96" s="28"/>
    </row>
    <row r="97" spans="1:25">
      <c r="A97" s="28"/>
      <c r="B97" s="28"/>
      <c r="C97" s="28"/>
      <c r="D97" s="28"/>
      <c r="E97" s="28"/>
      <c r="F97" s="28"/>
      <c r="G97" s="28"/>
      <c r="H97" s="28"/>
      <c r="I97" s="28"/>
      <c r="J97" s="28"/>
      <c r="K97" s="28"/>
      <c r="L97" s="53"/>
      <c r="M97" s="28" t="s">
        <v>98</v>
      </c>
      <c r="N97" s="245" t="s">
        <v>416</v>
      </c>
      <c r="O97" s="28"/>
      <c r="P97" s="28"/>
      <c r="Q97" s="28"/>
      <c r="R97" s="28"/>
      <c r="S97" s="28"/>
      <c r="T97" s="28"/>
      <c r="U97" s="28"/>
      <c r="V97" s="28"/>
      <c r="W97" s="28"/>
      <c r="X97" s="28"/>
      <c r="Y97" s="28"/>
    </row>
    <row r="98" spans="1:25">
      <c r="A98" s="28"/>
      <c r="B98" s="28"/>
      <c r="C98" s="28"/>
      <c r="D98" s="28"/>
      <c r="E98" s="28"/>
      <c r="F98" s="28"/>
      <c r="G98" s="28"/>
      <c r="H98" s="28"/>
      <c r="I98" s="28"/>
      <c r="J98" s="28"/>
      <c r="K98" s="28"/>
      <c r="L98" s="53"/>
      <c r="M98" s="28" t="s">
        <v>98</v>
      </c>
      <c r="N98" s="246" t="s">
        <v>417</v>
      </c>
      <c r="O98" s="28"/>
      <c r="P98" s="28"/>
      <c r="Q98" s="28"/>
      <c r="R98" s="28"/>
      <c r="S98" s="28"/>
      <c r="T98" s="28"/>
      <c r="U98" s="28"/>
      <c r="V98" s="28"/>
      <c r="W98" s="28"/>
      <c r="X98" s="28"/>
      <c r="Y98" s="28"/>
    </row>
    <row r="99" spans="1:25">
      <c r="A99" s="28"/>
      <c r="B99" s="28"/>
      <c r="C99" s="28"/>
      <c r="D99" s="28"/>
      <c r="E99" s="28"/>
      <c r="F99" s="28"/>
      <c r="G99" s="28"/>
      <c r="H99" s="28"/>
      <c r="I99" s="28"/>
      <c r="J99" s="28"/>
      <c r="K99" s="28"/>
      <c r="L99" s="53"/>
      <c r="M99" s="28" t="s">
        <v>418</v>
      </c>
      <c r="N99" s="213" t="s">
        <v>419</v>
      </c>
      <c r="O99" s="100"/>
      <c r="P99" s="28"/>
      <c r="Q99" s="28"/>
      <c r="R99" s="28"/>
      <c r="S99" s="28"/>
      <c r="T99" s="28"/>
      <c r="U99" s="28"/>
      <c r="V99" s="28"/>
      <c r="W99" s="28"/>
      <c r="X99" s="28"/>
      <c r="Y99" s="28"/>
    </row>
    <row r="100" spans="1:25">
      <c r="A100" s="28"/>
      <c r="B100" s="28"/>
      <c r="C100" s="28"/>
      <c r="D100" s="28"/>
      <c r="E100" s="28"/>
      <c r="F100" s="28"/>
      <c r="G100" s="28"/>
      <c r="H100" s="28"/>
      <c r="I100" s="28"/>
      <c r="J100" s="28"/>
      <c r="K100" s="28"/>
      <c r="L100" s="53"/>
      <c r="M100" s="28" t="s">
        <v>418</v>
      </c>
      <c r="N100" s="213" t="s">
        <v>420</v>
      </c>
      <c r="O100" s="100"/>
      <c r="P100" s="28"/>
      <c r="Q100" s="28"/>
      <c r="R100" s="28"/>
      <c r="S100" s="28"/>
      <c r="T100" s="28"/>
      <c r="U100" s="28"/>
      <c r="V100" s="28"/>
      <c r="W100" s="28"/>
      <c r="X100" s="28"/>
      <c r="Y100" s="28"/>
    </row>
    <row r="101" spans="1:25">
      <c r="A101" s="28"/>
      <c r="B101" s="28"/>
      <c r="C101" s="28"/>
      <c r="D101" s="28"/>
      <c r="E101" s="28"/>
      <c r="F101" s="28"/>
      <c r="G101" s="28"/>
      <c r="H101" s="28"/>
      <c r="I101" s="28"/>
      <c r="J101" s="28"/>
      <c r="K101" s="28"/>
      <c r="L101" s="53"/>
      <c r="M101" s="28" t="s">
        <v>418</v>
      </c>
      <c r="N101" s="213" t="s">
        <v>421</v>
      </c>
      <c r="O101" s="100"/>
      <c r="P101" s="28"/>
      <c r="Q101" s="28"/>
      <c r="R101" s="28"/>
      <c r="S101" s="28"/>
      <c r="T101" s="28"/>
      <c r="U101" s="28"/>
      <c r="V101" s="28"/>
      <c r="W101" s="28"/>
      <c r="X101" s="28"/>
      <c r="Y101" s="28"/>
    </row>
    <row r="102" spans="1:25">
      <c r="A102" s="28"/>
      <c r="B102" s="28"/>
      <c r="C102" s="28"/>
      <c r="D102" s="28"/>
      <c r="E102" s="28"/>
      <c r="F102" s="28"/>
      <c r="G102" s="28"/>
      <c r="H102" s="28"/>
      <c r="I102" s="28"/>
      <c r="J102" s="28"/>
      <c r="K102" s="28"/>
      <c r="L102" s="53"/>
      <c r="M102" s="28" t="s">
        <v>422</v>
      </c>
      <c r="N102" s="214" t="s">
        <v>423</v>
      </c>
      <c r="O102" s="100"/>
      <c r="P102" s="28"/>
      <c r="Q102" s="28"/>
      <c r="R102" s="28"/>
      <c r="S102" s="28"/>
      <c r="T102" s="28"/>
      <c r="U102" s="28"/>
      <c r="V102" s="28"/>
      <c r="W102" s="28"/>
      <c r="X102" s="28"/>
      <c r="Y102" s="28"/>
    </row>
    <row r="103" spans="1:25">
      <c r="A103" s="28"/>
      <c r="B103" s="28"/>
      <c r="C103" s="28"/>
      <c r="D103" s="28"/>
      <c r="E103" s="28"/>
      <c r="F103" s="28"/>
      <c r="G103" s="28"/>
      <c r="H103" s="28"/>
      <c r="I103" s="28"/>
      <c r="J103" s="28"/>
      <c r="K103" s="28"/>
      <c r="L103" s="53"/>
      <c r="M103" s="28" t="s">
        <v>424</v>
      </c>
      <c r="N103" s="214" t="s">
        <v>425</v>
      </c>
      <c r="O103" s="100"/>
      <c r="P103" s="28"/>
      <c r="Q103" s="28"/>
      <c r="R103" s="28"/>
      <c r="S103" s="28"/>
      <c r="T103" s="28"/>
      <c r="U103" s="28"/>
      <c r="V103" s="28"/>
      <c r="W103" s="28"/>
      <c r="X103" s="28"/>
      <c r="Y103" s="28"/>
    </row>
    <row r="104" spans="1:25">
      <c r="A104" s="28"/>
      <c r="B104" s="28"/>
      <c r="C104" s="28"/>
      <c r="D104" s="28"/>
      <c r="E104" s="28"/>
      <c r="F104" s="28"/>
      <c r="G104" s="28"/>
      <c r="H104" s="28"/>
      <c r="I104" s="28"/>
      <c r="J104" s="28"/>
      <c r="K104" s="28"/>
      <c r="L104" s="53"/>
      <c r="M104" s="28" t="s">
        <v>424</v>
      </c>
      <c r="N104" s="214" t="s">
        <v>426</v>
      </c>
      <c r="O104" s="100"/>
      <c r="P104" s="28"/>
      <c r="Q104" s="28"/>
      <c r="R104" s="28"/>
      <c r="S104" s="28"/>
      <c r="T104" s="28"/>
      <c r="U104" s="28"/>
      <c r="V104" s="28"/>
      <c r="W104" s="28"/>
      <c r="X104" s="28"/>
      <c r="Y104" s="28"/>
    </row>
    <row r="105" spans="1:25">
      <c r="A105" s="28"/>
      <c r="B105" s="28"/>
      <c r="C105" s="28"/>
      <c r="D105" s="28"/>
      <c r="E105" s="28"/>
      <c r="F105" s="28"/>
      <c r="G105" s="28"/>
      <c r="H105" s="28"/>
      <c r="I105" s="28"/>
      <c r="J105" s="28"/>
      <c r="K105" s="28"/>
      <c r="L105" s="53"/>
      <c r="M105" s="28" t="s">
        <v>424</v>
      </c>
      <c r="N105" s="214" t="s">
        <v>427</v>
      </c>
      <c r="O105" s="100"/>
      <c r="P105" s="28"/>
      <c r="Q105" s="28"/>
      <c r="R105" s="28"/>
      <c r="S105" s="28"/>
      <c r="T105" s="28"/>
      <c r="U105" s="28"/>
      <c r="V105" s="28"/>
      <c r="W105" s="28"/>
      <c r="X105" s="28"/>
      <c r="Y105" s="28"/>
    </row>
    <row r="106" spans="1:25">
      <c r="A106" s="28"/>
      <c r="B106" s="28"/>
      <c r="C106" s="28"/>
      <c r="D106" s="28"/>
      <c r="E106" s="28"/>
      <c r="F106" s="28"/>
      <c r="G106" s="28"/>
      <c r="H106" s="28"/>
      <c r="I106" s="28"/>
      <c r="J106" s="28"/>
      <c r="K106" s="28"/>
      <c r="L106" s="53"/>
      <c r="M106" s="28" t="s">
        <v>424</v>
      </c>
      <c r="N106" s="214" t="s">
        <v>428</v>
      </c>
      <c r="O106" s="100"/>
      <c r="P106" s="28"/>
      <c r="Q106" s="28"/>
      <c r="R106" s="28"/>
      <c r="S106" s="28"/>
      <c r="T106" s="28"/>
      <c r="U106" s="28"/>
      <c r="V106" s="28"/>
      <c r="W106" s="28"/>
      <c r="X106" s="28"/>
      <c r="Y106" s="28"/>
    </row>
    <row r="107" spans="1:25">
      <c r="A107" s="28"/>
      <c r="B107" s="28"/>
      <c r="C107" s="28"/>
      <c r="D107" s="28"/>
      <c r="E107" s="28"/>
      <c r="F107" s="28"/>
      <c r="G107" s="28"/>
      <c r="H107" s="28"/>
      <c r="I107" s="28"/>
      <c r="J107" s="28"/>
      <c r="K107" s="28"/>
      <c r="L107" s="53"/>
      <c r="M107" s="28" t="s">
        <v>424</v>
      </c>
      <c r="N107" s="214" t="s">
        <v>429</v>
      </c>
      <c r="O107" s="100"/>
      <c r="P107" s="28"/>
      <c r="Q107" s="28"/>
      <c r="R107" s="28"/>
      <c r="S107" s="28"/>
      <c r="T107" s="28"/>
      <c r="U107" s="28"/>
      <c r="V107" s="28"/>
      <c r="W107" s="28"/>
      <c r="X107" s="28"/>
      <c r="Y107" s="28"/>
    </row>
    <row r="108" spans="1:25">
      <c r="A108" s="28"/>
      <c r="B108" s="28"/>
      <c r="C108" s="28"/>
      <c r="D108" s="28"/>
      <c r="E108" s="28"/>
      <c r="F108" s="28"/>
      <c r="G108" s="28"/>
      <c r="H108" s="28"/>
      <c r="I108" s="28"/>
      <c r="J108" s="28"/>
      <c r="K108" s="28"/>
      <c r="L108" s="53"/>
      <c r="M108" s="28" t="s">
        <v>424</v>
      </c>
      <c r="N108" s="214" t="s">
        <v>430</v>
      </c>
      <c r="O108" s="100"/>
      <c r="P108" s="28"/>
      <c r="Q108" s="28"/>
      <c r="R108" s="28"/>
      <c r="S108" s="28"/>
      <c r="T108" s="28"/>
      <c r="U108" s="28"/>
      <c r="V108" s="28"/>
      <c r="W108" s="28"/>
      <c r="X108" s="28"/>
      <c r="Y108" s="28"/>
    </row>
    <row r="109" spans="1:25">
      <c r="A109" s="28"/>
      <c r="B109" s="28"/>
      <c r="C109" s="28"/>
      <c r="D109" s="28"/>
      <c r="E109" s="28"/>
      <c r="F109" s="28"/>
      <c r="G109" s="28"/>
      <c r="H109" s="28"/>
      <c r="I109" s="28"/>
      <c r="J109" s="28"/>
      <c r="K109" s="28"/>
      <c r="L109" s="53"/>
      <c r="M109" s="28" t="s">
        <v>424</v>
      </c>
      <c r="N109" s="214" t="s">
        <v>431</v>
      </c>
      <c r="O109" s="100"/>
      <c r="P109" s="28"/>
      <c r="Q109" s="28"/>
      <c r="R109" s="28"/>
      <c r="S109" s="28"/>
      <c r="T109" s="28"/>
      <c r="U109" s="28"/>
      <c r="V109" s="28"/>
      <c r="W109" s="28"/>
      <c r="X109" s="28"/>
      <c r="Y109" s="28"/>
    </row>
    <row r="110" spans="1:25">
      <c r="A110" s="28"/>
      <c r="B110" s="28"/>
      <c r="C110" s="28"/>
      <c r="D110" s="28"/>
      <c r="E110" s="28"/>
      <c r="F110" s="28"/>
      <c r="G110" s="28"/>
      <c r="H110" s="28"/>
      <c r="I110" s="28"/>
      <c r="J110" s="28"/>
      <c r="K110" s="28"/>
      <c r="L110" s="53"/>
      <c r="M110" s="28" t="s">
        <v>424</v>
      </c>
      <c r="N110" s="214" t="s">
        <v>432</v>
      </c>
      <c r="O110" s="100"/>
      <c r="P110" s="28"/>
      <c r="Q110" s="28"/>
      <c r="R110" s="28"/>
      <c r="S110" s="28"/>
      <c r="T110" s="28"/>
      <c r="U110" s="28"/>
      <c r="V110" s="28"/>
      <c r="W110" s="28"/>
      <c r="X110" s="28"/>
      <c r="Y110" s="28"/>
    </row>
    <row r="111" spans="1:25">
      <c r="A111" s="28"/>
      <c r="B111" s="28"/>
      <c r="C111" s="28"/>
      <c r="D111" s="28"/>
      <c r="E111" s="28"/>
      <c r="F111" s="28"/>
      <c r="G111" s="28"/>
      <c r="H111" s="28"/>
      <c r="I111" s="28"/>
      <c r="J111" s="28"/>
      <c r="K111" s="28"/>
      <c r="L111" s="53"/>
      <c r="M111" s="28" t="s">
        <v>424</v>
      </c>
      <c r="N111" s="214" t="s">
        <v>433</v>
      </c>
      <c r="O111" s="100"/>
      <c r="P111" s="28"/>
      <c r="Q111" s="28"/>
      <c r="R111" s="28"/>
      <c r="S111" s="28"/>
      <c r="T111" s="28"/>
      <c r="U111" s="28"/>
      <c r="V111" s="28"/>
      <c r="W111" s="28"/>
      <c r="X111" s="28"/>
      <c r="Y111" s="28"/>
    </row>
    <row r="112" spans="1:25">
      <c r="A112" s="28"/>
      <c r="B112" s="28"/>
      <c r="C112" s="28"/>
      <c r="D112" s="28"/>
      <c r="E112" s="28"/>
      <c r="F112" s="28"/>
      <c r="G112" s="28"/>
      <c r="H112" s="28"/>
      <c r="I112" s="28"/>
      <c r="J112" s="28"/>
      <c r="K112" s="28"/>
      <c r="L112" s="53"/>
      <c r="M112" s="28" t="s">
        <v>424</v>
      </c>
      <c r="N112" s="214" t="s">
        <v>434</v>
      </c>
      <c r="O112" s="100"/>
      <c r="P112" s="28"/>
      <c r="Q112" s="28"/>
      <c r="R112" s="28"/>
      <c r="S112" s="28"/>
      <c r="T112" s="28"/>
      <c r="U112" s="28"/>
      <c r="V112" s="28"/>
      <c r="W112" s="28"/>
      <c r="X112" s="28"/>
      <c r="Y112" s="28"/>
    </row>
    <row r="113" spans="1:25">
      <c r="A113" s="28"/>
      <c r="B113" s="28"/>
      <c r="C113" s="28"/>
      <c r="D113" s="28"/>
      <c r="E113" s="28"/>
      <c r="F113" s="28"/>
      <c r="G113" s="28"/>
      <c r="H113" s="28"/>
      <c r="I113" s="28"/>
      <c r="J113" s="28"/>
      <c r="K113" s="28"/>
      <c r="L113" s="53"/>
      <c r="M113" s="28" t="s">
        <v>424</v>
      </c>
      <c r="N113" s="214" t="s">
        <v>435</v>
      </c>
      <c r="O113" s="100"/>
      <c r="P113" s="28"/>
      <c r="Q113" s="28"/>
      <c r="R113" s="28"/>
      <c r="S113" s="28"/>
      <c r="T113" s="28"/>
      <c r="U113" s="28"/>
      <c r="V113" s="28"/>
      <c r="W113" s="28"/>
      <c r="X113" s="28"/>
      <c r="Y113" s="28"/>
    </row>
    <row r="114" spans="1:25">
      <c r="A114" s="28"/>
      <c r="B114" s="28"/>
      <c r="C114" s="28"/>
      <c r="D114" s="28"/>
      <c r="E114" s="28"/>
      <c r="F114" s="28"/>
      <c r="G114" s="28"/>
      <c r="H114" s="28"/>
      <c r="I114" s="28"/>
      <c r="J114" s="28"/>
      <c r="K114" s="28"/>
      <c r="L114" s="53"/>
      <c r="M114" s="71" t="s">
        <v>424</v>
      </c>
      <c r="N114" s="247" t="s">
        <v>436</v>
      </c>
      <c r="O114" s="100"/>
      <c r="P114" s="28"/>
      <c r="Q114" s="28"/>
      <c r="R114" s="28"/>
      <c r="S114" s="28"/>
      <c r="T114" s="28"/>
      <c r="U114" s="28"/>
      <c r="V114" s="28"/>
      <c r="W114" s="28"/>
      <c r="X114" s="28"/>
      <c r="Y114" s="28"/>
    </row>
    <row r="115" spans="1:25">
      <c r="A115" s="28"/>
      <c r="B115" s="28"/>
      <c r="C115" s="28"/>
      <c r="D115" s="28"/>
      <c r="E115" s="28"/>
      <c r="F115" s="28"/>
      <c r="G115" s="28"/>
      <c r="H115" s="28"/>
      <c r="I115" s="28"/>
      <c r="J115" s="28"/>
      <c r="K115" s="28"/>
      <c r="L115" s="53"/>
      <c r="M115" s="28" t="s">
        <v>437</v>
      </c>
      <c r="N115" s="215" t="s">
        <v>438</v>
      </c>
      <c r="O115" s="100"/>
      <c r="P115" s="28"/>
      <c r="Q115" s="28"/>
      <c r="R115" s="28"/>
      <c r="S115" s="28"/>
      <c r="T115" s="28"/>
      <c r="U115" s="28"/>
      <c r="V115" s="28"/>
      <c r="W115" s="28"/>
      <c r="X115" s="28"/>
      <c r="Y115" s="28"/>
    </row>
    <row r="116" spans="1:25">
      <c r="A116" s="28"/>
      <c r="B116" s="28"/>
      <c r="C116" s="28"/>
      <c r="D116" s="28"/>
      <c r="E116" s="28"/>
      <c r="F116" s="28"/>
      <c r="G116" s="28"/>
      <c r="H116" s="28"/>
      <c r="I116" s="28"/>
      <c r="J116" s="28"/>
      <c r="K116" s="28"/>
      <c r="L116" s="53"/>
      <c r="M116" s="28" t="s">
        <v>98</v>
      </c>
      <c r="N116" s="214" t="s">
        <v>24</v>
      </c>
      <c r="O116" s="100"/>
      <c r="P116" s="28"/>
      <c r="Q116" s="28"/>
      <c r="R116" s="28"/>
      <c r="S116" s="28"/>
      <c r="T116" s="28"/>
      <c r="U116" s="28"/>
      <c r="V116" s="28"/>
      <c r="W116" s="28"/>
      <c r="X116" s="28"/>
      <c r="Y116" s="28"/>
    </row>
    <row r="117" spans="1:25">
      <c r="A117" s="71"/>
      <c r="B117" s="71"/>
      <c r="C117" s="71"/>
      <c r="D117" s="71"/>
      <c r="E117" s="71"/>
      <c r="F117" s="71"/>
      <c r="G117" s="71"/>
      <c r="H117" s="71"/>
      <c r="I117" s="71"/>
      <c r="J117" s="71"/>
      <c r="K117" s="71"/>
      <c r="L117" s="54"/>
      <c r="M117" s="28" t="s">
        <v>98</v>
      </c>
      <c r="N117" s="214" t="s">
        <v>439</v>
      </c>
      <c r="O117" s="139"/>
      <c r="P117" s="71"/>
      <c r="Q117" s="71"/>
      <c r="R117" s="71"/>
      <c r="S117" s="71"/>
      <c r="T117" s="71"/>
      <c r="U117" s="71"/>
      <c r="V117" s="71"/>
      <c r="W117" s="71"/>
      <c r="X117" s="71"/>
      <c r="Y117" s="71"/>
    </row>
    <row r="118" spans="1:25">
      <c r="A118" s="28"/>
      <c r="B118" s="28"/>
      <c r="C118" s="28"/>
      <c r="D118" s="28"/>
      <c r="E118" s="28"/>
      <c r="F118" s="28"/>
      <c r="G118" s="28"/>
      <c r="H118" s="28"/>
      <c r="I118" s="28"/>
      <c r="J118" s="28"/>
      <c r="K118" s="28"/>
      <c r="L118" s="28"/>
      <c r="M118" s="28" t="s">
        <v>422</v>
      </c>
      <c r="N118" s="68" t="s">
        <v>440</v>
      </c>
      <c r="O118" s="28"/>
      <c r="P118" s="28"/>
      <c r="Q118" s="28"/>
      <c r="R118" s="28"/>
      <c r="S118" s="28"/>
      <c r="T118" s="28"/>
      <c r="U118" s="28"/>
      <c r="V118" s="28"/>
      <c r="W118" s="28"/>
      <c r="X118" s="28"/>
      <c r="Y118" s="28"/>
    </row>
    <row r="119" spans="1:25">
      <c r="A119" s="28"/>
      <c r="B119" s="28"/>
      <c r="C119" s="28"/>
      <c r="D119" s="28"/>
      <c r="E119" s="28"/>
      <c r="F119" s="28"/>
      <c r="G119" s="28"/>
      <c r="H119" s="28"/>
      <c r="I119" s="28"/>
      <c r="J119" s="28"/>
      <c r="K119" s="28"/>
      <c r="L119" s="28"/>
      <c r="M119" s="28" t="s">
        <v>98</v>
      </c>
      <c r="N119" s="73" t="s">
        <v>441</v>
      </c>
      <c r="O119" s="28"/>
      <c r="P119" s="28"/>
      <c r="Q119" s="28"/>
      <c r="R119" s="28"/>
      <c r="S119" s="28"/>
      <c r="T119" s="28"/>
      <c r="U119" s="28"/>
      <c r="V119" s="28"/>
      <c r="W119" s="28"/>
      <c r="X119" s="28"/>
      <c r="Y119" s="28"/>
    </row>
    <row r="120" spans="1:25">
      <c r="A120" s="28"/>
      <c r="B120" s="28"/>
      <c r="C120" s="28"/>
      <c r="D120" s="28"/>
      <c r="E120" s="28"/>
      <c r="F120" s="28"/>
      <c r="G120" s="28"/>
      <c r="H120" s="28"/>
      <c r="I120" s="28"/>
      <c r="J120" s="28"/>
      <c r="K120" s="28"/>
      <c r="L120" s="28"/>
      <c r="M120" s="28" t="s">
        <v>98</v>
      </c>
      <c r="N120" s="74" t="s">
        <v>442</v>
      </c>
      <c r="O120" s="28"/>
      <c r="P120" s="28"/>
      <c r="Q120" s="28"/>
      <c r="R120" s="28"/>
      <c r="S120" s="28"/>
      <c r="T120" s="28"/>
      <c r="U120" s="28"/>
      <c r="V120" s="28"/>
      <c r="W120" s="28"/>
      <c r="X120" s="28"/>
      <c r="Y120" s="28"/>
    </row>
    <row r="121" spans="1:25">
      <c r="A121" s="28"/>
      <c r="B121" s="28"/>
      <c r="C121" s="28"/>
      <c r="D121" s="28"/>
      <c r="E121" s="28"/>
      <c r="F121" s="28"/>
      <c r="G121" s="28"/>
      <c r="H121" s="28"/>
      <c r="I121" s="28"/>
      <c r="J121" s="28"/>
      <c r="K121" s="28"/>
      <c r="L121" s="28"/>
      <c r="M121" s="53" t="s">
        <v>98</v>
      </c>
      <c r="N121" s="101" t="s">
        <v>443</v>
      </c>
      <c r="O121" s="28"/>
      <c r="P121" s="28"/>
      <c r="Q121" s="28"/>
      <c r="R121" s="28"/>
      <c r="S121" s="28"/>
      <c r="T121" s="28"/>
      <c r="U121" s="28"/>
      <c r="V121" s="28"/>
      <c r="W121" s="28"/>
      <c r="X121" s="28"/>
      <c r="Y121" s="28"/>
    </row>
    <row r="122" spans="1:25">
      <c r="A122" s="28"/>
      <c r="B122" s="28"/>
      <c r="C122" s="28"/>
      <c r="D122" s="28"/>
      <c r="E122" s="28"/>
      <c r="F122" s="28"/>
      <c r="G122" s="28"/>
      <c r="H122" s="28"/>
      <c r="I122" s="28"/>
      <c r="J122" s="28"/>
      <c r="K122" s="28"/>
      <c r="L122" s="28"/>
      <c r="M122" s="53" t="s">
        <v>444</v>
      </c>
      <c r="N122" s="101" t="s">
        <v>445</v>
      </c>
      <c r="O122" s="28"/>
      <c r="P122" s="28"/>
      <c r="Q122" s="28"/>
      <c r="R122" s="28"/>
      <c r="S122" s="28"/>
      <c r="T122" s="28"/>
      <c r="U122" s="28"/>
      <c r="V122" s="28"/>
      <c r="W122" s="28"/>
      <c r="X122" s="28"/>
      <c r="Y122" s="28"/>
    </row>
    <row r="123" spans="1:25">
      <c r="A123" s="28"/>
      <c r="B123" s="28"/>
      <c r="C123" s="28"/>
      <c r="D123" s="28"/>
      <c r="E123" s="28"/>
      <c r="F123" s="28"/>
      <c r="G123" s="28"/>
      <c r="H123" s="28"/>
      <c r="I123" s="28"/>
      <c r="J123" s="28"/>
      <c r="K123" s="28"/>
      <c r="L123" s="28"/>
      <c r="M123" s="53" t="s">
        <v>98</v>
      </c>
      <c r="N123" s="102" t="s">
        <v>446</v>
      </c>
      <c r="O123" s="28"/>
      <c r="P123" s="28"/>
      <c r="Q123" s="28"/>
      <c r="R123" s="28"/>
      <c r="S123" s="28"/>
      <c r="T123" s="28"/>
      <c r="U123" s="28"/>
      <c r="V123" s="28"/>
      <c r="W123" s="28"/>
      <c r="X123" s="28"/>
      <c r="Y123" s="28"/>
    </row>
    <row r="124" spans="1:25">
      <c r="A124" s="28"/>
      <c r="B124" s="28"/>
      <c r="C124" s="28"/>
      <c r="D124" s="28"/>
      <c r="E124" s="28"/>
      <c r="F124" s="28"/>
      <c r="G124" s="28"/>
      <c r="H124" s="28"/>
      <c r="I124" s="28"/>
      <c r="J124" s="28"/>
      <c r="K124" s="28"/>
      <c r="L124" s="28"/>
      <c r="M124" s="53" t="s">
        <v>98</v>
      </c>
      <c r="N124" s="101" t="s">
        <v>447</v>
      </c>
      <c r="O124" s="100"/>
      <c r="P124" s="28"/>
      <c r="Q124" s="28"/>
      <c r="R124" s="28"/>
      <c r="S124" s="28"/>
      <c r="T124" s="28"/>
      <c r="U124" s="28"/>
      <c r="V124" s="28"/>
      <c r="W124" s="28"/>
      <c r="X124" s="28"/>
      <c r="Y124" s="28"/>
    </row>
    <row r="125" spans="1:25">
      <c r="A125" s="71"/>
      <c r="B125" s="71"/>
      <c r="C125" s="71"/>
      <c r="D125" s="71"/>
      <c r="E125" s="71"/>
      <c r="F125" s="71"/>
      <c r="G125" s="71"/>
      <c r="H125" s="71"/>
      <c r="I125" s="71"/>
      <c r="J125" s="71"/>
      <c r="K125" s="71"/>
      <c r="L125" s="71"/>
      <c r="M125" s="54" t="s">
        <v>444</v>
      </c>
      <c r="N125" s="312" t="s">
        <v>448</v>
      </c>
      <c r="O125" s="139"/>
      <c r="P125" s="71"/>
      <c r="Q125" s="71"/>
      <c r="R125" s="71"/>
      <c r="S125" s="71"/>
      <c r="T125" s="71"/>
      <c r="U125" s="71"/>
      <c r="V125" s="71"/>
      <c r="W125" s="71"/>
      <c r="X125" s="71"/>
      <c r="Y125" s="71"/>
    </row>
    <row r="126" spans="1:25">
      <c r="A126" s="28"/>
      <c r="B126" s="28"/>
      <c r="C126" s="28"/>
      <c r="D126" s="28"/>
      <c r="E126" s="28"/>
      <c r="F126" s="28"/>
      <c r="G126" s="28"/>
      <c r="H126" s="28"/>
      <c r="I126" s="28"/>
      <c r="J126" s="28"/>
      <c r="K126" s="28"/>
      <c r="L126" s="28"/>
      <c r="M126" s="28" t="s">
        <v>444</v>
      </c>
      <c r="N126" s="101" t="s">
        <v>449</v>
      </c>
      <c r="O126" s="28"/>
      <c r="P126" s="28"/>
      <c r="Q126" s="28"/>
      <c r="R126" s="28"/>
      <c r="S126" s="28"/>
      <c r="T126" s="28"/>
      <c r="U126" s="28"/>
      <c r="V126" s="28"/>
      <c r="W126" s="28"/>
      <c r="X126" s="28"/>
      <c r="Y126" s="28"/>
    </row>
    <row r="127" spans="1:25">
      <c r="A127" s="28"/>
      <c r="B127" s="28"/>
      <c r="C127" s="28"/>
      <c r="D127" s="28"/>
      <c r="E127" s="28"/>
      <c r="F127" s="28"/>
      <c r="G127" s="28"/>
      <c r="H127" s="28"/>
      <c r="I127" s="28"/>
      <c r="J127" s="28"/>
      <c r="K127" s="28"/>
      <c r="L127" s="28"/>
      <c r="M127" s="28" t="s">
        <v>444</v>
      </c>
      <c r="N127" s="101" t="s">
        <v>450</v>
      </c>
      <c r="O127" s="28"/>
      <c r="P127" s="28"/>
      <c r="Q127" s="28"/>
      <c r="R127" s="28"/>
      <c r="S127" s="28"/>
      <c r="T127" s="28"/>
      <c r="U127" s="28"/>
      <c r="V127" s="28"/>
      <c r="W127" s="28"/>
      <c r="X127" s="28"/>
      <c r="Y127" s="28"/>
    </row>
    <row r="128" spans="1:25">
      <c r="A128" s="28"/>
      <c r="B128" s="28"/>
      <c r="C128" s="28"/>
      <c r="D128" s="28"/>
      <c r="E128" s="28"/>
      <c r="F128" s="28"/>
      <c r="G128" s="28"/>
      <c r="H128" s="28"/>
      <c r="I128" s="28"/>
      <c r="J128" s="28"/>
      <c r="K128" s="28"/>
      <c r="L128" s="28"/>
      <c r="M128" s="28" t="s">
        <v>444</v>
      </c>
      <c r="N128" s="101" t="s">
        <v>451</v>
      </c>
      <c r="O128" s="28"/>
      <c r="P128" s="28"/>
      <c r="Q128" s="28"/>
      <c r="R128" s="28"/>
      <c r="S128" s="28"/>
      <c r="T128" s="28"/>
      <c r="U128" s="28"/>
      <c r="V128" s="28"/>
      <c r="W128" s="28"/>
      <c r="X128" s="28"/>
      <c r="Y128" s="28"/>
    </row>
    <row r="129" spans="1:25">
      <c r="A129" s="28"/>
      <c r="B129" s="28"/>
      <c r="C129" s="28"/>
      <c r="D129" s="28"/>
      <c r="E129" s="28"/>
      <c r="F129" s="28"/>
      <c r="G129" s="28"/>
      <c r="H129" s="28"/>
      <c r="I129" s="28"/>
      <c r="J129" s="28"/>
      <c r="K129" s="28"/>
      <c r="L129" s="28"/>
      <c r="M129" s="28" t="s">
        <v>444</v>
      </c>
      <c r="N129" s="28" t="s">
        <v>452</v>
      </c>
      <c r="O129" s="28"/>
      <c r="P129" s="28"/>
      <c r="Q129" s="28"/>
      <c r="R129" s="28"/>
      <c r="S129" s="28"/>
      <c r="T129" s="28"/>
      <c r="U129" s="28"/>
      <c r="V129" s="28"/>
      <c r="W129" s="28"/>
      <c r="X129" s="28"/>
      <c r="Y129" s="28"/>
    </row>
    <row r="130" spans="1:25">
      <c r="M130" s="71" t="s">
        <v>422</v>
      </c>
      <c r="N130" s="12" t="s">
        <v>453</v>
      </c>
    </row>
    <row r="222" spans="13:13">
      <c r="M222" s="28" t="s">
        <v>454</v>
      </c>
    </row>
    <row r="223" spans="13:13">
      <c r="M223" s="28" t="s">
        <v>98</v>
      </c>
    </row>
    <row r="224" spans="13:13">
      <c r="M224" s="28" t="s">
        <v>424</v>
      </c>
    </row>
    <row r="225" spans="13:13">
      <c r="M225" s="28" t="s">
        <v>418</v>
      </c>
    </row>
    <row r="226" spans="13:13">
      <c r="M226" s="28" t="s">
        <v>437</v>
      </c>
    </row>
    <row r="227" spans="13:13">
      <c r="M227" s="28" t="s">
        <v>444</v>
      </c>
    </row>
  </sheetData>
  <mergeCells count="1">
    <mergeCell ref="A2:A3"/>
  </mergeCells>
  <dataValidations count="2">
    <dataValidation allowBlank="1" showInputMessage="1" showErrorMessage="1" sqref="M222:M227 H83:K1048576 M1:N3 R83:W1048576 O1:Y82 A1:L82" xr:uid="{10E4A33A-280C-4C91-89FC-4563C8E8A4C6}"/>
    <dataValidation type="list" allowBlank="1" showInputMessage="1" showErrorMessage="1" sqref="M4:M149" xr:uid="{CFE5A95A-9AF6-4E05-AA3E-B3D6D54C0F48}">
      <formula1>"Revit, Cad, Civil3D, NavisWorks, Desktop App, Web App"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AD2F8-35F3-4EAF-81BF-FAEF19989786}">
  <dimension ref="A1:H651"/>
  <sheetViews>
    <sheetView workbookViewId="0">
      <pane ySplit="2" topLeftCell="A3" activePane="bottomLeft" state="frozen"/>
      <selection pane="bottomLeft" activeCell="A4" sqref="A4"/>
    </sheetView>
  </sheetViews>
  <sheetFormatPr defaultRowHeight="15"/>
  <cols>
    <col min="1" max="1" width="35.7109375" bestFit="1" customWidth="1"/>
    <col min="2" max="2" width="6.85546875" bestFit="1" customWidth="1"/>
    <col min="3" max="3" width="19" bestFit="1" customWidth="1"/>
    <col min="4" max="4" width="30.140625" bestFit="1" customWidth="1"/>
    <col min="5" max="5" width="63.85546875" bestFit="1" customWidth="1"/>
    <col min="6" max="6" width="10.140625" bestFit="1" customWidth="1"/>
    <col min="7" max="7" width="36.140625" bestFit="1" customWidth="1"/>
    <col min="8" max="8" width="15.28515625" bestFit="1" customWidth="1"/>
    <col min="16378" max="16378" width="9.140625" bestFit="1" customWidth="1"/>
  </cols>
  <sheetData>
    <row r="1" spans="1:8">
      <c r="A1" s="90"/>
      <c r="B1" s="90"/>
      <c r="C1" s="90" t="s">
        <v>455</v>
      </c>
      <c r="D1" s="90"/>
      <c r="E1" s="90"/>
      <c r="F1" s="90"/>
      <c r="G1" s="91"/>
      <c r="H1" s="90"/>
    </row>
    <row r="2" spans="1:8">
      <c r="A2" s="3" t="s">
        <v>456</v>
      </c>
      <c r="B2" s="3" t="s">
        <v>457</v>
      </c>
      <c r="C2" s="3" t="s">
        <v>458</v>
      </c>
      <c r="D2" s="3" t="s">
        <v>51</v>
      </c>
      <c r="E2" s="3" t="s">
        <v>52</v>
      </c>
      <c r="F2" s="3" t="s">
        <v>53</v>
      </c>
      <c r="G2" s="3" t="s">
        <v>54</v>
      </c>
      <c r="H2" s="41" t="s">
        <v>88</v>
      </c>
    </row>
    <row r="3" spans="1:8">
      <c r="A3" t="str" cm="1">
        <f t="array" ref="A3:H651">_xlfn.VSTACK(
_xlfn._xlws.FILTER('Bảng 1'!$A$3:H100000,'Bảng 1'!$C$3:C100000&lt;&gt;""),
_xlfn._xlws.FILTER('Bảng 2'!$A$3:H99999,'Bảng 2'!$C$3:C99999&lt;&gt;""),
_xlfn._xlws.FILTER('Bảng 3'!$A$3:H100040,'Bảng 3'!$C$3:C100040&lt;&gt;""),
_xlfn._xlws.FILTER('Bảng 4'!$A$3:H100000,'Bảng 4'!$C$3:C100000&lt;&gt;""),
_xlfn._xlws.FILTER('Bảng 5'!$A$3:H99995,'Bảng 5'!$C$3:C99995&lt;&gt;""),
_xlfn._xlws.FILTER('Bảng 6'!$A$3:H100000,'Bảng 6'!$C$3:C100000&lt;&gt;""),
_xlfn._xlws.FILTER('Bảng 7'!$A$3:H100000,'Bảng 7'!$C$3:C100000&lt;&gt;"")
)</f>
        <v>1.Quy định.001</v>
      </c>
      <c r="B3" t="str">
        <v>001</v>
      </c>
      <c r="C3" t="str">
        <v>Xây dựng HTTC BIM</v>
      </c>
      <c r="D3" t="str">
        <v>Quy định</v>
      </c>
      <c r="E3" t="str">
        <v>Quy định triển khai BIM</v>
      </c>
      <c r="F3" t="str">
        <v>BIM</v>
      </c>
      <c r="G3" t="str">
        <v>Rà soát</v>
      </c>
      <c r="H3" t="str">
        <v>Thấp</v>
      </c>
    </row>
    <row r="4" spans="1:8">
      <c r="A4" t="str">
        <v>1.Các phụ lục.002</v>
      </c>
      <c r="B4" t="str">
        <v>002</v>
      </c>
      <c r="C4" t="str">
        <v>Xây dựng HTTC BIM</v>
      </c>
      <c r="D4" t="str">
        <v>Các phụ lục</v>
      </c>
      <c r="E4" t="str">
        <v>Phụ lục 1_Tiến trình phối hợp mô hình BIM giữa các bộ phận</v>
      </c>
      <c r="F4" t="str">
        <v>BIM</v>
      </c>
      <c r="G4" t="str">
        <v>Rà soát</v>
      </c>
      <c r="H4" t="str">
        <v>Thấp</v>
      </c>
    </row>
    <row r="5" spans="1:8">
      <c r="A5" t="str">
        <v>1.Các phụ lục.003</v>
      </c>
      <c r="B5" t="str">
        <v>003</v>
      </c>
      <c r="C5" t="str">
        <v>Xây dựng HTTC BIM</v>
      </c>
      <c r="D5" t="str">
        <v>Các phụ lục</v>
      </c>
      <c r="E5" t="str">
        <v>Phụ lục 2_Cấu trúc và phân quyền thư mục các dự án trên Server VTK</v>
      </c>
      <c r="F5" t="str">
        <v>BIM</v>
      </c>
      <c r="G5" t="str">
        <v>Rà soát</v>
      </c>
      <c r="H5" t="str">
        <v>Thấp</v>
      </c>
    </row>
    <row r="6" spans="1:8">
      <c r="A6" t="str">
        <v>1.Các phụ lục.004</v>
      </c>
      <c r="B6" t="str">
        <v>004</v>
      </c>
      <c r="C6" t="str">
        <v>Xây dựng HTTC BIM</v>
      </c>
      <c r="D6" t="str">
        <v>Các phụ lục</v>
      </c>
      <c r="E6" t="str">
        <v>Phụ lục 3_Cấu trúc và phân quyền thư mục CDE</v>
      </c>
      <c r="F6" t="str">
        <v>BIM</v>
      </c>
      <c r="G6" t="str">
        <v>Rà soát</v>
      </c>
      <c r="H6" t="str">
        <v>Thấp</v>
      </c>
    </row>
    <row r="7" spans="1:8">
      <c r="A7" t="str">
        <v>1.Các phụ lục.005</v>
      </c>
      <c r="B7" t="str">
        <v>005</v>
      </c>
      <c r="C7" t="str">
        <v>Xây dựng HTTC BIM</v>
      </c>
      <c r="D7" t="str">
        <v>Các phụ lục</v>
      </c>
      <c r="E7" t="str">
        <v>Phụ lục 4_Các quy trình phê duyệt hồ sơ trên CDE</v>
      </c>
      <c r="F7" t="str">
        <v>BIM</v>
      </c>
      <c r="G7" t="str">
        <v>Rà soát</v>
      </c>
      <c r="H7" t="str">
        <v>Thấp</v>
      </c>
    </row>
    <row r="8" spans="1:8">
      <c r="A8" t="str">
        <v>1.Các phụ lục.006</v>
      </c>
      <c r="B8" t="str">
        <v>006</v>
      </c>
      <c r="C8" t="str">
        <v>Xây dựng HTTC BIM</v>
      </c>
      <c r="D8" t="str">
        <v>Các phụ lục</v>
      </c>
      <c r="E8" t="str">
        <v>Phụ lục 5_Quy ước đặt tên tệp tin và đánh mã bản vẽ</v>
      </c>
      <c r="F8" t="str">
        <v>BIM</v>
      </c>
      <c r="G8" t="str">
        <v>Rà soát</v>
      </c>
      <c r="H8" t="str">
        <v>Thấp</v>
      </c>
    </row>
    <row r="9" spans="1:8">
      <c r="A9" t="str">
        <v>1.Các phụ lục.007</v>
      </c>
      <c r="B9" t="str">
        <v>007</v>
      </c>
      <c r="C9" t="str">
        <v>Xây dựng HTTC BIM</v>
      </c>
      <c r="D9" t="str">
        <v>Các phụ lục</v>
      </c>
      <c r="E9" t="str">
        <v>Phụ lục 6_Quy trình kiểm khớp và ma trận va chạm mẫu</v>
      </c>
      <c r="F9" t="str">
        <v>BIM</v>
      </c>
      <c r="G9" t="str">
        <v>Rà soát</v>
      </c>
      <c r="H9" t="str">
        <v>Thấp</v>
      </c>
    </row>
    <row r="10" spans="1:8">
      <c r="A10" t="str">
        <v>1.Các phụ lục.008</v>
      </c>
      <c r="B10" t="str">
        <v>008</v>
      </c>
      <c r="C10" t="str">
        <v>Xây dựng HTTC BIM</v>
      </c>
      <c r="D10" t="str">
        <v>Các phụ lục</v>
      </c>
      <c r="E10" t="str">
        <v>Phụ lục 7_Quy định màu sắc các đối tượng trong mô hình BIM</v>
      </c>
      <c r="F10" t="str">
        <v>BIM</v>
      </c>
      <c r="G10" t="str">
        <v>Rà soát</v>
      </c>
      <c r="H10" t="str">
        <v>Thấp</v>
      </c>
    </row>
    <row r="11" spans="1:8">
      <c r="A11" t="str">
        <v>1.Các phụ lục.009</v>
      </c>
      <c r="B11" t="str">
        <v>009</v>
      </c>
      <c r="C11" t="str">
        <v>Xây dựng HTTC BIM</v>
      </c>
      <c r="D11" t="str">
        <v>Các phụ lục</v>
      </c>
      <c r="E11" t="str">
        <v>Phụ lục 8_Các khung nhìn mẫu View Template</v>
      </c>
      <c r="F11" t="str">
        <v>BIM</v>
      </c>
      <c r="G11" t="str">
        <v>Rà soát</v>
      </c>
      <c r="H11" t="str">
        <v>Thấp</v>
      </c>
    </row>
    <row r="12" spans="1:8">
      <c r="A12" t="str">
        <v>1.Các phụ lục.010</v>
      </c>
      <c r="B12" t="str">
        <v>010</v>
      </c>
      <c r="C12" t="str">
        <v>Xây dựng HTTC BIM</v>
      </c>
      <c r="D12" t="str">
        <v>Các phụ lục</v>
      </c>
      <c r="E12" t="str">
        <v>Phụ lục 9_Quy ước đánh mã Tỉnh Thành phố</v>
      </c>
      <c r="F12" t="str">
        <v>BIM</v>
      </c>
      <c r="G12" t="str">
        <v>Rà soát</v>
      </c>
      <c r="H12" t="str">
        <v>Thấp</v>
      </c>
    </row>
    <row r="13" spans="1:8">
      <c r="A13" t="str">
        <v>1.Các phụ lục.011</v>
      </c>
      <c r="B13" t="str">
        <v>011</v>
      </c>
      <c r="C13" t="str">
        <v>Xây dựng HTTC BIM</v>
      </c>
      <c r="D13" t="str">
        <v>Các phụ lục</v>
      </c>
      <c r="E13" t="str">
        <v>Phụ lục 10_Tiêu chuẩn LOD cho Kiến trúc</v>
      </c>
      <c r="F13" t="str">
        <v>BIM</v>
      </c>
      <c r="G13" t="str">
        <v>Rà soát</v>
      </c>
      <c r="H13" t="str">
        <v>Thấp</v>
      </c>
    </row>
    <row r="14" spans="1:8">
      <c r="A14" t="str">
        <v>1.Các phụ lục.012</v>
      </c>
      <c r="B14" t="str">
        <v>012</v>
      </c>
      <c r="C14" t="str">
        <v>Xây dựng HTTC BIM</v>
      </c>
      <c r="D14" t="str">
        <v>Các phụ lục</v>
      </c>
      <c r="E14" t="str">
        <v>Phụ lục 11_Tiêu chuẩn LOD cho Kết cấu</v>
      </c>
      <c r="F14" t="str">
        <v>BIM</v>
      </c>
      <c r="G14" t="str">
        <v>Rà soát</v>
      </c>
      <c r="H14" t="str">
        <v>Thấp</v>
      </c>
    </row>
    <row r="15" spans="1:8">
      <c r="A15" t="str">
        <v>1.Các phụ lục.013</v>
      </c>
      <c r="B15" t="str">
        <v>013</v>
      </c>
      <c r="C15" t="str">
        <v>Xây dựng HTTC BIM</v>
      </c>
      <c r="D15" t="str">
        <v>Các phụ lục</v>
      </c>
      <c r="E15" t="str">
        <v>Phụ lục 12_Tiêu chuẩn LOD cho MEP</v>
      </c>
      <c r="F15" t="str">
        <v>BIM</v>
      </c>
      <c r="G15" t="str">
        <v>Rà soát</v>
      </c>
      <c r="H15" t="str">
        <v>Thấp</v>
      </c>
    </row>
    <row r="16" spans="1:8">
      <c r="A16" t="str">
        <v>1.Các phụ lục.014</v>
      </c>
      <c r="B16" t="str">
        <v>014</v>
      </c>
      <c r="C16" t="str">
        <v>Xây dựng HTTC BIM</v>
      </c>
      <c r="D16" t="str">
        <v>Các phụ lục</v>
      </c>
      <c r="E16" t="str">
        <v>Phụ lục 13_Tiêu chuẩn LOD cho hạ tầng</v>
      </c>
      <c r="F16" t="str">
        <v>BIM</v>
      </c>
      <c r="G16" t="str">
        <v>Rà soát</v>
      </c>
      <c r="H16" t="str">
        <v>Thấp</v>
      </c>
    </row>
    <row r="17" spans="1:8">
      <c r="A17" t="str">
        <v>1.Các phụ lục.015</v>
      </c>
      <c r="B17" t="str">
        <v>015</v>
      </c>
      <c r="C17" t="str">
        <v>Xây dựng HTTC BIM</v>
      </c>
      <c r="D17" t="str">
        <v>Các phụ lục</v>
      </c>
      <c r="E17" t="str">
        <v>Phụ lục 14_Tiêu chuẩn LOD cho trackwork</v>
      </c>
      <c r="F17" t="str">
        <v>BIM</v>
      </c>
      <c r="G17" t="str">
        <v>Rà soát</v>
      </c>
      <c r="H17" t="str">
        <v>Thấp</v>
      </c>
    </row>
    <row r="18" spans="1:8">
      <c r="A18" t="str">
        <v>1.Các phụ lục.016</v>
      </c>
      <c r="B18" t="str">
        <v>016</v>
      </c>
      <c r="C18" t="str">
        <v>Xây dựng HTTC BIM</v>
      </c>
      <c r="D18" t="str">
        <v>Các phụ lục</v>
      </c>
      <c r="E18" t="str">
        <v>Phụ lục 15_Tiêu chuẩn LOD cho Cầu</v>
      </c>
      <c r="F18" t="str">
        <v>BIM</v>
      </c>
      <c r="G18" t="str">
        <v>Rà soát</v>
      </c>
      <c r="H18" t="str">
        <v>Thấp</v>
      </c>
    </row>
    <row r="19" spans="1:8">
      <c r="A19" t="str">
        <v>1.Các phụ lục.017</v>
      </c>
      <c r="B19" t="str">
        <v>017</v>
      </c>
      <c r="C19" t="str">
        <v>Xây dựng HTTC BIM</v>
      </c>
      <c r="D19" t="str">
        <v>Các phụ lục</v>
      </c>
      <c r="E19" t="str">
        <v>Phụ lục 16_Phạm vi mô hình BIM và xuất khối lượng</v>
      </c>
      <c r="F19" t="str">
        <v>BIM</v>
      </c>
      <c r="G19" t="str">
        <v>Rà soát</v>
      </c>
      <c r="H19" t="str">
        <v>Thấp</v>
      </c>
    </row>
    <row r="20" spans="1:8">
      <c r="A20" t="str">
        <v>1.Các phụ lục.018</v>
      </c>
      <c r="B20" t="str">
        <v>018</v>
      </c>
      <c r="C20" t="str">
        <v>Xây dựng HTTC BIM</v>
      </c>
      <c r="D20" t="str">
        <v>Các phụ lục</v>
      </c>
      <c r="E20" t="str">
        <v>Phụ lục 17_Checklist KSCL Mô hình</v>
      </c>
      <c r="F20" t="str">
        <v>BIM</v>
      </c>
      <c r="G20" t="str">
        <v>Rà soát</v>
      </c>
      <c r="H20" t="str">
        <v>Thấp</v>
      </c>
    </row>
    <row r="21" spans="1:8">
      <c r="A21" t="str">
        <v>1.Các phụ lục.019</v>
      </c>
      <c r="B21" t="str">
        <v>019</v>
      </c>
      <c r="C21" t="str">
        <v>Xây dựng HTTC BIM</v>
      </c>
      <c r="D21" t="str">
        <v>Các phụ lục</v>
      </c>
      <c r="E21" t="str">
        <v>Phụ lục 18_Checklist KSCL CDE</v>
      </c>
      <c r="F21" t="str">
        <v>BIM</v>
      </c>
      <c r="G21" t="str">
        <v>Rà soát</v>
      </c>
      <c r="H21" t="str">
        <v>Thấp</v>
      </c>
    </row>
    <row r="22" spans="1:8">
      <c r="A22" t="str">
        <v>1.Các phụ lục.020</v>
      </c>
      <c r="B22" t="str">
        <v>020</v>
      </c>
      <c r="C22" t="str">
        <v>Xây dựng HTTC BIM</v>
      </c>
      <c r="D22" t="str">
        <v>Các phụ lục</v>
      </c>
      <c r="E22" t="str">
        <v>Phụ lục 19_Chi tiết phân loại các nhóm lỗi va chạm trong mô hình BIM</v>
      </c>
      <c r="F22" t="str">
        <v>BIM</v>
      </c>
      <c r="G22" t="str">
        <v>Rà soát</v>
      </c>
      <c r="H22" t="str">
        <v>Thấp</v>
      </c>
    </row>
    <row r="23" spans="1:8">
      <c r="A23" t="str">
        <v>1.Các biểu mẫu.021</v>
      </c>
      <c r="B23" t="str">
        <v>021</v>
      </c>
      <c r="C23" t="str">
        <v>Xây dựng HTTC BIM</v>
      </c>
      <c r="D23" t="str">
        <v>Các biểu mẫu</v>
      </c>
      <c r="E23" t="str">
        <v>Biểu mẫu 1_Mẫu tệp tin BEP cho các dự án áp dụng BIM</v>
      </c>
      <c r="F23" t="str">
        <v>BIM</v>
      </c>
      <c r="G23" t="str">
        <v>Rà soát</v>
      </c>
      <c r="H23" t="str">
        <v>Thấp</v>
      </c>
    </row>
    <row r="24" spans="1:8">
      <c r="A24" t="str">
        <v>1.Các biểu mẫu.022</v>
      </c>
      <c r="B24" t="str">
        <v>022</v>
      </c>
      <c r="C24" t="str">
        <v>Xây dựng HTTC BIM</v>
      </c>
      <c r="D24" t="str">
        <v>Các biểu mẫu</v>
      </c>
      <c r="E24" t="str">
        <v>Biểu mẫu 2_Danh sách nhân sự của dự án</v>
      </c>
      <c r="F24" t="str">
        <v>BIM</v>
      </c>
      <c r="G24" t="str">
        <v>Rà soát</v>
      </c>
      <c r="H24" t="str">
        <v>Thấp</v>
      </c>
    </row>
    <row r="25" spans="1:8">
      <c r="A25" t="str">
        <v>1.Các biểu mẫu.023</v>
      </c>
      <c r="B25" t="str">
        <v>023</v>
      </c>
      <c r="C25" t="str">
        <v>Xây dựng HTTC BIM</v>
      </c>
      <c r="D25" t="str">
        <v>Các biểu mẫu</v>
      </c>
      <c r="E25" t="str">
        <v>Biểu mẫu 3_Mẫu danh mục tệp tin và bản vẽ</v>
      </c>
      <c r="F25" t="str">
        <v>BIM</v>
      </c>
      <c r="G25" t="str">
        <v>Rà soát</v>
      </c>
      <c r="H25" t="str">
        <v>Thấp</v>
      </c>
    </row>
    <row r="26" spans="1:8">
      <c r="A26" t="str">
        <v>1.Các biểu mẫu.024</v>
      </c>
      <c r="B26" t="str">
        <v>024</v>
      </c>
      <c r="C26" t="str">
        <v>Xây dựng HTTC BIM</v>
      </c>
      <c r="D26" t="str">
        <v>Các biểu mẫu</v>
      </c>
      <c r="E26" t="str">
        <v>Biểu mẫu 4_Các bảng thống kê mẫu KT</v>
      </c>
      <c r="F26" t="str">
        <v>BIM</v>
      </c>
      <c r="G26" t="str">
        <v>Rà soát</v>
      </c>
      <c r="H26" t="str">
        <v>Thấp</v>
      </c>
    </row>
    <row r="27" spans="1:8">
      <c r="A27" t="str">
        <v>1.Các biểu mẫu.025</v>
      </c>
      <c r="B27" t="str">
        <v>025</v>
      </c>
      <c r="C27" t="str">
        <v>Xây dựng HTTC BIM</v>
      </c>
      <c r="D27" t="str">
        <v>Các biểu mẫu</v>
      </c>
      <c r="E27" t="str">
        <v>Biểu mẫu 5_Các bảng thống kê mẫu KC</v>
      </c>
      <c r="F27" t="str">
        <v>BIM</v>
      </c>
      <c r="G27" t="str">
        <v>Rà soát</v>
      </c>
      <c r="H27" t="str">
        <v>Thấp</v>
      </c>
    </row>
    <row r="28" spans="1:8">
      <c r="A28" t="str">
        <v>1.Các biểu mẫu.026</v>
      </c>
      <c r="B28" t="str">
        <v>026</v>
      </c>
      <c r="C28" t="str">
        <v>Xây dựng HTTC BIM</v>
      </c>
      <c r="D28" t="str">
        <v>Các biểu mẫu</v>
      </c>
      <c r="E28" t="str">
        <v>Biểu mẫu 6_Các bảng thống kê mẫu Điện</v>
      </c>
      <c r="F28" t="str">
        <v>BIM</v>
      </c>
      <c r="G28" t="str">
        <v>Rà soát</v>
      </c>
      <c r="H28" t="str">
        <v>Thấp</v>
      </c>
    </row>
    <row r="29" spans="1:8">
      <c r="A29" t="str">
        <v>1.Các biểu mẫu.027</v>
      </c>
      <c r="B29" t="str">
        <v>027</v>
      </c>
      <c r="C29" t="str">
        <v>Xây dựng HTTC BIM</v>
      </c>
      <c r="D29" t="str">
        <v>Các biểu mẫu</v>
      </c>
      <c r="E29" t="str">
        <v>Biểu mẫu 7_Các bảng thống kê mẫu Điện nhẹ</v>
      </c>
      <c r="F29" t="str">
        <v>BIM</v>
      </c>
      <c r="G29" t="str">
        <v>Rà soát</v>
      </c>
      <c r="H29" t="str">
        <v>Thấp</v>
      </c>
    </row>
    <row r="30" spans="1:8">
      <c r="A30" t="str">
        <v>1.Các biểu mẫu.028</v>
      </c>
      <c r="B30" t="str">
        <v>028</v>
      </c>
      <c r="C30" t="str">
        <v>Xây dựng HTTC BIM</v>
      </c>
      <c r="D30" t="str">
        <v>Các biểu mẫu</v>
      </c>
      <c r="E30" t="str">
        <v>Biểu mẫu 8_Các bảng thống kê mẫu Cấp thoát nước</v>
      </c>
      <c r="F30" t="str">
        <v>BIM</v>
      </c>
      <c r="G30" t="str">
        <v>Rà soát</v>
      </c>
      <c r="H30" t="str">
        <v>Thấp</v>
      </c>
    </row>
    <row r="31" spans="1:8">
      <c r="A31" t="str">
        <v>1.Các biểu mẫu.029</v>
      </c>
      <c r="B31" t="str">
        <v>029</v>
      </c>
      <c r="C31" t="str">
        <v>Xây dựng HTTC BIM</v>
      </c>
      <c r="D31" t="str">
        <v>Các biểu mẫu</v>
      </c>
      <c r="E31" t="str">
        <v>Biểu mẫu 9_Các bảng thống kê mẫu ĐHTG</v>
      </c>
      <c r="F31" t="str">
        <v>BIM</v>
      </c>
      <c r="G31" t="str">
        <v>Rà soát</v>
      </c>
      <c r="H31" t="str">
        <v>Thấp</v>
      </c>
    </row>
    <row r="32" spans="1:8">
      <c r="A32" t="str">
        <v>1.Các biểu mẫu.030</v>
      </c>
      <c r="B32" t="str">
        <v>030</v>
      </c>
      <c r="C32" t="str">
        <v>Xây dựng HTTC BIM</v>
      </c>
      <c r="D32" t="str">
        <v>Các biểu mẫu</v>
      </c>
      <c r="E32" t="str">
        <v>Biểu mẫu 10_Các bảng thống kê mẫu PCCC</v>
      </c>
      <c r="F32" t="str">
        <v>BIM</v>
      </c>
      <c r="G32" t="str">
        <v>Rà soát</v>
      </c>
      <c r="H32" t="str">
        <v>Thấp</v>
      </c>
    </row>
    <row r="33" spans="1:8">
      <c r="A33" t="str">
        <v>1.Các biểu mẫu.031</v>
      </c>
      <c r="B33" t="str">
        <v>031</v>
      </c>
      <c r="C33" t="str">
        <v>Xây dựng HTTC BIM</v>
      </c>
      <c r="D33" t="str">
        <v>Các biểu mẫu</v>
      </c>
      <c r="E33" t="str">
        <v>Biểu mẫu 11_Phiếu yêu cầu hỗ trợ BIM</v>
      </c>
      <c r="F33" t="str">
        <v>BIM</v>
      </c>
      <c r="G33" t="str">
        <v>Rà soát</v>
      </c>
      <c r="H33" t="str">
        <v>Thấp</v>
      </c>
    </row>
    <row r="34" spans="1:8">
      <c r="A34" t="str">
        <v>1.Quy định công tác thanh tra BIM.032</v>
      </c>
      <c r="B34" t="str">
        <v>032</v>
      </c>
      <c r="C34" t="str">
        <v>Xây dựng HTTC BIM</v>
      </c>
      <c r="D34" t="str">
        <v>Quy định công tác thanh tra BIM</v>
      </c>
      <c r="E34" t="str">
        <v>Quy định công tác thanh tra BIM</v>
      </c>
      <c r="F34" t="str">
        <v>BIM</v>
      </c>
      <c r="G34" t="str">
        <v>Rà soát</v>
      </c>
      <c r="H34" t="str">
        <v>Thấp</v>
      </c>
    </row>
    <row r="35" spans="1:8">
      <c r="A35" t="str">
        <v>2.Công cụ tạo lập mô hình.001</v>
      </c>
      <c r="B35" t="str">
        <v>001</v>
      </c>
      <c r="C35" t="str">
        <v>Đào tạo BIM</v>
      </c>
      <c r="D35" t="str">
        <v>Công cụ tạo lập mô hình</v>
      </c>
      <c r="E35" t="str">
        <v>Revit cơ bản</v>
      </c>
      <c r="F35" t="str">
        <v>KT</v>
      </c>
      <c r="G35" t="str">
        <v>Lập kế hoạch và chương trình</v>
      </c>
      <c r="H35" t="str">
        <v>Cao</v>
      </c>
    </row>
    <row r="36" spans="1:8">
      <c r="A36" t="str">
        <v>2.Công cụ tạo lập mô hình.002</v>
      </c>
      <c r="B36" t="str">
        <v>002</v>
      </c>
      <c r="C36" t="str">
        <v>Đào tạo BIM</v>
      </c>
      <c r="D36" t="str">
        <v>Công cụ tạo lập mô hình</v>
      </c>
      <c r="E36" t="str">
        <v>Revit cơ bản</v>
      </c>
      <c r="F36" t="str">
        <v>KT</v>
      </c>
      <c r="G36" t="str">
        <v>Triển khai đào tạo</v>
      </c>
      <c r="H36" t="str">
        <v>Cao</v>
      </c>
    </row>
    <row r="37" spans="1:8">
      <c r="A37" t="str">
        <v>2.Công cụ tạo lập mô hình.003</v>
      </c>
      <c r="B37" t="str">
        <v>003</v>
      </c>
      <c r="C37" t="str">
        <v>Đào tạo BIM</v>
      </c>
      <c r="D37" t="str">
        <v>Công cụ tạo lập mô hình</v>
      </c>
      <c r="E37" t="str">
        <v>Revit cơ bản</v>
      </c>
      <c r="F37" t="str">
        <v>KT</v>
      </c>
      <c r="G37" t="str">
        <v>Tổ chức thi và đánh giá</v>
      </c>
      <c r="H37" t="str">
        <v>Cao</v>
      </c>
    </row>
    <row r="38" spans="1:8">
      <c r="A38" t="str">
        <v>2.Công cụ tạo lập mô hình.004</v>
      </c>
      <c r="B38" t="str">
        <v>004</v>
      </c>
      <c r="C38" t="str">
        <v>Đào tạo BIM</v>
      </c>
      <c r="D38" t="str">
        <v>Công cụ tạo lập mô hình</v>
      </c>
      <c r="E38" t="str">
        <v>Revit cơ bản</v>
      </c>
      <c r="F38" t="str">
        <v>KT</v>
      </c>
      <c r="G38" t="str">
        <v>Báo cáo đào tạo</v>
      </c>
      <c r="H38" t="str">
        <v>Cao</v>
      </c>
    </row>
    <row r="39" spans="1:8">
      <c r="A39" t="str">
        <v>2.Công cụ tạo lập mô hình.005</v>
      </c>
      <c r="B39" t="str">
        <v>005</v>
      </c>
      <c r="C39" t="str">
        <v>Đào tạo BIM</v>
      </c>
      <c r="D39" t="str">
        <v>Công cụ tạo lập mô hình</v>
      </c>
      <c r="E39" t="str">
        <v>Revit cơ bản</v>
      </c>
      <c r="F39" t="str">
        <v>BIM MEPF</v>
      </c>
      <c r="G39" t="str">
        <v>Tổ chức thi và đánh giá</v>
      </c>
      <c r="H39" t="str">
        <v>Cao</v>
      </c>
    </row>
    <row r="40" spans="1:8">
      <c r="A40" t="str">
        <v>2.Công cụ tạo lập mô hình.006</v>
      </c>
      <c r="B40" t="str">
        <v>006</v>
      </c>
      <c r="C40" t="str">
        <v>Đào tạo BIM</v>
      </c>
      <c r="D40" t="str">
        <v>Công cụ tạo lập mô hình</v>
      </c>
      <c r="E40" t="str">
        <v>Revit cơ bản</v>
      </c>
      <c r="F40" t="str">
        <v>BIM MEPF</v>
      </c>
      <c r="G40" t="str">
        <v>Báo cáo đào tạo</v>
      </c>
      <c r="H40" t="str">
        <v>Cao</v>
      </c>
    </row>
    <row r="41" spans="1:8">
      <c r="A41" t="str">
        <v>2.CDE.001</v>
      </c>
      <c r="B41" t="str">
        <v>001</v>
      </c>
      <c r="C41" t="str">
        <v>Đào tạo BIM</v>
      </c>
      <c r="D41" t="str">
        <v>CDE</v>
      </c>
      <c r="E41" t="str">
        <v>Quản lý HSTK</v>
      </c>
      <c r="F41" t="str">
        <v>BIM</v>
      </c>
      <c r="G41" t="str">
        <v>Khảo sát nhu cầu</v>
      </c>
      <c r="H41" t="str">
        <v>Trung bình</v>
      </c>
    </row>
    <row r="42" spans="1:8">
      <c r="A42" t="str">
        <v>2.CDE.002</v>
      </c>
      <c r="B42" t="str">
        <v>002</v>
      </c>
      <c r="C42" t="str">
        <v>Đào tạo BIM</v>
      </c>
      <c r="D42" t="str">
        <v>CDE</v>
      </c>
      <c r="E42" t="str">
        <v>Quản lý HSTC</v>
      </c>
      <c r="F42" t="str">
        <v>BIM</v>
      </c>
      <c r="G42" t="str">
        <v>Khảo sát nhu cầu</v>
      </c>
      <c r="H42" t="str">
        <v>Trung bình</v>
      </c>
    </row>
    <row r="43" spans="1:8">
      <c r="A43" t="str">
        <v>2.Công cụ tạo lập mô hình.007</v>
      </c>
      <c r="B43" t="str">
        <v>007</v>
      </c>
      <c r="C43" t="str">
        <v>Đào tạo BIM</v>
      </c>
      <c r="D43" t="str">
        <v>Công cụ tạo lập mô hình</v>
      </c>
      <c r="E43" t="str">
        <v>Revit cơ bản</v>
      </c>
      <c r="F43" t="str">
        <v>BIM</v>
      </c>
      <c r="G43" t="str">
        <v>Khảo sát nhu cầu</v>
      </c>
      <c r="H43" t="str">
        <v>Trung bình</v>
      </c>
    </row>
    <row r="44" spans="1:8">
      <c r="A44" t="str">
        <v>2.Công cụ tạo lập mô hình.008</v>
      </c>
      <c r="B44" t="str">
        <v>008</v>
      </c>
      <c r="C44" t="str">
        <v>Đào tạo BIM</v>
      </c>
      <c r="D44" t="str">
        <v>Công cụ tạo lập mô hình</v>
      </c>
      <c r="E44" t="str">
        <v>Revit nâng cao</v>
      </c>
      <c r="F44" t="str">
        <v>BIM</v>
      </c>
      <c r="G44" t="str">
        <v>Khảo sát nhu cầu</v>
      </c>
      <c r="H44" t="str">
        <v>Trung bình</v>
      </c>
    </row>
    <row r="45" spans="1:8">
      <c r="A45" t="str">
        <v>2.Công cụ phối hợp mô hình.001</v>
      </c>
      <c r="B45" t="str">
        <v>001</v>
      </c>
      <c r="C45" t="str">
        <v>Đào tạo BIM</v>
      </c>
      <c r="D45" t="str">
        <v>Công cụ phối hợp mô hình</v>
      </c>
      <c r="E45" t="str">
        <v>Navisworks</v>
      </c>
      <c r="F45" t="str">
        <v>BIM</v>
      </c>
      <c r="G45" t="str">
        <v>Khảo sát nhu cầu</v>
      </c>
      <c r="H45" t="str">
        <v>Trung bình</v>
      </c>
    </row>
    <row r="46" spans="1:8">
      <c r="A46" t="str">
        <v>2.BIM Tools.001</v>
      </c>
      <c r="B46" t="str">
        <v>001</v>
      </c>
      <c r="C46" t="str">
        <v>Đào tạo BIM</v>
      </c>
      <c r="D46" t="str">
        <v>BIM Tools</v>
      </c>
      <c r="E46" t="str">
        <v>BIM Tools</v>
      </c>
      <c r="F46" t="str">
        <v>BIM</v>
      </c>
      <c r="G46" t="str">
        <v>Khảo sát nhu cầu</v>
      </c>
      <c r="H46" t="str">
        <v>Trung bình</v>
      </c>
    </row>
    <row r="47" spans="1:8">
      <c r="A47" t="str">
        <v>3.All.001</v>
      </c>
      <c r="B47" t="str">
        <v>001</v>
      </c>
      <c r="C47" t="str">
        <v>Quản lý BIM</v>
      </c>
      <c r="D47" t="str">
        <v>All</v>
      </c>
      <c r="E47" t="str">
        <v>All</v>
      </c>
      <c r="F47" t="str">
        <v>BIM</v>
      </c>
      <c r="G47" t="str">
        <v>Điều phối CDE</v>
      </c>
      <c r="H47" t="str">
        <v>TKBVTC</v>
      </c>
    </row>
    <row r="48" spans="1:8">
      <c r="A48" t="str">
        <v>3.B.DSHNQN.DMF.101</v>
      </c>
      <c r="B48" t="str">
        <v>101</v>
      </c>
      <c r="C48" t="str">
        <v>Quản lý BIM</v>
      </c>
      <c r="D48" t="str">
        <v>B.DSHNQN.DMF</v>
      </c>
      <c r="E48" t="str">
        <v>Bãi đỗ tàu qua đêm Cổ Loa</v>
      </c>
      <c r="F48" t="str">
        <v>KT</v>
      </c>
      <c r="G48" t="str">
        <v>Tạo lập mô hình BIM</v>
      </c>
      <c r="H48" t="str">
        <v>TKBVTC</v>
      </c>
    </row>
    <row r="49" spans="1:8">
      <c r="A49" t="str">
        <v>3.B.DSHNQN.DMF.201</v>
      </c>
      <c r="B49" t="str">
        <v>201</v>
      </c>
      <c r="C49" t="str">
        <v>Quản lý BIM</v>
      </c>
      <c r="D49" t="str">
        <v>B.DSHNQN.DMF</v>
      </c>
      <c r="E49" t="str">
        <v>Bãi đỗ tàu qua đêm Cổ Loa</v>
      </c>
      <c r="F49" t="str">
        <v>KC</v>
      </c>
      <c r="G49" t="str">
        <v>Tạo lập mô hình BIM</v>
      </c>
      <c r="H49" t="str">
        <v>TKBVTC</v>
      </c>
    </row>
    <row r="50" spans="1:8">
      <c r="A50" t="str">
        <v>3.B.DSHNQN.DMF.301</v>
      </c>
      <c r="B50" t="str">
        <v>301</v>
      </c>
      <c r="C50" t="str">
        <v>Quản lý BIM</v>
      </c>
      <c r="D50" t="str">
        <v>B.DSHNQN.DMF</v>
      </c>
      <c r="E50" t="str">
        <v>Bãi đỗ tàu qua đêm Cổ Loa</v>
      </c>
      <c r="F50" t="str">
        <v>DI</v>
      </c>
      <c r="G50" t="str">
        <v>KSCL mô hình BIM</v>
      </c>
      <c r="H50" t="str">
        <v>TKBVTC</v>
      </c>
    </row>
    <row r="51" spans="1:8">
      <c r="A51" t="str">
        <v>3.B.DSHNQN.DMF.401</v>
      </c>
      <c r="B51" t="str">
        <v>401</v>
      </c>
      <c r="C51" t="str">
        <v>Quản lý BIM</v>
      </c>
      <c r="D51" t="str">
        <v>B.DSHNQN.DMF</v>
      </c>
      <c r="E51" t="str">
        <v>Bãi đỗ tàu qua đêm Cổ Loa</v>
      </c>
      <c r="F51" t="str">
        <v>DN</v>
      </c>
      <c r="G51" t="str">
        <v>KSCL mô hình BIM</v>
      </c>
      <c r="H51" t="str">
        <v>TKBVTC</v>
      </c>
    </row>
    <row r="52" spans="1:8">
      <c r="A52" t="str">
        <v>3.B.DSHNQN.DMF.501</v>
      </c>
      <c r="B52" t="str">
        <v>501</v>
      </c>
      <c r="C52" t="str">
        <v>Quản lý BIM</v>
      </c>
      <c r="D52" t="str">
        <v>B.DSHNQN.DMF</v>
      </c>
      <c r="E52" t="str">
        <v>Bãi đỗ tàu qua đêm Cổ Loa</v>
      </c>
      <c r="F52" t="str">
        <v>NU</v>
      </c>
      <c r="G52" t="str">
        <v>KSCL mô hình BIM</v>
      </c>
      <c r="H52" t="str">
        <v>TKBVTC</v>
      </c>
    </row>
    <row r="53" spans="1:8">
      <c r="A53" t="str">
        <v>3.B.DSHNQN.DMF.601</v>
      </c>
      <c r="B53" t="str">
        <v>601</v>
      </c>
      <c r="C53" t="str">
        <v>Quản lý BIM</v>
      </c>
      <c r="D53" t="str">
        <v>B.DSHNQN.DMF</v>
      </c>
      <c r="E53" t="str">
        <v>Bãi đỗ tàu qua đêm Cổ Loa</v>
      </c>
      <c r="F53" t="str">
        <v>DH</v>
      </c>
      <c r="G53" t="str">
        <v>KSCL mô hình BIM</v>
      </c>
      <c r="H53" t="str">
        <v>TKBVTC</v>
      </c>
    </row>
    <row r="54" spans="1:8">
      <c r="A54" t="str">
        <v>3.B.DSHNQN.DMF.701</v>
      </c>
      <c r="B54" t="str">
        <v>701</v>
      </c>
      <c r="C54" t="str">
        <v>Quản lý BIM</v>
      </c>
      <c r="D54" t="str">
        <v>B.DSHNQN.DMF</v>
      </c>
      <c r="E54" t="str">
        <v>Bãi đỗ tàu qua đêm Cổ Loa</v>
      </c>
      <c r="F54" t="str">
        <v>PC</v>
      </c>
      <c r="G54" t="str">
        <v>KSCL mô hình BIM</v>
      </c>
      <c r="H54" t="str">
        <v>TKBVTC</v>
      </c>
    </row>
    <row r="55" spans="1:8">
      <c r="A55" t="str">
        <v>3.B.DSHNQN.DMF.102</v>
      </c>
      <c r="B55" t="str">
        <v>102</v>
      </c>
      <c r="C55" t="str">
        <v>Quản lý BIM</v>
      </c>
      <c r="D55" t="str">
        <v>B.DSHNQN.DMF</v>
      </c>
      <c r="E55" t="str">
        <v>Depot Hạ Long Xanh</v>
      </c>
      <c r="F55" t="str">
        <v>KT</v>
      </c>
      <c r="G55" t="str">
        <v>Tạo lập mô hình BIM</v>
      </c>
      <c r="H55" t="str">
        <v>TKBVTC</v>
      </c>
    </row>
    <row r="56" spans="1:8">
      <c r="A56" t="str">
        <v>3.B.DSHNQN.DMF.202</v>
      </c>
      <c r="B56" t="str">
        <v>202</v>
      </c>
      <c r="C56" t="str">
        <v>Quản lý BIM</v>
      </c>
      <c r="D56" t="str">
        <v>B.DSHNQN.DMF</v>
      </c>
      <c r="E56" t="str">
        <v>Depot Hạ Long Xanh</v>
      </c>
      <c r="F56" t="str">
        <v>KC</v>
      </c>
      <c r="G56" t="str">
        <v>Tạo lập mô hình BIM</v>
      </c>
      <c r="H56" t="str">
        <v>TKBVTC</v>
      </c>
    </row>
    <row r="57" spans="1:8">
      <c r="A57" t="str">
        <v>3.B.DSHNQN.DMF.302</v>
      </c>
      <c r="B57" t="str">
        <v>302</v>
      </c>
      <c r="C57" t="str">
        <v>Quản lý BIM</v>
      </c>
      <c r="D57" t="str">
        <v>B.DSHNQN.DMF</v>
      </c>
      <c r="E57" t="str">
        <v>Depot Hạ Long Xanh</v>
      </c>
      <c r="F57" t="str">
        <v>DI</v>
      </c>
      <c r="G57" t="str">
        <v>KSCL mô hình BIM</v>
      </c>
      <c r="H57" t="str">
        <v>TKBVTC</v>
      </c>
    </row>
    <row r="58" spans="1:8">
      <c r="A58" t="str">
        <v>3.B.DSHNQN.DMF.402</v>
      </c>
      <c r="B58" t="str">
        <v>402</v>
      </c>
      <c r="C58" t="str">
        <v>Quản lý BIM</v>
      </c>
      <c r="D58" t="str">
        <v>B.DSHNQN.DMF</v>
      </c>
      <c r="E58" t="str">
        <v>Depot Hạ Long Xanh</v>
      </c>
      <c r="F58" t="str">
        <v>DN</v>
      </c>
      <c r="G58" t="str">
        <v>KSCL mô hình BIM</v>
      </c>
      <c r="H58" t="str">
        <v>TKBVTC</v>
      </c>
    </row>
    <row r="59" spans="1:8">
      <c r="A59" t="str">
        <v>3.B.DSHNQN.DMF.502</v>
      </c>
      <c r="B59" t="str">
        <v>502</v>
      </c>
      <c r="C59" t="str">
        <v>Quản lý BIM</v>
      </c>
      <c r="D59" t="str">
        <v>B.DSHNQN.DMF</v>
      </c>
      <c r="E59" t="str">
        <v>Depot Hạ Long Xanh</v>
      </c>
      <c r="F59" t="str">
        <v>NU</v>
      </c>
      <c r="G59" t="str">
        <v>KSCL mô hình BIM</v>
      </c>
      <c r="H59" t="str">
        <v>TKBVTC</v>
      </c>
    </row>
    <row r="60" spans="1:8">
      <c r="A60" t="str">
        <v>3.B.DSHNQN.DMF.602</v>
      </c>
      <c r="B60" t="str">
        <v>602</v>
      </c>
      <c r="C60" t="str">
        <v>Quản lý BIM</v>
      </c>
      <c r="D60" t="str">
        <v>B.DSHNQN.DMF</v>
      </c>
      <c r="E60" t="str">
        <v>Depot Hạ Long Xanh</v>
      </c>
      <c r="F60" t="str">
        <v>DH</v>
      </c>
      <c r="G60" t="str">
        <v>KSCL mô hình BIM</v>
      </c>
      <c r="H60" t="str">
        <v>TKBVTC</v>
      </c>
    </row>
    <row r="61" spans="1:8">
      <c r="A61" t="str">
        <v>3.B.DSHNQN.DMF.702</v>
      </c>
      <c r="B61" t="str">
        <v>702</v>
      </c>
      <c r="C61" t="str">
        <v>Quản lý BIM</v>
      </c>
      <c r="D61" t="str">
        <v>B.DSHNQN.DMF</v>
      </c>
      <c r="E61" t="str">
        <v>Depot Hạ Long Xanh</v>
      </c>
      <c r="F61" t="str">
        <v>PC</v>
      </c>
      <c r="G61" t="str">
        <v>KSCL mô hình BIM</v>
      </c>
      <c r="H61" t="str">
        <v>TKBVTC</v>
      </c>
    </row>
    <row r="62" spans="1:8">
      <c r="A62" t="str">
        <v>3.B.DSHNQN.STA.101</v>
      </c>
      <c r="B62" t="str">
        <v>101</v>
      </c>
      <c r="C62" t="str">
        <v>Quản lý BIM</v>
      </c>
      <c r="D62" t="str">
        <v>B.DSHNQN.STA</v>
      </c>
      <c r="E62" t="str">
        <v>Nhà ga Cổ Loa</v>
      </c>
      <c r="F62" t="str">
        <v>KT</v>
      </c>
      <c r="G62" t="str">
        <v>Tạo lập mô hình BIM</v>
      </c>
      <c r="H62" t="str">
        <v>TKBVTC</v>
      </c>
    </row>
    <row r="63" spans="1:8">
      <c r="A63" t="str">
        <v>3.B.DSHNQN.STA.301</v>
      </c>
      <c r="B63" t="str">
        <v>301</v>
      </c>
      <c r="C63" t="str">
        <v>Quản lý BIM</v>
      </c>
      <c r="D63" t="str">
        <v>B.DSHNQN.STA</v>
      </c>
      <c r="E63" t="str">
        <v>Nhà ga Cổ Loa</v>
      </c>
      <c r="F63" t="str">
        <v>DI</v>
      </c>
      <c r="G63" t="str">
        <v>KSCL mô hình BIM</v>
      </c>
      <c r="H63" t="str">
        <v>TKBVTC</v>
      </c>
    </row>
    <row r="64" spans="1:8">
      <c r="A64" t="str">
        <v>3.B.DSHNQN.STA.401</v>
      </c>
      <c r="B64" t="str">
        <v>401</v>
      </c>
      <c r="C64" t="str">
        <v>Quản lý BIM</v>
      </c>
      <c r="D64" t="str">
        <v>B.DSHNQN.STA</v>
      </c>
      <c r="E64" t="str">
        <v>Nhà ga Cổ Loa</v>
      </c>
      <c r="F64" t="str">
        <v>DN</v>
      </c>
      <c r="G64" t="str">
        <v>KSCL mô hình BIM</v>
      </c>
      <c r="H64" t="str">
        <v>TKBVTC</v>
      </c>
    </row>
    <row r="65" spans="1:8">
      <c r="A65" t="str">
        <v>3.B.DSHNQN.STA.501</v>
      </c>
      <c r="B65" t="str">
        <v>501</v>
      </c>
      <c r="C65" t="str">
        <v>Quản lý BIM</v>
      </c>
      <c r="D65" t="str">
        <v>B.DSHNQN.STA</v>
      </c>
      <c r="E65" t="str">
        <v>Nhà ga Cổ Loa</v>
      </c>
      <c r="F65" t="str">
        <v>NU</v>
      </c>
      <c r="G65" t="str">
        <v>KSCL mô hình BIM</v>
      </c>
      <c r="H65" t="str">
        <v>TKBVTC</v>
      </c>
    </row>
    <row r="66" spans="1:8">
      <c r="A66" t="str">
        <v>3.B.DSHNQN.STA.601</v>
      </c>
      <c r="B66" t="str">
        <v>601</v>
      </c>
      <c r="C66" t="str">
        <v>Quản lý BIM</v>
      </c>
      <c r="D66" t="str">
        <v>B.DSHNQN.STA</v>
      </c>
      <c r="E66" t="str">
        <v>Nhà ga Cổ Loa</v>
      </c>
      <c r="F66" t="str">
        <v>DH</v>
      </c>
      <c r="G66" t="str">
        <v>KSCL mô hình BIM</v>
      </c>
      <c r="H66" t="str">
        <v>TKBVTC</v>
      </c>
    </row>
    <row r="67" spans="1:8">
      <c r="A67" t="str">
        <v>3.B.DSHNQN.STA.701</v>
      </c>
      <c r="B67" t="str">
        <v>701</v>
      </c>
      <c r="C67" t="str">
        <v>Quản lý BIM</v>
      </c>
      <c r="D67" t="str">
        <v>B.DSHNQN.STA</v>
      </c>
      <c r="E67" t="str">
        <v>Nhà ga Cổ Loa</v>
      </c>
      <c r="F67" t="str">
        <v>PC</v>
      </c>
      <c r="G67" t="str">
        <v>KSCL mô hình BIM</v>
      </c>
      <c r="H67" t="str">
        <v>TKBVTC</v>
      </c>
    </row>
    <row r="68" spans="1:8">
      <c r="A68" t="str">
        <v>3.B.DSHNQN.STA.102</v>
      </c>
      <c r="B68" t="str">
        <v>102</v>
      </c>
      <c r="C68" t="str">
        <v>Quản lý BIM</v>
      </c>
      <c r="D68" t="str">
        <v>B.DSHNQN.STA</v>
      </c>
      <c r="E68" t="str">
        <v>Nhà ga Gia Bình</v>
      </c>
      <c r="F68" t="str">
        <v>KT</v>
      </c>
      <c r="G68" t="str">
        <v>Tạo lập mô hình BIM</v>
      </c>
      <c r="H68" t="str">
        <v>TKBVTC</v>
      </c>
    </row>
    <row r="69" spans="1:8">
      <c r="A69" t="str">
        <v>3.B.DSHNQN.STA.302</v>
      </c>
      <c r="B69" t="str">
        <v>302</v>
      </c>
      <c r="C69" t="str">
        <v>Quản lý BIM</v>
      </c>
      <c r="D69" t="str">
        <v>B.DSHNQN.STA</v>
      </c>
      <c r="E69" t="str">
        <v>Nhà ga Gia Bình</v>
      </c>
      <c r="F69" t="str">
        <v>DI</v>
      </c>
      <c r="G69" t="str">
        <v>KSCL mô hình BIM</v>
      </c>
      <c r="H69" t="str">
        <v>TKBVTC</v>
      </c>
    </row>
    <row r="70" spans="1:8">
      <c r="A70" t="str">
        <v>3.B.DSHNQN.STA.402</v>
      </c>
      <c r="B70" t="str">
        <v>402</v>
      </c>
      <c r="C70" t="str">
        <v>Quản lý BIM</v>
      </c>
      <c r="D70" t="str">
        <v>B.DSHNQN.STA</v>
      </c>
      <c r="E70" t="str">
        <v>Nhà ga Gia Bình</v>
      </c>
      <c r="F70" t="str">
        <v>DN</v>
      </c>
      <c r="G70" t="str">
        <v>KSCL mô hình BIM</v>
      </c>
      <c r="H70" t="str">
        <v>TKBVTC</v>
      </c>
    </row>
    <row r="71" spans="1:8">
      <c r="A71" t="str">
        <v>3.B.DSHNQN.STA.502</v>
      </c>
      <c r="B71" t="str">
        <v>502</v>
      </c>
      <c r="C71" t="str">
        <v>Quản lý BIM</v>
      </c>
      <c r="D71" t="str">
        <v>B.DSHNQN.STA</v>
      </c>
      <c r="E71" t="str">
        <v>Nhà ga Gia Bình</v>
      </c>
      <c r="F71" t="str">
        <v>NU</v>
      </c>
      <c r="G71" t="str">
        <v>KSCL mô hình BIM</v>
      </c>
      <c r="H71" t="str">
        <v>TKBVTC</v>
      </c>
    </row>
    <row r="72" spans="1:8">
      <c r="A72" t="str">
        <v>3.B.DSHNQN.STA.602</v>
      </c>
      <c r="B72" t="str">
        <v>602</v>
      </c>
      <c r="C72" t="str">
        <v>Quản lý BIM</v>
      </c>
      <c r="D72" t="str">
        <v>B.DSHNQN.STA</v>
      </c>
      <c r="E72" t="str">
        <v>Nhà ga Gia Bình</v>
      </c>
      <c r="F72" t="str">
        <v>DH</v>
      </c>
      <c r="G72" t="str">
        <v>KSCL mô hình BIM</v>
      </c>
      <c r="H72" t="str">
        <v>TKBVTC</v>
      </c>
    </row>
    <row r="73" spans="1:8">
      <c r="A73" t="str">
        <v>3.B.DSHNQN.STA.702</v>
      </c>
      <c r="B73" t="str">
        <v>702</v>
      </c>
      <c r="C73" t="str">
        <v>Quản lý BIM</v>
      </c>
      <c r="D73" t="str">
        <v>B.DSHNQN.STA</v>
      </c>
      <c r="E73" t="str">
        <v>Nhà ga Gia Bình</v>
      </c>
      <c r="F73" t="str">
        <v>PC</v>
      </c>
      <c r="G73" t="str">
        <v>KSCL mô hình BIM</v>
      </c>
      <c r="H73" t="str">
        <v>TKBVTC</v>
      </c>
    </row>
    <row r="74" spans="1:8">
      <c r="A74" t="str">
        <v>3.B.DSHNQN.STA.103</v>
      </c>
      <c r="B74" t="str">
        <v>103</v>
      </c>
      <c r="C74" t="str">
        <v>Quản lý BIM</v>
      </c>
      <c r="D74" t="str">
        <v>B.DSHNQN.STA</v>
      </c>
      <c r="E74" t="str">
        <v>Nhà ga Hạ Long Xanh</v>
      </c>
      <c r="F74" t="str">
        <v>KT</v>
      </c>
      <c r="G74" t="str">
        <v>Tạo lập mô hình BIM</v>
      </c>
      <c r="H74" t="str">
        <v>TKBVTC</v>
      </c>
    </row>
    <row r="75" spans="1:8">
      <c r="A75" t="str">
        <v>3.B.DSHNQN.STA.201</v>
      </c>
      <c r="B75" t="str">
        <v>201</v>
      </c>
      <c r="C75" t="str">
        <v>Quản lý BIM</v>
      </c>
      <c r="D75" t="str">
        <v>B.DSHNQN.STA</v>
      </c>
      <c r="E75" t="str">
        <v>Nhà ga Hạ Long Xanh</v>
      </c>
      <c r="F75" t="str">
        <v>KC</v>
      </c>
      <c r="G75" t="str">
        <v>KSCL mô hình BIM</v>
      </c>
      <c r="H75" t="str">
        <v>TKBVTC</v>
      </c>
    </row>
    <row r="76" spans="1:8">
      <c r="A76" t="str">
        <v>3.B.DSHNQN.STA.303</v>
      </c>
      <c r="B76" t="str">
        <v>303</v>
      </c>
      <c r="C76" t="str">
        <v>Quản lý BIM</v>
      </c>
      <c r="D76" t="str">
        <v>B.DSHNQN.STA</v>
      </c>
      <c r="E76" t="str">
        <v>Nhà ga Hạ Long Xanh</v>
      </c>
      <c r="F76" t="str">
        <v>DI</v>
      </c>
      <c r="G76" t="str">
        <v>KSCL mô hình BIM</v>
      </c>
      <c r="H76" t="str">
        <v>TKBVTC</v>
      </c>
    </row>
    <row r="77" spans="1:8">
      <c r="A77" t="str">
        <v>3.B.DSHNQN.STA.403</v>
      </c>
      <c r="B77" t="str">
        <v>403</v>
      </c>
      <c r="C77" t="str">
        <v>Quản lý BIM</v>
      </c>
      <c r="D77" t="str">
        <v>B.DSHNQN.STA</v>
      </c>
      <c r="E77" t="str">
        <v>Nhà ga Hạ Long Xanh</v>
      </c>
      <c r="F77" t="str">
        <v>DN</v>
      </c>
      <c r="G77" t="str">
        <v>KSCL mô hình BIM</v>
      </c>
      <c r="H77" t="str">
        <v>TKBVTC</v>
      </c>
    </row>
    <row r="78" spans="1:8">
      <c r="A78" t="str">
        <v>3.B.DSHNQN.STA.503</v>
      </c>
      <c r="B78" t="str">
        <v>503</v>
      </c>
      <c r="C78" t="str">
        <v>Quản lý BIM</v>
      </c>
      <c r="D78" t="str">
        <v>B.DSHNQN.STA</v>
      </c>
      <c r="E78" t="str">
        <v>Nhà ga Hạ Long Xanh</v>
      </c>
      <c r="F78" t="str">
        <v>NU</v>
      </c>
      <c r="G78" t="str">
        <v>KSCL mô hình BIM</v>
      </c>
      <c r="H78" t="str">
        <v>TKBVTC</v>
      </c>
    </row>
    <row r="79" spans="1:8">
      <c r="A79" t="str">
        <v>3.B.DSHNQN.STA.603</v>
      </c>
      <c r="B79" t="str">
        <v>603</v>
      </c>
      <c r="C79" t="str">
        <v>Quản lý BIM</v>
      </c>
      <c r="D79" t="str">
        <v>B.DSHNQN.STA</v>
      </c>
      <c r="E79" t="str">
        <v>Nhà ga Hạ Long Xanh</v>
      </c>
      <c r="F79" t="str">
        <v>DH</v>
      </c>
      <c r="G79" t="str">
        <v>KSCL mô hình BIM</v>
      </c>
      <c r="H79" t="str">
        <v>TKBVTC</v>
      </c>
    </row>
    <row r="80" spans="1:8">
      <c r="A80" t="str">
        <v>3.B.DSHNQN.STA.703</v>
      </c>
      <c r="B80" t="str">
        <v>703</v>
      </c>
      <c r="C80" t="str">
        <v>Quản lý BIM</v>
      </c>
      <c r="D80" t="str">
        <v>B.DSHNQN.STA</v>
      </c>
      <c r="E80" t="str">
        <v>Nhà ga Hạ Long Xanh</v>
      </c>
      <c r="F80" t="str">
        <v>PC</v>
      </c>
      <c r="G80" t="str">
        <v>KSCL mô hình BIM</v>
      </c>
      <c r="H80" t="str">
        <v>TKBVTC</v>
      </c>
    </row>
    <row r="81" spans="1:8">
      <c r="A81" t="str">
        <v>3.B.DSHNQN.STA.104</v>
      </c>
      <c r="B81" t="str">
        <v>104</v>
      </c>
      <c r="C81" t="str">
        <v>Quản lý BIM</v>
      </c>
      <c r="D81" t="str">
        <v>B.DSHNQN.STA</v>
      </c>
      <c r="E81" t="str">
        <v>Nhà ga Ninh Xá</v>
      </c>
      <c r="F81" t="str">
        <v>KT</v>
      </c>
      <c r="G81" t="str">
        <v>Tạo lập mô hình BIM</v>
      </c>
      <c r="H81" t="str">
        <v>TKBVTC</v>
      </c>
    </row>
    <row r="82" spans="1:8">
      <c r="A82" t="str">
        <v>3.B.DSHNQN.STA.202</v>
      </c>
      <c r="B82" t="str">
        <v>202</v>
      </c>
      <c r="C82" t="str">
        <v>Quản lý BIM</v>
      </c>
      <c r="D82" t="str">
        <v>B.DSHNQN.STA</v>
      </c>
      <c r="E82" t="str">
        <v>Nhà ga Ninh Xá</v>
      </c>
      <c r="F82" t="str">
        <v>KC</v>
      </c>
      <c r="G82" t="str">
        <v>KSCL mô hình BIM</v>
      </c>
      <c r="H82" t="str">
        <v>TKBVTC</v>
      </c>
    </row>
    <row r="83" spans="1:8">
      <c r="A83" t="str">
        <v>3.B.DSHNQN.STA.304</v>
      </c>
      <c r="B83" t="str">
        <v>304</v>
      </c>
      <c r="C83" t="str">
        <v>Quản lý BIM</v>
      </c>
      <c r="D83" t="str">
        <v>B.DSHNQN.STA</v>
      </c>
      <c r="E83" t="str">
        <v>Nhà ga Ninh Xá</v>
      </c>
      <c r="F83" t="str">
        <v>DI</v>
      </c>
      <c r="G83" t="str">
        <v>KSCL mô hình BIM</v>
      </c>
      <c r="H83" t="str">
        <v>TKBVTC</v>
      </c>
    </row>
    <row r="84" spans="1:8">
      <c r="A84" t="str">
        <v>3.B.DSHNQN.STA.404</v>
      </c>
      <c r="B84" t="str">
        <v>404</v>
      </c>
      <c r="C84" t="str">
        <v>Quản lý BIM</v>
      </c>
      <c r="D84" t="str">
        <v>B.DSHNQN.STA</v>
      </c>
      <c r="E84" t="str">
        <v>Nhà ga Ninh Xá</v>
      </c>
      <c r="F84" t="str">
        <v>DN</v>
      </c>
      <c r="G84" t="str">
        <v>KSCL mô hình BIM</v>
      </c>
      <c r="H84" t="str">
        <v>TKBVTC</v>
      </c>
    </row>
    <row r="85" spans="1:8">
      <c r="A85" t="str">
        <v>3.B.DSHNQN.STA.504</v>
      </c>
      <c r="B85" t="str">
        <v>504</v>
      </c>
      <c r="C85" t="str">
        <v>Quản lý BIM</v>
      </c>
      <c r="D85" t="str">
        <v>B.DSHNQN.STA</v>
      </c>
      <c r="E85" t="str">
        <v>Nhà ga Ninh Xá</v>
      </c>
      <c r="F85" t="str">
        <v>NU</v>
      </c>
      <c r="G85" t="str">
        <v>KSCL mô hình BIM</v>
      </c>
      <c r="H85" t="str">
        <v>TKBVTC</v>
      </c>
    </row>
    <row r="86" spans="1:8">
      <c r="A86" t="str">
        <v>3.B.DSHNQN.STA.604</v>
      </c>
      <c r="B86" t="str">
        <v>604</v>
      </c>
      <c r="C86" t="str">
        <v>Quản lý BIM</v>
      </c>
      <c r="D86" t="str">
        <v>B.DSHNQN.STA</v>
      </c>
      <c r="E86" t="str">
        <v>Nhà ga Ninh Xá</v>
      </c>
      <c r="F86" t="str">
        <v>DH</v>
      </c>
      <c r="G86" t="str">
        <v>KSCL mô hình BIM</v>
      </c>
      <c r="H86" t="str">
        <v>TKBVTC</v>
      </c>
    </row>
    <row r="87" spans="1:8">
      <c r="A87" t="str">
        <v>3.B.DSHNQN.STA.704</v>
      </c>
      <c r="B87" t="str">
        <v>704</v>
      </c>
      <c r="C87" t="str">
        <v>Quản lý BIM</v>
      </c>
      <c r="D87" t="str">
        <v>B.DSHNQN.STA</v>
      </c>
      <c r="E87" t="str">
        <v>Nhà ga Ninh Xá</v>
      </c>
      <c r="F87" t="str">
        <v>PC</v>
      </c>
      <c r="G87" t="str">
        <v>KSCL mô hình BIM</v>
      </c>
      <c r="H87" t="str">
        <v>TKBVTC</v>
      </c>
    </row>
    <row r="88" spans="1:8">
      <c r="A88" t="str">
        <v>3.B.DSHNQN.STA.105</v>
      </c>
      <c r="B88" t="str">
        <v>105</v>
      </c>
      <c r="C88" t="str">
        <v>Quản lý BIM</v>
      </c>
      <c r="D88" t="str">
        <v>B.DSHNQN.STA</v>
      </c>
      <c r="E88" t="str">
        <v>Nhà ga Yên Tử</v>
      </c>
      <c r="F88" t="str">
        <v>KT</v>
      </c>
      <c r="G88" t="str">
        <v>Tạo lập mô hình BIM</v>
      </c>
      <c r="H88" t="str">
        <v>TKBVTC</v>
      </c>
    </row>
    <row r="89" spans="1:8">
      <c r="A89" t="str">
        <v>3.B.DSHNQN.STA.203</v>
      </c>
      <c r="B89" t="str">
        <v>203</v>
      </c>
      <c r="C89" t="str">
        <v>Quản lý BIM</v>
      </c>
      <c r="D89" t="str">
        <v>B.DSHNQN.STA</v>
      </c>
      <c r="E89" t="str">
        <v>Nhà ga Yên Tử</v>
      </c>
      <c r="F89" t="str">
        <v>KC</v>
      </c>
      <c r="G89" t="str">
        <v>KSCL mô hình BIM</v>
      </c>
      <c r="H89" t="str">
        <v>TKBVTC</v>
      </c>
    </row>
    <row r="90" spans="1:8">
      <c r="A90" t="str">
        <v>3.B.DSHNQN.STA.305</v>
      </c>
      <c r="B90" t="str">
        <v>305</v>
      </c>
      <c r="C90" t="str">
        <v>Quản lý BIM</v>
      </c>
      <c r="D90" t="str">
        <v>B.DSHNQN.STA</v>
      </c>
      <c r="E90" t="str">
        <v>Nhà ga Yên Tử</v>
      </c>
      <c r="F90" t="str">
        <v>DI</v>
      </c>
      <c r="G90" t="str">
        <v>KSCL mô hình BIM</v>
      </c>
      <c r="H90" t="str">
        <v>TKBVTC</v>
      </c>
    </row>
    <row r="91" spans="1:8">
      <c r="A91" t="str">
        <v>3.B.DSHNQN.STA.405</v>
      </c>
      <c r="B91" t="str">
        <v>405</v>
      </c>
      <c r="C91" t="str">
        <v>Quản lý BIM</v>
      </c>
      <c r="D91" t="str">
        <v>B.DSHNQN.STA</v>
      </c>
      <c r="E91" t="str">
        <v>Nhà ga Yên Tử</v>
      </c>
      <c r="F91" t="str">
        <v>DN</v>
      </c>
      <c r="G91" t="str">
        <v>KSCL mô hình BIM</v>
      </c>
      <c r="H91" t="str">
        <v>TKBVTC</v>
      </c>
    </row>
    <row r="92" spans="1:8">
      <c r="A92" t="str">
        <v>3.B.DSHNQN.STA.505</v>
      </c>
      <c r="B92" t="str">
        <v>505</v>
      </c>
      <c r="C92" t="str">
        <v>Quản lý BIM</v>
      </c>
      <c r="D92" t="str">
        <v>B.DSHNQN.STA</v>
      </c>
      <c r="E92" t="str">
        <v>Nhà ga Yên Tử</v>
      </c>
      <c r="F92" t="str">
        <v>NU</v>
      </c>
      <c r="G92" t="str">
        <v>KSCL mô hình BIM</v>
      </c>
      <c r="H92" t="str">
        <v>TKBVTC</v>
      </c>
    </row>
    <row r="93" spans="1:8">
      <c r="A93" t="str">
        <v>3.B.DSHNQN.STA.605</v>
      </c>
      <c r="B93" t="str">
        <v>605</v>
      </c>
      <c r="C93" t="str">
        <v>Quản lý BIM</v>
      </c>
      <c r="D93" t="str">
        <v>B.DSHNQN.STA</v>
      </c>
      <c r="E93" t="str">
        <v>Nhà ga Yên Tử</v>
      </c>
      <c r="F93" t="str">
        <v>DH</v>
      </c>
      <c r="G93" t="str">
        <v>KSCL mô hình BIM</v>
      </c>
      <c r="H93" t="str">
        <v>TKBVTC</v>
      </c>
    </row>
    <row r="94" spans="1:8">
      <c r="A94" t="str">
        <v>3.B.DSHNQN.STA.705</v>
      </c>
      <c r="B94" t="str">
        <v>705</v>
      </c>
      <c r="C94" t="str">
        <v>Quản lý BIM</v>
      </c>
      <c r="D94" t="str">
        <v>B.DSHNQN.STA</v>
      </c>
      <c r="E94" t="str">
        <v>Nhà ga Yên Tử</v>
      </c>
      <c r="F94" t="str">
        <v>PC</v>
      </c>
      <c r="G94" t="str">
        <v>KSCL mô hình BIM</v>
      </c>
      <c r="H94" t="str">
        <v>TKBVTC</v>
      </c>
    </row>
    <row r="95" spans="1:8">
      <c r="A95" t="str">
        <v>3.B.DSHNQN.SUP.101</v>
      </c>
      <c r="B95" t="str">
        <v>101</v>
      </c>
      <c r="C95" t="str">
        <v>Quản lý BIM</v>
      </c>
      <c r="D95" t="str">
        <v>B.DSHNQN.SUP</v>
      </c>
      <c r="E95" t="str">
        <v>Bãi đúc dầm 01</v>
      </c>
      <c r="F95" t="str">
        <v>KT</v>
      </c>
      <c r="G95" t="str">
        <v>Tạo lập mô hình BIM</v>
      </c>
      <c r="H95" t="str">
        <v>TKBVTC</v>
      </c>
    </row>
    <row r="96" spans="1:8">
      <c r="A96" t="str">
        <v>3.B.DSHNQN.SUP.102</v>
      </c>
      <c r="B96" t="str">
        <v>102</v>
      </c>
      <c r="C96" t="str">
        <v>Quản lý BIM</v>
      </c>
      <c r="D96" t="str">
        <v>B.DSHNQN.SUP</v>
      </c>
      <c r="E96" t="str">
        <v>Bãi đúc dầm 01A</v>
      </c>
      <c r="F96" t="str">
        <v>KT</v>
      </c>
      <c r="G96" t="str">
        <v>Tạo lập mô hình BIM</v>
      </c>
      <c r="H96" t="str">
        <v>TKBVTC</v>
      </c>
    </row>
    <row r="97" spans="1:8">
      <c r="A97" t="str">
        <v>3.B.DSHNQN.SUP.103</v>
      </c>
      <c r="B97" t="str">
        <v>103</v>
      </c>
      <c r="C97" t="str">
        <v>Quản lý BIM</v>
      </c>
      <c r="D97" t="str">
        <v>B.DSHNQN.SUP</v>
      </c>
      <c r="E97" t="str">
        <v>Bãi đúc dầm 02</v>
      </c>
      <c r="F97" t="str">
        <v>KT</v>
      </c>
      <c r="G97" t="str">
        <v>Tạo lập mô hình BIM</v>
      </c>
      <c r="H97" t="str">
        <v>TKBVTC</v>
      </c>
    </row>
    <row r="98" spans="1:8">
      <c r="A98" t="str">
        <v>3.B.DSHNQN.SUP.104</v>
      </c>
      <c r="B98" t="str">
        <v>104</v>
      </c>
      <c r="C98" t="str">
        <v>Quản lý BIM</v>
      </c>
      <c r="D98" t="str">
        <v>B.DSHNQN.SUP</v>
      </c>
      <c r="E98" t="str">
        <v>Bãi đúc dầm 02A</v>
      </c>
      <c r="F98" t="str">
        <v>KT</v>
      </c>
      <c r="G98" t="str">
        <v>Tạo lập mô hình BIM</v>
      </c>
      <c r="H98" t="str">
        <v>TKBVTC</v>
      </c>
    </row>
    <row r="99" spans="1:8">
      <c r="A99" t="str">
        <v>3.B.DSHNQN.SUP.105</v>
      </c>
      <c r="B99" t="str">
        <v>105</v>
      </c>
      <c r="C99" t="str">
        <v>Quản lý BIM</v>
      </c>
      <c r="D99" t="str">
        <v>B.DSHNQN.SUP</v>
      </c>
      <c r="E99" t="str">
        <v>Bãi đúc dầm 03</v>
      </c>
      <c r="F99" t="str">
        <v>KT</v>
      </c>
      <c r="G99" t="str">
        <v>Tạo lập mô hình BIM</v>
      </c>
      <c r="H99" t="str">
        <v>TKBVTC</v>
      </c>
    </row>
    <row r="100" spans="1:8">
      <c r="A100" t="str">
        <v>3.B.DSHNQN.SUP.106</v>
      </c>
      <c r="B100" t="str">
        <v>106</v>
      </c>
      <c r="C100" t="str">
        <v>Quản lý BIM</v>
      </c>
      <c r="D100" t="str">
        <v>B.DSHNQN.SUP</v>
      </c>
      <c r="E100" t="str">
        <v>Bãi đúc dầm 04</v>
      </c>
      <c r="F100" t="str">
        <v>KT</v>
      </c>
      <c r="G100" t="str">
        <v>Tạo lập mô hình BIM</v>
      </c>
      <c r="H100" t="str">
        <v>TKBVTC</v>
      </c>
    </row>
    <row r="101" spans="1:8">
      <c r="A101" t="str">
        <v>3.B.DSHNQN.SUP.107</v>
      </c>
      <c r="B101" t="str">
        <v>107</v>
      </c>
      <c r="C101" t="str">
        <v>Quản lý BIM</v>
      </c>
      <c r="D101" t="str">
        <v>B.DSHNQN.SUP</v>
      </c>
      <c r="E101" t="str">
        <v>Bãi đúc dầm 05</v>
      </c>
      <c r="F101" t="str">
        <v>KT</v>
      </c>
      <c r="G101" t="str">
        <v>Tạo lập mô hình BIM</v>
      </c>
      <c r="H101" t="str">
        <v>TKBVTC</v>
      </c>
    </row>
    <row r="102" spans="1:8">
      <c r="A102" t="str">
        <v>3.B.DSHNQN.SUP.108</v>
      </c>
      <c r="B102" t="str">
        <v>108</v>
      </c>
      <c r="C102" t="str">
        <v>Quản lý BIM</v>
      </c>
      <c r="D102" t="str">
        <v>B.DSHNQN.SUP</v>
      </c>
      <c r="E102" t="str">
        <v>Bãi đúc dầm 06</v>
      </c>
      <c r="F102" t="str">
        <v>KT</v>
      </c>
      <c r="G102" t="str">
        <v>Tạo lập mô hình BIM</v>
      </c>
      <c r="H102" t="str">
        <v>TKBVTC</v>
      </c>
    </row>
    <row r="103" spans="1:8">
      <c r="A103" t="str">
        <v>3.B.DSHNQN.SUP.201</v>
      </c>
      <c r="B103" t="str">
        <v>201</v>
      </c>
      <c r="C103" t="str">
        <v>Quản lý BIM</v>
      </c>
      <c r="D103" t="str">
        <v>B.DSHNQN.SUP</v>
      </c>
      <c r="E103" t="str">
        <v>Bãi đúc dầm 01</v>
      </c>
      <c r="F103" t="str">
        <v>KC</v>
      </c>
      <c r="G103" t="str">
        <v>Tạo lập mô hình BIM</v>
      </c>
      <c r="H103" t="str">
        <v>TKBVTC</v>
      </c>
    </row>
    <row r="104" spans="1:8">
      <c r="A104" t="str">
        <v>3.B.DSHNQN.SUP.202</v>
      </c>
      <c r="B104" t="str">
        <v>202</v>
      </c>
      <c r="C104" t="str">
        <v>Quản lý BIM</v>
      </c>
      <c r="D104" t="str">
        <v>B.DSHNQN.SUP</v>
      </c>
      <c r="E104" t="str">
        <v>Bãi đúc dầm 01A</v>
      </c>
      <c r="F104" t="str">
        <v>KC</v>
      </c>
      <c r="G104" t="str">
        <v>Tạo lập mô hình BIM</v>
      </c>
      <c r="H104" t="str">
        <v>TKBVTC</v>
      </c>
    </row>
    <row r="105" spans="1:8">
      <c r="A105" t="str">
        <v>3.B.DSHNQN.SUP.203</v>
      </c>
      <c r="B105" t="str">
        <v>203</v>
      </c>
      <c r="C105" t="str">
        <v>Quản lý BIM</v>
      </c>
      <c r="D105" t="str">
        <v>B.DSHNQN.SUP</v>
      </c>
      <c r="E105" t="str">
        <v>Bãi đúc dầm 02</v>
      </c>
      <c r="F105" t="str">
        <v>KC</v>
      </c>
      <c r="G105" t="str">
        <v>Tạo lập mô hình BIM</v>
      </c>
      <c r="H105" t="str">
        <v>TKBVTC</v>
      </c>
    </row>
    <row r="106" spans="1:8">
      <c r="A106" t="str">
        <v>3.B.DSHNQN.SUP.204</v>
      </c>
      <c r="B106" t="str">
        <v>204</v>
      </c>
      <c r="C106" t="str">
        <v>Quản lý BIM</v>
      </c>
      <c r="D106" t="str">
        <v>B.DSHNQN.SUP</v>
      </c>
      <c r="E106" t="str">
        <v>Bãi đúc dầm 02A</v>
      </c>
      <c r="F106" t="str">
        <v>KC</v>
      </c>
      <c r="G106" t="str">
        <v>Tạo lập mô hình BIM</v>
      </c>
      <c r="H106" t="str">
        <v>TKBVTC</v>
      </c>
    </row>
    <row r="107" spans="1:8">
      <c r="A107" t="str">
        <v>3.B.DSHNQN.SUP.205</v>
      </c>
      <c r="B107" t="str">
        <v>205</v>
      </c>
      <c r="C107" t="str">
        <v>Quản lý BIM</v>
      </c>
      <c r="D107" t="str">
        <v>B.DSHNQN.SUP</v>
      </c>
      <c r="E107" t="str">
        <v>Bãi đúc dầm 03</v>
      </c>
      <c r="F107" t="str">
        <v>KC</v>
      </c>
      <c r="G107" t="str">
        <v>Tạo lập mô hình BIM</v>
      </c>
      <c r="H107" t="str">
        <v>TKBVTC</v>
      </c>
    </row>
    <row r="108" spans="1:8">
      <c r="A108" t="str">
        <v>3.B.DSHNQN.SUP.206</v>
      </c>
      <c r="B108" t="str">
        <v>206</v>
      </c>
      <c r="C108" t="str">
        <v>Quản lý BIM</v>
      </c>
      <c r="D108" t="str">
        <v>B.DSHNQN.SUP</v>
      </c>
      <c r="E108" t="str">
        <v>Bãi đúc dầm 04</v>
      </c>
      <c r="F108" t="str">
        <v>KC</v>
      </c>
      <c r="G108" t="str">
        <v>Tạo lập mô hình BIM</v>
      </c>
      <c r="H108" t="str">
        <v>TKBVTC</v>
      </c>
    </row>
    <row r="109" spans="1:8">
      <c r="A109" t="str">
        <v>3.B.DSHNQN.SUP.207</v>
      </c>
      <c r="B109" t="str">
        <v>207</v>
      </c>
      <c r="C109" t="str">
        <v>Quản lý BIM</v>
      </c>
      <c r="D109" t="str">
        <v>B.DSHNQN.SUP</v>
      </c>
      <c r="E109" t="str">
        <v>Bãi đúc dầm 05</v>
      </c>
      <c r="F109" t="str">
        <v>KC</v>
      </c>
      <c r="G109" t="str">
        <v>Tạo lập mô hình BIM</v>
      </c>
      <c r="H109" t="str">
        <v>TKBVTC</v>
      </c>
    </row>
    <row r="110" spans="1:8">
      <c r="A110" t="str">
        <v>3.B.DSHNQN.SUP.208</v>
      </c>
      <c r="B110" t="str">
        <v>208</v>
      </c>
      <c r="C110" t="str">
        <v>Quản lý BIM</v>
      </c>
      <c r="D110" t="str">
        <v>B.DSHNQN.SUP</v>
      </c>
      <c r="E110" t="str">
        <v>Bãi đúc dầm 06</v>
      </c>
      <c r="F110" t="str">
        <v>KC</v>
      </c>
      <c r="G110" t="str">
        <v>Tạo lập mô hình BIM</v>
      </c>
      <c r="H110" t="str">
        <v>TKBVTC</v>
      </c>
    </row>
    <row r="111" spans="1:8">
      <c r="A111" t="str">
        <v>3.B.DSHNQN.SUP.301</v>
      </c>
      <c r="B111" t="str">
        <v>301</v>
      </c>
      <c r="C111" t="str">
        <v>Quản lý BIM</v>
      </c>
      <c r="D111" t="str">
        <v>B.DSHNQN.SUP</v>
      </c>
      <c r="E111" t="str">
        <v>Bãi đúc dầm 01</v>
      </c>
      <c r="F111" t="str">
        <v>DI</v>
      </c>
      <c r="G111" t="str">
        <v>Tạo lập mô hình BIM</v>
      </c>
      <c r="H111" t="str">
        <v>TKBVTC</v>
      </c>
    </row>
    <row r="112" spans="1:8">
      <c r="A112" t="str">
        <v>3.B.DSHNQN.SUP.302</v>
      </c>
      <c r="B112" t="str">
        <v>302</v>
      </c>
      <c r="C112" t="str">
        <v>Quản lý BIM</v>
      </c>
      <c r="D112" t="str">
        <v>B.DSHNQN.SUP</v>
      </c>
      <c r="E112" t="str">
        <v>Bãi đúc dầm 01A</v>
      </c>
      <c r="F112" t="str">
        <v>DI</v>
      </c>
      <c r="G112" t="str">
        <v>Tạo lập mô hình BIM</v>
      </c>
      <c r="H112" t="str">
        <v>TKBVTC</v>
      </c>
    </row>
    <row r="113" spans="1:8">
      <c r="A113" t="str">
        <v>3.B.DSHNQN.SUP.303</v>
      </c>
      <c r="B113" t="str">
        <v>303</v>
      </c>
      <c r="C113" t="str">
        <v>Quản lý BIM</v>
      </c>
      <c r="D113" t="str">
        <v>B.DSHNQN.SUP</v>
      </c>
      <c r="E113" t="str">
        <v>Bãi đúc dầm 02</v>
      </c>
      <c r="F113" t="str">
        <v>DI</v>
      </c>
      <c r="G113" t="str">
        <v>Tạo lập mô hình BIM</v>
      </c>
      <c r="H113" t="str">
        <v>TKBVTC</v>
      </c>
    </row>
    <row r="114" spans="1:8">
      <c r="A114" t="str">
        <v>3.B.DSHNQN.SUP.304</v>
      </c>
      <c r="B114" t="str">
        <v>304</v>
      </c>
      <c r="C114" t="str">
        <v>Quản lý BIM</v>
      </c>
      <c r="D114" t="str">
        <v>B.DSHNQN.SUP</v>
      </c>
      <c r="E114" t="str">
        <v>Bãi đúc dầm 02A</v>
      </c>
      <c r="F114" t="str">
        <v>DI</v>
      </c>
      <c r="G114" t="str">
        <v>Tạo lập mô hình BIM</v>
      </c>
      <c r="H114" t="str">
        <v>TKBVTC</v>
      </c>
    </row>
    <row r="115" spans="1:8">
      <c r="A115" t="str">
        <v>3.B.DSHNQN.SUP.305</v>
      </c>
      <c r="B115" t="str">
        <v>305</v>
      </c>
      <c r="C115" t="str">
        <v>Quản lý BIM</v>
      </c>
      <c r="D115" t="str">
        <v>B.DSHNQN.SUP</v>
      </c>
      <c r="E115" t="str">
        <v>Bãi đúc dầm 03</v>
      </c>
      <c r="F115" t="str">
        <v>DI</v>
      </c>
      <c r="G115" t="str">
        <v>Tạo lập mô hình BIM</v>
      </c>
      <c r="H115" t="str">
        <v>TKBVTC</v>
      </c>
    </row>
    <row r="116" spans="1:8">
      <c r="A116" t="str">
        <v>3.B.DSHNQN.SUP.306</v>
      </c>
      <c r="B116" t="str">
        <v>306</v>
      </c>
      <c r="C116" t="str">
        <v>Quản lý BIM</v>
      </c>
      <c r="D116" t="str">
        <v>B.DSHNQN.SUP</v>
      </c>
      <c r="E116" t="str">
        <v>Bãi đúc dầm 04</v>
      </c>
      <c r="F116" t="str">
        <v>DI</v>
      </c>
      <c r="G116" t="str">
        <v>Tạo lập mô hình BIM</v>
      </c>
      <c r="H116" t="str">
        <v>TKBVTC</v>
      </c>
    </row>
    <row r="117" spans="1:8">
      <c r="A117" t="str">
        <v>3.B.DSHNQN.SUP.307</v>
      </c>
      <c r="B117" t="str">
        <v>307</v>
      </c>
      <c r="C117" t="str">
        <v>Quản lý BIM</v>
      </c>
      <c r="D117" t="str">
        <v>B.DSHNQN.SUP</v>
      </c>
      <c r="E117" t="str">
        <v>Bãi đúc dầm 05</v>
      </c>
      <c r="F117" t="str">
        <v>DI</v>
      </c>
      <c r="G117" t="str">
        <v>Tạo lập mô hình BIM</v>
      </c>
      <c r="H117" t="str">
        <v>TKBVTC</v>
      </c>
    </row>
    <row r="118" spans="1:8">
      <c r="A118" t="str">
        <v>3.B.DSHNQN.SUP.308</v>
      </c>
      <c r="B118" t="str">
        <v>308</v>
      </c>
      <c r="C118" t="str">
        <v>Quản lý BIM</v>
      </c>
      <c r="D118" t="str">
        <v>B.DSHNQN.SUP</v>
      </c>
      <c r="E118" t="str">
        <v>Bãi đúc dầm 06</v>
      </c>
      <c r="F118" t="str">
        <v>DI</v>
      </c>
      <c r="G118" t="str">
        <v>Tạo lập mô hình BIM</v>
      </c>
      <c r="H118" t="str">
        <v>TKBVTC</v>
      </c>
    </row>
    <row r="119" spans="1:8">
      <c r="A119" t="str">
        <v>3.B.DSHNQN.SUP.401</v>
      </c>
      <c r="B119" t="str">
        <v>401</v>
      </c>
      <c r="C119" t="str">
        <v>Quản lý BIM</v>
      </c>
      <c r="D119" t="str">
        <v>B.DSHNQN.SUP</v>
      </c>
      <c r="E119" t="str">
        <v>Bãi đúc dầm 01</v>
      </c>
      <c r="F119" t="str">
        <v>DN</v>
      </c>
      <c r="G119" t="str">
        <v>Tạo lập mô hình BIM</v>
      </c>
      <c r="H119" t="str">
        <v>TKBVTC</v>
      </c>
    </row>
    <row r="120" spans="1:8">
      <c r="A120" t="str">
        <v>3.B.DSHNQN.SUP.402</v>
      </c>
      <c r="B120" t="str">
        <v>402</v>
      </c>
      <c r="C120" t="str">
        <v>Quản lý BIM</v>
      </c>
      <c r="D120" t="str">
        <v>B.DSHNQN.SUP</v>
      </c>
      <c r="E120" t="str">
        <v>Bãi đúc dầm 01A</v>
      </c>
      <c r="F120" t="str">
        <v>DN</v>
      </c>
      <c r="G120" t="str">
        <v>Tạo lập mô hình BIM</v>
      </c>
      <c r="H120" t="str">
        <v>TKBVTC</v>
      </c>
    </row>
    <row r="121" spans="1:8">
      <c r="A121" t="str">
        <v>3.B.DSHNQN.SUP.403</v>
      </c>
      <c r="B121" t="str">
        <v>403</v>
      </c>
      <c r="C121" t="str">
        <v>Quản lý BIM</v>
      </c>
      <c r="D121" t="str">
        <v>B.DSHNQN.SUP</v>
      </c>
      <c r="E121" t="str">
        <v>Bãi đúc dầm 02</v>
      </c>
      <c r="F121" t="str">
        <v>DN</v>
      </c>
      <c r="G121" t="str">
        <v>Tạo lập mô hình BIM</v>
      </c>
      <c r="H121" t="str">
        <v>TKBVTC</v>
      </c>
    </row>
    <row r="122" spans="1:8">
      <c r="A122" t="str">
        <v>3.B.DSHNQN.SUP.404</v>
      </c>
      <c r="B122" t="str">
        <v>404</v>
      </c>
      <c r="C122" t="str">
        <v>Quản lý BIM</v>
      </c>
      <c r="D122" t="str">
        <v>B.DSHNQN.SUP</v>
      </c>
      <c r="E122" t="str">
        <v>Bãi đúc dầm 02A</v>
      </c>
      <c r="F122" t="str">
        <v>DN</v>
      </c>
      <c r="G122" t="str">
        <v>Tạo lập mô hình BIM</v>
      </c>
      <c r="H122" t="str">
        <v>TKBVTC</v>
      </c>
    </row>
    <row r="123" spans="1:8">
      <c r="A123" t="str">
        <v>3.B.DSHNQN.SUP.405</v>
      </c>
      <c r="B123" t="str">
        <v>405</v>
      </c>
      <c r="C123" t="str">
        <v>Quản lý BIM</v>
      </c>
      <c r="D123" t="str">
        <v>B.DSHNQN.SUP</v>
      </c>
      <c r="E123" t="str">
        <v>Bãi đúc dầm 03</v>
      </c>
      <c r="F123" t="str">
        <v>DN</v>
      </c>
      <c r="G123" t="str">
        <v>Tạo lập mô hình BIM</v>
      </c>
      <c r="H123" t="str">
        <v>TKBVTC</v>
      </c>
    </row>
    <row r="124" spans="1:8">
      <c r="A124" t="str">
        <v>3.B.DSHNQN.SUP.406</v>
      </c>
      <c r="B124" t="str">
        <v>406</v>
      </c>
      <c r="C124" t="str">
        <v>Quản lý BIM</v>
      </c>
      <c r="D124" t="str">
        <v>B.DSHNQN.SUP</v>
      </c>
      <c r="E124" t="str">
        <v>Bãi đúc dầm 04</v>
      </c>
      <c r="F124" t="str">
        <v>DN</v>
      </c>
      <c r="G124" t="str">
        <v>Tạo lập mô hình BIM</v>
      </c>
      <c r="H124" t="str">
        <v>TKBVTC</v>
      </c>
    </row>
    <row r="125" spans="1:8">
      <c r="A125" t="str">
        <v>3.B.DSHNQN.SUP.407</v>
      </c>
      <c r="B125" t="str">
        <v>407</v>
      </c>
      <c r="C125" t="str">
        <v>Quản lý BIM</v>
      </c>
      <c r="D125" t="str">
        <v>B.DSHNQN.SUP</v>
      </c>
      <c r="E125" t="str">
        <v>Bãi đúc dầm 05</v>
      </c>
      <c r="F125" t="str">
        <v>DN</v>
      </c>
      <c r="G125" t="str">
        <v>Tạo lập mô hình BIM</v>
      </c>
      <c r="H125" t="str">
        <v>TKBVTC</v>
      </c>
    </row>
    <row r="126" spans="1:8">
      <c r="A126" t="str">
        <v>3.B.DSHNQN.SUP.408</v>
      </c>
      <c r="B126" t="str">
        <v>408</v>
      </c>
      <c r="C126" t="str">
        <v>Quản lý BIM</v>
      </c>
      <c r="D126" t="str">
        <v>B.DSHNQN.SUP</v>
      </c>
      <c r="E126" t="str">
        <v>Bãi đúc dầm 06</v>
      </c>
      <c r="F126" t="str">
        <v>DN</v>
      </c>
      <c r="G126" t="str">
        <v>Tạo lập mô hình BIM</v>
      </c>
      <c r="H126" t="str">
        <v>TKBVTC</v>
      </c>
    </row>
    <row r="127" spans="1:8">
      <c r="A127" t="str">
        <v>3.B.DSHNQN.SUP.501</v>
      </c>
      <c r="B127" t="str">
        <v>501</v>
      </c>
      <c r="C127" t="str">
        <v>Quản lý BIM</v>
      </c>
      <c r="D127" t="str">
        <v>B.DSHNQN.SUP</v>
      </c>
      <c r="E127" t="str">
        <v>Bãi đúc dầm 01</v>
      </c>
      <c r="F127" t="str">
        <v>NU</v>
      </c>
      <c r="G127" t="str">
        <v>Tạo lập mô hình BIM</v>
      </c>
      <c r="H127" t="str">
        <v>TKBVTC</v>
      </c>
    </row>
    <row r="128" spans="1:8">
      <c r="A128" t="str">
        <v>3.B.DSHNQN.SUP.502</v>
      </c>
      <c r="B128" t="str">
        <v>502</v>
      </c>
      <c r="C128" t="str">
        <v>Quản lý BIM</v>
      </c>
      <c r="D128" t="str">
        <v>B.DSHNQN.SUP</v>
      </c>
      <c r="E128" t="str">
        <v>Bãi đúc dầm 01A</v>
      </c>
      <c r="F128" t="str">
        <v>NU</v>
      </c>
      <c r="G128" t="str">
        <v>Tạo lập mô hình BIM</v>
      </c>
      <c r="H128" t="str">
        <v>TKBVTC</v>
      </c>
    </row>
    <row r="129" spans="1:8">
      <c r="A129" t="str">
        <v>3.B.DSHNQN.SUP.503</v>
      </c>
      <c r="B129" t="str">
        <v>503</v>
      </c>
      <c r="C129" t="str">
        <v>Quản lý BIM</v>
      </c>
      <c r="D129" t="str">
        <v>B.DSHNQN.SUP</v>
      </c>
      <c r="E129" t="str">
        <v>Bãi đúc dầm 02</v>
      </c>
      <c r="F129" t="str">
        <v>NU</v>
      </c>
      <c r="G129" t="str">
        <v>Tạo lập mô hình BIM</v>
      </c>
      <c r="H129" t="str">
        <v>TKBVTC</v>
      </c>
    </row>
    <row r="130" spans="1:8">
      <c r="A130" t="str">
        <v>3.B.DSHNQN.SUP.504</v>
      </c>
      <c r="B130" t="str">
        <v>504</v>
      </c>
      <c r="C130" t="str">
        <v>Quản lý BIM</v>
      </c>
      <c r="D130" t="str">
        <v>B.DSHNQN.SUP</v>
      </c>
      <c r="E130" t="str">
        <v>Bãi đúc dầm 02A</v>
      </c>
      <c r="F130" t="str">
        <v>NU</v>
      </c>
      <c r="G130" t="str">
        <v>Tạo lập mô hình BIM</v>
      </c>
      <c r="H130" t="str">
        <v>TKBVTC</v>
      </c>
    </row>
    <row r="131" spans="1:8">
      <c r="A131" t="str">
        <v>3.B.DSHNQN.SUP.505</v>
      </c>
      <c r="B131" t="str">
        <v>505</v>
      </c>
      <c r="C131" t="str">
        <v>Quản lý BIM</v>
      </c>
      <c r="D131" t="str">
        <v>B.DSHNQN.SUP</v>
      </c>
      <c r="E131" t="str">
        <v>Bãi đúc dầm 03</v>
      </c>
      <c r="F131" t="str">
        <v>NU</v>
      </c>
      <c r="G131" t="str">
        <v>Tạo lập mô hình BIM</v>
      </c>
      <c r="H131" t="str">
        <v>TKBVTC</v>
      </c>
    </row>
    <row r="132" spans="1:8">
      <c r="A132" t="str">
        <v>3.B.DSHNQN.SUP.506</v>
      </c>
      <c r="B132" t="str">
        <v>506</v>
      </c>
      <c r="C132" t="str">
        <v>Quản lý BIM</v>
      </c>
      <c r="D132" t="str">
        <v>B.DSHNQN.SUP</v>
      </c>
      <c r="E132" t="str">
        <v>Bãi đúc dầm 04</v>
      </c>
      <c r="F132" t="str">
        <v>NU</v>
      </c>
      <c r="G132" t="str">
        <v>Tạo lập mô hình BIM</v>
      </c>
      <c r="H132" t="str">
        <v>TKBVTC</v>
      </c>
    </row>
    <row r="133" spans="1:8">
      <c r="A133" t="str">
        <v>3.B.DSHNQN.SUP.507</v>
      </c>
      <c r="B133" t="str">
        <v>507</v>
      </c>
      <c r="C133" t="str">
        <v>Quản lý BIM</v>
      </c>
      <c r="D133" t="str">
        <v>B.DSHNQN.SUP</v>
      </c>
      <c r="E133" t="str">
        <v>Bãi đúc dầm 05</v>
      </c>
      <c r="F133" t="str">
        <v>NU</v>
      </c>
      <c r="G133" t="str">
        <v>Tạo lập mô hình BIM</v>
      </c>
      <c r="H133" t="str">
        <v>TKBVTC</v>
      </c>
    </row>
    <row r="134" spans="1:8">
      <c r="A134" t="str">
        <v>3.B.DSHNQN.SUP.508</v>
      </c>
      <c r="B134" t="str">
        <v>508</v>
      </c>
      <c r="C134" t="str">
        <v>Quản lý BIM</v>
      </c>
      <c r="D134" t="str">
        <v>B.DSHNQN.SUP</v>
      </c>
      <c r="E134" t="str">
        <v>Bãi đúc dầm 06</v>
      </c>
      <c r="F134" t="str">
        <v>NU</v>
      </c>
      <c r="G134" t="str">
        <v>Tạo lập mô hình BIM</v>
      </c>
      <c r="H134" t="str">
        <v>TKBVTC</v>
      </c>
    </row>
    <row r="135" spans="1:8">
      <c r="A135" t="str">
        <v>3.B.DSHNQN.SUP.601</v>
      </c>
      <c r="B135" t="str">
        <v>601</v>
      </c>
      <c r="C135" t="str">
        <v>Quản lý BIM</v>
      </c>
      <c r="D135" t="str">
        <v>B.DSHNQN.SUP</v>
      </c>
      <c r="E135" t="str">
        <v>Bãi đúc dầm 01</v>
      </c>
      <c r="F135" t="str">
        <v>DH</v>
      </c>
      <c r="G135" t="str">
        <v>Tạo lập mô hình BIM</v>
      </c>
      <c r="H135" t="str">
        <v>TKBVTC</v>
      </c>
    </row>
    <row r="136" spans="1:8">
      <c r="A136" t="str">
        <v>3.B.DSHNQN.SUP.602</v>
      </c>
      <c r="B136" t="str">
        <v>602</v>
      </c>
      <c r="C136" t="str">
        <v>Quản lý BIM</v>
      </c>
      <c r="D136" t="str">
        <v>B.DSHNQN.SUP</v>
      </c>
      <c r="E136" t="str">
        <v>Bãi đúc dầm 01A</v>
      </c>
      <c r="F136" t="str">
        <v>DH</v>
      </c>
      <c r="G136" t="str">
        <v>Tạo lập mô hình BIM</v>
      </c>
      <c r="H136" t="str">
        <v>TKBVTC</v>
      </c>
    </row>
    <row r="137" spans="1:8">
      <c r="A137" t="str">
        <v>3.B.DSHNQN.SUP.603</v>
      </c>
      <c r="B137" t="str">
        <v>603</v>
      </c>
      <c r="C137" t="str">
        <v>Quản lý BIM</v>
      </c>
      <c r="D137" t="str">
        <v>B.DSHNQN.SUP</v>
      </c>
      <c r="E137" t="str">
        <v>Bãi đúc dầm 02</v>
      </c>
      <c r="F137" t="str">
        <v>DH</v>
      </c>
      <c r="G137" t="str">
        <v>Tạo lập mô hình BIM</v>
      </c>
      <c r="H137" t="str">
        <v>TKBVTC</v>
      </c>
    </row>
    <row r="138" spans="1:8">
      <c r="A138" t="str">
        <v>3.B.DSHNQN.SUP.604</v>
      </c>
      <c r="B138" t="str">
        <v>604</v>
      </c>
      <c r="C138" t="str">
        <v>Quản lý BIM</v>
      </c>
      <c r="D138" t="str">
        <v>B.DSHNQN.SUP</v>
      </c>
      <c r="E138" t="str">
        <v>Bãi đúc dầm 02A</v>
      </c>
      <c r="F138" t="str">
        <v>DH</v>
      </c>
      <c r="G138" t="str">
        <v>Tạo lập mô hình BIM</v>
      </c>
      <c r="H138" t="str">
        <v>TKBVTC</v>
      </c>
    </row>
    <row r="139" spans="1:8">
      <c r="A139" t="str">
        <v>3.B.DSHNQN.SUP.605</v>
      </c>
      <c r="B139" t="str">
        <v>605</v>
      </c>
      <c r="C139" t="str">
        <v>Quản lý BIM</v>
      </c>
      <c r="D139" t="str">
        <v>B.DSHNQN.SUP</v>
      </c>
      <c r="E139" t="str">
        <v>Bãi đúc dầm 03</v>
      </c>
      <c r="F139" t="str">
        <v>DH</v>
      </c>
      <c r="G139" t="str">
        <v>Tạo lập mô hình BIM</v>
      </c>
      <c r="H139" t="str">
        <v>TKBVTC</v>
      </c>
    </row>
    <row r="140" spans="1:8">
      <c r="A140" t="str">
        <v>3.B.DSHNQN.SUP.606</v>
      </c>
      <c r="B140" t="str">
        <v>606</v>
      </c>
      <c r="C140" t="str">
        <v>Quản lý BIM</v>
      </c>
      <c r="D140" t="str">
        <v>B.DSHNQN.SUP</v>
      </c>
      <c r="E140" t="str">
        <v>Bãi đúc dầm 04</v>
      </c>
      <c r="F140" t="str">
        <v>DH</v>
      </c>
      <c r="G140" t="str">
        <v>Tạo lập mô hình BIM</v>
      </c>
      <c r="H140" t="str">
        <v>TKBVTC</v>
      </c>
    </row>
    <row r="141" spans="1:8">
      <c r="A141" t="str">
        <v>3.B.DSHNQN.SUP.607</v>
      </c>
      <c r="B141" t="str">
        <v>607</v>
      </c>
      <c r="C141" t="str">
        <v>Quản lý BIM</v>
      </c>
      <c r="D141" t="str">
        <v>B.DSHNQN.SUP</v>
      </c>
      <c r="E141" t="str">
        <v>Bãi đúc dầm 05</v>
      </c>
      <c r="F141" t="str">
        <v>DH</v>
      </c>
      <c r="G141" t="str">
        <v>Tạo lập mô hình BIM</v>
      </c>
      <c r="H141" t="str">
        <v>TKBVTC</v>
      </c>
    </row>
    <row r="142" spans="1:8">
      <c r="A142" t="str">
        <v>3.B.DSHNQN.SUP.608</v>
      </c>
      <c r="B142" t="str">
        <v>608</v>
      </c>
      <c r="C142" t="str">
        <v>Quản lý BIM</v>
      </c>
      <c r="D142" t="str">
        <v>B.DSHNQN.SUP</v>
      </c>
      <c r="E142" t="str">
        <v>Bãi đúc dầm 06</v>
      </c>
      <c r="F142" t="str">
        <v>DH</v>
      </c>
      <c r="G142" t="str">
        <v>Tạo lập mô hình BIM</v>
      </c>
      <c r="H142" t="str">
        <v>TKBVTC</v>
      </c>
    </row>
    <row r="143" spans="1:8">
      <c r="A143" t="str">
        <v>3.B.DSHNQN.SUP.701</v>
      </c>
      <c r="B143" t="str">
        <v>701</v>
      </c>
      <c r="C143" t="str">
        <v>Quản lý BIM</v>
      </c>
      <c r="D143" t="str">
        <v>B.DSHNQN.SUP</v>
      </c>
      <c r="E143" t="str">
        <v>Bãi đúc dầm 01</v>
      </c>
      <c r="F143" t="str">
        <v>PC</v>
      </c>
      <c r="G143" t="str">
        <v>Tạo lập mô hình BIM</v>
      </c>
      <c r="H143" t="str">
        <v>TKBVTC</v>
      </c>
    </row>
    <row r="144" spans="1:8">
      <c r="A144" t="str">
        <v>3.B.DSHNQN.SUP.702</v>
      </c>
      <c r="B144" t="str">
        <v>702</v>
      </c>
      <c r="C144" t="str">
        <v>Quản lý BIM</v>
      </c>
      <c r="D144" t="str">
        <v>B.DSHNQN.SUP</v>
      </c>
      <c r="E144" t="str">
        <v>Bãi đúc dầm 01A</v>
      </c>
      <c r="F144" t="str">
        <v>PC</v>
      </c>
      <c r="G144" t="str">
        <v>Tạo lập mô hình BIM</v>
      </c>
      <c r="H144" t="str">
        <v>TKBVTC</v>
      </c>
    </row>
    <row r="145" spans="1:8">
      <c r="A145" t="str">
        <v>3.B.DSHNQN.SUP.703</v>
      </c>
      <c r="B145" t="str">
        <v>703</v>
      </c>
      <c r="C145" t="str">
        <v>Quản lý BIM</v>
      </c>
      <c r="D145" t="str">
        <v>B.DSHNQN.SUP</v>
      </c>
      <c r="E145" t="str">
        <v>Bãi đúc dầm 02</v>
      </c>
      <c r="F145" t="str">
        <v>PC</v>
      </c>
      <c r="G145" t="str">
        <v>Tạo lập mô hình BIM</v>
      </c>
      <c r="H145" t="str">
        <v>TKBVTC</v>
      </c>
    </row>
    <row r="146" spans="1:8">
      <c r="A146" t="str">
        <v>3.B.DSHNQN.SUP.704</v>
      </c>
      <c r="B146" t="str">
        <v>704</v>
      </c>
      <c r="C146" t="str">
        <v>Quản lý BIM</v>
      </c>
      <c r="D146" t="str">
        <v>B.DSHNQN.SUP</v>
      </c>
      <c r="E146" t="str">
        <v>Bãi đúc dầm 02A</v>
      </c>
      <c r="F146" t="str">
        <v>PC</v>
      </c>
      <c r="G146" t="str">
        <v>Tạo lập mô hình BIM</v>
      </c>
      <c r="H146" t="str">
        <v>TKBVTC</v>
      </c>
    </row>
    <row r="147" spans="1:8">
      <c r="A147" t="str">
        <v>3.B.DSHNQN.SUP.705</v>
      </c>
      <c r="B147" t="str">
        <v>705</v>
      </c>
      <c r="C147" t="str">
        <v>Quản lý BIM</v>
      </c>
      <c r="D147" t="str">
        <v>B.DSHNQN.SUP</v>
      </c>
      <c r="E147" t="str">
        <v>Bãi đúc dầm 03</v>
      </c>
      <c r="F147" t="str">
        <v>PC</v>
      </c>
      <c r="G147" t="str">
        <v>Tạo lập mô hình BIM</v>
      </c>
      <c r="H147" t="str">
        <v>TKBVTC</v>
      </c>
    </row>
    <row r="148" spans="1:8">
      <c r="A148" t="str">
        <v>3.B.DSHNQN.SUP.706</v>
      </c>
      <c r="B148" t="str">
        <v>706</v>
      </c>
      <c r="C148" t="str">
        <v>Quản lý BIM</v>
      </c>
      <c r="D148" t="str">
        <v>B.DSHNQN.SUP</v>
      </c>
      <c r="E148" t="str">
        <v>Bãi đúc dầm 04</v>
      </c>
      <c r="F148" t="str">
        <v>PC</v>
      </c>
      <c r="G148" t="str">
        <v>Tạo lập mô hình BIM</v>
      </c>
      <c r="H148" t="str">
        <v>TKBVTC</v>
      </c>
    </row>
    <row r="149" spans="1:8">
      <c r="A149" t="str">
        <v>3.B.DSHNQN.SUP.707</v>
      </c>
      <c r="B149" t="str">
        <v>707</v>
      </c>
      <c r="C149" t="str">
        <v>Quản lý BIM</v>
      </c>
      <c r="D149" t="str">
        <v>B.DSHNQN.SUP</v>
      </c>
      <c r="E149" t="str">
        <v>Bãi đúc dầm 05</v>
      </c>
      <c r="F149" t="str">
        <v>PC</v>
      </c>
      <c r="G149" t="str">
        <v>Tạo lập mô hình BIM</v>
      </c>
      <c r="H149" t="str">
        <v>TKBVTC</v>
      </c>
    </row>
    <row r="150" spans="1:8">
      <c r="A150" t="str">
        <v>3.B.DSHNQN.SUP.708</v>
      </c>
      <c r="B150" t="str">
        <v>708</v>
      </c>
      <c r="C150" t="str">
        <v>Quản lý BIM</v>
      </c>
      <c r="D150" t="str">
        <v>B.DSHNQN.SUP</v>
      </c>
      <c r="E150" t="str">
        <v>Bãi đúc dầm 06</v>
      </c>
      <c r="F150" t="str">
        <v>PC</v>
      </c>
      <c r="G150" t="str">
        <v>Tạo lập mô hình BIM</v>
      </c>
      <c r="H150" t="str">
        <v>TKBVTC</v>
      </c>
    </row>
    <row r="151" spans="1:8">
      <c r="A151" t="str">
        <v>3.B.HNO.GL.VSC.101</v>
      </c>
      <c r="B151" t="str">
        <v>101</v>
      </c>
      <c r="C151" t="str">
        <v>Quản lý BIM</v>
      </c>
      <c r="D151" t="str">
        <v>B.HNO.GL.VSC</v>
      </c>
      <c r="E151" t="str">
        <v>Trường PTLC hệ Cambride Lô B5-TH01</v>
      </c>
      <c r="F151" t="str">
        <v>KT</v>
      </c>
      <c r="G151" t="str">
        <v>KSCL mô hình BIM</v>
      </c>
      <c r="H151" t="str">
        <v>TKBVTC</v>
      </c>
    </row>
    <row r="152" spans="1:8">
      <c r="A152" t="str">
        <v>3.B.HNO.GL.VSC.201</v>
      </c>
      <c r="B152" t="str">
        <v>201</v>
      </c>
      <c r="C152" t="str">
        <v>Quản lý BIM</v>
      </c>
      <c r="D152" t="str">
        <v>B.HNO.GL.VSC</v>
      </c>
      <c r="E152" t="str">
        <v>Trường PTLC hệ Cambride Lô B5-TH01</v>
      </c>
      <c r="F152" t="str">
        <v>KC</v>
      </c>
      <c r="G152" t="str">
        <v>KSCL mô hình BIM</v>
      </c>
      <c r="H152" t="str">
        <v>TKBVTC</v>
      </c>
    </row>
    <row r="153" spans="1:8">
      <c r="A153" t="str">
        <v>3.B.HNO.GL.VSC.301</v>
      </c>
      <c r="B153" t="str">
        <v>301</v>
      </c>
      <c r="C153" t="str">
        <v>Quản lý BIM</v>
      </c>
      <c r="D153" t="str">
        <v>B.HNO.GL.VSC</v>
      </c>
      <c r="E153" t="str">
        <v>Trường PTLC hệ Cambride Lô B5-TH01</v>
      </c>
      <c r="F153" t="str">
        <v>DI</v>
      </c>
      <c r="G153" t="str">
        <v>KSCL mô hình BIM</v>
      </c>
      <c r="H153" t="str">
        <v>TKBVTC</v>
      </c>
    </row>
    <row r="154" spans="1:8">
      <c r="A154" t="str">
        <v>3.B.HNO.GL.VSC.401</v>
      </c>
      <c r="B154" t="str">
        <v>401</v>
      </c>
      <c r="C154" t="str">
        <v>Quản lý BIM</v>
      </c>
      <c r="D154" t="str">
        <v>B.HNO.GL.VSC</v>
      </c>
      <c r="E154" t="str">
        <v>Trường PTLC hệ Cambride Lô B5-TH01</v>
      </c>
      <c r="F154" t="str">
        <v>DN</v>
      </c>
      <c r="G154" t="str">
        <v>KSCL mô hình BIM</v>
      </c>
      <c r="H154" t="str">
        <v>TKBVTC</v>
      </c>
    </row>
    <row r="155" spans="1:8">
      <c r="A155" t="str">
        <v>3.B.HNO.GL.VSC.501</v>
      </c>
      <c r="B155" t="str">
        <v>501</v>
      </c>
      <c r="C155" t="str">
        <v>Quản lý BIM</v>
      </c>
      <c r="D155" t="str">
        <v>B.HNO.GL.VSC</v>
      </c>
      <c r="E155" t="str">
        <v>Trường PTLC hệ Cambride Lô B5-TH01</v>
      </c>
      <c r="F155" t="str">
        <v>NU</v>
      </c>
      <c r="G155" t="str">
        <v>KSCL mô hình BIM</v>
      </c>
      <c r="H155" t="str">
        <v>TKBVTC</v>
      </c>
    </row>
    <row r="156" spans="1:8">
      <c r="A156" t="str">
        <v>3.B.HNO.GL.VSC.601</v>
      </c>
      <c r="B156" t="str">
        <v>601</v>
      </c>
      <c r="C156" t="str">
        <v>Quản lý BIM</v>
      </c>
      <c r="D156" t="str">
        <v>B.HNO.GL.VSC</v>
      </c>
      <c r="E156" t="str">
        <v>Trường PTLC hệ Cambride Lô B5-TH01</v>
      </c>
      <c r="F156" t="str">
        <v>DH</v>
      </c>
      <c r="G156" t="str">
        <v>KSCL mô hình BIM</v>
      </c>
      <c r="H156" t="str">
        <v>TKBVTC</v>
      </c>
    </row>
    <row r="157" spans="1:8">
      <c r="A157" t="str">
        <v>3.B.HNO.GL.VSC.701</v>
      </c>
      <c r="B157" t="str">
        <v>701</v>
      </c>
      <c r="C157" t="str">
        <v>Quản lý BIM</v>
      </c>
      <c r="D157" t="str">
        <v>B.HNO.GL.VSC</v>
      </c>
      <c r="E157" t="str">
        <v>Trường PTLC hệ Cambride Lô B5-TH01</v>
      </c>
      <c r="F157" t="str">
        <v>PC</v>
      </c>
      <c r="G157" t="str">
        <v>KSCL mô hình BIM</v>
      </c>
      <c r="H157" t="str">
        <v>TKBVTC</v>
      </c>
    </row>
    <row r="158" spans="1:8">
      <c r="A158" t="str">
        <v>3.B.HNO.GL.VUNI.101</v>
      </c>
      <c r="B158" t="str">
        <v>101</v>
      </c>
      <c r="C158" t="str">
        <v>Quản lý BIM</v>
      </c>
      <c r="D158" t="str">
        <v>B.HNO.GL.VUNI</v>
      </c>
      <c r="E158" t="str">
        <v>Trường Vinuni  - Tòa M</v>
      </c>
      <c r="F158" t="str">
        <v>KT</v>
      </c>
      <c r="G158" t="str">
        <v>KSCL mô hình BIM</v>
      </c>
      <c r="H158" t="str">
        <v>TKBVTC</v>
      </c>
    </row>
    <row r="159" spans="1:8">
      <c r="A159" t="str">
        <v>3.B.HNO.GL.VUNI.201</v>
      </c>
      <c r="B159" t="str">
        <v>201</v>
      </c>
      <c r="C159" t="str">
        <v>Quản lý BIM</v>
      </c>
      <c r="D159" t="str">
        <v>B.HNO.GL.VUNI</v>
      </c>
      <c r="E159" t="str">
        <v>Trường Vinuni  - Tòa M</v>
      </c>
      <c r="F159" t="str">
        <v>KC</v>
      </c>
      <c r="G159" t="str">
        <v>KSCL mô hình BIM</v>
      </c>
      <c r="H159" t="str">
        <v>TKBVTC</v>
      </c>
    </row>
    <row r="160" spans="1:8">
      <c r="A160" t="str">
        <v>3.B.HNO.GL.VUNI.301</v>
      </c>
      <c r="B160" t="str">
        <v>301</v>
      </c>
      <c r="C160" t="str">
        <v>Quản lý BIM</v>
      </c>
      <c r="D160" t="str">
        <v>B.HNO.GL.VUNI</v>
      </c>
      <c r="E160" t="str">
        <v>Trường Vinuni  - Tòa M</v>
      </c>
      <c r="F160" t="str">
        <v>DI</v>
      </c>
      <c r="G160" t="str">
        <v>KSCL mô hình BIM</v>
      </c>
      <c r="H160" t="str">
        <v>TKBVTC</v>
      </c>
    </row>
    <row r="161" spans="1:8">
      <c r="A161" t="str">
        <v>3.B.HNO.GL.VUNI.401</v>
      </c>
      <c r="B161" t="str">
        <v>401</v>
      </c>
      <c r="C161" t="str">
        <v>Quản lý BIM</v>
      </c>
      <c r="D161" t="str">
        <v>B.HNO.GL.VUNI</v>
      </c>
      <c r="E161" t="str">
        <v>Trường Vinuni  - Tòa M</v>
      </c>
      <c r="F161" t="str">
        <v>DN</v>
      </c>
      <c r="G161" t="str">
        <v>KSCL mô hình BIM</v>
      </c>
      <c r="H161" t="str">
        <v>TKBVTC</v>
      </c>
    </row>
    <row r="162" spans="1:8">
      <c r="A162" t="str">
        <v>3.B.HNO.GL.VUNI.501</v>
      </c>
      <c r="B162" t="str">
        <v>501</v>
      </c>
      <c r="C162" t="str">
        <v>Quản lý BIM</v>
      </c>
      <c r="D162" t="str">
        <v>B.HNO.GL.VUNI</v>
      </c>
      <c r="E162" t="str">
        <v>Trường Vinuni  - Tòa M</v>
      </c>
      <c r="F162" t="str">
        <v>NU</v>
      </c>
      <c r="G162" t="str">
        <v>KSCL mô hình BIM</v>
      </c>
      <c r="H162" t="str">
        <v>TKBVTC</v>
      </c>
    </row>
    <row r="163" spans="1:8">
      <c r="A163" t="str">
        <v>3.B.HNO.GL.VUNI.601</v>
      </c>
      <c r="B163" t="str">
        <v>601</v>
      </c>
      <c r="C163" t="str">
        <v>Quản lý BIM</v>
      </c>
      <c r="D163" t="str">
        <v>B.HNO.GL.VUNI</v>
      </c>
      <c r="E163" t="str">
        <v>Trường Vinuni  - Tòa M</v>
      </c>
      <c r="F163" t="str">
        <v>DH</v>
      </c>
      <c r="G163" t="str">
        <v>KSCL mô hình BIM</v>
      </c>
      <c r="H163" t="str">
        <v>TKBVTC</v>
      </c>
    </row>
    <row r="164" spans="1:8">
      <c r="A164" t="str">
        <v>3.B.HNO.GL.VUNI.701</v>
      </c>
      <c r="B164" t="str">
        <v>701</v>
      </c>
      <c r="C164" t="str">
        <v>Quản lý BIM</v>
      </c>
      <c r="D164" t="str">
        <v>B.HNO.GL.VUNI</v>
      </c>
      <c r="E164" t="str">
        <v>Trường Vinuni  - Tòa M</v>
      </c>
      <c r="F164" t="str">
        <v>PC</v>
      </c>
      <c r="G164" t="str">
        <v>KSCL mô hình BIM</v>
      </c>
      <c r="H164" t="str">
        <v>TKBVTC</v>
      </c>
    </row>
    <row r="165" spans="1:8">
      <c r="A165" t="str">
        <v>3.B.HNO.GL.VUNI.102</v>
      </c>
      <c r="B165" t="str">
        <v>102</v>
      </c>
      <c r="C165" t="str">
        <v>Quản lý BIM</v>
      </c>
      <c r="D165" t="str">
        <v>B.HNO.GL.VUNI</v>
      </c>
      <c r="E165" t="str">
        <v>Trường Vinuni  - Tòa P</v>
      </c>
      <c r="F165" t="str">
        <v>KT</v>
      </c>
      <c r="G165" t="str">
        <v>KSCL mô hình BIM</v>
      </c>
      <c r="H165" t="str">
        <v>TKBVTC</v>
      </c>
    </row>
    <row r="166" spans="1:8">
      <c r="A166" t="str">
        <v>3.B.HNO.GL.VUNI.202</v>
      </c>
      <c r="B166" t="str">
        <v>202</v>
      </c>
      <c r="C166" t="str">
        <v>Quản lý BIM</v>
      </c>
      <c r="D166" t="str">
        <v>B.HNO.GL.VUNI</v>
      </c>
      <c r="E166" t="str">
        <v>Trường Vinuni  - Tòa P</v>
      </c>
      <c r="F166" t="str">
        <v>KC</v>
      </c>
      <c r="G166" t="str">
        <v>KSCL mô hình BIM</v>
      </c>
      <c r="H166" t="str">
        <v>TKBVTC</v>
      </c>
    </row>
    <row r="167" spans="1:8">
      <c r="A167" t="str">
        <v>3.B.HNO.GL.VUNI.302</v>
      </c>
      <c r="B167" t="str">
        <v>302</v>
      </c>
      <c r="C167" t="str">
        <v>Quản lý BIM</v>
      </c>
      <c r="D167" t="str">
        <v>B.HNO.GL.VUNI</v>
      </c>
      <c r="E167" t="str">
        <v>Trường Vinuni  - Tòa P</v>
      </c>
      <c r="F167" t="str">
        <v>DI</v>
      </c>
      <c r="G167" t="str">
        <v>KSCL mô hình BIM</v>
      </c>
      <c r="H167" t="str">
        <v>TKBVTC</v>
      </c>
    </row>
    <row r="168" spans="1:8">
      <c r="A168" t="str">
        <v>3.B.HNO.GL.VUNI.402</v>
      </c>
      <c r="B168" t="str">
        <v>402</v>
      </c>
      <c r="C168" t="str">
        <v>Quản lý BIM</v>
      </c>
      <c r="D168" t="str">
        <v>B.HNO.GL.VUNI</v>
      </c>
      <c r="E168" t="str">
        <v>Trường Vinuni  - Tòa P</v>
      </c>
      <c r="F168" t="str">
        <v>DN</v>
      </c>
      <c r="G168" t="str">
        <v>KSCL mô hình BIM</v>
      </c>
      <c r="H168" t="str">
        <v>TKBVTC</v>
      </c>
    </row>
    <row r="169" spans="1:8">
      <c r="A169" t="str">
        <v>3.B.HNO.GL.VUNI.502</v>
      </c>
      <c r="B169" t="str">
        <v>502</v>
      </c>
      <c r="C169" t="str">
        <v>Quản lý BIM</v>
      </c>
      <c r="D169" t="str">
        <v>B.HNO.GL.VUNI</v>
      </c>
      <c r="E169" t="str">
        <v>Trường Vinuni  - Tòa P</v>
      </c>
      <c r="F169" t="str">
        <v>NU</v>
      </c>
      <c r="G169" t="str">
        <v>KSCL mô hình BIM</v>
      </c>
      <c r="H169" t="str">
        <v>TKBVTC</v>
      </c>
    </row>
    <row r="170" spans="1:8">
      <c r="A170" t="str">
        <v>3.B.HNO.GL.VUNI.602</v>
      </c>
      <c r="B170" t="str">
        <v>602</v>
      </c>
      <c r="C170" t="str">
        <v>Quản lý BIM</v>
      </c>
      <c r="D170" t="str">
        <v>B.HNO.GL.VUNI</v>
      </c>
      <c r="E170" t="str">
        <v>Trường Vinuni  - Tòa P</v>
      </c>
      <c r="F170" t="str">
        <v>DH</v>
      </c>
      <c r="G170" t="str">
        <v>KSCL mô hình BIM</v>
      </c>
      <c r="H170" t="str">
        <v>TKBVTC</v>
      </c>
    </row>
    <row r="171" spans="1:8">
      <c r="A171" t="str">
        <v>3.B.HNO.GL.VUNI.702</v>
      </c>
      <c r="B171" t="str">
        <v>702</v>
      </c>
      <c r="C171" t="str">
        <v>Quản lý BIM</v>
      </c>
      <c r="D171" t="str">
        <v>B.HNO.GL.VUNI</v>
      </c>
      <c r="E171" t="str">
        <v>Trường Vinuni  - Tòa P</v>
      </c>
      <c r="F171" t="str">
        <v>PC</v>
      </c>
      <c r="G171" t="str">
        <v>KSCL mô hình BIM</v>
      </c>
      <c r="H171" t="str">
        <v>TKBVTC</v>
      </c>
    </row>
    <row r="172" spans="1:8">
      <c r="A172" t="str">
        <v>3.B.HNO.GL.VUNI.103</v>
      </c>
      <c r="B172" t="str">
        <v>103</v>
      </c>
      <c r="C172" t="str">
        <v>Quản lý BIM</v>
      </c>
      <c r="D172" t="str">
        <v>B.HNO.GL.VUNI</v>
      </c>
      <c r="E172" t="str">
        <v>Trường Vinuni  - Tòa Q, R, S</v>
      </c>
      <c r="F172" t="str">
        <v>KT</v>
      </c>
      <c r="G172" t="str">
        <v>KSCL mô hình BIM</v>
      </c>
      <c r="H172" t="str">
        <v>TKBVTC</v>
      </c>
    </row>
    <row r="173" spans="1:8">
      <c r="A173" t="str">
        <v>3.B.HNO.GL.VUNI.203</v>
      </c>
      <c r="B173" t="str">
        <v>203</v>
      </c>
      <c r="C173" t="str">
        <v>Quản lý BIM</v>
      </c>
      <c r="D173" t="str">
        <v>B.HNO.GL.VUNI</v>
      </c>
      <c r="E173" t="str">
        <v>Trường Vinuni  - Tòa Q, R, S</v>
      </c>
      <c r="F173" t="str">
        <v>KC</v>
      </c>
      <c r="G173" t="str">
        <v>KSCL mô hình BIM</v>
      </c>
      <c r="H173" t="str">
        <v>TKBVTC</v>
      </c>
    </row>
    <row r="174" spans="1:8">
      <c r="A174" t="str">
        <v>3.B.HNO.GL.VUNI.303</v>
      </c>
      <c r="B174" t="str">
        <v>303</v>
      </c>
      <c r="C174" t="str">
        <v>Quản lý BIM</v>
      </c>
      <c r="D174" t="str">
        <v>B.HNO.GL.VUNI</v>
      </c>
      <c r="E174" t="str">
        <v>Trường Vinuni  - Tòa Q, R, S</v>
      </c>
      <c r="F174" t="str">
        <v>DI</v>
      </c>
      <c r="G174" t="str">
        <v>KSCL mô hình BIM</v>
      </c>
      <c r="H174" t="str">
        <v>TKBVTC</v>
      </c>
    </row>
    <row r="175" spans="1:8">
      <c r="A175" t="str">
        <v>3.B.HNO.GL.VUNI.403</v>
      </c>
      <c r="B175" t="str">
        <v>403</v>
      </c>
      <c r="C175" t="str">
        <v>Quản lý BIM</v>
      </c>
      <c r="D175" t="str">
        <v>B.HNO.GL.VUNI</v>
      </c>
      <c r="E175" t="str">
        <v>Trường Vinuni  - Tòa Q, R, S</v>
      </c>
      <c r="F175" t="str">
        <v>DN</v>
      </c>
      <c r="G175" t="str">
        <v>KSCL mô hình BIM</v>
      </c>
      <c r="H175" t="str">
        <v>TKBVTC</v>
      </c>
    </row>
    <row r="176" spans="1:8">
      <c r="A176" t="str">
        <v>3.B.HNO.GL.VUNI.503</v>
      </c>
      <c r="B176" t="str">
        <v>503</v>
      </c>
      <c r="C176" t="str">
        <v>Quản lý BIM</v>
      </c>
      <c r="D176" t="str">
        <v>B.HNO.GL.VUNI</v>
      </c>
      <c r="E176" t="str">
        <v>Trường Vinuni  - Tòa Q, R, S</v>
      </c>
      <c r="F176" t="str">
        <v>NU</v>
      </c>
      <c r="G176" t="str">
        <v>KSCL mô hình BIM</v>
      </c>
      <c r="H176" t="str">
        <v>TKBVTC</v>
      </c>
    </row>
    <row r="177" spans="1:8">
      <c r="A177" t="str">
        <v>3.B.HNO.GL.VUNI.603</v>
      </c>
      <c r="B177" t="str">
        <v>603</v>
      </c>
      <c r="C177" t="str">
        <v>Quản lý BIM</v>
      </c>
      <c r="D177" t="str">
        <v>B.HNO.GL.VUNI</v>
      </c>
      <c r="E177" t="str">
        <v>Trường Vinuni  - Tòa Q, R, S</v>
      </c>
      <c r="F177" t="str">
        <v>DH</v>
      </c>
      <c r="G177" t="str">
        <v>KSCL mô hình BIM</v>
      </c>
      <c r="H177" t="str">
        <v>TKBVTC</v>
      </c>
    </row>
    <row r="178" spans="1:8">
      <c r="A178" t="str">
        <v>3.B.HNO.GL.VUNI.703</v>
      </c>
      <c r="B178" t="str">
        <v>703</v>
      </c>
      <c r="C178" t="str">
        <v>Quản lý BIM</v>
      </c>
      <c r="D178" t="str">
        <v>B.HNO.GL.VUNI</v>
      </c>
      <c r="E178" t="str">
        <v>Trường Vinuni  - Tòa Q, R, S</v>
      </c>
      <c r="F178" t="str">
        <v>PC</v>
      </c>
      <c r="G178" t="str">
        <v>KSCL mô hình BIM</v>
      </c>
      <c r="H178" t="str">
        <v>TKBVTC</v>
      </c>
    </row>
    <row r="179" spans="1:8">
      <c r="A179" t="str">
        <v>3.B.HNO.GL.VUNI.104</v>
      </c>
      <c r="B179" t="str">
        <v>104</v>
      </c>
      <c r="C179" t="str">
        <v>Quản lý BIM</v>
      </c>
      <c r="D179" t="str">
        <v>B.HNO.GL.VUNI</v>
      </c>
      <c r="E179" t="str">
        <v>Trường Vinuni  - Tòa T (KTX)</v>
      </c>
      <c r="F179" t="str">
        <v>KT</v>
      </c>
      <c r="G179" t="str">
        <v>KSCL mô hình BIM</v>
      </c>
      <c r="H179" t="str">
        <v>TKBVTC</v>
      </c>
    </row>
    <row r="180" spans="1:8">
      <c r="A180" t="str">
        <v>3.B.HNO.GL.VUNI.204</v>
      </c>
      <c r="B180" t="str">
        <v>204</v>
      </c>
      <c r="C180" t="str">
        <v>Quản lý BIM</v>
      </c>
      <c r="D180" t="str">
        <v>B.HNO.GL.VUNI</v>
      </c>
      <c r="E180" t="str">
        <v>Trường Vinuni  - Tòa T (KTX)</v>
      </c>
      <c r="F180" t="str">
        <v>KC</v>
      </c>
      <c r="G180" t="str">
        <v>KSCL mô hình BIM</v>
      </c>
      <c r="H180" t="str">
        <v>TKBVTC</v>
      </c>
    </row>
    <row r="181" spans="1:8">
      <c r="A181" t="str">
        <v>3.B.HNO.GL.VUNI.105</v>
      </c>
      <c r="B181" t="str">
        <v>105</v>
      </c>
      <c r="C181" t="str">
        <v>Quản lý BIM</v>
      </c>
      <c r="D181" t="str">
        <v>B.HNO.GL.VUNI</v>
      </c>
      <c r="E181" t="str">
        <v>Trường Vinuni  - Tòa U (KTX)</v>
      </c>
      <c r="F181" t="str">
        <v>KT</v>
      </c>
      <c r="G181" t="str">
        <v>KSCL mô hình BIM</v>
      </c>
      <c r="H181" t="str">
        <v>TKBVTC</v>
      </c>
    </row>
    <row r="182" spans="1:8">
      <c r="A182" t="str">
        <v>3.B.HNO.GL.VUNI.205</v>
      </c>
      <c r="B182" t="str">
        <v>205</v>
      </c>
      <c r="C182" t="str">
        <v>Quản lý BIM</v>
      </c>
      <c r="D182" t="str">
        <v>B.HNO.GL.VUNI</v>
      </c>
      <c r="E182" t="str">
        <v>Trường Vinuni  - Tòa U (KTX)</v>
      </c>
      <c r="F182" t="str">
        <v>KC</v>
      </c>
      <c r="G182" t="str">
        <v>KSCL mô hình BIM</v>
      </c>
      <c r="H182" t="str">
        <v>TKBVTC</v>
      </c>
    </row>
    <row r="183" spans="1:8">
      <c r="A183" t="str">
        <v>3.B.HNO.TMDM.VSC.101</v>
      </c>
      <c r="B183" t="str">
        <v>101</v>
      </c>
      <c r="C183" t="str">
        <v>Quản lý BIM</v>
      </c>
      <c r="D183" t="str">
        <v>B.HNO.TMDM.VSC</v>
      </c>
      <c r="E183" t="str">
        <v>Trường Cambridge tại lô F3-PTTH1</v>
      </c>
      <c r="F183" t="str">
        <v>KT</v>
      </c>
      <c r="G183" t="str">
        <v>KSCL mô hình BIM</v>
      </c>
      <c r="H183" t="str">
        <v>TKBVTC</v>
      </c>
    </row>
    <row r="184" spans="1:8">
      <c r="A184" t="str">
        <v>3.B.HNO.TMDM.VSC.201</v>
      </c>
      <c r="B184" t="str">
        <v>201</v>
      </c>
      <c r="C184" t="str">
        <v>Quản lý BIM</v>
      </c>
      <c r="D184" t="str">
        <v>B.HNO.TMDM.VSC</v>
      </c>
      <c r="E184" t="str">
        <v>Trường Cambridge tại lô F3-PTTH1</v>
      </c>
      <c r="F184" t="str">
        <v>KC</v>
      </c>
      <c r="G184" t="str">
        <v>KSCL mô hình BIM</v>
      </c>
      <c r="H184" t="str">
        <v>TKBVTC</v>
      </c>
    </row>
    <row r="185" spans="1:8">
      <c r="A185" t="str">
        <v>3.B.HNO.TMDM.VSC.301</v>
      </c>
      <c r="B185" t="str">
        <v>301</v>
      </c>
      <c r="C185" t="str">
        <v>Quản lý BIM</v>
      </c>
      <c r="D185" t="str">
        <v>B.HNO.TMDM.VSC</v>
      </c>
      <c r="E185" t="str">
        <v>Trường Cambridge tại lô F3-PTTH1</v>
      </c>
      <c r="F185" t="str">
        <v>DI</v>
      </c>
      <c r="G185" t="str">
        <v>KSCL mô hình BIM</v>
      </c>
      <c r="H185" t="str">
        <v>TKBVTC</v>
      </c>
    </row>
    <row r="186" spans="1:8">
      <c r="A186" t="str">
        <v>3.B.HNO.TMDM.VSC.401</v>
      </c>
      <c r="B186" t="str">
        <v>401</v>
      </c>
      <c r="C186" t="str">
        <v>Quản lý BIM</v>
      </c>
      <c r="D186" t="str">
        <v>B.HNO.TMDM.VSC</v>
      </c>
      <c r="E186" t="str">
        <v>Trường Cambridge tại lô F3-PTTH1</v>
      </c>
      <c r="F186" t="str">
        <v>DN</v>
      </c>
      <c r="G186" t="str">
        <v>KSCL mô hình BIM</v>
      </c>
      <c r="H186" t="str">
        <v>TKBVTC</v>
      </c>
    </row>
    <row r="187" spans="1:8">
      <c r="A187" t="str">
        <v>3.B.HNO.TMDM.VSC.501</v>
      </c>
      <c r="B187" t="str">
        <v>501</v>
      </c>
      <c r="C187" t="str">
        <v>Quản lý BIM</v>
      </c>
      <c r="D187" t="str">
        <v>B.HNO.TMDM.VSC</v>
      </c>
      <c r="E187" t="str">
        <v>Trường Cambridge tại lô F3-PTTH1</v>
      </c>
      <c r="F187" t="str">
        <v>NU</v>
      </c>
      <c r="G187" t="str">
        <v>KSCL mô hình BIM</v>
      </c>
      <c r="H187" t="str">
        <v>TKBVTC</v>
      </c>
    </row>
    <row r="188" spans="1:8">
      <c r="A188" t="str">
        <v>3.B.HNO.TMDM.VSC.601</v>
      </c>
      <c r="B188" t="str">
        <v>601</v>
      </c>
      <c r="C188" t="str">
        <v>Quản lý BIM</v>
      </c>
      <c r="D188" t="str">
        <v>B.HNO.TMDM.VSC</v>
      </c>
      <c r="E188" t="str">
        <v>Trường Cambridge tại lô F3-PTTH1</v>
      </c>
      <c r="F188" t="str">
        <v>DH</v>
      </c>
      <c r="G188" t="str">
        <v>KSCL mô hình BIM</v>
      </c>
      <c r="H188" t="str">
        <v>TKBVTC</v>
      </c>
    </row>
    <row r="189" spans="1:8">
      <c r="A189" t="str">
        <v>3.B.HNO.TMDM.VSC.701</v>
      </c>
      <c r="B189" t="str">
        <v>701</v>
      </c>
      <c r="C189" t="str">
        <v>Quản lý BIM</v>
      </c>
      <c r="D189" t="str">
        <v>B.HNO.TMDM.VSC</v>
      </c>
      <c r="E189" t="str">
        <v>Trường Cambridge tại lô F3-PTTH1</v>
      </c>
      <c r="F189" t="str">
        <v>PC</v>
      </c>
      <c r="G189" t="str">
        <v>KSCL mô hình BIM</v>
      </c>
      <c r="H189" t="str">
        <v>TKBVTC</v>
      </c>
    </row>
    <row r="190" spans="1:8">
      <c r="A190" t="str">
        <v>3.B.HNO.VHOHN.KS.101</v>
      </c>
      <c r="B190" t="str">
        <v>101</v>
      </c>
      <c r="C190" t="str">
        <v>Quản lý BIM</v>
      </c>
      <c r="D190" t="str">
        <v>B.HNO.VHOHN.KS</v>
      </c>
      <c r="E190" t="str">
        <v>Lô đất B9-DV-02</v>
      </c>
      <c r="F190" t="str">
        <v>KT</v>
      </c>
      <c r="G190" t="str">
        <v>Khởi tạo mô hình BIM</v>
      </c>
      <c r="H190" t="str">
        <v>TKBVTC</v>
      </c>
    </row>
    <row r="191" spans="1:8">
      <c r="A191" t="str">
        <v>3.B.HNO.VHOHN.KS.102</v>
      </c>
      <c r="B191" t="str">
        <v>102</v>
      </c>
      <c r="C191" t="str">
        <v>Quản lý BIM</v>
      </c>
      <c r="D191" t="str">
        <v>B.HNO.VHOHN.KS</v>
      </c>
      <c r="E191" t="str">
        <v>Lô đất B9-DV-02</v>
      </c>
      <c r="F191" t="str">
        <v>KT</v>
      </c>
      <c r="G191" t="str">
        <v>KSCL mô hình BIM</v>
      </c>
      <c r="H191" t="str">
        <v>TKBVTC</v>
      </c>
    </row>
    <row r="192" spans="1:8">
      <c r="A192" t="str">
        <v>3.B.HNO.VHOHN.KS.201</v>
      </c>
      <c r="B192" t="str">
        <v>201</v>
      </c>
      <c r="C192" t="str">
        <v>Quản lý BIM</v>
      </c>
      <c r="D192" t="str">
        <v>B.HNO.VHOHN.KS</v>
      </c>
      <c r="E192" t="str">
        <v>Lô đất B9-DV-02</v>
      </c>
      <c r="F192" t="str">
        <v>KC</v>
      </c>
      <c r="G192" t="str">
        <v>Khởi tạo mô hình BIM</v>
      </c>
      <c r="H192" t="str">
        <v>TKBVTC</v>
      </c>
    </row>
    <row r="193" spans="1:8">
      <c r="A193" t="str">
        <v>3.B.HNO.VHOHN.KS.202</v>
      </c>
      <c r="B193" t="str">
        <v>202</v>
      </c>
      <c r="C193" t="str">
        <v>Quản lý BIM</v>
      </c>
      <c r="D193" t="str">
        <v>B.HNO.VHOHN.KS</v>
      </c>
      <c r="E193" t="str">
        <v>Lô đất B9-DV-02</v>
      </c>
      <c r="F193" t="str">
        <v>KC</v>
      </c>
      <c r="G193" t="str">
        <v>KSCL mô hình BIM</v>
      </c>
      <c r="H193" t="str">
        <v>TKBVTC</v>
      </c>
    </row>
    <row r="194" spans="1:8">
      <c r="A194" t="str">
        <v>3.B.HNO.VHOHN.KS.301</v>
      </c>
      <c r="B194" t="str">
        <v>301</v>
      </c>
      <c r="C194" t="str">
        <v>Quản lý BIM</v>
      </c>
      <c r="D194" t="str">
        <v>B.HNO.VHOHN.KS</v>
      </c>
      <c r="E194" t="str">
        <v>Lô đất B9-DV-02</v>
      </c>
      <c r="F194" t="str">
        <v>DI</v>
      </c>
      <c r="G194" t="str">
        <v>KSCL mô hình BIM</v>
      </c>
      <c r="H194" t="str">
        <v>TKBVTC</v>
      </c>
    </row>
    <row r="195" spans="1:8">
      <c r="A195" t="str">
        <v>3.B.HNO.VHOHN.KS.401</v>
      </c>
      <c r="B195" t="str">
        <v>401</v>
      </c>
      <c r="C195" t="str">
        <v>Quản lý BIM</v>
      </c>
      <c r="D195" t="str">
        <v>B.HNO.VHOHN.KS</v>
      </c>
      <c r="E195" t="str">
        <v>Lô đất B9-DV-02</v>
      </c>
      <c r="F195" t="str">
        <v>DN</v>
      </c>
      <c r="G195" t="str">
        <v>KSCL mô hình BIM</v>
      </c>
      <c r="H195" t="str">
        <v>TKBVTC</v>
      </c>
    </row>
    <row r="196" spans="1:8">
      <c r="A196" t="str">
        <v>3.B.HNO.VHOHN.KS.501</v>
      </c>
      <c r="B196" t="str">
        <v>501</v>
      </c>
      <c r="C196" t="str">
        <v>Quản lý BIM</v>
      </c>
      <c r="D196" t="str">
        <v>B.HNO.VHOHN.KS</v>
      </c>
      <c r="E196" t="str">
        <v>Lô đất B9-DV-02</v>
      </c>
      <c r="F196" t="str">
        <v>NU</v>
      </c>
      <c r="G196" t="str">
        <v>KSCL mô hình BIM</v>
      </c>
      <c r="H196" t="str">
        <v>TKBVTC</v>
      </c>
    </row>
    <row r="197" spans="1:8">
      <c r="A197" t="str">
        <v>3.B.HNO.VHOHN.KS.601</v>
      </c>
      <c r="B197" t="str">
        <v>601</v>
      </c>
      <c r="C197" t="str">
        <v>Quản lý BIM</v>
      </c>
      <c r="D197" t="str">
        <v>B.HNO.VHOHN.KS</v>
      </c>
      <c r="E197" t="str">
        <v>Lô đất B9-DV-02</v>
      </c>
      <c r="F197" t="str">
        <v>DH</v>
      </c>
      <c r="G197" t="str">
        <v>KSCL mô hình BIM</v>
      </c>
      <c r="H197" t="str">
        <v>TKBVTC</v>
      </c>
    </row>
    <row r="198" spans="1:8">
      <c r="A198" t="str">
        <v>3.B.HNO.VHOHN.KS.701</v>
      </c>
      <c r="B198" t="str">
        <v>701</v>
      </c>
      <c r="C198" t="str">
        <v>Quản lý BIM</v>
      </c>
      <c r="D198" t="str">
        <v>B.HNO.VHOHN.KS</v>
      </c>
      <c r="E198" t="str">
        <v>Lô đất B9-DV-02</v>
      </c>
      <c r="F198" t="str">
        <v>PC</v>
      </c>
      <c r="G198" t="str">
        <v>KSCL mô hình BIM</v>
      </c>
      <c r="H198" t="str">
        <v>TKBVTC</v>
      </c>
    </row>
    <row r="199" spans="1:8">
      <c r="A199" t="str">
        <v>3.B.HNO.VHOHN.SVD.101</v>
      </c>
      <c r="B199" t="str">
        <v>101</v>
      </c>
      <c r="C199" t="str">
        <v>Quản lý BIM</v>
      </c>
      <c r="D199" t="str">
        <v>B.HNO.VHOHN.SVD</v>
      </c>
      <c r="E199" t="str">
        <v>SVĐ lô đất TDTT01</v>
      </c>
      <c r="F199" t="str">
        <v>KT</v>
      </c>
      <c r="G199" t="str">
        <v>KSCL mô hình BIM</v>
      </c>
      <c r="H199" t="str">
        <v>TKBVTC</v>
      </c>
    </row>
    <row r="200" spans="1:8">
      <c r="A200" t="str">
        <v>3.B.HNO.VHOHN.SVD.201</v>
      </c>
      <c r="B200" t="str">
        <v>201</v>
      </c>
      <c r="C200" t="str">
        <v>Quản lý BIM</v>
      </c>
      <c r="D200" t="str">
        <v>B.HNO.VHOHN.SVD</v>
      </c>
      <c r="E200" t="str">
        <v>SVĐ lô đất TDTT01</v>
      </c>
      <c r="F200" t="str">
        <v>KC</v>
      </c>
      <c r="G200" t="str">
        <v>KSCL mô hình BIM</v>
      </c>
      <c r="H200" t="str">
        <v>TKBVTC</v>
      </c>
    </row>
    <row r="201" spans="1:8">
      <c r="A201" t="str">
        <v>3.B.HNO.VHOHN.SVD.301</v>
      </c>
      <c r="B201" t="str">
        <v>301</v>
      </c>
      <c r="C201" t="str">
        <v>Quản lý BIM</v>
      </c>
      <c r="D201" t="str">
        <v>B.HNO.VHOHN.SVD</v>
      </c>
      <c r="E201" t="str">
        <v>SVĐ lô đất TDTT01</v>
      </c>
      <c r="F201" t="str">
        <v>DI</v>
      </c>
      <c r="G201" t="str">
        <v>KSCL mô hình BIM</v>
      </c>
      <c r="H201" t="str">
        <v>TKBVTC</v>
      </c>
    </row>
    <row r="202" spans="1:8">
      <c r="A202" t="str">
        <v>3.B.HNO.VHOHN.SVD.401</v>
      </c>
      <c r="B202" t="str">
        <v>401</v>
      </c>
      <c r="C202" t="str">
        <v>Quản lý BIM</v>
      </c>
      <c r="D202" t="str">
        <v>B.HNO.VHOHN.SVD</v>
      </c>
      <c r="E202" t="str">
        <v>SVĐ lô đất TDTT01</v>
      </c>
      <c r="F202" t="str">
        <v>DN</v>
      </c>
      <c r="G202" t="str">
        <v>KSCL mô hình BIM</v>
      </c>
      <c r="H202" t="str">
        <v>TKBVTC</v>
      </c>
    </row>
    <row r="203" spans="1:8">
      <c r="A203" t="str">
        <v>3.B.HNO.VHOHN.SVD.501</v>
      </c>
      <c r="B203" t="str">
        <v>501</v>
      </c>
      <c r="C203" t="str">
        <v>Quản lý BIM</v>
      </c>
      <c r="D203" t="str">
        <v>B.HNO.VHOHN.SVD</v>
      </c>
      <c r="E203" t="str">
        <v>SVĐ lô đất TDTT01</v>
      </c>
      <c r="F203" t="str">
        <v>NU</v>
      </c>
      <c r="G203" t="str">
        <v>KSCL mô hình BIM</v>
      </c>
      <c r="H203" t="str">
        <v>TKBVTC</v>
      </c>
    </row>
    <row r="204" spans="1:8">
      <c r="A204" t="str">
        <v>3.B.HNO.VHOHN.SVD.601</v>
      </c>
      <c r="B204" t="str">
        <v>601</v>
      </c>
      <c r="C204" t="str">
        <v>Quản lý BIM</v>
      </c>
      <c r="D204" t="str">
        <v>B.HNO.VHOHN.SVD</v>
      </c>
      <c r="E204" t="str">
        <v>SVĐ lô đất TDTT01</v>
      </c>
      <c r="F204" t="str">
        <v>DH</v>
      </c>
      <c r="G204" t="str">
        <v>KSCL mô hình BIM</v>
      </c>
      <c r="H204" t="str">
        <v>TKBVTC</v>
      </c>
    </row>
    <row r="205" spans="1:8">
      <c r="A205" t="str">
        <v>3.B.HNO.VHOHN.SVD.701</v>
      </c>
      <c r="B205" t="str">
        <v>701</v>
      </c>
      <c r="C205" t="str">
        <v>Quản lý BIM</v>
      </c>
      <c r="D205" t="str">
        <v>B.HNO.VHOHN.SVD</v>
      </c>
      <c r="E205" t="str">
        <v>SVĐ lô đất TDTT01</v>
      </c>
      <c r="F205" t="str">
        <v>PC</v>
      </c>
      <c r="G205" t="str">
        <v>KSCL mô hình BIM</v>
      </c>
      <c r="H205" t="str">
        <v>TKBVTC</v>
      </c>
    </row>
    <row r="206" spans="1:8">
      <c r="A206" t="str">
        <v>3.B.HPH.VYHP.VSC.101</v>
      </c>
      <c r="B206" t="str">
        <v>101</v>
      </c>
      <c r="C206" t="str">
        <v>Quản lý BIM</v>
      </c>
      <c r="D206" t="str">
        <v>B.HPH.VYHP.VSC</v>
      </c>
      <c r="E206" t="str">
        <v>Trường VSC B2.THPT02</v>
      </c>
      <c r="F206" t="str">
        <v>KT</v>
      </c>
      <c r="G206" t="str">
        <v>KSCL mô hình BIM</v>
      </c>
      <c r="H206" t="str">
        <v>TKBVTC</v>
      </c>
    </row>
    <row r="207" spans="1:8">
      <c r="A207" t="str">
        <v>3.B.HPH.VYHP.VSC.201</v>
      </c>
      <c r="B207" t="str">
        <v>201</v>
      </c>
      <c r="C207" t="str">
        <v>Quản lý BIM</v>
      </c>
      <c r="D207" t="str">
        <v>B.HPH.VYHP.VSC</v>
      </c>
      <c r="E207" t="str">
        <v>Trường VSC B2.THPT02</v>
      </c>
      <c r="F207" t="str">
        <v>KC</v>
      </c>
      <c r="G207" t="str">
        <v>KSCL mô hình BIM</v>
      </c>
      <c r="H207" t="str">
        <v>TKBVTC</v>
      </c>
    </row>
    <row r="208" spans="1:8">
      <c r="A208" t="str">
        <v>3.B.HYE.NOXHHY.CT.101</v>
      </c>
      <c r="B208" t="str">
        <v>101</v>
      </c>
      <c r="C208" t="str">
        <v>Quản lý BIM</v>
      </c>
      <c r="D208" t="str">
        <v>B.HYE.NOXHHY.CT</v>
      </c>
      <c r="E208" t="str">
        <v>NOXH01 (04 tòa)</v>
      </c>
      <c r="F208" t="str">
        <v>KT</v>
      </c>
      <c r="G208" t="str">
        <v>KSCL mô hình BIM</v>
      </c>
      <c r="H208" t="str">
        <v>TKBVTC</v>
      </c>
    </row>
    <row r="209" spans="1:8">
      <c r="A209" t="str">
        <v>3.B.HYE.NOXHHY.CT.201</v>
      </c>
      <c r="B209" t="str">
        <v>201</v>
      </c>
      <c r="C209" t="str">
        <v>Quản lý BIM</v>
      </c>
      <c r="D209" t="str">
        <v>B.HYE.NOXHHY.CT</v>
      </c>
      <c r="E209" t="str">
        <v>NOXH01 (04 tòa)</v>
      </c>
      <c r="F209" t="str">
        <v>KC</v>
      </c>
      <c r="G209" t="str">
        <v>KSCL mô hình BIM</v>
      </c>
      <c r="H209" t="str">
        <v>TKBVTC</v>
      </c>
    </row>
    <row r="210" spans="1:8">
      <c r="A210" t="str">
        <v>3.B.HYE.NOXHHY.CT.301</v>
      </c>
      <c r="B210" t="str">
        <v>301</v>
      </c>
      <c r="C210" t="str">
        <v>Quản lý BIM</v>
      </c>
      <c r="D210" t="str">
        <v>B.HYE.NOXHHY.CT</v>
      </c>
      <c r="E210" t="str">
        <v>NOXH01 (04 tòa)</v>
      </c>
      <c r="F210" t="str">
        <v>DI</v>
      </c>
      <c r="G210" t="str">
        <v>KSCL mô hình BIM</v>
      </c>
      <c r="H210" t="str">
        <v>TKBVTC</v>
      </c>
    </row>
    <row r="211" spans="1:8">
      <c r="A211" t="str">
        <v>3.B.HYE.NOXHHY.CT.401</v>
      </c>
      <c r="B211" t="str">
        <v>401</v>
      </c>
      <c r="C211" t="str">
        <v>Quản lý BIM</v>
      </c>
      <c r="D211" t="str">
        <v>B.HYE.NOXHHY.CT</v>
      </c>
      <c r="E211" t="str">
        <v>NOXH01 (04 tòa)</v>
      </c>
      <c r="F211" t="str">
        <v>DN</v>
      </c>
      <c r="G211" t="str">
        <v>KSCL mô hình BIM</v>
      </c>
      <c r="H211" t="str">
        <v>TKBVTC</v>
      </c>
    </row>
    <row r="212" spans="1:8">
      <c r="A212" t="str">
        <v>3.B.HYE.NOXHHY.CT.501</v>
      </c>
      <c r="B212" t="str">
        <v>501</v>
      </c>
      <c r="C212" t="str">
        <v>Quản lý BIM</v>
      </c>
      <c r="D212" t="str">
        <v>B.HYE.NOXHHY.CT</v>
      </c>
      <c r="E212" t="str">
        <v>NOXH01 (04 tòa)</v>
      </c>
      <c r="F212" t="str">
        <v>NU</v>
      </c>
      <c r="G212" t="str">
        <v>KSCL mô hình BIM</v>
      </c>
      <c r="H212" t="str">
        <v>TKBVTC</v>
      </c>
    </row>
    <row r="213" spans="1:8">
      <c r="A213" t="str">
        <v>3.B.HYE.NOXHHY.CT.601</v>
      </c>
      <c r="B213" t="str">
        <v>601</v>
      </c>
      <c r="C213" t="str">
        <v>Quản lý BIM</v>
      </c>
      <c r="D213" t="str">
        <v>B.HYE.NOXHHY.CT</v>
      </c>
      <c r="E213" t="str">
        <v>NOXH01 (04 tòa)</v>
      </c>
      <c r="F213" t="str">
        <v>DH</v>
      </c>
      <c r="G213" t="str">
        <v>KSCL mô hình BIM</v>
      </c>
      <c r="H213" t="str">
        <v>TKBVTC</v>
      </c>
    </row>
    <row r="214" spans="1:8">
      <c r="A214" t="str">
        <v>3.B.HYE.NOXHHY.CT.701</v>
      </c>
      <c r="B214" t="str">
        <v>701</v>
      </c>
      <c r="C214" t="str">
        <v>Quản lý BIM</v>
      </c>
      <c r="D214" t="str">
        <v>B.HYE.NOXHHY.CT</v>
      </c>
      <c r="E214" t="str">
        <v>NOXH01 (04 tòa)</v>
      </c>
      <c r="F214" t="str">
        <v>PC</v>
      </c>
      <c r="G214" t="str">
        <v>KSCL mô hình BIM</v>
      </c>
      <c r="H214" t="str">
        <v>TKBVTC</v>
      </c>
    </row>
    <row r="215" spans="1:8">
      <c r="A215" t="str">
        <v>3.B.HYE.NOXHHY.CT.102</v>
      </c>
      <c r="B215" t="str">
        <v>102</v>
      </c>
      <c r="C215" t="str">
        <v>Quản lý BIM</v>
      </c>
      <c r="D215" t="str">
        <v>B.HYE.NOXHHY.CT</v>
      </c>
      <c r="E215" t="str">
        <v>NOXH02 (09 tòa)</v>
      </c>
      <c r="F215" t="str">
        <v>KT</v>
      </c>
      <c r="G215" t="str">
        <v>KSCL mô hình BIM</v>
      </c>
      <c r="H215" t="str">
        <v>TKBVTC</v>
      </c>
    </row>
    <row r="216" spans="1:8">
      <c r="A216" t="str">
        <v>3.B.HYE.NOXHHY.CT.202</v>
      </c>
      <c r="B216" t="str">
        <v>202</v>
      </c>
      <c r="C216" t="str">
        <v>Quản lý BIM</v>
      </c>
      <c r="D216" t="str">
        <v>B.HYE.NOXHHY.CT</v>
      </c>
      <c r="E216" t="str">
        <v>NOXH02 (09 tòa)</v>
      </c>
      <c r="F216" t="str">
        <v>KC</v>
      </c>
      <c r="G216" t="str">
        <v>KSCL mô hình BIM</v>
      </c>
      <c r="H216" t="str">
        <v>TKBVTC</v>
      </c>
    </row>
    <row r="217" spans="1:8">
      <c r="A217" t="str">
        <v>3.B.HYE.NOXHHY.CT.302</v>
      </c>
      <c r="B217" t="str">
        <v>302</v>
      </c>
      <c r="C217" t="str">
        <v>Quản lý BIM</v>
      </c>
      <c r="D217" t="str">
        <v>B.HYE.NOXHHY.CT</v>
      </c>
      <c r="E217" t="str">
        <v>NOXH02 (09 tòa)</v>
      </c>
      <c r="F217" t="str">
        <v>DI</v>
      </c>
      <c r="G217" t="str">
        <v>KSCL mô hình BIM</v>
      </c>
      <c r="H217" t="str">
        <v>TKBVTC</v>
      </c>
    </row>
    <row r="218" spans="1:8">
      <c r="A218" t="str">
        <v>3.B.HYE.NOXHHY.CT.402</v>
      </c>
      <c r="B218" t="str">
        <v>402</v>
      </c>
      <c r="C218" t="str">
        <v>Quản lý BIM</v>
      </c>
      <c r="D218" t="str">
        <v>B.HYE.NOXHHY.CT</v>
      </c>
      <c r="E218" t="str">
        <v>NOXH02 (09 tòa)</v>
      </c>
      <c r="F218" t="str">
        <v>DN</v>
      </c>
      <c r="G218" t="str">
        <v>KSCL mô hình BIM</v>
      </c>
      <c r="H218" t="str">
        <v>TKBVTC</v>
      </c>
    </row>
    <row r="219" spans="1:8">
      <c r="A219" t="str">
        <v>3.B.HYE.NOXHHY.CT.502</v>
      </c>
      <c r="B219" t="str">
        <v>502</v>
      </c>
      <c r="C219" t="str">
        <v>Quản lý BIM</v>
      </c>
      <c r="D219" t="str">
        <v>B.HYE.NOXHHY.CT</v>
      </c>
      <c r="E219" t="str">
        <v>NOXH02 (09 tòa)</v>
      </c>
      <c r="F219" t="str">
        <v>NU</v>
      </c>
      <c r="G219" t="str">
        <v>KSCL mô hình BIM</v>
      </c>
      <c r="H219" t="str">
        <v>TKBVTC</v>
      </c>
    </row>
    <row r="220" spans="1:8">
      <c r="A220" t="str">
        <v>3.B.HYE.NOXHHY.CT.602</v>
      </c>
      <c r="B220" t="str">
        <v>602</v>
      </c>
      <c r="C220" t="str">
        <v>Quản lý BIM</v>
      </c>
      <c r="D220" t="str">
        <v>B.HYE.NOXHHY.CT</v>
      </c>
      <c r="E220" t="str">
        <v>NOXH02 (09 tòa)</v>
      </c>
      <c r="F220" t="str">
        <v>DH</v>
      </c>
      <c r="G220" t="str">
        <v>KSCL mô hình BIM</v>
      </c>
      <c r="H220" t="str">
        <v>TKBVTC</v>
      </c>
    </row>
    <row r="221" spans="1:8">
      <c r="A221" t="str">
        <v>3.B.HYE.NOXHHY.CT.702</v>
      </c>
      <c r="B221" t="str">
        <v>702</v>
      </c>
      <c r="C221" t="str">
        <v>Quản lý BIM</v>
      </c>
      <c r="D221" t="str">
        <v>B.HYE.NOXHHY.CT</v>
      </c>
      <c r="E221" t="str">
        <v>NOXH02 (09 tòa)</v>
      </c>
      <c r="F221" t="str">
        <v>PC</v>
      </c>
      <c r="G221" t="str">
        <v>KSCL mô hình BIM</v>
      </c>
      <c r="H221" t="str">
        <v>TKBVTC</v>
      </c>
    </row>
    <row r="222" spans="1:8">
      <c r="A222" t="str">
        <v>3.B.HYE.NOXHHY.CT.103</v>
      </c>
      <c r="B222" t="str">
        <v>103</v>
      </c>
      <c r="C222" t="str">
        <v>Quản lý BIM</v>
      </c>
      <c r="D222" t="str">
        <v>B.HYE.NOXHHY.CT</v>
      </c>
      <c r="E222" t="str">
        <v>NOXH03 (05 tòa)</v>
      </c>
      <c r="F222" t="str">
        <v>KT</v>
      </c>
      <c r="G222" t="str">
        <v>KSCL mô hình BIM</v>
      </c>
      <c r="H222" t="str">
        <v>TKBVTC</v>
      </c>
    </row>
    <row r="223" spans="1:8">
      <c r="A223" t="str">
        <v>3.B.HYE.NOXHHY.CT.203</v>
      </c>
      <c r="B223" t="str">
        <v>203</v>
      </c>
      <c r="C223" t="str">
        <v>Quản lý BIM</v>
      </c>
      <c r="D223" t="str">
        <v>B.HYE.NOXHHY.CT</v>
      </c>
      <c r="E223" t="str">
        <v>NOXH03 (05 tòa)</v>
      </c>
      <c r="F223" t="str">
        <v>KC</v>
      </c>
      <c r="G223" t="str">
        <v>KSCL mô hình BIM</v>
      </c>
      <c r="H223" t="str">
        <v>TKBVTC</v>
      </c>
    </row>
    <row r="224" spans="1:8">
      <c r="A224" t="str">
        <v>3.B.HYE.NOXHHY.CT.303</v>
      </c>
      <c r="B224" t="str">
        <v>303</v>
      </c>
      <c r="C224" t="str">
        <v>Quản lý BIM</v>
      </c>
      <c r="D224" t="str">
        <v>B.HYE.NOXHHY.CT</v>
      </c>
      <c r="E224" t="str">
        <v>NOXH03 (05 tòa)</v>
      </c>
      <c r="F224" t="str">
        <v>DI</v>
      </c>
      <c r="G224" t="str">
        <v>KSCL mô hình BIM</v>
      </c>
      <c r="H224" t="str">
        <v>TKBVTC</v>
      </c>
    </row>
    <row r="225" spans="1:8">
      <c r="A225" t="str">
        <v>3.B.HYE.NOXHHY.CT.403</v>
      </c>
      <c r="B225" t="str">
        <v>403</v>
      </c>
      <c r="C225" t="str">
        <v>Quản lý BIM</v>
      </c>
      <c r="D225" t="str">
        <v>B.HYE.NOXHHY.CT</v>
      </c>
      <c r="E225" t="str">
        <v>NOXH03 (05 tòa)</v>
      </c>
      <c r="F225" t="str">
        <v>DN</v>
      </c>
      <c r="G225" t="str">
        <v>KSCL mô hình BIM</v>
      </c>
      <c r="H225" t="str">
        <v>TKBVTC</v>
      </c>
    </row>
    <row r="226" spans="1:8">
      <c r="A226" t="str">
        <v>3.B.HYE.NOXHHY.CT.503</v>
      </c>
      <c r="B226" t="str">
        <v>503</v>
      </c>
      <c r="C226" t="str">
        <v>Quản lý BIM</v>
      </c>
      <c r="D226" t="str">
        <v>B.HYE.NOXHHY.CT</v>
      </c>
      <c r="E226" t="str">
        <v>NOXH03 (05 tòa)</v>
      </c>
      <c r="F226" t="str">
        <v>NU</v>
      </c>
      <c r="G226" t="str">
        <v>KSCL mô hình BIM</v>
      </c>
      <c r="H226" t="str">
        <v>TKBVTC</v>
      </c>
    </row>
    <row r="227" spans="1:8">
      <c r="A227" t="str">
        <v>3.B.HYE.NOXHHY.CT.603</v>
      </c>
      <c r="B227" t="str">
        <v>603</v>
      </c>
      <c r="C227" t="str">
        <v>Quản lý BIM</v>
      </c>
      <c r="D227" t="str">
        <v>B.HYE.NOXHHY.CT</v>
      </c>
      <c r="E227" t="str">
        <v>NOXH03 (05 tòa)</v>
      </c>
      <c r="F227" t="str">
        <v>DH</v>
      </c>
      <c r="G227" t="str">
        <v>KSCL mô hình BIM</v>
      </c>
      <c r="H227" t="str">
        <v>TKBVTC</v>
      </c>
    </row>
    <row r="228" spans="1:8">
      <c r="A228" t="str">
        <v>3.B.HYE.NOXHHY.CT.703</v>
      </c>
      <c r="B228" t="str">
        <v>703</v>
      </c>
      <c r="C228" t="str">
        <v>Quản lý BIM</v>
      </c>
      <c r="D228" t="str">
        <v>B.HYE.NOXHHY.CT</v>
      </c>
      <c r="E228" t="str">
        <v>NOXH03 (05 tòa)</v>
      </c>
      <c r="F228" t="str">
        <v>PC</v>
      </c>
      <c r="G228" t="str">
        <v>KSCL mô hình BIM</v>
      </c>
      <c r="H228" t="str">
        <v>TKBVTC</v>
      </c>
    </row>
    <row r="229" spans="1:8">
      <c r="A229" t="str">
        <v>3.B.HYE.NOXHHY.CT.104</v>
      </c>
      <c r="B229" t="str">
        <v>104</v>
      </c>
      <c r="C229" t="str">
        <v>Quản lý BIM</v>
      </c>
      <c r="D229" t="str">
        <v>B.HYE.NOXHHY.CT</v>
      </c>
      <c r="E229" t="str">
        <v>NOXH04 (07 tòa)</v>
      </c>
      <c r="F229" t="str">
        <v>KT</v>
      </c>
      <c r="G229" t="str">
        <v>KSCL mô hình BIM</v>
      </c>
      <c r="H229" t="str">
        <v>TKBVTC</v>
      </c>
    </row>
    <row r="230" spans="1:8">
      <c r="A230" t="str">
        <v>3.B.HYE.NOXHHY.CT.204</v>
      </c>
      <c r="B230" t="str">
        <v>204</v>
      </c>
      <c r="C230" t="str">
        <v>Quản lý BIM</v>
      </c>
      <c r="D230" t="str">
        <v>B.HYE.NOXHHY.CT</v>
      </c>
      <c r="E230" t="str">
        <v>NOXH04 (07 tòa)</v>
      </c>
      <c r="F230" t="str">
        <v>KC</v>
      </c>
      <c r="G230" t="str">
        <v>KSCL mô hình BIM</v>
      </c>
      <c r="H230" t="str">
        <v>TKBVTC</v>
      </c>
    </row>
    <row r="231" spans="1:8">
      <c r="A231" t="str">
        <v>3.B.HYE.NOXHHY.CT.304</v>
      </c>
      <c r="B231" t="str">
        <v>304</v>
      </c>
      <c r="C231" t="str">
        <v>Quản lý BIM</v>
      </c>
      <c r="D231" t="str">
        <v>B.HYE.NOXHHY.CT</v>
      </c>
      <c r="E231" t="str">
        <v>NOXH04 (07 tòa)</v>
      </c>
      <c r="F231" t="str">
        <v>DI</v>
      </c>
      <c r="G231" t="str">
        <v>KSCL mô hình BIM</v>
      </c>
      <c r="H231" t="str">
        <v>TKBVTC</v>
      </c>
    </row>
    <row r="232" spans="1:8">
      <c r="A232" t="str">
        <v>3.B.HYE.NOXHHY.CT.404</v>
      </c>
      <c r="B232" t="str">
        <v>404</v>
      </c>
      <c r="C232" t="str">
        <v>Quản lý BIM</v>
      </c>
      <c r="D232" t="str">
        <v>B.HYE.NOXHHY.CT</v>
      </c>
      <c r="E232" t="str">
        <v>NOXH04 (07 tòa)</v>
      </c>
      <c r="F232" t="str">
        <v>DN</v>
      </c>
      <c r="G232" t="str">
        <v>KSCL mô hình BIM</v>
      </c>
      <c r="H232" t="str">
        <v>TKBVTC</v>
      </c>
    </row>
    <row r="233" spans="1:8">
      <c r="A233" t="str">
        <v>3.B.HYE.NOXHHY.CT.504</v>
      </c>
      <c r="B233" t="str">
        <v>504</v>
      </c>
      <c r="C233" t="str">
        <v>Quản lý BIM</v>
      </c>
      <c r="D233" t="str">
        <v>B.HYE.NOXHHY.CT</v>
      </c>
      <c r="E233" t="str">
        <v>NOXH04 (07 tòa)</v>
      </c>
      <c r="F233" t="str">
        <v>NU</v>
      </c>
      <c r="G233" t="str">
        <v>KSCL mô hình BIM</v>
      </c>
      <c r="H233" t="str">
        <v>TKBVTC</v>
      </c>
    </row>
    <row r="234" spans="1:8">
      <c r="A234" t="str">
        <v>3.B.HYE.NOXHHY.CT.604</v>
      </c>
      <c r="B234" t="str">
        <v>604</v>
      </c>
      <c r="C234" t="str">
        <v>Quản lý BIM</v>
      </c>
      <c r="D234" t="str">
        <v>B.HYE.NOXHHY.CT</v>
      </c>
      <c r="E234" t="str">
        <v>NOXH04 (07 tòa)</v>
      </c>
      <c r="F234" t="str">
        <v>DH</v>
      </c>
      <c r="G234" t="str">
        <v>KSCL mô hình BIM</v>
      </c>
      <c r="H234" t="str">
        <v>TKBVTC</v>
      </c>
    </row>
    <row r="235" spans="1:8">
      <c r="A235" t="str">
        <v>3.B.HYE.NOXHHY.CT.704</v>
      </c>
      <c r="B235" t="str">
        <v>704</v>
      </c>
      <c r="C235" t="str">
        <v>Quản lý BIM</v>
      </c>
      <c r="D235" t="str">
        <v>B.HYE.NOXHHY.CT</v>
      </c>
      <c r="E235" t="str">
        <v>NOXH04 (07 tòa)</v>
      </c>
      <c r="F235" t="str">
        <v>PC</v>
      </c>
      <c r="G235" t="str">
        <v>KSCL mô hình BIM</v>
      </c>
      <c r="H235" t="str">
        <v>TKBVTC</v>
      </c>
    </row>
    <row r="236" spans="1:8">
      <c r="A236" t="str">
        <v>3.B.HYE.NOXHPH.NX.101</v>
      </c>
      <c r="B236" t="str">
        <v>101</v>
      </c>
      <c r="C236" t="str">
        <v>Quản lý BIM</v>
      </c>
      <c r="D236" t="str">
        <v>B.HYE.NOXHPH.NX</v>
      </c>
      <c r="E236" t="str">
        <v>Nhà xe BDX-01</v>
      </c>
      <c r="F236" t="str">
        <v>KT</v>
      </c>
      <c r="G236" t="str">
        <v>KSCL mô hình BIM</v>
      </c>
      <c r="H236" t="str">
        <v>TKBVTC</v>
      </c>
    </row>
    <row r="237" spans="1:8">
      <c r="A237" t="str">
        <v>3.B.HYE.NOXHPH.NX.201</v>
      </c>
      <c r="B237" t="str">
        <v>201</v>
      </c>
      <c r="C237" t="str">
        <v>Quản lý BIM</v>
      </c>
      <c r="D237" t="str">
        <v>B.HYE.NOXHPH.NX</v>
      </c>
      <c r="E237" t="str">
        <v>Nhà xe BDX-01</v>
      </c>
      <c r="F237" t="str">
        <v>KC</v>
      </c>
      <c r="G237" t="str">
        <v>KSCL mô hình BIM</v>
      </c>
      <c r="H237" t="str">
        <v>TKBVTC</v>
      </c>
    </row>
    <row r="238" spans="1:8">
      <c r="A238" t="str">
        <v>3.B.HYE.NOXHPH.NX.102</v>
      </c>
      <c r="B238" t="str">
        <v>102</v>
      </c>
      <c r="C238" t="str">
        <v>Quản lý BIM</v>
      </c>
      <c r="D238" t="str">
        <v>B.HYE.NOXHPH.NX</v>
      </c>
      <c r="E238" t="str">
        <v>Nhà xe BDX-05</v>
      </c>
      <c r="F238" t="str">
        <v>KT</v>
      </c>
      <c r="G238" t="str">
        <v>KSCL mô hình BIM</v>
      </c>
      <c r="H238" t="str">
        <v>TKBVTC</v>
      </c>
    </row>
    <row r="239" spans="1:8">
      <c r="A239" t="str">
        <v>3.B.HYE.NOXHPH.NX.103</v>
      </c>
      <c r="B239" t="str">
        <v>103</v>
      </c>
      <c r="C239" t="str">
        <v>Quản lý BIM</v>
      </c>
      <c r="D239" t="str">
        <v>B.HYE.NOXHPH.NX</v>
      </c>
      <c r="E239" t="str">
        <v>Nhà xe BDX-05</v>
      </c>
      <c r="F239" t="str">
        <v>KT</v>
      </c>
      <c r="G239" t="str">
        <v>Tạo lập mô hình BIM</v>
      </c>
      <c r="H239" t="str">
        <v>TKBVTC</v>
      </c>
    </row>
    <row r="240" spans="1:8">
      <c r="A240" t="str">
        <v>3.B.HYE.NOXHPH.NX.202</v>
      </c>
      <c r="B240" t="str">
        <v>202</v>
      </c>
      <c r="C240" t="str">
        <v>Quản lý BIM</v>
      </c>
      <c r="D240" t="str">
        <v>B.HYE.NOXHPH.NX</v>
      </c>
      <c r="E240" t="str">
        <v>Nhà xe BDX-05</v>
      </c>
      <c r="F240" t="str">
        <v>KC</v>
      </c>
      <c r="G240" t="str">
        <v>KSCL mô hình BIM</v>
      </c>
      <c r="H240" t="str">
        <v>TKBVTC</v>
      </c>
    </row>
    <row r="241" spans="1:8">
      <c r="A241" t="str">
        <v>3.B.HYE.NOXHPH.NX.301</v>
      </c>
      <c r="B241" t="str">
        <v>301</v>
      </c>
      <c r="C241" t="str">
        <v>Quản lý BIM</v>
      </c>
      <c r="D241" t="str">
        <v>B.HYE.NOXHPH.NX</v>
      </c>
      <c r="E241" t="str">
        <v>Nhà xe BDX-05</v>
      </c>
      <c r="F241" t="str">
        <v>DI</v>
      </c>
      <c r="G241" t="str">
        <v>KSCL mô hình BIM</v>
      </c>
      <c r="H241" t="str">
        <v>TKBVTC</v>
      </c>
    </row>
    <row r="242" spans="1:8">
      <c r="A242" t="str">
        <v>3.B.HYE.NOXHPH.NX.302</v>
      </c>
      <c r="B242" t="str">
        <v>302</v>
      </c>
      <c r="C242" t="str">
        <v>Quản lý BIM</v>
      </c>
      <c r="D242" t="str">
        <v>B.HYE.NOXHPH.NX</v>
      </c>
      <c r="E242" t="str">
        <v>Nhà xe BDX-05</v>
      </c>
      <c r="F242" t="str">
        <v>DI</v>
      </c>
      <c r="G242" t="str">
        <v>KSCL mô hình BIM</v>
      </c>
      <c r="H242" t="str">
        <v>TKBVTC</v>
      </c>
    </row>
    <row r="243" spans="1:8">
      <c r="A243" t="str">
        <v>3.B.HYE.NOXHPH.NX.303</v>
      </c>
      <c r="B243" t="str">
        <v>303</v>
      </c>
      <c r="C243" t="str">
        <v>Quản lý BIM</v>
      </c>
      <c r="D243" t="str">
        <v>B.HYE.NOXHPH.NX</v>
      </c>
      <c r="E243" t="str">
        <v>Nhà xe BDX-05</v>
      </c>
      <c r="F243" t="str">
        <v>DI</v>
      </c>
      <c r="G243" t="str">
        <v>KSCL mô hình BIM</v>
      </c>
      <c r="H243" t="str">
        <v>TKBVTC</v>
      </c>
    </row>
    <row r="244" spans="1:8">
      <c r="A244" t="str">
        <v>3.B.HYE.NOXHPH.NX.304</v>
      </c>
      <c r="B244" t="str">
        <v>304</v>
      </c>
      <c r="C244" t="str">
        <v>Quản lý BIM</v>
      </c>
      <c r="D244" t="str">
        <v>B.HYE.NOXHPH.NX</v>
      </c>
      <c r="E244" t="str">
        <v>Nhà xe BDX-05</v>
      </c>
      <c r="F244" t="str">
        <v>DI</v>
      </c>
      <c r="G244" t="str">
        <v>KSCL mô hình BIM</v>
      </c>
      <c r="H244" t="str">
        <v>TKBVTC</v>
      </c>
    </row>
    <row r="245" spans="1:8">
      <c r="A245" t="str">
        <v>3.B.HYE.NOXHPH.NX.305</v>
      </c>
      <c r="B245" t="str">
        <v>305</v>
      </c>
      <c r="C245" t="str">
        <v>Quản lý BIM</v>
      </c>
      <c r="D245" t="str">
        <v>B.HYE.NOXHPH.NX</v>
      </c>
      <c r="E245" t="str">
        <v>Nhà xe BDX-05</v>
      </c>
      <c r="F245" t="str">
        <v>DI</v>
      </c>
      <c r="G245" t="str">
        <v>KSCL mô hình BIM</v>
      </c>
      <c r="H245" t="str">
        <v>TKBVTC</v>
      </c>
    </row>
    <row r="246" spans="1:8">
      <c r="A246" t="str">
        <v>3.B.HYE.PVF.101</v>
      </c>
      <c r="B246" t="str">
        <v>101</v>
      </c>
      <c r="C246" t="str">
        <v>Quản lý BIM</v>
      </c>
      <c r="D246" t="str">
        <v>B.HYE.PVF</v>
      </c>
      <c r="E246" t="str">
        <v>Nhà thi đấu TDTT03</v>
      </c>
      <c r="F246" t="str">
        <v>KT</v>
      </c>
      <c r="G246" t="str">
        <v>KSCL mô hình BIM</v>
      </c>
      <c r="H246" t="str">
        <v>TKBVTC</v>
      </c>
    </row>
    <row r="247" spans="1:8">
      <c r="A247" t="str">
        <v>3.B.HYE.PVF.102</v>
      </c>
      <c r="B247" t="str">
        <v>102</v>
      </c>
      <c r="C247" t="str">
        <v>Quản lý BIM</v>
      </c>
      <c r="D247" t="str">
        <v>B.HYE.PVF</v>
      </c>
      <c r="E247" t="str">
        <v>Nhà thi đấu TDTT03</v>
      </c>
      <c r="F247" t="str">
        <v>KT</v>
      </c>
      <c r="G247" t="str">
        <v>Xuất khối lượng từ mô hình BIM</v>
      </c>
      <c r="H247" t="str">
        <v>TKBVTC</v>
      </c>
    </row>
    <row r="248" spans="1:8">
      <c r="A248" t="str">
        <v>3.B.HYE.PVF.201</v>
      </c>
      <c r="B248" t="str">
        <v>201</v>
      </c>
      <c r="C248" t="str">
        <v>Quản lý BIM</v>
      </c>
      <c r="D248" t="str">
        <v>B.HYE.PVF</v>
      </c>
      <c r="E248" t="str">
        <v>Nhà thi đấu TDTT03</v>
      </c>
      <c r="F248" t="str">
        <v>KC</v>
      </c>
      <c r="G248" t="str">
        <v>KSCL mô hình BIM</v>
      </c>
      <c r="H248" t="str">
        <v>TKBVTC</v>
      </c>
    </row>
    <row r="249" spans="1:8">
      <c r="A249" t="str">
        <v>3.B.HYE.PVF.202</v>
      </c>
      <c r="B249" t="str">
        <v>202</v>
      </c>
      <c r="C249" t="str">
        <v>Quản lý BIM</v>
      </c>
      <c r="D249" t="str">
        <v>B.HYE.PVF</v>
      </c>
      <c r="E249" t="str">
        <v>Nhà thi đấu TDTT03</v>
      </c>
      <c r="F249" t="str">
        <v>KC</v>
      </c>
      <c r="G249" t="str">
        <v>Xuất khối lượng từ mô hình BIM</v>
      </c>
      <c r="H249" t="str">
        <v>TKBVTC</v>
      </c>
    </row>
    <row r="250" spans="1:8">
      <c r="A250" t="str">
        <v>3.B.HYE.PVF.301</v>
      </c>
      <c r="B250" t="str">
        <v>301</v>
      </c>
      <c r="C250" t="str">
        <v>Quản lý BIM</v>
      </c>
      <c r="D250" t="str">
        <v>B.HYE.PVF</v>
      </c>
      <c r="E250" t="str">
        <v>Nhà thi đấu TDTT03</v>
      </c>
      <c r="F250" t="str">
        <v>DI</v>
      </c>
      <c r="G250" t="str">
        <v>KSCL mô hình BIM</v>
      </c>
      <c r="H250" t="str">
        <v>TKBVTC</v>
      </c>
    </row>
    <row r="251" spans="1:8">
      <c r="A251" t="str">
        <v>3.B.HYE.PVF.401</v>
      </c>
      <c r="B251" t="str">
        <v>401</v>
      </c>
      <c r="C251" t="str">
        <v>Quản lý BIM</v>
      </c>
      <c r="D251" t="str">
        <v>B.HYE.PVF</v>
      </c>
      <c r="E251" t="str">
        <v>Nhà thi đấu TDTT03</v>
      </c>
      <c r="F251" t="str">
        <v>DN</v>
      </c>
      <c r="G251" t="str">
        <v>KSCL mô hình BIM</v>
      </c>
      <c r="H251" t="str">
        <v>TKBVTC</v>
      </c>
    </row>
    <row r="252" spans="1:8">
      <c r="A252" t="str">
        <v>3.B.HYE.PVF.501</v>
      </c>
      <c r="B252" t="str">
        <v>501</v>
      </c>
      <c r="C252" t="str">
        <v>Quản lý BIM</v>
      </c>
      <c r="D252" t="str">
        <v>B.HYE.PVF</v>
      </c>
      <c r="E252" t="str">
        <v>Nhà thi đấu TDTT03</v>
      </c>
      <c r="F252" t="str">
        <v>NU</v>
      </c>
      <c r="G252" t="str">
        <v>KSCL mô hình BIM</v>
      </c>
      <c r="H252" t="str">
        <v>TKBVTC</v>
      </c>
    </row>
    <row r="253" spans="1:8">
      <c r="A253" t="str">
        <v>3.B.HYE.PVF.601</v>
      </c>
      <c r="B253" t="str">
        <v>601</v>
      </c>
      <c r="C253" t="str">
        <v>Quản lý BIM</v>
      </c>
      <c r="D253" t="str">
        <v>B.HYE.PVF</v>
      </c>
      <c r="E253" t="str">
        <v>Nhà thi đấu TDTT03</v>
      </c>
      <c r="F253" t="str">
        <v>DH</v>
      </c>
      <c r="G253" t="str">
        <v>KSCL mô hình BIM</v>
      </c>
      <c r="H253" t="str">
        <v>TKBVTC</v>
      </c>
    </row>
    <row r="254" spans="1:8">
      <c r="A254" t="str">
        <v>3.B.HYE.PVF.701</v>
      </c>
      <c r="B254" t="str">
        <v>701</v>
      </c>
      <c r="C254" t="str">
        <v>Quản lý BIM</v>
      </c>
      <c r="D254" t="str">
        <v>B.HYE.PVF</v>
      </c>
      <c r="E254" t="str">
        <v>Nhà thi đấu TDTT03</v>
      </c>
      <c r="F254" t="str">
        <v>PC</v>
      </c>
      <c r="G254" t="str">
        <v>KSCL mô hình BIM</v>
      </c>
      <c r="H254" t="str">
        <v>TKBVTC</v>
      </c>
    </row>
    <row r="255" spans="1:8">
      <c r="A255" t="str">
        <v>3.B.HYE.PVF.103</v>
      </c>
      <c r="B255" t="str">
        <v>103</v>
      </c>
      <c r="C255" t="str">
        <v>Quản lý BIM</v>
      </c>
      <c r="D255" t="str">
        <v>B.HYE.PVF</v>
      </c>
      <c r="E255" t="str">
        <v>Sân vận động TDTT01</v>
      </c>
      <c r="F255" t="str">
        <v>KT</v>
      </c>
      <c r="G255" t="str">
        <v>KSCL mô hình BIM</v>
      </c>
      <c r="H255" t="str">
        <v>TKBVTC</v>
      </c>
    </row>
    <row r="256" spans="1:8">
      <c r="A256" t="str">
        <v>3.B.HYE.PVF.203</v>
      </c>
      <c r="B256" t="str">
        <v>203</v>
      </c>
      <c r="C256" t="str">
        <v>Quản lý BIM</v>
      </c>
      <c r="D256" t="str">
        <v>B.HYE.PVF</v>
      </c>
      <c r="E256" t="str">
        <v>Sân vận động TDTT01</v>
      </c>
      <c r="F256" t="str">
        <v>KC</v>
      </c>
      <c r="G256" t="str">
        <v>KSCL mô hình BIM</v>
      </c>
      <c r="H256" t="str">
        <v>TKBVTC</v>
      </c>
    </row>
    <row r="257" spans="1:8">
      <c r="A257" t="str">
        <v>3.B.HYE.PVF.204</v>
      </c>
      <c r="B257" t="str">
        <v>204</v>
      </c>
      <c r="C257" t="str">
        <v>Quản lý BIM</v>
      </c>
      <c r="D257" t="str">
        <v>B.HYE.PVF</v>
      </c>
      <c r="E257" t="str">
        <v>Sân vận động TDTT01</v>
      </c>
      <c r="F257" t="str">
        <v>KC</v>
      </c>
      <c r="G257" t="str">
        <v>Xuất khối lượng từ mô hình BIM</v>
      </c>
      <c r="H257" t="str">
        <v>TKBVTC</v>
      </c>
    </row>
    <row r="258" spans="1:8">
      <c r="A258" t="str">
        <v>3.B.HYE.PVF.302</v>
      </c>
      <c r="B258" t="str">
        <v>302</v>
      </c>
      <c r="C258" t="str">
        <v>Quản lý BIM</v>
      </c>
      <c r="D258" t="str">
        <v>B.HYE.PVF</v>
      </c>
      <c r="E258" t="str">
        <v>Sân vận động TDTT01</v>
      </c>
      <c r="F258" t="str">
        <v>DI</v>
      </c>
      <c r="G258" t="str">
        <v>KSCL mô hình BIM</v>
      </c>
      <c r="H258" t="str">
        <v>TKBVTC</v>
      </c>
    </row>
    <row r="259" spans="1:8">
      <c r="A259" t="str">
        <v>3.B.HYE.PVF.402</v>
      </c>
      <c r="B259" t="str">
        <v>402</v>
      </c>
      <c r="C259" t="str">
        <v>Quản lý BIM</v>
      </c>
      <c r="D259" t="str">
        <v>B.HYE.PVF</v>
      </c>
      <c r="E259" t="str">
        <v>Sân vận động TDTT01</v>
      </c>
      <c r="F259" t="str">
        <v>DN</v>
      </c>
      <c r="G259" t="str">
        <v>KSCL mô hình BIM</v>
      </c>
      <c r="H259" t="str">
        <v>TKBVTC</v>
      </c>
    </row>
    <row r="260" spans="1:8">
      <c r="A260" t="str">
        <v>3.B.HYE.PVF.502</v>
      </c>
      <c r="B260" t="str">
        <v>502</v>
      </c>
      <c r="C260" t="str">
        <v>Quản lý BIM</v>
      </c>
      <c r="D260" t="str">
        <v>B.HYE.PVF</v>
      </c>
      <c r="E260" t="str">
        <v>Sân vận động TDTT01</v>
      </c>
      <c r="F260" t="str">
        <v>NU</v>
      </c>
      <c r="G260" t="str">
        <v>KSCL mô hình BIM</v>
      </c>
      <c r="H260" t="str">
        <v>TKBVTC</v>
      </c>
    </row>
    <row r="261" spans="1:8">
      <c r="A261" t="str">
        <v>3.B.HYE.PVF.602</v>
      </c>
      <c r="B261" t="str">
        <v>602</v>
      </c>
      <c r="C261" t="str">
        <v>Quản lý BIM</v>
      </c>
      <c r="D261" t="str">
        <v>B.HYE.PVF</v>
      </c>
      <c r="E261" t="str">
        <v>Sân vận động TDTT01</v>
      </c>
      <c r="F261" t="str">
        <v>DH</v>
      </c>
      <c r="G261" t="str">
        <v>KSCL mô hình BIM</v>
      </c>
      <c r="H261" t="str">
        <v>TKBVTC</v>
      </c>
    </row>
    <row r="262" spans="1:8">
      <c r="A262" t="str">
        <v>3.B.HYE.PVF.702</v>
      </c>
      <c r="B262" t="str">
        <v>702</v>
      </c>
      <c r="C262" t="str">
        <v>Quản lý BIM</v>
      </c>
      <c r="D262" t="str">
        <v>B.HYE.PVF</v>
      </c>
      <c r="E262" t="str">
        <v>Sân vận động TDTT01</v>
      </c>
      <c r="F262" t="str">
        <v>PC</v>
      </c>
      <c r="G262" t="str">
        <v>KSCL mô hình BIM</v>
      </c>
      <c r="H262" t="str">
        <v>TKBVTC</v>
      </c>
    </row>
    <row r="263" spans="1:8">
      <c r="A263" t="str">
        <v>3.B.HYE.PVF.503</v>
      </c>
      <c r="B263" t="str">
        <v>503</v>
      </c>
      <c r="C263" t="str">
        <v>Quản lý BIM</v>
      </c>
      <c r="D263" t="str">
        <v>B.HYE.PVF</v>
      </c>
      <c r="E263" t="str">
        <v>Sân vận động TDTT01</v>
      </c>
      <c r="F263" t="str">
        <v>NU</v>
      </c>
      <c r="G263" t="str">
        <v>Tạo lập mô hình BIM</v>
      </c>
      <c r="H263" t="str">
        <v>TKBVTC</v>
      </c>
    </row>
    <row r="264" spans="1:8">
      <c r="A264" t="str">
        <v>3.B.HYE.PVF.603</v>
      </c>
      <c r="B264" t="str">
        <v>603</v>
      </c>
      <c r="C264" t="str">
        <v>Quản lý BIM</v>
      </c>
      <c r="D264" t="str">
        <v>B.HYE.PVF</v>
      </c>
      <c r="E264" t="str">
        <v>Sân vận động TDTT01</v>
      </c>
      <c r="F264" t="str">
        <v>DH</v>
      </c>
      <c r="G264" t="str">
        <v>Tạo lập mô hình BIM</v>
      </c>
      <c r="H264" t="str">
        <v>TKBVTC</v>
      </c>
    </row>
    <row r="265" spans="1:8">
      <c r="A265" t="str">
        <v>3.B.QNI.HLX.CT.101</v>
      </c>
      <c r="B265" t="str">
        <v>101</v>
      </c>
      <c r="C265" t="str">
        <v>Quản lý BIM</v>
      </c>
      <c r="D265" t="str">
        <v>B.QNI.HLX.CT</v>
      </c>
      <c r="E265" t="str">
        <v>Hầm lô B03.2-CCCT-01</v>
      </c>
      <c r="F265" t="str">
        <v>KT</v>
      </c>
      <c r="G265" t="str">
        <v>Tạo lập mô hình BIM</v>
      </c>
      <c r="H265" t="str">
        <v>TKCS</v>
      </c>
    </row>
    <row r="266" spans="1:8">
      <c r="A266" t="str">
        <v>3.B.QNI.HLX.CT.201</v>
      </c>
      <c r="B266" t="str">
        <v>201</v>
      </c>
      <c r="C266" t="str">
        <v>Quản lý BIM</v>
      </c>
      <c r="D266" t="str">
        <v>B.QNI.HLX.CT</v>
      </c>
      <c r="E266" t="str">
        <v>Hầm lô B03.2-CCCT-01</v>
      </c>
      <c r="F266" t="str">
        <v>KC</v>
      </c>
      <c r="G266" t="str">
        <v>Tạo lập mô hình BIM</v>
      </c>
      <c r="H266" t="str">
        <v>TKCS</v>
      </c>
    </row>
    <row r="267" spans="1:8">
      <c r="A267" t="str">
        <v>3.B.QNI.HLX.CT.102</v>
      </c>
      <c r="B267" t="str">
        <v>102</v>
      </c>
      <c r="C267" t="str">
        <v>Quản lý BIM</v>
      </c>
      <c r="D267" t="str">
        <v>B.QNI.HLX.CT</v>
      </c>
      <c r="E267" t="str">
        <v>Hầm lô B03.2-CCCT-02</v>
      </c>
      <c r="F267" t="str">
        <v>KT</v>
      </c>
      <c r="G267" t="str">
        <v>Tạo lập mô hình BIM</v>
      </c>
      <c r="H267" t="str">
        <v>TKCS</v>
      </c>
    </row>
    <row r="268" spans="1:8">
      <c r="A268" t="str">
        <v>3.B.QNI.HLX.CT.202</v>
      </c>
      <c r="B268" t="str">
        <v>202</v>
      </c>
      <c r="C268" t="str">
        <v>Quản lý BIM</v>
      </c>
      <c r="D268" t="str">
        <v>B.QNI.HLX.CT</v>
      </c>
      <c r="E268" t="str">
        <v>Hầm lô B03.2-CCCT-02</v>
      </c>
      <c r="F268" t="str">
        <v>KC</v>
      </c>
      <c r="G268" t="str">
        <v>Tạo lập mô hình BIM</v>
      </c>
      <c r="H268" t="str">
        <v>TKCS</v>
      </c>
    </row>
    <row r="269" spans="1:8">
      <c r="A269" t="str">
        <v>3.B.QNI.HLX.CT.103</v>
      </c>
      <c r="B269" t="str">
        <v>103</v>
      </c>
      <c r="C269" t="str">
        <v>Quản lý BIM</v>
      </c>
      <c r="D269" t="str">
        <v>B.QNI.HLX.CT</v>
      </c>
      <c r="E269" t="str">
        <v>Hầm lô B03.2-CCCT-03</v>
      </c>
      <c r="F269" t="str">
        <v>KT</v>
      </c>
      <c r="G269" t="str">
        <v>Tạo lập mô hình BIM</v>
      </c>
      <c r="H269" t="str">
        <v>TKCS</v>
      </c>
    </row>
    <row r="270" spans="1:8">
      <c r="A270" t="str">
        <v>3.B.QNI.HLX.CT.203</v>
      </c>
      <c r="B270" t="str">
        <v>203</v>
      </c>
      <c r="C270" t="str">
        <v>Quản lý BIM</v>
      </c>
      <c r="D270" t="str">
        <v>B.QNI.HLX.CT</v>
      </c>
      <c r="E270" t="str">
        <v>Hầm lô B03.2-CCCT-03</v>
      </c>
      <c r="F270" t="str">
        <v>KC</v>
      </c>
      <c r="G270" t="str">
        <v>Tạo lập mô hình BIM</v>
      </c>
      <c r="H270" t="str">
        <v>TKCS</v>
      </c>
    </row>
    <row r="271" spans="1:8">
      <c r="A271" t="str">
        <v>3.B.QNI.HLX.CT.104</v>
      </c>
      <c r="B271" t="str">
        <v>104</v>
      </c>
      <c r="C271" t="str">
        <v>Quản lý BIM</v>
      </c>
      <c r="D271" t="str">
        <v>B.QNI.HLX.CT</v>
      </c>
      <c r="E271" t="str">
        <v>Hầm lô B03.4-CCCT-01</v>
      </c>
      <c r="F271" t="str">
        <v>KT</v>
      </c>
      <c r="G271" t="str">
        <v>Tạo lập mô hình BIM</v>
      </c>
      <c r="H271" t="str">
        <v>TKCS</v>
      </c>
    </row>
    <row r="272" spans="1:8">
      <c r="A272" t="str">
        <v>3.B.QNI.HLX.CT.204</v>
      </c>
      <c r="B272" t="str">
        <v>204</v>
      </c>
      <c r="C272" t="str">
        <v>Quản lý BIM</v>
      </c>
      <c r="D272" t="str">
        <v>B.QNI.HLX.CT</v>
      </c>
      <c r="E272" t="str">
        <v>Hầm lô B03.4-CCCT-01</v>
      </c>
      <c r="F272" t="str">
        <v>KC</v>
      </c>
      <c r="G272" t="str">
        <v>Tạo lập mô hình BIM</v>
      </c>
      <c r="H272" t="str">
        <v>TKCS</v>
      </c>
    </row>
    <row r="273" spans="1:8">
      <c r="A273" t="str">
        <v>3.B.QNI.HLX.CT.105</v>
      </c>
      <c r="B273" t="str">
        <v>105</v>
      </c>
      <c r="C273" t="str">
        <v>Quản lý BIM</v>
      </c>
      <c r="D273" t="str">
        <v>B.QNI.HLX.CT</v>
      </c>
      <c r="E273" t="str">
        <v>Hầm lô B03.4-CCCT-02</v>
      </c>
      <c r="F273" t="str">
        <v>KT</v>
      </c>
      <c r="G273" t="str">
        <v>Tạo lập mô hình BIM</v>
      </c>
      <c r="H273" t="str">
        <v>TKCS</v>
      </c>
    </row>
    <row r="274" spans="1:8">
      <c r="A274" t="str">
        <v>3.B.QNI.HLX.CT.205</v>
      </c>
      <c r="B274" t="str">
        <v>205</v>
      </c>
      <c r="C274" t="str">
        <v>Quản lý BIM</v>
      </c>
      <c r="D274" t="str">
        <v>B.QNI.HLX.CT</v>
      </c>
      <c r="E274" t="str">
        <v>Hầm lô B03.4-CCCT-02</v>
      </c>
      <c r="F274" t="str">
        <v>KC</v>
      </c>
      <c r="G274" t="str">
        <v>Tạo lập mô hình BIM</v>
      </c>
      <c r="H274" t="str">
        <v>TKCS</v>
      </c>
    </row>
    <row r="275" spans="1:8">
      <c r="A275" t="str">
        <v>3.B.QNI.HLX.CT.106</v>
      </c>
      <c r="B275" t="str">
        <v>106</v>
      </c>
      <c r="C275" t="str">
        <v>Quản lý BIM</v>
      </c>
      <c r="D275" t="str">
        <v>B.QNI.HLX.CT</v>
      </c>
      <c r="E275" t="str">
        <v>Hầm lô B03.4-CCCT-03</v>
      </c>
      <c r="F275" t="str">
        <v>KT</v>
      </c>
      <c r="G275" t="str">
        <v>Tạo lập mô hình BIM</v>
      </c>
      <c r="H275" t="str">
        <v>TKCS</v>
      </c>
    </row>
    <row r="276" spans="1:8">
      <c r="A276" t="str">
        <v>3.B.QNI.HLX.CT.206</v>
      </c>
      <c r="B276" t="str">
        <v>206</v>
      </c>
      <c r="C276" t="str">
        <v>Quản lý BIM</v>
      </c>
      <c r="D276" t="str">
        <v>B.QNI.HLX.CT</v>
      </c>
      <c r="E276" t="str">
        <v>Hầm lô B03.4-CCCT-03</v>
      </c>
      <c r="F276" t="str">
        <v>KC</v>
      </c>
      <c r="G276" t="str">
        <v>Tạo lập mô hình BIM</v>
      </c>
      <c r="H276" t="str">
        <v>TKCS</v>
      </c>
    </row>
    <row r="277" spans="1:8">
      <c r="A277" t="str">
        <v>3.B.QNI.HLX.CT.107</v>
      </c>
      <c r="B277" t="str">
        <v>107</v>
      </c>
      <c r="C277" t="str">
        <v>Quản lý BIM</v>
      </c>
      <c r="D277" t="str">
        <v>B.QNI.HLX.CT</v>
      </c>
      <c r="E277" t="str">
        <v>Tháp Z35</v>
      </c>
      <c r="F277" t="str">
        <v>KT</v>
      </c>
      <c r="G277" t="str">
        <v>Tạo lập mô hình BIM</v>
      </c>
      <c r="H277" t="str">
        <v>TKCS</v>
      </c>
    </row>
    <row r="278" spans="1:8">
      <c r="A278" t="str">
        <v>3.B.QNI.HLX.CT.207</v>
      </c>
      <c r="B278" t="str">
        <v>207</v>
      </c>
      <c r="C278" t="str">
        <v>Quản lý BIM</v>
      </c>
      <c r="D278" t="str">
        <v>B.QNI.HLX.CT</v>
      </c>
      <c r="E278" t="str">
        <v>Tháp Z35</v>
      </c>
      <c r="F278" t="str">
        <v>KC</v>
      </c>
      <c r="G278" t="str">
        <v>Tạo lập mô hình BIM</v>
      </c>
      <c r="H278" t="str">
        <v>TKCS</v>
      </c>
    </row>
    <row r="279" spans="1:8">
      <c r="A279" t="str">
        <v>3.B.QNI.HLXHL.VMM.101</v>
      </c>
      <c r="B279" t="str">
        <v>101</v>
      </c>
      <c r="C279" t="str">
        <v>Quản lý BIM</v>
      </c>
      <c r="D279" t="str">
        <v>B.QNI.HLXHL.VMM</v>
      </c>
      <c r="E279" t="str">
        <v>VC MEGAMALL LÔ ĐẤT B02.3-TMĐ-01</v>
      </c>
      <c r="F279" t="str">
        <v>KT</v>
      </c>
      <c r="G279" t="str">
        <v>KSCL mô hình BIM</v>
      </c>
      <c r="H279" t="str">
        <v>TKBVTC</v>
      </c>
    </row>
    <row r="280" spans="1:8">
      <c r="A280" t="str">
        <v>3.B.QNI.HLXHL.VMM.201</v>
      </c>
      <c r="B280" t="str">
        <v>201</v>
      </c>
      <c r="C280" t="str">
        <v>Quản lý BIM</v>
      </c>
      <c r="D280" t="str">
        <v>B.QNI.HLXHL.VMM</v>
      </c>
      <c r="E280" t="str">
        <v>VC MEGAMALL LÔ ĐẤT B02.3-TMĐ-01</v>
      </c>
      <c r="F280" t="str">
        <v>KC</v>
      </c>
      <c r="G280" t="str">
        <v>KSCL mô hình BIM</v>
      </c>
      <c r="H280" t="str">
        <v>TKBVTC</v>
      </c>
    </row>
    <row r="281" spans="1:8">
      <c r="A281" t="str">
        <v>3.B.QNI.HLXHL.VMM.301</v>
      </c>
      <c r="B281" t="str">
        <v>301</v>
      </c>
      <c r="C281" t="str">
        <v>Quản lý BIM</v>
      </c>
      <c r="D281" t="str">
        <v>B.QNI.HLXHL.VMM</v>
      </c>
      <c r="E281" t="str">
        <v>VC MEGAMALL LÔ ĐẤT B02.3-TMĐ-01</v>
      </c>
      <c r="F281" t="str">
        <v>DI</v>
      </c>
      <c r="G281" t="str">
        <v>KSCL mô hình BIM</v>
      </c>
      <c r="H281" t="str">
        <v>TKBVTC</v>
      </c>
    </row>
    <row r="282" spans="1:8">
      <c r="A282" t="str">
        <v>3.B.QNI.HLXHL.VMM.401</v>
      </c>
      <c r="B282" t="str">
        <v>401</v>
      </c>
      <c r="C282" t="str">
        <v>Quản lý BIM</v>
      </c>
      <c r="D282" t="str">
        <v>B.QNI.HLXHL.VMM</v>
      </c>
      <c r="E282" t="str">
        <v>VC MEGAMALL LÔ ĐẤT B02.3-TMĐ-01</v>
      </c>
      <c r="F282" t="str">
        <v>DN</v>
      </c>
      <c r="G282" t="str">
        <v>KSCL mô hình BIM</v>
      </c>
      <c r="H282" t="str">
        <v>TKBVTC</v>
      </c>
    </row>
    <row r="283" spans="1:8">
      <c r="A283" t="str">
        <v>3.B.QNI.HLXHL.VMM.501</v>
      </c>
      <c r="B283" t="str">
        <v>501</v>
      </c>
      <c r="C283" t="str">
        <v>Quản lý BIM</v>
      </c>
      <c r="D283" t="str">
        <v>B.QNI.HLXHL.VMM</v>
      </c>
      <c r="E283" t="str">
        <v>VC MEGAMALL LÔ ĐẤT B02.3-TMĐ-01</v>
      </c>
      <c r="F283" t="str">
        <v>NU</v>
      </c>
      <c r="G283" t="str">
        <v>KSCL mô hình BIM</v>
      </c>
      <c r="H283" t="str">
        <v>TKBVTC</v>
      </c>
    </row>
    <row r="284" spans="1:8">
      <c r="A284" t="str">
        <v>3.B.QNI.HLXHL.VMM.601</v>
      </c>
      <c r="B284" t="str">
        <v>601</v>
      </c>
      <c r="C284" t="str">
        <v>Quản lý BIM</v>
      </c>
      <c r="D284" t="str">
        <v>B.QNI.HLXHL.VMM</v>
      </c>
      <c r="E284" t="str">
        <v>VC MEGAMALL LÔ ĐẤT B02.3-TMĐ-01</v>
      </c>
      <c r="F284" t="str">
        <v>DH</v>
      </c>
      <c r="G284" t="str">
        <v>KSCL mô hình BIM</v>
      </c>
      <c r="H284" t="str">
        <v>TKBVTC</v>
      </c>
    </row>
    <row r="285" spans="1:8">
      <c r="A285" t="str">
        <v>3.B.QNI.HLXHL.VMM.701</v>
      </c>
      <c r="B285" t="str">
        <v>701</v>
      </c>
      <c r="C285" t="str">
        <v>Quản lý BIM</v>
      </c>
      <c r="D285" t="str">
        <v>B.QNI.HLXHL.VMM</v>
      </c>
      <c r="E285" t="str">
        <v>VC MEGAMALL LÔ ĐẤT B02.3-TMĐ-01</v>
      </c>
      <c r="F285" t="str">
        <v>PC</v>
      </c>
      <c r="G285" t="str">
        <v>KSCL mô hình BIM</v>
      </c>
      <c r="H285" t="str">
        <v>TKBVTC</v>
      </c>
    </row>
    <row r="286" spans="1:8">
      <c r="A286" t="str">
        <v>3.B.QNI.HLXHL.VP.101</v>
      </c>
      <c r="B286" t="str">
        <v>101</v>
      </c>
      <c r="C286" t="str">
        <v>Quản lý BIM</v>
      </c>
      <c r="D286" t="str">
        <v>B.QNI.HLXHL.VP</v>
      </c>
      <c r="E286" t="str">
        <v>Tòa văn phòng 35 tầng (Lô đất B03.5-TMĐ-01)</v>
      </c>
      <c r="F286" t="str">
        <v>KT</v>
      </c>
      <c r="G286" t="str">
        <v>KSCL mô hình BIM</v>
      </c>
      <c r="H286" t="str">
        <v>TKBVTC</v>
      </c>
    </row>
    <row r="287" spans="1:8">
      <c r="A287" t="str">
        <v>3.B.QNI.HLXHL.VP.201</v>
      </c>
      <c r="B287" t="str">
        <v>201</v>
      </c>
      <c r="C287" t="str">
        <v>Quản lý BIM</v>
      </c>
      <c r="D287" t="str">
        <v>B.QNI.HLXHL.VP</v>
      </c>
      <c r="E287" t="str">
        <v>Tòa văn phòng 35 tầng (Lô đất B03.5-TMĐ-01)</v>
      </c>
      <c r="F287" t="str">
        <v>KC</v>
      </c>
      <c r="G287" t="str">
        <v>KSCL mô hình BIM</v>
      </c>
      <c r="H287" t="str">
        <v>TKBVTC</v>
      </c>
    </row>
    <row r="288" spans="1:8">
      <c r="A288" t="str">
        <v>3.B.QNI.HLXHL.VP.301</v>
      </c>
      <c r="B288" t="str">
        <v>301</v>
      </c>
      <c r="C288" t="str">
        <v>Quản lý BIM</v>
      </c>
      <c r="D288" t="str">
        <v>B.QNI.HLXHL.VP</v>
      </c>
      <c r="E288" t="str">
        <v>Tòa văn phòng 35 tầng (Lô đất B03.5-TMĐ-01)</v>
      </c>
      <c r="F288" t="str">
        <v>DI</v>
      </c>
      <c r="G288" t="str">
        <v>KSCL mô hình BIM</v>
      </c>
      <c r="H288" t="str">
        <v>TKBVTC</v>
      </c>
    </row>
    <row r="289" spans="1:8">
      <c r="A289" t="str">
        <v>3.B.QNI.HLXHL.VP.401</v>
      </c>
      <c r="B289" t="str">
        <v>401</v>
      </c>
      <c r="C289" t="str">
        <v>Quản lý BIM</v>
      </c>
      <c r="D289" t="str">
        <v>B.QNI.HLXHL.VP</v>
      </c>
      <c r="E289" t="str">
        <v>Tòa văn phòng 35 tầng (Lô đất B03.5-TMĐ-01)</v>
      </c>
      <c r="F289" t="str">
        <v>DN</v>
      </c>
      <c r="G289" t="str">
        <v>KSCL mô hình BIM</v>
      </c>
      <c r="H289" t="str">
        <v>TKBVTC</v>
      </c>
    </row>
    <row r="290" spans="1:8">
      <c r="A290" t="str">
        <v>3.B.QNI.HLXHL.VP.501</v>
      </c>
      <c r="B290" t="str">
        <v>501</v>
      </c>
      <c r="C290" t="str">
        <v>Quản lý BIM</v>
      </c>
      <c r="D290" t="str">
        <v>B.QNI.HLXHL.VP</v>
      </c>
      <c r="E290" t="str">
        <v>Tòa văn phòng 35 tầng (Lô đất B03.5-TMĐ-01)</v>
      </c>
      <c r="F290" t="str">
        <v>NU</v>
      </c>
      <c r="G290" t="str">
        <v>KSCL mô hình BIM</v>
      </c>
      <c r="H290" t="str">
        <v>TKBVTC</v>
      </c>
    </row>
    <row r="291" spans="1:8">
      <c r="A291" t="str">
        <v>3.B.QNI.HLXHL.VP.601</v>
      </c>
      <c r="B291" t="str">
        <v>601</v>
      </c>
      <c r="C291" t="str">
        <v>Quản lý BIM</v>
      </c>
      <c r="D291" t="str">
        <v>B.QNI.HLXHL.VP</v>
      </c>
      <c r="E291" t="str">
        <v>Tòa văn phòng 35 tầng (Lô đất B03.5-TMĐ-01)</v>
      </c>
      <c r="F291" t="str">
        <v>DH</v>
      </c>
      <c r="G291" t="str">
        <v>KSCL mô hình BIM</v>
      </c>
      <c r="H291" t="str">
        <v>TKBVTC</v>
      </c>
    </row>
    <row r="292" spans="1:8">
      <c r="A292" t="str">
        <v>3.B.QNI.HLXHL.VP.701</v>
      </c>
      <c r="B292" t="str">
        <v>701</v>
      </c>
      <c r="C292" t="str">
        <v>Quản lý BIM</v>
      </c>
      <c r="D292" t="str">
        <v>B.QNI.HLXHL.VP</v>
      </c>
      <c r="E292" t="str">
        <v>Tòa văn phòng 35 tầng (Lô đất B03.5-TMĐ-01)</v>
      </c>
      <c r="F292" t="str">
        <v>PC</v>
      </c>
      <c r="G292" t="str">
        <v>KSCL mô hình BIM</v>
      </c>
      <c r="H292" t="str">
        <v>TKBVTC</v>
      </c>
    </row>
    <row r="293" spans="1:8">
      <c r="A293" t="str">
        <v>3.B.QNI.HLXHL.VSC.101</v>
      </c>
      <c r="B293" t="str">
        <v>101</v>
      </c>
      <c r="C293" t="str">
        <v>Quản lý BIM</v>
      </c>
      <c r="D293" t="str">
        <v>B.QNI.HLXHL.VSC</v>
      </c>
      <c r="E293" t="str">
        <v>Trường học các lô đất A2-MG-06, A2-TH-05, A2-CS-04</v>
      </c>
      <c r="F293" t="str">
        <v>KT</v>
      </c>
      <c r="G293" t="str">
        <v>KSCL mô hình BIM</v>
      </c>
      <c r="H293" t="str">
        <v>TKBVTC</v>
      </c>
    </row>
    <row r="294" spans="1:8">
      <c r="A294" t="str">
        <v>3.B.QNI.HLXHL.VSC.201</v>
      </c>
      <c r="B294" t="str">
        <v>201</v>
      </c>
      <c r="C294" t="str">
        <v>Quản lý BIM</v>
      </c>
      <c r="D294" t="str">
        <v>B.QNI.HLXHL.VSC</v>
      </c>
      <c r="E294" t="str">
        <v>Trường học các lô đất A2-MG-06, A2-TH-05, A2-CS-04</v>
      </c>
      <c r="F294" t="str">
        <v>KC</v>
      </c>
      <c r="G294" t="str">
        <v>KSCL mô hình BIM</v>
      </c>
      <c r="H294" t="str">
        <v>TKBVTC</v>
      </c>
    </row>
    <row r="295" spans="1:8">
      <c r="A295" t="str">
        <v>3.B.QNI.HLXHL.VSC.301</v>
      </c>
      <c r="B295" t="str">
        <v>301</v>
      </c>
      <c r="C295" t="str">
        <v>Quản lý BIM</v>
      </c>
      <c r="D295" t="str">
        <v>B.QNI.HLXHL.VSC</v>
      </c>
      <c r="E295" t="str">
        <v>Trường học các lô đất A2-MG-06, A2-TH-05, A2-CS-04</v>
      </c>
      <c r="F295" t="str">
        <v>DI</v>
      </c>
      <c r="G295" t="str">
        <v>KSCL mô hình BIM</v>
      </c>
      <c r="H295" t="str">
        <v>TKBVTC</v>
      </c>
    </row>
    <row r="296" spans="1:8">
      <c r="A296" t="str">
        <v>3.B.QNI.HLXHL.VSC.401</v>
      </c>
      <c r="B296" t="str">
        <v>401</v>
      </c>
      <c r="C296" t="str">
        <v>Quản lý BIM</v>
      </c>
      <c r="D296" t="str">
        <v>B.QNI.HLXHL.VSC</v>
      </c>
      <c r="E296" t="str">
        <v>Trường học các lô đất A2-MG-06, A2-TH-05, A2-CS-04</v>
      </c>
      <c r="F296" t="str">
        <v>DN</v>
      </c>
      <c r="G296" t="str">
        <v>KSCL mô hình BIM</v>
      </c>
      <c r="H296" t="str">
        <v>TKBVTC</v>
      </c>
    </row>
    <row r="297" spans="1:8">
      <c r="A297" t="str">
        <v>3.B.QNI.HLXHL.VSC.501</v>
      </c>
      <c r="B297" t="str">
        <v>501</v>
      </c>
      <c r="C297" t="str">
        <v>Quản lý BIM</v>
      </c>
      <c r="D297" t="str">
        <v>B.QNI.HLXHL.VSC</v>
      </c>
      <c r="E297" t="str">
        <v>Trường học các lô đất A2-MG-06, A2-TH-05, A2-CS-04</v>
      </c>
      <c r="F297" t="str">
        <v>NU</v>
      </c>
      <c r="G297" t="str">
        <v>KSCL mô hình BIM</v>
      </c>
      <c r="H297" t="str">
        <v>TKBVTC</v>
      </c>
    </row>
    <row r="298" spans="1:8">
      <c r="A298" t="str">
        <v>3.B.QNI.HLXHL.VSC.601</v>
      </c>
      <c r="B298" t="str">
        <v>601</v>
      </c>
      <c r="C298" t="str">
        <v>Quản lý BIM</v>
      </c>
      <c r="D298" t="str">
        <v>B.QNI.HLXHL.VSC</v>
      </c>
      <c r="E298" t="str">
        <v>Trường học các lô đất A2-MG-06, A2-TH-05, A2-CS-04</v>
      </c>
      <c r="F298" t="str">
        <v>DH</v>
      </c>
      <c r="G298" t="str">
        <v>KSCL mô hình BIM</v>
      </c>
      <c r="H298" t="str">
        <v>TKBVTC</v>
      </c>
    </row>
    <row r="299" spans="1:8">
      <c r="A299" t="str">
        <v>3.B.QNI.HLXHL.VSC.701</v>
      </c>
      <c r="B299" t="str">
        <v>701</v>
      </c>
      <c r="C299" t="str">
        <v>Quản lý BIM</v>
      </c>
      <c r="D299" t="str">
        <v>B.QNI.HLXHL.VSC</v>
      </c>
      <c r="E299" t="str">
        <v>Trường học các lô đất A2-MG-06, A2-TH-05, A2-CS-04</v>
      </c>
      <c r="F299" t="str">
        <v>PC</v>
      </c>
      <c r="G299" t="str">
        <v>KSCL mô hình BIM</v>
      </c>
      <c r="H299" t="str">
        <v>TKBVTC</v>
      </c>
    </row>
    <row r="300" spans="1:8">
      <c r="A300" t="str">
        <v>3.B.QNI.HLXHL.VSC.102</v>
      </c>
      <c r="B300" t="str">
        <v>102</v>
      </c>
      <c r="C300" t="str">
        <v>Quản lý BIM</v>
      </c>
      <c r="D300" t="str">
        <v>B.QNI.HLXHL.VSC</v>
      </c>
      <c r="E300" t="str">
        <v>Trường học lô đất PT-01</v>
      </c>
      <c r="F300" t="str">
        <v>KT</v>
      </c>
      <c r="G300" t="str">
        <v>KSCL mô hình BIM</v>
      </c>
      <c r="H300" t="str">
        <v>TKBVTC</v>
      </c>
    </row>
    <row r="301" spans="1:8">
      <c r="A301" t="str">
        <v>3.B.QNI.HLXHL.VSC.202</v>
      </c>
      <c r="B301" t="str">
        <v>202</v>
      </c>
      <c r="C301" t="str">
        <v>Quản lý BIM</v>
      </c>
      <c r="D301" t="str">
        <v>B.QNI.HLXHL.VSC</v>
      </c>
      <c r="E301" t="str">
        <v>Trường học lô đất PT-01</v>
      </c>
      <c r="F301" t="str">
        <v>KC</v>
      </c>
      <c r="G301" t="str">
        <v>KSCL mô hình BIM</v>
      </c>
      <c r="H301" t="str">
        <v>TKBVTC</v>
      </c>
    </row>
    <row r="302" spans="1:8">
      <c r="A302" t="str">
        <v>3.B.QNI.HLXHL.VSC.302</v>
      </c>
      <c r="B302" t="str">
        <v>302</v>
      </c>
      <c r="C302" t="str">
        <v>Quản lý BIM</v>
      </c>
      <c r="D302" t="str">
        <v>B.QNI.HLXHL.VSC</v>
      </c>
      <c r="E302" t="str">
        <v>Trường học lô đất PT-01</v>
      </c>
      <c r="F302" t="str">
        <v>DI</v>
      </c>
      <c r="G302" t="str">
        <v>KSCL mô hình BIM</v>
      </c>
      <c r="H302" t="str">
        <v>TKBVTC</v>
      </c>
    </row>
    <row r="303" spans="1:8">
      <c r="A303" t="str">
        <v>3.B.QNI.HLXHL.VSC.402</v>
      </c>
      <c r="B303" t="str">
        <v>402</v>
      </c>
      <c r="C303" t="str">
        <v>Quản lý BIM</v>
      </c>
      <c r="D303" t="str">
        <v>B.QNI.HLXHL.VSC</v>
      </c>
      <c r="E303" t="str">
        <v>Trường học lô đất PT-01</v>
      </c>
      <c r="F303" t="str">
        <v>DN</v>
      </c>
      <c r="G303" t="str">
        <v>KSCL mô hình BIM</v>
      </c>
      <c r="H303" t="str">
        <v>TKBVTC</v>
      </c>
    </row>
    <row r="304" spans="1:8">
      <c r="A304" t="str">
        <v>3.B.QNI.HLXHL.VSC.502</v>
      </c>
      <c r="B304" t="str">
        <v>502</v>
      </c>
      <c r="C304" t="str">
        <v>Quản lý BIM</v>
      </c>
      <c r="D304" t="str">
        <v>B.QNI.HLXHL.VSC</v>
      </c>
      <c r="E304" t="str">
        <v>Trường học lô đất PT-01</v>
      </c>
      <c r="F304" t="str">
        <v>NU</v>
      </c>
      <c r="G304" t="str">
        <v>KSCL mô hình BIM</v>
      </c>
      <c r="H304" t="str">
        <v>TKBVTC</v>
      </c>
    </row>
    <row r="305" spans="1:8">
      <c r="A305" t="str">
        <v>3.B.QNI.HLXHL.VSC.602</v>
      </c>
      <c r="B305" t="str">
        <v>602</v>
      </c>
      <c r="C305" t="str">
        <v>Quản lý BIM</v>
      </c>
      <c r="D305" t="str">
        <v>B.QNI.HLXHL.VSC</v>
      </c>
      <c r="E305" t="str">
        <v>Trường học lô đất PT-01</v>
      </c>
      <c r="F305" t="str">
        <v>DH</v>
      </c>
      <c r="G305" t="str">
        <v>KSCL mô hình BIM</v>
      </c>
      <c r="H305" t="str">
        <v>TKBVTC</v>
      </c>
    </row>
    <row r="306" spans="1:8">
      <c r="A306" t="str">
        <v>3.B.QNI.HLXHL.VSC.702</v>
      </c>
      <c r="B306" t="str">
        <v>702</v>
      </c>
      <c r="C306" t="str">
        <v>Quản lý BIM</v>
      </c>
      <c r="D306" t="str">
        <v>B.QNI.HLXHL.VSC</v>
      </c>
      <c r="E306" t="str">
        <v>Trường học lô đất PT-01</v>
      </c>
      <c r="F306" t="str">
        <v>PC</v>
      </c>
      <c r="G306" t="str">
        <v>KSCL mô hình BIM</v>
      </c>
      <c r="H306" t="str">
        <v>TKBVTC</v>
      </c>
    </row>
    <row r="307" spans="1:8">
      <c r="A307" t="str">
        <v>3.B.QNI.HLXQY.NH.101</v>
      </c>
      <c r="B307" t="str">
        <v>101</v>
      </c>
      <c r="C307" t="str">
        <v>Quản lý BIM</v>
      </c>
      <c r="D307" t="str">
        <v>B.QNI.HLXQY.NH</v>
      </c>
      <c r="E307" t="str">
        <v>Nhà hát Hạ Long Xanh</v>
      </c>
      <c r="F307" t="str">
        <v>KT</v>
      </c>
      <c r="G307" t="str">
        <v>KSCL mô hình BIM</v>
      </c>
      <c r="H307" t="str">
        <v>TKBVTC</v>
      </c>
    </row>
    <row r="308" spans="1:8">
      <c r="A308" t="str">
        <v>3.B.QNI.HLXQY.NH.201</v>
      </c>
      <c r="B308" t="str">
        <v>201</v>
      </c>
      <c r="C308" t="str">
        <v>Quản lý BIM</v>
      </c>
      <c r="D308" t="str">
        <v>B.QNI.HLXQY.NH</v>
      </c>
      <c r="E308" t="str">
        <v>Nhà hát Hạ Long Xanh</v>
      </c>
      <c r="F308" t="str">
        <v>KC</v>
      </c>
      <c r="G308" t="str">
        <v>KSCL mô hình BIM</v>
      </c>
      <c r="H308" t="str">
        <v>TKBVTC</v>
      </c>
    </row>
    <row r="309" spans="1:8">
      <c r="A309" t="str">
        <v>3.B.QNI.HLXQY.NH.301</v>
      </c>
      <c r="B309" t="str">
        <v>301</v>
      </c>
      <c r="C309" t="str">
        <v>Quản lý BIM</v>
      </c>
      <c r="D309" t="str">
        <v>B.QNI.HLXQY.NH</v>
      </c>
      <c r="E309" t="str">
        <v>Nhà hát Hạ Long Xanh</v>
      </c>
      <c r="F309" t="str">
        <v>DI</v>
      </c>
      <c r="G309" t="str">
        <v>KSCL mô hình BIM</v>
      </c>
      <c r="H309" t="str">
        <v>TKBVTC</v>
      </c>
    </row>
    <row r="310" spans="1:8">
      <c r="A310" t="str">
        <v>3.B.QNI.HLXQY.NH.401</v>
      </c>
      <c r="B310" t="str">
        <v>401</v>
      </c>
      <c r="C310" t="str">
        <v>Quản lý BIM</v>
      </c>
      <c r="D310" t="str">
        <v>B.QNI.HLXQY.NH</v>
      </c>
      <c r="E310" t="str">
        <v>Nhà hát Hạ Long Xanh</v>
      </c>
      <c r="F310" t="str">
        <v>DN</v>
      </c>
      <c r="G310" t="str">
        <v>KSCL mô hình BIM</v>
      </c>
      <c r="H310" t="str">
        <v>TKBVTC</v>
      </c>
    </row>
    <row r="311" spans="1:8">
      <c r="A311" t="str">
        <v>3.B.QNI.HLXQY.NH.501</v>
      </c>
      <c r="B311" t="str">
        <v>501</v>
      </c>
      <c r="C311" t="str">
        <v>Quản lý BIM</v>
      </c>
      <c r="D311" t="str">
        <v>B.QNI.HLXQY.NH</v>
      </c>
      <c r="E311" t="str">
        <v>Nhà hát Hạ Long Xanh</v>
      </c>
      <c r="F311" t="str">
        <v>NU</v>
      </c>
      <c r="G311" t="str">
        <v>KSCL mô hình BIM</v>
      </c>
      <c r="H311" t="str">
        <v>TKBVTC</v>
      </c>
    </row>
    <row r="312" spans="1:8">
      <c r="A312" t="str">
        <v>3.B.QNI.HLXQY.NH.601</v>
      </c>
      <c r="B312" t="str">
        <v>601</v>
      </c>
      <c r="C312" t="str">
        <v>Quản lý BIM</v>
      </c>
      <c r="D312" t="str">
        <v>B.QNI.HLXQY.NH</v>
      </c>
      <c r="E312" t="str">
        <v>Nhà hát Hạ Long Xanh</v>
      </c>
      <c r="F312" t="str">
        <v>DH</v>
      </c>
      <c r="G312" t="str">
        <v>KSCL mô hình BIM</v>
      </c>
      <c r="H312" t="str">
        <v>TKBVTC</v>
      </c>
    </row>
    <row r="313" spans="1:8">
      <c r="A313" t="str">
        <v>3.B.QNI.HLXQY.NH.701</v>
      </c>
      <c r="B313" t="str">
        <v>701</v>
      </c>
      <c r="C313" t="str">
        <v>Quản lý BIM</v>
      </c>
      <c r="D313" t="str">
        <v>B.QNI.HLXQY.NH</v>
      </c>
      <c r="E313" t="str">
        <v>Nhà hát Hạ Long Xanh</v>
      </c>
      <c r="F313" t="str">
        <v>PC</v>
      </c>
      <c r="G313" t="str">
        <v>KSCL mô hình BIM</v>
      </c>
      <c r="H313" t="str">
        <v>TKBVTC</v>
      </c>
    </row>
    <row r="314" spans="1:8">
      <c r="A314" t="str">
        <v>3.B.TQU.VPTQ.VP.101</v>
      </c>
      <c r="B314" t="str">
        <v>101</v>
      </c>
      <c r="C314" t="str">
        <v>Quản lý BIM</v>
      </c>
      <c r="D314" t="str">
        <v>B.TQU.VPTQ.VP</v>
      </c>
      <c r="E314" t="str">
        <v>Lô C.TM11</v>
      </c>
      <c r="F314" t="str">
        <v>KT</v>
      </c>
      <c r="G314" t="str">
        <v>Xuất khối lượng từ mô hình BIM</v>
      </c>
      <c r="H314" t="str">
        <v>TKBVTC</v>
      </c>
    </row>
    <row r="315" spans="1:8">
      <c r="A315" t="str">
        <v>3.B.TQU.VPTQ.VP.102</v>
      </c>
      <c r="B315" t="str">
        <v>102</v>
      </c>
      <c r="C315" t="str">
        <v>Quản lý BIM</v>
      </c>
      <c r="D315" t="str">
        <v>B.TQU.VPTQ.VP</v>
      </c>
      <c r="E315" t="str">
        <v>Lô C.TM11</v>
      </c>
      <c r="F315" t="str">
        <v>KT</v>
      </c>
      <c r="G315" t="str">
        <v>Cập nhật thông tin mô hình BIM</v>
      </c>
      <c r="H315" t="str">
        <v>TKBVTC</v>
      </c>
    </row>
    <row r="316" spans="1:8">
      <c r="A316" t="str">
        <v>3.B.TQU.VPTQ.VP.201</v>
      </c>
      <c r="B316" t="str">
        <v>201</v>
      </c>
      <c r="C316" t="str">
        <v>Quản lý BIM</v>
      </c>
      <c r="D316" t="str">
        <v>B.TQU.VPTQ.VP</v>
      </c>
      <c r="E316" t="str">
        <v>Lô C.TM11</v>
      </c>
      <c r="F316" t="str">
        <v>KC</v>
      </c>
      <c r="G316" t="str">
        <v>Xuất khối lượng từ mô hình BIM</v>
      </c>
      <c r="H316" t="str">
        <v>TKBVTC</v>
      </c>
    </row>
    <row r="317" spans="1:8">
      <c r="A317" t="str">
        <v>3.B.TQU.VPTQ.VP.202</v>
      </c>
      <c r="B317" t="str">
        <v>202</v>
      </c>
      <c r="C317" t="str">
        <v>Quản lý BIM</v>
      </c>
      <c r="D317" t="str">
        <v>B.TQU.VPTQ.VP</v>
      </c>
      <c r="E317" t="str">
        <v>Lô C.TM11</v>
      </c>
      <c r="F317" t="str">
        <v>KC</v>
      </c>
      <c r="G317" t="str">
        <v>Cập nhật thông tin mô hình BIM</v>
      </c>
      <c r="H317" t="str">
        <v>TKBVTC</v>
      </c>
    </row>
    <row r="318" spans="1:8">
      <c r="A318" t="str">
        <v>3.N.DSHCMCG.DMF.101</v>
      </c>
      <c r="B318" t="str">
        <v>101</v>
      </c>
      <c r="C318" t="str">
        <v>Quản lý BIM</v>
      </c>
      <c r="D318" t="str">
        <v>N.DSHCMCG.DMF</v>
      </c>
      <c r="E318" t="str">
        <v>Depot</v>
      </c>
      <c r="F318" t="str">
        <v>KT</v>
      </c>
      <c r="G318" t="str">
        <v>Tạo lập mô hình BIM</v>
      </c>
      <c r="H318" t="str">
        <v>TKBVTC</v>
      </c>
    </row>
    <row r="319" spans="1:8">
      <c r="A319" t="str">
        <v>3.N.DSHCMCG.DMF.102</v>
      </c>
      <c r="B319" t="str">
        <v>102</v>
      </c>
      <c r="C319" t="str">
        <v>Quản lý BIM</v>
      </c>
      <c r="D319" t="str">
        <v>N.DSHCMCG.DMF</v>
      </c>
      <c r="E319" t="str">
        <v>Depot</v>
      </c>
      <c r="F319" t="str">
        <v>KT</v>
      </c>
      <c r="G319" t="str">
        <v>KSCL mô hình BIM</v>
      </c>
      <c r="H319" t="str">
        <v>FEED</v>
      </c>
    </row>
    <row r="320" spans="1:8">
      <c r="A320" t="str">
        <v>3.N.DSHCMCG.DMF.201</v>
      </c>
      <c r="B320" t="str">
        <v>201</v>
      </c>
      <c r="C320" t="str">
        <v>Quản lý BIM</v>
      </c>
      <c r="D320" t="str">
        <v>N.DSHCMCG.DMF</v>
      </c>
      <c r="E320" t="str">
        <v>Depot</v>
      </c>
      <c r="F320" t="str">
        <v>KC</v>
      </c>
      <c r="G320" t="str">
        <v>Tạo lập mô hình BIM</v>
      </c>
      <c r="H320" t="str">
        <v>TKBVTC</v>
      </c>
    </row>
    <row r="321" spans="1:8">
      <c r="A321" t="str">
        <v>3.N.DSHCMCG.DMF.202</v>
      </c>
      <c r="B321" t="str">
        <v>202</v>
      </c>
      <c r="C321" t="str">
        <v>Quản lý BIM</v>
      </c>
      <c r="D321" t="str">
        <v>N.DSHCMCG.DMF</v>
      </c>
      <c r="E321" t="str">
        <v>Depot</v>
      </c>
      <c r="F321" t="str">
        <v>KC</v>
      </c>
      <c r="G321" t="str">
        <v>KSCL mô hình BIM</v>
      </c>
      <c r="H321" t="str">
        <v>FEED</v>
      </c>
    </row>
    <row r="322" spans="1:8">
      <c r="A322" t="str">
        <v>3.N.DSHCMCG.DMF.301</v>
      </c>
      <c r="B322" t="str">
        <v>301</v>
      </c>
      <c r="C322" t="str">
        <v>Quản lý BIM</v>
      </c>
      <c r="D322" t="str">
        <v>N.DSHCMCG.DMF</v>
      </c>
      <c r="E322" t="str">
        <v>Depot</v>
      </c>
      <c r="F322" t="str">
        <v>DI</v>
      </c>
      <c r="G322" t="str">
        <v>KSCL mô hình BIM</v>
      </c>
      <c r="H322" t="str">
        <v>FEED</v>
      </c>
    </row>
    <row r="323" spans="1:8">
      <c r="A323" t="str">
        <v>3.N.DSHCMCG.DMF.401</v>
      </c>
      <c r="B323" t="str">
        <v>401</v>
      </c>
      <c r="C323" t="str">
        <v>Quản lý BIM</v>
      </c>
      <c r="D323" t="str">
        <v>N.DSHCMCG.DMF</v>
      </c>
      <c r="E323" t="str">
        <v>Depot</v>
      </c>
      <c r="F323" t="str">
        <v>DN</v>
      </c>
      <c r="G323" t="str">
        <v>KSCL mô hình BIM</v>
      </c>
      <c r="H323" t="str">
        <v>FEED</v>
      </c>
    </row>
    <row r="324" spans="1:8">
      <c r="A324" t="str">
        <v>3.N.DSHCMCG.DMF.501</v>
      </c>
      <c r="B324" t="str">
        <v>501</v>
      </c>
      <c r="C324" t="str">
        <v>Quản lý BIM</v>
      </c>
      <c r="D324" t="str">
        <v>N.DSHCMCG.DMF</v>
      </c>
      <c r="E324" t="str">
        <v>Depot</v>
      </c>
      <c r="F324" t="str">
        <v>NU</v>
      </c>
      <c r="G324" t="str">
        <v>KSCL mô hình BIM</v>
      </c>
      <c r="H324" t="str">
        <v>FEED</v>
      </c>
    </row>
    <row r="325" spans="1:8">
      <c r="A325" t="str">
        <v>3.N.DSHCMCG.DMF.601</v>
      </c>
      <c r="B325" t="str">
        <v>601</v>
      </c>
      <c r="C325" t="str">
        <v>Quản lý BIM</v>
      </c>
      <c r="D325" t="str">
        <v>N.DSHCMCG.DMF</v>
      </c>
      <c r="E325" t="str">
        <v>Depot</v>
      </c>
      <c r="F325" t="str">
        <v>DH</v>
      </c>
      <c r="G325" t="str">
        <v>KSCL mô hình BIM</v>
      </c>
      <c r="H325" t="str">
        <v>FEED</v>
      </c>
    </row>
    <row r="326" spans="1:8">
      <c r="A326" t="str">
        <v>3.N.DSHCMCG.DMF.701</v>
      </c>
      <c r="B326" t="str">
        <v>701</v>
      </c>
      <c r="C326" t="str">
        <v>Quản lý BIM</v>
      </c>
      <c r="D326" t="str">
        <v>N.DSHCMCG.DMF</v>
      </c>
      <c r="E326" t="str">
        <v>Depot</v>
      </c>
      <c r="F326" t="str">
        <v>PC</v>
      </c>
      <c r="G326" t="str">
        <v>KSCL mô hình BIM</v>
      </c>
      <c r="H326" t="str">
        <v>FEED</v>
      </c>
    </row>
    <row r="327" spans="1:8">
      <c r="A327" t="str">
        <v>3.N.DSHCMCG.STA.101</v>
      </c>
      <c r="B327" t="str">
        <v>101</v>
      </c>
      <c r="C327" t="str">
        <v>Quản lý BIM</v>
      </c>
      <c r="D327" t="str">
        <v>N.DSHCMCG.STA</v>
      </c>
      <c r="E327" t="str">
        <v>Nhà Ga Bến Thành</v>
      </c>
      <c r="F327" t="str">
        <v>KT</v>
      </c>
      <c r="G327" t="str">
        <v>Tạo lập mô hình BIM</v>
      </c>
      <c r="H327" t="str">
        <v>TKBVTC</v>
      </c>
    </row>
    <row r="328" spans="1:8">
      <c r="A328" t="str">
        <v>3.N.DSHCMCG.STA.201</v>
      </c>
      <c r="B328" t="str">
        <v>201</v>
      </c>
      <c r="C328" t="str">
        <v>Quản lý BIM</v>
      </c>
      <c r="D328" t="str">
        <v>N.DSHCMCG.STA</v>
      </c>
      <c r="E328" t="str">
        <v>Nhà Ga Bến Thành</v>
      </c>
      <c r="F328" t="str">
        <v>KC</v>
      </c>
      <c r="G328" t="str">
        <v>KSCL mô hình BIM</v>
      </c>
      <c r="H328" t="str">
        <v>TKBVTC</v>
      </c>
    </row>
    <row r="329" spans="1:8">
      <c r="A329" t="str">
        <v>3.N.DSHCMCG.STA.301</v>
      </c>
      <c r="B329" t="str">
        <v>301</v>
      </c>
      <c r="C329" t="str">
        <v>Quản lý BIM</v>
      </c>
      <c r="D329" t="str">
        <v>N.DSHCMCG.STA</v>
      </c>
      <c r="E329" t="str">
        <v>Nhà Ga Bến Thành</v>
      </c>
      <c r="F329" t="str">
        <v>DI</v>
      </c>
      <c r="G329" t="str">
        <v>KSCL mô hình BIM</v>
      </c>
      <c r="H329" t="str">
        <v>FEED</v>
      </c>
    </row>
    <row r="330" spans="1:8">
      <c r="A330" t="str">
        <v>3.N.DSHCMCG.STA.401</v>
      </c>
      <c r="B330" t="str">
        <v>401</v>
      </c>
      <c r="C330" t="str">
        <v>Quản lý BIM</v>
      </c>
      <c r="D330" t="str">
        <v>N.DSHCMCG.STA</v>
      </c>
      <c r="E330" t="str">
        <v>Nhà Ga Bến Thành</v>
      </c>
      <c r="F330" t="str">
        <v>DN</v>
      </c>
      <c r="G330" t="str">
        <v>KSCL mô hình BIM</v>
      </c>
      <c r="H330" t="str">
        <v>FEED</v>
      </c>
    </row>
    <row r="331" spans="1:8">
      <c r="A331" t="str">
        <v>3.N.DSHCMCG.STA.501</v>
      </c>
      <c r="B331" t="str">
        <v>501</v>
      </c>
      <c r="C331" t="str">
        <v>Quản lý BIM</v>
      </c>
      <c r="D331" t="str">
        <v>N.DSHCMCG.STA</v>
      </c>
      <c r="E331" t="str">
        <v>Nhà Ga Bến Thành</v>
      </c>
      <c r="F331" t="str">
        <v>NU</v>
      </c>
      <c r="G331" t="str">
        <v>KSCL mô hình BIM</v>
      </c>
      <c r="H331" t="str">
        <v>FEED</v>
      </c>
    </row>
    <row r="332" spans="1:8">
      <c r="A332" t="str">
        <v>3.N.DSHCMCG.STA.601</v>
      </c>
      <c r="B332" t="str">
        <v>601</v>
      </c>
      <c r="C332" t="str">
        <v>Quản lý BIM</v>
      </c>
      <c r="D332" t="str">
        <v>N.DSHCMCG.STA</v>
      </c>
      <c r="E332" t="str">
        <v>Nhà Ga Bến Thành</v>
      </c>
      <c r="F332" t="str">
        <v>DH</v>
      </c>
      <c r="G332" t="str">
        <v>KSCL mô hình BIM</v>
      </c>
      <c r="H332" t="str">
        <v>FEED</v>
      </c>
    </row>
    <row r="333" spans="1:8">
      <c r="A333" t="str">
        <v>3.N.DSHCMCG.STA.701</v>
      </c>
      <c r="B333" t="str">
        <v>701</v>
      </c>
      <c r="C333" t="str">
        <v>Quản lý BIM</v>
      </c>
      <c r="D333" t="str">
        <v>N.DSHCMCG.STA</v>
      </c>
      <c r="E333" t="str">
        <v>Nhà Ga Bến Thành</v>
      </c>
      <c r="F333" t="str">
        <v>PC</v>
      </c>
      <c r="G333" t="str">
        <v>KSCL mô hình BIM</v>
      </c>
      <c r="H333" t="str">
        <v>FEED</v>
      </c>
    </row>
    <row r="334" spans="1:8">
      <c r="A334" t="str">
        <v>3.N.DSHCMCG.STA.102</v>
      </c>
      <c r="B334" t="str">
        <v>102</v>
      </c>
      <c r="C334" t="str">
        <v>Quản lý BIM</v>
      </c>
      <c r="D334" t="str">
        <v>N.DSHCMCG.STA</v>
      </c>
      <c r="E334" t="str">
        <v>Nhà Ga Cần Giờ</v>
      </c>
      <c r="F334" t="str">
        <v>KT</v>
      </c>
      <c r="G334" t="str">
        <v>Tạo lập mô hình BIM</v>
      </c>
      <c r="H334" t="str">
        <v>TKBVTC</v>
      </c>
    </row>
    <row r="335" spans="1:8">
      <c r="A335" t="str">
        <v>3.N.DSHCMCG.STA.202</v>
      </c>
      <c r="B335" t="str">
        <v>202</v>
      </c>
      <c r="C335" t="str">
        <v>Quản lý BIM</v>
      </c>
      <c r="D335" t="str">
        <v>N.DSHCMCG.STA</v>
      </c>
      <c r="E335" t="str">
        <v>Nhà Ga Cần Giờ</v>
      </c>
      <c r="F335" t="str">
        <v>KC</v>
      </c>
      <c r="G335" t="str">
        <v>KSCL mô hình BIM</v>
      </c>
      <c r="H335" t="str">
        <v>TKBVTC</v>
      </c>
    </row>
    <row r="336" spans="1:8">
      <c r="A336" t="str">
        <v>3.N.DSHCMCG.STA.302</v>
      </c>
      <c r="B336" t="str">
        <v>302</v>
      </c>
      <c r="C336" t="str">
        <v>Quản lý BIM</v>
      </c>
      <c r="D336" t="str">
        <v>N.DSHCMCG.STA</v>
      </c>
      <c r="E336" t="str">
        <v>Nhà Ga Cần Giờ</v>
      </c>
      <c r="F336" t="str">
        <v>DI</v>
      </c>
      <c r="G336" t="str">
        <v>KSCL mô hình BIM</v>
      </c>
      <c r="H336" t="str">
        <v>FEED</v>
      </c>
    </row>
    <row r="337" spans="1:8">
      <c r="A337" t="str">
        <v>3.N.DSHCMCG.STA.402</v>
      </c>
      <c r="B337" t="str">
        <v>402</v>
      </c>
      <c r="C337" t="str">
        <v>Quản lý BIM</v>
      </c>
      <c r="D337" t="str">
        <v>N.DSHCMCG.STA</v>
      </c>
      <c r="E337" t="str">
        <v>Nhà Ga Cần Giờ</v>
      </c>
      <c r="F337" t="str">
        <v>DN</v>
      </c>
      <c r="G337" t="str">
        <v>KSCL mô hình BIM</v>
      </c>
      <c r="H337" t="str">
        <v>FEED</v>
      </c>
    </row>
    <row r="338" spans="1:8">
      <c r="A338" t="str">
        <v>3.N.DSHCMCG.STA.502</v>
      </c>
      <c r="B338" t="str">
        <v>502</v>
      </c>
      <c r="C338" t="str">
        <v>Quản lý BIM</v>
      </c>
      <c r="D338" t="str">
        <v>N.DSHCMCG.STA</v>
      </c>
      <c r="E338" t="str">
        <v>Nhà Ga Cần Giờ</v>
      </c>
      <c r="F338" t="str">
        <v>NU</v>
      </c>
      <c r="G338" t="str">
        <v>KSCL mô hình BIM</v>
      </c>
      <c r="H338" t="str">
        <v>FEED</v>
      </c>
    </row>
    <row r="339" spans="1:8">
      <c r="A339" t="str">
        <v>3.N.DSHCMCG.STA.602</v>
      </c>
      <c r="B339" t="str">
        <v>602</v>
      </c>
      <c r="C339" t="str">
        <v>Quản lý BIM</v>
      </c>
      <c r="D339" t="str">
        <v>N.DSHCMCG.STA</v>
      </c>
      <c r="E339" t="str">
        <v>Nhà Ga Cần Giờ</v>
      </c>
      <c r="F339" t="str">
        <v>DH</v>
      </c>
      <c r="G339" t="str">
        <v>KSCL mô hình BIM</v>
      </c>
      <c r="H339" t="str">
        <v>FEED</v>
      </c>
    </row>
    <row r="340" spans="1:8">
      <c r="A340" t="str">
        <v>3.N.DSHCMCG.STA.702</v>
      </c>
      <c r="B340" t="str">
        <v>702</v>
      </c>
      <c r="C340" t="str">
        <v>Quản lý BIM</v>
      </c>
      <c r="D340" t="str">
        <v>N.DSHCMCG.STA</v>
      </c>
      <c r="E340" t="str">
        <v>Nhà Ga Cần Giờ</v>
      </c>
      <c r="F340" t="str">
        <v>PC</v>
      </c>
      <c r="G340" t="str">
        <v>KSCL mô hình BIM</v>
      </c>
      <c r="H340" t="str">
        <v>FEED</v>
      </c>
    </row>
    <row r="341" spans="1:8">
      <c r="A341" t="str">
        <v>3.N.DSHCMCG.SUP.101</v>
      </c>
      <c r="B341" t="str">
        <v>101</v>
      </c>
      <c r="C341" t="str">
        <v>Quản lý BIM</v>
      </c>
      <c r="D341" t="str">
        <v>N.DSHCMCG.SUP</v>
      </c>
      <c r="E341" t="str">
        <v>Bãi đúc dầm 01</v>
      </c>
      <c r="F341" t="str">
        <v>KT</v>
      </c>
      <c r="G341" t="str">
        <v>Tạo lập mô hình BIM</v>
      </c>
      <c r="H341" t="str">
        <v>TKBVTC</v>
      </c>
    </row>
    <row r="342" spans="1:8">
      <c r="A342" t="str">
        <v>3.N.DSHCMCG.SUP.102</v>
      </c>
      <c r="B342" t="str">
        <v>102</v>
      </c>
      <c r="C342" t="str">
        <v>Quản lý BIM</v>
      </c>
      <c r="D342" t="str">
        <v>N.DSHCMCG.SUP</v>
      </c>
      <c r="E342" t="str">
        <v>Bãi đúc dầm 02</v>
      </c>
      <c r="F342" t="str">
        <v>KT</v>
      </c>
      <c r="G342" t="str">
        <v>Tạo lập mô hình BIM</v>
      </c>
      <c r="H342" t="str">
        <v>TKBVTC</v>
      </c>
    </row>
    <row r="343" spans="1:8">
      <c r="A343" t="str">
        <v>3.N.DSHCMCG.SUP.201</v>
      </c>
      <c r="B343" t="str">
        <v>201</v>
      </c>
      <c r="C343" t="str">
        <v>Quản lý BIM</v>
      </c>
      <c r="D343" t="str">
        <v>N.DSHCMCG.SUP</v>
      </c>
      <c r="E343" t="str">
        <v>Bãi đúc dầm 01</v>
      </c>
      <c r="F343" t="str">
        <v>KC</v>
      </c>
      <c r="G343" t="str">
        <v>Tạo lập mô hình BIM</v>
      </c>
      <c r="H343" t="str">
        <v>TKBVTC</v>
      </c>
    </row>
    <row r="344" spans="1:8">
      <c r="A344" t="str">
        <v>3.N.DSHCMCG.SUP.202</v>
      </c>
      <c r="B344" t="str">
        <v>202</v>
      </c>
      <c r="C344" t="str">
        <v>Quản lý BIM</v>
      </c>
      <c r="D344" t="str">
        <v>N.DSHCMCG.SUP</v>
      </c>
      <c r="E344" t="str">
        <v>Bãi đúc dầm 02</v>
      </c>
      <c r="F344" t="str">
        <v>KC</v>
      </c>
      <c r="G344" t="str">
        <v>Tạo lập mô hình BIM</v>
      </c>
      <c r="H344" t="str">
        <v>TKBVTC</v>
      </c>
    </row>
    <row r="345" spans="1:8">
      <c r="A345" t="str">
        <v>3.N.DSHCMCG.SUP.301</v>
      </c>
      <c r="B345" t="str">
        <v>301</v>
      </c>
      <c r="C345" t="str">
        <v>Quản lý BIM</v>
      </c>
      <c r="D345" t="str">
        <v>N.DSHCMCG.SUP</v>
      </c>
      <c r="E345" t="str">
        <v>Bãi đúc dầm 01</v>
      </c>
      <c r="F345" t="str">
        <v>DI</v>
      </c>
      <c r="G345" t="str">
        <v>Tạo lập mô hình BIM</v>
      </c>
      <c r="H345" t="str">
        <v>TKBVTC</v>
      </c>
    </row>
    <row r="346" spans="1:8">
      <c r="A346" t="str">
        <v>3.N.DSHCMCG.SUP.401</v>
      </c>
      <c r="B346" t="str">
        <v>401</v>
      </c>
      <c r="C346" t="str">
        <v>Quản lý BIM</v>
      </c>
      <c r="D346" t="str">
        <v>N.DSHCMCG.SUP</v>
      </c>
      <c r="E346" t="str">
        <v>Bãi đúc dầm 01</v>
      </c>
      <c r="F346" t="str">
        <v>DN</v>
      </c>
      <c r="G346" t="str">
        <v>Tạo lập mô hình BIM</v>
      </c>
      <c r="H346" t="str">
        <v>TKBVTC</v>
      </c>
    </row>
    <row r="347" spans="1:8">
      <c r="A347" t="str">
        <v>3.N.DSHCMCG.SUP.501</v>
      </c>
      <c r="B347" t="str">
        <v>501</v>
      </c>
      <c r="C347" t="str">
        <v>Quản lý BIM</v>
      </c>
      <c r="D347" t="str">
        <v>N.DSHCMCG.SUP</v>
      </c>
      <c r="E347" t="str">
        <v>Bãi đúc dầm 01</v>
      </c>
      <c r="F347" t="str">
        <v>NU</v>
      </c>
      <c r="G347" t="str">
        <v>Tạo lập mô hình BIM</v>
      </c>
      <c r="H347" t="str">
        <v>TKBVTC</v>
      </c>
    </row>
    <row r="348" spans="1:8">
      <c r="A348" t="str">
        <v>3.N.DSHCMCG.SUP.601</v>
      </c>
      <c r="B348" t="str">
        <v>601</v>
      </c>
      <c r="C348" t="str">
        <v>Quản lý BIM</v>
      </c>
      <c r="D348" t="str">
        <v>N.DSHCMCG.SUP</v>
      </c>
      <c r="E348" t="str">
        <v>Bãi đúc dầm 01</v>
      </c>
      <c r="F348" t="str">
        <v>DH</v>
      </c>
      <c r="G348" t="str">
        <v>Tạo lập mô hình BIM</v>
      </c>
      <c r="H348" t="str">
        <v>TKBVTC</v>
      </c>
    </row>
    <row r="349" spans="1:8">
      <c r="A349" t="str">
        <v>3.N.DSHCMCG.SUP.701</v>
      </c>
      <c r="B349" t="str">
        <v>701</v>
      </c>
      <c r="C349" t="str">
        <v>Quản lý BIM</v>
      </c>
      <c r="D349" t="str">
        <v>N.DSHCMCG.SUP</v>
      </c>
      <c r="E349" t="str">
        <v>Bãi đúc dầm 01</v>
      </c>
      <c r="F349" t="str">
        <v>PC</v>
      </c>
      <c r="G349" t="str">
        <v>Tạo lập mô hình BIM</v>
      </c>
      <c r="H349" t="str">
        <v>TKBVTC</v>
      </c>
    </row>
    <row r="350" spans="1:8">
      <c r="A350" t="str">
        <v>3.N.DSHCMCG.SUP.302</v>
      </c>
      <c r="B350" t="str">
        <v>302</v>
      </c>
      <c r="C350" t="str">
        <v>Quản lý BIM</v>
      </c>
      <c r="D350" t="str">
        <v>N.DSHCMCG.SUP</v>
      </c>
      <c r="E350" t="str">
        <v>Bãi đúc dầm 02</v>
      </c>
      <c r="F350" t="str">
        <v>DI</v>
      </c>
      <c r="G350" t="str">
        <v>Tạo lập mô hình BIM</v>
      </c>
      <c r="H350" t="str">
        <v>TKBVTC</v>
      </c>
    </row>
    <row r="351" spans="1:8">
      <c r="A351" t="str">
        <v>3.N.DSHCMCG.SUP.402</v>
      </c>
      <c r="B351" t="str">
        <v>402</v>
      </c>
      <c r="C351" t="str">
        <v>Quản lý BIM</v>
      </c>
      <c r="D351" t="str">
        <v>N.DSHCMCG.SUP</v>
      </c>
      <c r="E351" t="str">
        <v>Bãi đúc dầm 02</v>
      </c>
      <c r="F351" t="str">
        <v>DN</v>
      </c>
      <c r="G351" t="str">
        <v>Tạo lập mô hình BIM</v>
      </c>
      <c r="H351" t="str">
        <v>TKBVTC</v>
      </c>
    </row>
    <row r="352" spans="1:8">
      <c r="A352" t="str">
        <v>3.N.DSHCMCG.SUP.502</v>
      </c>
      <c r="B352" t="str">
        <v>502</v>
      </c>
      <c r="C352" t="str">
        <v>Quản lý BIM</v>
      </c>
      <c r="D352" t="str">
        <v>N.DSHCMCG.SUP</v>
      </c>
      <c r="E352" t="str">
        <v>Bãi đúc dầm 02</v>
      </c>
      <c r="F352" t="str">
        <v>NU</v>
      </c>
      <c r="G352" t="str">
        <v>Tạo lập mô hình BIM</v>
      </c>
      <c r="H352" t="str">
        <v>TKBVTC</v>
      </c>
    </row>
    <row r="353" spans="1:8">
      <c r="A353" t="str">
        <v>3.N.DSHCMCG.SUP.602</v>
      </c>
      <c r="B353" t="str">
        <v>602</v>
      </c>
      <c r="C353" t="str">
        <v>Quản lý BIM</v>
      </c>
      <c r="D353" t="str">
        <v>N.DSHCMCG.SUP</v>
      </c>
      <c r="E353" t="str">
        <v>Bãi đúc dầm 02</v>
      </c>
      <c r="F353" t="str">
        <v>DH</v>
      </c>
      <c r="G353" t="str">
        <v>Tạo lập mô hình BIM</v>
      </c>
      <c r="H353" t="str">
        <v>TKBVTC</v>
      </c>
    </row>
    <row r="354" spans="1:8">
      <c r="A354" t="str">
        <v>3.N.DSHCMCG.SUP.702</v>
      </c>
      <c r="B354" t="str">
        <v>702</v>
      </c>
      <c r="C354" t="str">
        <v>Quản lý BIM</v>
      </c>
      <c r="D354" t="str">
        <v>N.DSHCMCG.SUP</v>
      </c>
      <c r="E354" t="str">
        <v>Bãi đúc dầm 02</v>
      </c>
      <c r="F354" t="str">
        <v>PC</v>
      </c>
      <c r="G354" t="str">
        <v>Tạo lập mô hình BIM</v>
      </c>
      <c r="H354" t="str">
        <v>TKBVTC</v>
      </c>
    </row>
    <row r="355" spans="1:8">
      <c r="A355" t="str">
        <v>3.N.HCM.CGIO.KS.101</v>
      </c>
      <c r="B355" t="str">
        <v>101</v>
      </c>
      <c r="C355" t="str">
        <v>Quản lý BIM</v>
      </c>
      <c r="D355" t="str">
        <v>N.HCM.CGIO.KS</v>
      </c>
      <c r="E355" t="str">
        <v>Khách sạn Grand Hyatt - A3.24.04</v>
      </c>
      <c r="F355" t="str">
        <v>KT</v>
      </c>
      <c r="G355" t="str">
        <v>Tạo lập mô hình BIM</v>
      </c>
      <c r="H355" t="str">
        <v>TKBVTC</v>
      </c>
    </row>
    <row r="356" spans="1:8">
      <c r="A356" t="str">
        <v>3.N.HCM.CGIO.KS.201</v>
      </c>
      <c r="B356" t="str">
        <v>201</v>
      </c>
      <c r="C356" t="str">
        <v>Quản lý BIM</v>
      </c>
      <c r="D356" t="str">
        <v>N.HCM.CGIO.KS</v>
      </c>
      <c r="E356" t="str">
        <v>Khách sạn Grand Hyatt - A3.24.04</v>
      </c>
      <c r="F356" t="str">
        <v>KC</v>
      </c>
      <c r="G356" t="str">
        <v>Tạo lập mô hình BIM</v>
      </c>
      <c r="H356" t="str">
        <v>TKBVTC</v>
      </c>
    </row>
    <row r="357" spans="1:8">
      <c r="A357" t="str">
        <v>3.N.HCM.CGIO.KS.301</v>
      </c>
      <c r="B357" t="str">
        <v>301</v>
      </c>
      <c r="C357" t="str">
        <v>Quản lý BIM</v>
      </c>
      <c r="D357" t="str">
        <v>N.HCM.CGIO.KS</v>
      </c>
      <c r="E357" t="str">
        <v>Khách sạn Grand Hyatt - A3.24.04</v>
      </c>
      <c r="F357" t="str">
        <v>DI</v>
      </c>
      <c r="G357" t="str">
        <v>KSCL mô hình BIM</v>
      </c>
      <c r="H357" t="str">
        <v>TKBVTC</v>
      </c>
    </row>
    <row r="358" spans="1:8">
      <c r="A358" t="str">
        <v>3.N.HCM.CGIO.KS.401</v>
      </c>
      <c r="B358" t="str">
        <v>401</v>
      </c>
      <c r="C358" t="str">
        <v>Quản lý BIM</v>
      </c>
      <c r="D358" t="str">
        <v>N.HCM.CGIO.KS</v>
      </c>
      <c r="E358" t="str">
        <v>Khách sạn Grand Hyatt - A3.24.04</v>
      </c>
      <c r="F358" t="str">
        <v>DN</v>
      </c>
      <c r="G358" t="str">
        <v>KSCL mô hình BIM</v>
      </c>
      <c r="H358" t="str">
        <v>TKBVTC</v>
      </c>
    </row>
    <row r="359" spans="1:8">
      <c r="A359" t="str">
        <v>3.N.HCM.CGIO.KS.501</v>
      </c>
      <c r="B359" t="str">
        <v>501</v>
      </c>
      <c r="C359" t="str">
        <v>Quản lý BIM</v>
      </c>
      <c r="D359" t="str">
        <v>N.HCM.CGIO.KS</v>
      </c>
      <c r="E359" t="str">
        <v>Khách sạn Grand Hyatt - A3.24.04</v>
      </c>
      <c r="F359" t="str">
        <v>NU</v>
      </c>
      <c r="G359" t="str">
        <v>KSCL mô hình BIM</v>
      </c>
      <c r="H359" t="str">
        <v>TKBVTC</v>
      </c>
    </row>
    <row r="360" spans="1:8">
      <c r="A360" t="str">
        <v>3.N.HCM.CGIO.KS.601</v>
      </c>
      <c r="B360" t="str">
        <v>601</v>
      </c>
      <c r="C360" t="str">
        <v>Quản lý BIM</v>
      </c>
      <c r="D360" t="str">
        <v>N.HCM.CGIO.KS</v>
      </c>
      <c r="E360" t="str">
        <v>Khách sạn Grand Hyatt - A3.24.04</v>
      </c>
      <c r="F360" t="str">
        <v>DH</v>
      </c>
      <c r="G360" t="str">
        <v>KSCL mô hình BIM</v>
      </c>
      <c r="H360" t="str">
        <v>TKBVTC</v>
      </c>
    </row>
    <row r="361" spans="1:8">
      <c r="A361" t="str">
        <v>3.N.HCM.CGIO.KS.701</v>
      </c>
      <c r="B361" t="str">
        <v>701</v>
      </c>
      <c r="C361" t="str">
        <v>Quản lý BIM</v>
      </c>
      <c r="D361" t="str">
        <v>N.HCM.CGIO.KS</v>
      </c>
      <c r="E361" t="str">
        <v>Khách sạn Grand Hyatt - A3.24.04</v>
      </c>
      <c r="F361" t="str">
        <v>PC</v>
      </c>
      <c r="G361" t="str">
        <v>KSCL mô hình BIM</v>
      </c>
      <c r="H361" t="str">
        <v>TKBVTC</v>
      </c>
    </row>
    <row r="362" spans="1:8">
      <c r="A362" t="str">
        <v>3.N.HCM.CGIO.KS.102</v>
      </c>
      <c r="B362" t="str">
        <v>102</v>
      </c>
      <c r="C362" t="str">
        <v>Quản lý BIM</v>
      </c>
      <c r="D362" t="str">
        <v>N.HCM.CGIO.KS</v>
      </c>
      <c r="E362" t="str">
        <v>Khách sạn M Gallery - B5.02.04</v>
      </c>
      <c r="F362" t="str">
        <v>KT</v>
      </c>
      <c r="G362" t="str">
        <v>Tạo lập mô hình BIM</v>
      </c>
      <c r="H362" t="str">
        <v>TKBVTC</v>
      </c>
    </row>
    <row r="363" spans="1:8">
      <c r="A363" t="str">
        <v>3.N.HCM.CGIO.KS.202</v>
      </c>
      <c r="B363" t="str">
        <v>202</v>
      </c>
      <c r="C363" t="str">
        <v>Quản lý BIM</v>
      </c>
      <c r="D363" t="str">
        <v>N.HCM.CGIO.KS</v>
      </c>
      <c r="E363" t="str">
        <v>Khách sạn M Gallery - B5.02.04</v>
      </c>
      <c r="F363" t="str">
        <v>KC</v>
      </c>
      <c r="G363" t="str">
        <v>Tạo lập mô hình BIM</v>
      </c>
      <c r="H363" t="str">
        <v>TKBVTC</v>
      </c>
    </row>
    <row r="364" spans="1:8">
      <c r="A364" t="str">
        <v>3.N.HCM.CGIO.KS.302</v>
      </c>
      <c r="B364" t="str">
        <v>302</v>
      </c>
      <c r="C364" t="str">
        <v>Quản lý BIM</v>
      </c>
      <c r="D364" t="str">
        <v>N.HCM.CGIO.KS</v>
      </c>
      <c r="E364" t="str">
        <v>Khách sạn M Gallery - B5.02.04</v>
      </c>
      <c r="F364" t="str">
        <v>DI</v>
      </c>
      <c r="G364" t="str">
        <v>KSCL mô hình BIM</v>
      </c>
      <c r="H364" t="str">
        <v>TKBVTC</v>
      </c>
    </row>
    <row r="365" spans="1:8">
      <c r="A365" t="str">
        <v>3.N.HCM.CGIO.KS.402</v>
      </c>
      <c r="B365" t="str">
        <v>402</v>
      </c>
      <c r="C365" t="str">
        <v>Quản lý BIM</v>
      </c>
      <c r="D365" t="str">
        <v>N.HCM.CGIO.KS</v>
      </c>
      <c r="E365" t="str">
        <v>Khách sạn M Gallery - B5.02.04</v>
      </c>
      <c r="F365" t="str">
        <v>DN</v>
      </c>
      <c r="G365" t="str">
        <v>KSCL mô hình BIM</v>
      </c>
      <c r="H365" t="str">
        <v>TKBVTC</v>
      </c>
    </row>
    <row r="366" spans="1:8">
      <c r="A366" t="str">
        <v>3.N.HCM.CGIO.KS.502</v>
      </c>
      <c r="B366" t="str">
        <v>502</v>
      </c>
      <c r="C366" t="str">
        <v>Quản lý BIM</v>
      </c>
      <c r="D366" t="str">
        <v>N.HCM.CGIO.KS</v>
      </c>
      <c r="E366" t="str">
        <v>Khách sạn M Gallery - B5.02.04</v>
      </c>
      <c r="F366" t="str">
        <v>NU</v>
      </c>
      <c r="G366" t="str">
        <v>KSCL mô hình BIM</v>
      </c>
      <c r="H366" t="str">
        <v>TKBVTC</v>
      </c>
    </row>
    <row r="367" spans="1:8">
      <c r="A367" t="str">
        <v>3.N.HCM.CGIO.KS.602</v>
      </c>
      <c r="B367" t="str">
        <v>602</v>
      </c>
      <c r="C367" t="str">
        <v>Quản lý BIM</v>
      </c>
      <c r="D367" t="str">
        <v>N.HCM.CGIO.KS</v>
      </c>
      <c r="E367" t="str">
        <v>Khách sạn M Gallery - B5.02.04</v>
      </c>
      <c r="F367" t="str">
        <v>DH</v>
      </c>
      <c r="G367" t="str">
        <v>KSCL mô hình BIM</v>
      </c>
      <c r="H367" t="str">
        <v>TKBVTC</v>
      </c>
    </row>
    <row r="368" spans="1:8">
      <c r="A368" t="str">
        <v>3.N.HCM.CGIO.KS.702</v>
      </c>
      <c r="B368" t="str">
        <v>702</v>
      </c>
      <c r="C368" t="str">
        <v>Quản lý BIM</v>
      </c>
      <c r="D368" t="str">
        <v>N.HCM.CGIO.KS</v>
      </c>
      <c r="E368" t="str">
        <v>Khách sạn M Gallery - B5.02.04</v>
      </c>
      <c r="F368" t="str">
        <v>PC</v>
      </c>
      <c r="G368" t="str">
        <v>KSCL mô hình BIM</v>
      </c>
      <c r="H368" t="str">
        <v>TKBVTC</v>
      </c>
    </row>
    <row r="369" spans="1:8">
      <c r="A369" t="str">
        <v>3.N.HCM.CGIO.KS.103</v>
      </c>
      <c r="B369" t="str">
        <v>103</v>
      </c>
      <c r="C369" t="str">
        <v>Quản lý BIM</v>
      </c>
      <c r="D369" t="str">
        <v>N.HCM.CGIO.KS</v>
      </c>
      <c r="E369" t="str">
        <v xml:space="preserve">Khách sạn Ritz Carlton - B5-06-10,11 </v>
      </c>
      <c r="F369" t="str">
        <v>KT</v>
      </c>
      <c r="G369" t="str">
        <v>Tạo lập mô hình BIM</v>
      </c>
      <c r="H369" t="str">
        <v>TKBVTC</v>
      </c>
    </row>
    <row r="370" spans="1:8">
      <c r="A370" t="str">
        <v>3.N.HCM.CGIO.KS.203</v>
      </c>
      <c r="B370" t="str">
        <v>203</v>
      </c>
      <c r="C370" t="str">
        <v>Quản lý BIM</v>
      </c>
      <c r="D370" t="str">
        <v>N.HCM.CGIO.KS</v>
      </c>
      <c r="E370" t="str">
        <v xml:space="preserve">Khách sạn Ritz Carlton - B5-06-10,11 </v>
      </c>
      <c r="F370" t="str">
        <v>KC</v>
      </c>
      <c r="G370" t="str">
        <v>Tạo lập mô hình BIM</v>
      </c>
      <c r="H370" t="str">
        <v>TKBVTC</v>
      </c>
    </row>
    <row r="371" spans="1:8">
      <c r="A371" t="str">
        <v>3.N.HCM.CGIO.KS.303</v>
      </c>
      <c r="B371" t="str">
        <v>303</v>
      </c>
      <c r="C371" t="str">
        <v>Quản lý BIM</v>
      </c>
      <c r="D371" t="str">
        <v>N.HCM.CGIO.KS</v>
      </c>
      <c r="E371" t="str">
        <v xml:space="preserve">Khách sạn Ritz Carlton - B5-06-10,11 </v>
      </c>
      <c r="F371" t="str">
        <v>DI</v>
      </c>
      <c r="G371" t="str">
        <v>KSCL mô hình BIM</v>
      </c>
      <c r="H371" t="str">
        <v>TKBVTC</v>
      </c>
    </row>
    <row r="372" spans="1:8">
      <c r="A372" t="str">
        <v>3.N.HCM.CGIO.KS.403</v>
      </c>
      <c r="B372" t="str">
        <v>403</v>
      </c>
      <c r="C372" t="str">
        <v>Quản lý BIM</v>
      </c>
      <c r="D372" t="str">
        <v>N.HCM.CGIO.KS</v>
      </c>
      <c r="E372" t="str">
        <v xml:space="preserve">Khách sạn Ritz Carlton - B5-06-10,11 </v>
      </c>
      <c r="F372" t="str">
        <v>DN</v>
      </c>
      <c r="G372" t="str">
        <v>KSCL mô hình BIM</v>
      </c>
      <c r="H372" t="str">
        <v>TKBVTC</v>
      </c>
    </row>
    <row r="373" spans="1:8">
      <c r="A373" t="str">
        <v>3.N.HCM.CGIO.KS.503</v>
      </c>
      <c r="B373" t="str">
        <v>503</v>
      </c>
      <c r="C373" t="str">
        <v>Quản lý BIM</v>
      </c>
      <c r="D373" t="str">
        <v>N.HCM.CGIO.KS</v>
      </c>
      <c r="E373" t="str">
        <v xml:space="preserve">Khách sạn Ritz Carlton - B5-06-10,11 </v>
      </c>
      <c r="F373" t="str">
        <v>NU</v>
      </c>
      <c r="G373" t="str">
        <v>KSCL mô hình BIM</v>
      </c>
      <c r="H373" t="str">
        <v>TKBVTC</v>
      </c>
    </row>
    <row r="374" spans="1:8">
      <c r="A374" t="str">
        <v>3.N.HCM.CGIO.KS.603</v>
      </c>
      <c r="B374" t="str">
        <v>603</v>
      </c>
      <c r="C374" t="str">
        <v>Quản lý BIM</v>
      </c>
      <c r="D374" t="str">
        <v>N.HCM.CGIO.KS</v>
      </c>
      <c r="E374" t="str">
        <v xml:space="preserve">Khách sạn Ritz Carlton - B5-06-10,11 </v>
      </c>
      <c r="F374" t="str">
        <v>DH</v>
      </c>
      <c r="G374" t="str">
        <v>KSCL mô hình BIM</v>
      </c>
      <c r="H374" t="str">
        <v>TKBVTC</v>
      </c>
    </row>
    <row r="375" spans="1:8">
      <c r="A375" t="str">
        <v>3.N.HCM.CGIO.KS.703</v>
      </c>
      <c r="B375" t="str">
        <v>703</v>
      </c>
      <c r="C375" t="str">
        <v>Quản lý BIM</v>
      </c>
      <c r="D375" t="str">
        <v>N.HCM.CGIO.KS</v>
      </c>
      <c r="E375" t="str">
        <v xml:space="preserve">Khách sạn Ritz Carlton - B5-06-10,11 </v>
      </c>
      <c r="F375" t="str">
        <v>PC</v>
      </c>
      <c r="G375" t="str">
        <v>KSCL mô hình BIM</v>
      </c>
      <c r="H375" t="str">
        <v>TKBVTC</v>
      </c>
    </row>
    <row r="376" spans="1:8">
      <c r="A376" t="str">
        <v>3.N.HCM.CGIO.KS.104</v>
      </c>
      <c r="B376" t="str">
        <v>104</v>
      </c>
      <c r="C376" t="str">
        <v>Quản lý BIM</v>
      </c>
      <c r="D376" t="str">
        <v>N.HCM.CGIO.KS</v>
      </c>
      <c r="E376" t="str">
        <v>Khách sạn Vinpearl A5.02.13</v>
      </c>
      <c r="F376" t="str">
        <v>KT</v>
      </c>
      <c r="G376" t="str">
        <v>KSCL mô hình BIM</v>
      </c>
      <c r="H376" t="str">
        <v>TKBVTC</v>
      </c>
    </row>
    <row r="377" spans="1:8">
      <c r="A377" t="str">
        <v>3.N.HCM.CGIO.KS.204</v>
      </c>
      <c r="B377" t="str">
        <v>204</v>
      </c>
      <c r="C377" t="str">
        <v>Quản lý BIM</v>
      </c>
      <c r="D377" t="str">
        <v>N.HCM.CGIO.KS</v>
      </c>
      <c r="E377" t="str">
        <v>Khách sạn Vinpearl A5.02.13</v>
      </c>
      <c r="F377" t="str">
        <v>KC</v>
      </c>
      <c r="G377" t="str">
        <v>KSCL mô hình BIM</v>
      </c>
      <c r="H377" t="str">
        <v>TKBVTC</v>
      </c>
    </row>
    <row r="378" spans="1:8">
      <c r="A378" t="str">
        <v>3.N.HCM.CGIO.KS.304</v>
      </c>
      <c r="B378" t="str">
        <v>304</v>
      </c>
      <c r="C378" t="str">
        <v>Quản lý BIM</v>
      </c>
      <c r="D378" t="str">
        <v>N.HCM.CGIO.KS</v>
      </c>
      <c r="E378" t="str">
        <v>Khách sạn Vinpearl A5.02.13</v>
      </c>
      <c r="F378" t="str">
        <v>DI</v>
      </c>
      <c r="G378" t="str">
        <v>KSCL mô hình BIM</v>
      </c>
      <c r="H378" t="str">
        <v>TKBVTC</v>
      </c>
    </row>
    <row r="379" spans="1:8">
      <c r="A379" t="str">
        <v>3.N.HCM.CGIO.KS.404</v>
      </c>
      <c r="B379" t="str">
        <v>404</v>
      </c>
      <c r="C379" t="str">
        <v>Quản lý BIM</v>
      </c>
      <c r="D379" t="str">
        <v>N.HCM.CGIO.KS</v>
      </c>
      <c r="E379" t="str">
        <v>Khách sạn Vinpearl A5.02.13</v>
      </c>
      <c r="F379" t="str">
        <v>DN</v>
      </c>
      <c r="G379" t="str">
        <v>KSCL mô hình BIM</v>
      </c>
      <c r="H379" t="str">
        <v>TKBVTC</v>
      </c>
    </row>
    <row r="380" spans="1:8">
      <c r="A380" t="str">
        <v>3.N.HCM.CGIO.KS.504</v>
      </c>
      <c r="B380" t="str">
        <v>504</v>
      </c>
      <c r="C380" t="str">
        <v>Quản lý BIM</v>
      </c>
      <c r="D380" t="str">
        <v>N.HCM.CGIO.KS</v>
      </c>
      <c r="E380" t="str">
        <v>Khách sạn Vinpearl A5.02.13</v>
      </c>
      <c r="F380" t="str">
        <v>NU</v>
      </c>
      <c r="G380" t="str">
        <v>KSCL mô hình BIM</v>
      </c>
      <c r="H380" t="str">
        <v>TKBVTC</v>
      </c>
    </row>
    <row r="381" spans="1:8">
      <c r="A381" t="str">
        <v>3.N.HCM.CGIO.KS.604</v>
      </c>
      <c r="B381" t="str">
        <v>604</v>
      </c>
      <c r="C381" t="str">
        <v>Quản lý BIM</v>
      </c>
      <c r="D381" t="str">
        <v>N.HCM.CGIO.KS</v>
      </c>
      <c r="E381" t="str">
        <v>Khách sạn Vinpearl A5.02.13</v>
      </c>
      <c r="F381" t="str">
        <v>DH</v>
      </c>
      <c r="G381" t="str">
        <v>KSCL mô hình BIM</v>
      </c>
      <c r="H381" t="str">
        <v>TKBVTC</v>
      </c>
    </row>
    <row r="382" spans="1:8">
      <c r="A382" t="str">
        <v>3.N.HCM.CGIO.KS.704</v>
      </c>
      <c r="B382" t="str">
        <v>704</v>
      </c>
      <c r="C382" t="str">
        <v>Quản lý BIM</v>
      </c>
      <c r="D382" t="str">
        <v>N.HCM.CGIO.KS</v>
      </c>
      <c r="E382" t="str">
        <v>Khách sạn Vinpearl A5.02.13</v>
      </c>
      <c r="F382" t="str">
        <v>PC</v>
      </c>
      <c r="G382" t="str">
        <v>KSCL mô hình BIM</v>
      </c>
      <c r="H382" t="str">
        <v>TKBVTC</v>
      </c>
    </row>
    <row r="383" spans="1:8">
      <c r="A383" t="str">
        <v>3.N.HCM.CGIO.KS.605</v>
      </c>
      <c r="B383" t="str">
        <v>605</v>
      </c>
      <c r="C383" t="str">
        <v>Quản lý BIM</v>
      </c>
      <c r="D383" t="str">
        <v>N.HCM.CGIO.KS</v>
      </c>
      <c r="E383" t="str">
        <v>Khách sạn Vinpearl A5.02.13</v>
      </c>
      <c r="F383" t="str">
        <v>DH</v>
      </c>
      <c r="G383" t="str">
        <v>Cập nhật thông tin mô hình BIM</v>
      </c>
      <c r="H383" t="str">
        <v>TKBVTC</v>
      </c>
    </row>
    <row r="384" spans="1:8">
      <c r="A384" t="str">
        <v>3.N.HCM.CGIO.KS.606</v>
      </c>
      <c r="B384" t="str">
        <v>606</v>
      </c>
      <c r="C384" t="str">
        <v>Quản lý BIM</v>
      </c>
      <c r="D384" t="str">
        <v>N.HCM.CGIO.KS</v>
      </c>
      <c r="E384" t="str">
        <v>Khách sạn Vinpearl A5.02.13</v>
      </c>
      <c r="F384" t="str">
        <v>DH</v>
      </c>
      <c r="G384" t="str">
        <v>Xuất khối lượng từ mô hình BIM</v>
      </c>
      <c r="H384" t="str">
        <v>TKBVTC</v>
      </c>
    </row>
    <row r="385" spans="1:8">
      <c r="A385" t="str">
        <v>3.N.HCM.CGIO.KS.305</v>
      </c>
      <c r="B385" t="str">
        <v>305</v>
      </c>
      <c r="C385" t="str">
        <v>Quản lý BIM</v>
      </c>
      <c r="D385" t="str">
        <v>N.HCM.CGIO.KS</v>
      </c>
      <c r="E385" t="str">
        <v>Khách sạn Vinpearl A5.02.13</v>
      </c>
      <c r="F385" t="str">
        <v>DI</v>
      </c>
      <c r="G385" t="str">
        <v>Cập nhật thông tin mô hình BIM</v>
      </c>
      <c r="H385" t="str">
        <v>TKBVTC</v>
      </c>
    </row>
    <row r="386" spans="1:8">
      <c r="A386" t="str">
        <v>3.N.HCM.CGIO.KS.306</v>
      </c>
      <c r="B386" t="str">
        <v>306</v>
      </c>
      <c r="C386" t="str">
        <v>Quản lý BIM</v>
      </c>
      <c r="D386" t="str">
        <v>N.HCM.CGIO.KS</v>
      </c>
      <c r="E386" t="str">
        <v>Khách sạn Vinpearl A5.02.13</v>
      </c>
      <c r="F386" t="str">
        <v>DI</v>
      </c>
      <c r="G386" t="str">
        <v>Xuất khối lượng từ mô hình BIM</v>
      </c>
      <c r="H386" t="str">
        <v>TKBVTC</v>
      </c>
    </row>
    <row r="387" spans="1:8">
      <c r="A387" t="str">
        <v>3.N.HCM.CGIO.KS.405</v>
      </c>
      <c r="B387" t="str">
        <v>405</v>
      </c>
      <c r="C387" t="str">
        <v>Quản lý BIM</v>
      </c>
      <c r="D387" t="str">
        <v>N.HCM.CGIO.KS</v>
      </c>
      <c r="E387" t="str">
        <v>Khách sạn Vinpearl A5.02.13</v>
      </c>
      <c r="F387" t="str">
        <v>DN</v>
      </c>
      <c r="G387" t="str">
        <v>Cập nhật thông tin mô hình BIM</v>
      </c>
      <c r="H387" t="str">
        <v>TKBVTC</v>
      </c>
    </row>
    <row r="388" spans="1:8">
      <c r="A388" t="str">
        <v>3.N.HCM.CGIO.KS.406</v>
      </c>
      <c r="B388" t="str">
        <v>406</v>
      </c>
      <c r="C388" t="str">
        <v>Quản lý BIM</v>
      </c>
      <c r="D388" t="str">
        <v>N.HCM.CGIO.KS</v>
      </c>
      <c r="E388" t="str">
        <v>Khách sạn Vinpearl A5.02.13</v>
      </c>
      <c r="F388" t="str">
        <v>DN</v>
      </c>
      <c r="G388" t="str">
        <v>Xuất khối lượng từ mô hình BIM</v>
      </c>
      <c r="H388" t="str">
        <v>TKBVTC</v>
      </c>
    </row>
    <row r="389" spans="1:8">
      <c r="A389" t="str">
        <v>3.N.HCM.CGIO.KS.505</v>
      </c>
      <c r="B389" t="str">
        <v>505</v>
      </c>
      <c r="C389" t="str">
        <v>Quản lý BIM</v>
      </c>
      <c r="D389" t="str">
        <v>N.HCM.CGIO.KS</v>
      </c>
      <c r="E389" t="str">
        <v>Khách sạn Vinpearl A5.02.13</v>
      </c>
      <c r="F389" t="str">
        <v>NU</v>
      </c>
      <c r="G389" t="str">
        <v>Cập nhật thông tin mô hình BIM</v>
      </c>
      <c r="H389" t="str">
        <v>TKBVTC</v>
      </c>
    </row>
    <row r="390" spans="1:8">
      <c r="A390" t="str">
        <v>3.N.HCM.CGIO.KS.506</v>
      </c>
      <c r="B390" t="str">
        <v>506</v>
      </c>
      <c r="C390" t="str">
        <v>Quản lý BIM</v>
      </c>
      <c r="D390" t="str">
        <v>N.HCM.CGIO.KS</v>
      </c>
      <c r="E390" t="str">
        <v>Khách sạn Vinpearl A5.02.13</v>
      </c>
      <c r="F390" t="str">
        <v>NU</v>
      </c>
      <c r="G390" t="str">
        <v>Xuất khối lượng từ mô hình BIM</v>
      </c>
      <c r="H390" t="str">
        <v>TKBVTC</v>
      </c>
    </row>
    <row r="391" spans="1:8">
      <c r="A391" t="str">
        <v>3.N.HCM.CGIO.KS.705</v>
      </c>
      <c r="B391" t="str">
        <v>705</v>
      </c>
      <c r="C391" t="str">
        <v>Quản lý BIM</v>
      </c>
      <c r="D391" t="str">
        <v>N.HCM.CGIO.KS</v>
      </c>
      <c r="E391" t="str">
        <v>Khách sạn Vinpearl A5.02.13</v>
      </c>
      <c r="F391" t="str">
        <v>PC</v>
      </c>
      <c r="G391" t="str">
        <v>Cập nhật thông tin mô hình BIM</v>
      </c>
      <c r="H391" t="str">
        <v>TKBVTC</v>
      </c>
    </row>
    <row r="392" spans="1:8">
      <c r="A392" t="str">
        <v>3.N.HCM.CGIO.KS.706</v>
      </c>
      <c r="B392" t="str">
        <v>706</v>
      </c>
      <c r="C392" t="str">
        <v>Quản lý BIM</v>
      </c>
      <c r="D392" t="str">
        <v>N.HCM.CGIO.KS</v>
      </c>
      <c r="E392" t="str">
        <v>Khách sạn Vinpearl A5.02.13</v>
      </c>
      <c r="F392" t="str">
        <v>PC</v>
      </c>
      <c r="G392" t="str">
        <v>Xuất khối lượng từ mô hình BIM</v>
      </c>
      <c r="H392" t="str">
        <v>TKBVTC</v>
      </c>
    </row>
    <row r="393" spans="1:8">
      <c r="A393" t="str">
        <v>3.N.HCM.CGIO.KSMN.101</v>
      </c>
      <c r="B393" t="str">
        <v>101</v>
      </c>
      <c r="C393" t="str">
        <v>Quản lý BIM</v>
      </c>
      <c r="D393" t="str">
        <v>N.HCM.CGIO.KSMN</v>
      </c>
      <c r="E393" t="str">
        <v>Lô A5.01.01, mẫu M1G, M7, M8G</v>
      </c>
      <c r="F393" t="str">
        <v>KT</v>
      </c>
      <c r="G393" t="str">
        <v>KSCL mô hình BIM</v>
      </c>
      <c r="H393" t="str">
        <v>TKBVTC</v>
      </c>
    </row>
    <row r="394" spans="1:8">
      <c r="A394" t="str">
        <v>3.N.HCM.CGIO.KSMN.102</v>
      </c>
      <c r="B394" t="str">
        <v>102</v>
      </c>
      <c r="C394" t="str">
        <v>Quản lý BIM</v>
      </c>
      <c r="D394" t="str">
        <v>N.HCM.CGIO.KSMN</v>
      </c>
      <c r="E394" t="str">
        <v>Lô A5.01.01, mẫu M1G, M7, M8G</v>
      </c>
      <c r="F394" t="str">
        <v>KT</v>
      </c>
      <c r="G394" t="str">
        <v>Tạo lập mô hình BIM</v>
      </c>
      <c r="H394" t="str">
        <v>TKBVTC</v>
      </c>
    </row>
    <row r="395" spans="1:8">
      <c r="A395" t="str">
        <v>3.N.HCM.CGIO.KSMN.201</v>
      </c>
      <c r="B395" t="str">
        <v>201</v>
      </c>
      <c r="C395" t="str">
        <v>Quản lý BIM</v>
      </c>
      <c r="D395" t="str">
        <v>N.HCM.CGIO.KSMN</v>
      </c>
      <c r="E395" t="str">
        <v>Lô A5.01.01, mẫu M1G, M7, M8G</v>
      </c>
      <c r="F395" t="str">
        <v>KC</v>
      </c>
      <c r="G395" t="str">
        <v>KSCL mô hình BIM</v>
      </c>
      <c r="H395" t="str">
        <v>TKBVTC</v>
      </c>
    </row>
    <row r="396" spans="1:8">
      <c r="A396" t="str">
        <v>3.N.HCM.CGIO.KSMN.301</v>
      </c>
      <c r="B396" t="str">
        <v>301</v>
      </c>
      <c r="C396" t="str">
        <v>Quản lý BIM</v>
      </c>
      <c r="D396" t="str">
        <v>N.HCM.CGIO.KSMN</v>
      </c>
      <c r="E396" t="str">
        <v>Lô A5.01.01, mẫu M1G, M7, M8G</v>
      </c>
      <c r="F396" t="str">
        <v>DI</v>
      </c>
      <c r="G396" t="str">
        <v>KSCL mô hình BIM</v>
      </c>
      <c r="H396" t="str">
        <v>TKBVTC</v>
      </c>
    </row>
    <row r="397" spans="1:8">
      <c r="A397" t="str">
        <v>3.N.HCM.CGIO.KSMN.401</v>
      </c>
      <c r="B397" t="str">
        <v>401</v>
      </c>
      <c r="C397" t="str">
        <v>Quản lý BIM</v>
      </c>
      <c r="D397" t="str">
        <v>N.HCM.CGIO.KSMN</v>
      </c>
      <c r="E397" t="str">
        <v>Lô A5.01.01, mẫu M1G, M7, M8G</v>
      </c>
      <c r="F397" t="str">
        <v>DN</v>
      </c>
      <c r="G397" t="str">
        <v>KSCL mô hình BIM</v>
      </c>
      <c r="H397" t="str">
        <v>TKBVTC</v>
      </c>
    </row>
    <row r="398" spans="1:8">
      <c r="A398" t="str">
        <v>3.N.HCM.CGIO.KSMN.501</v>
      </c>
      <c r="B398" t="str">
        <v>501</v>
      </c>
      <c r="C398" t="str">
        <v>Quản lý BIM</v>
      </c>
      <c r="D398" t="str">
        <v>N.HCM.CGIO.KSMN</v>
      </c>
      <c r="E398" t="str">
        <v>Lô A5.01.01, mẫu M1G, M7, M8G</v>
      </c>
      <c r="F398" t="str">
        <v>NU</v>
      </c>
      <c r="G398" t="str">
        <v>KSCL mô hình BIM</v>
      </c>
      <c r="H398" t="str">
        <v>TKBVTC</v>
      </c>
    </row>
    <row r="399" spans="1:8">
      <c r="A399" t="str">
        <v>3.N.HCM.CGIO.KSMN.601</v>
      </c>
      <c r="B399" t="str">
        <v>601</v>
      </c>
      <c r="C399" t="str">
        <v>Quản lý BIM</v>
      </c>
      <c r="D399" t="str">
        <v>N.HCM.CGIO.KSMN</v>
      </c>
      <c r="E399" t="str">
        <v>Lô A5.01.01, mẫu M1G, M7, M8G</v>
      </c>
      <c r="F399" t="str">
        <v>DH</v>
      </c>
      <c r="G399" t="str">
        <v>KSCL mô hình BIM</v>
      </c>
      <c r="H399" t="str">
        <v>TKBVTC</v>
      </c>
    </row>
    <row r="400" spans="1:8">
      <c r="A400" t="str">
        <v>3.N.HCM.CGIO.KSMN.701</v>
      </c>
      <c r="B400" t="str">
        <v>701</v>
      </c>
      <c r="C400" t="str">
        <v>Quản lý BIM</v>
      </c>
      <c r="D400" t="str">
        <v>N.HCM.CGIO.KSMN</v>
      </c>
      <c r="E400" t="str">
        <v>Lô A5.01.01, mẫu M1G, M7, M8G</v>
      </c>
      <c r="F400" t="str">
        <v>PC</v>
      </c>
      <c r="G400" t="str">
        <v>KSCL mô hình BIM</v>
      </c>
      <c r="H400" t="str">
        <v>TKBVTC</v>
      </c>
    </row>
    <row r="401" spans="1:8">
      <c r="A401" t="str">
        <v>3.N.HCM.CGIO.KSMN.103</v>
      </c>
      <c r="B401" t="str">
        <v>103</v>
      </c>
      <c r="C401" t="str">
        <v>Quản lý BIM</v>
      </c>
      <c r="D401" t="str">
        <v>N.HCM.CGIO.KSMN</v>
      </c>
      <c r="E401" t="str">
        <v>Lô A5.01.02, mẫu M4G, M9, M9G</v>
      </c>
      <c r="F401" t="str">
        <v>KT</v>
      </c>
      <c r="G401" t="str">
        <v>KSCL mô hình BIM</v>
      </c>
      <c r="H401" t="str">
        <v>TKBVTC</v>
      </c>
    </row>
    <row r="402" spans="1:8">
      <c r="A402" t="str">
        <v>3.N.HCM.CGIO.KSMN.104</v>
      </c>
      <c r="B402" t="str">
        <v>104</v>
      </c>
      <c r="C402" t="str">
        <v>Quản lý BIM</v>
      </c>
      <c r="D402" t="str">
        <v>N.HCM.CGIO.KSMN</v>
      </c>
      <c r="E402" t="str">
        <v>Lô A5.01.02, mẫu M4G, M9, M9G</v>
      </c>
      <c r="F402" t="str">
        <v>KT</v>
      </c>
      <c r="G402" t="str">
        <v>Tạo lập mô hình BIM</v>
      </c>
      <c r="H402" t="str">
        <v>TKBVTC</v>
      </c>
    </row>
    <row r="403" spans="1:8">
      <c r="A403" t="str">
        <v>3.N.HCM.CGIO.KSMN.202</v>
      </c>
      <c r="B403" t="str">
        <v>202</v>
      </c>
      <c r="C403" t="str">
        <v>Quản lý BIM</v>
      </c>
      <c r="D403" t="str">
        <v>N.HCM.CGIO.KSMN</v>
      </c>
      <c r="E403" t="str">
        <v>Lô A5.01.02, mẫu M4G, M9, M9G</v>
      </c>
      <c r="F403" t="str">
        <v>KC</v>
      </c>
      <c r="G403" t="str">
        <v>KSCL mô hình BIM</v>
      </c>
      <c r="H403" t="str">
        <v>TKBVTC</v>
      </c>
    </row>
    <row r="404" spans="1:8">
      <c r="A404" t="str">
        <v>3.N.HCM.CGIO.KSMN.302</v>
      </c>
      <c r="B404" t="str">
        <v>302</v>
      </c>
      <c r="C404" t="str">
        <v>Quản lý BIM</v>
      </c>
      <c r="D404" t="str">
        <v>N.HCM.CGIO.KSMN</v>
      </c>
      <c r="E404" t="str">
        <v>Lô A5.01.02, mẫu M4G, M9, M9G</v>
      </c>
      <c r="F404" t="str">
        <v>DI</v>
      </c>
      <c r="G404" t="str">
        <v>KSCL mô hình BIM</v>
      </c>
      <c r="H404" t="str">
        <v>TKBVTC</v>
      </c>
    </row>
    <row r="405" spans="1:8">
      <c r="A405" t="str">
        <v>3.N.HCM.CGIO.KSMN.402</v>
      </c>
      <c r="B405" t="str">
        <v>402</v>
      </c>
      <c r="C405" t="str">
        <v>Quản lý BIM</v>
      </c>
      <c r="D405" t="str">
        <v>N.HCM.CGIO.KSMN</v>
      </c>
      <c r="E405" t="str">
        <v>Lô A5.01.02, mẫu M4G, M9, M9G</v>
      </c>
      <c r="F405" t="str">
        <v>DN</v>
      </c>
      <c r="G405" t="str">
        <v>KSCL mô hình BIM</v>
      </c>
      <c r="H405" t="str">
        <v>TKBVTC</v>
      </c>
    </row>
    <row r="406" spans="1:8">
      <c r="A406" t="str">
        <v>3.N.HCM.CGIO.KSMN.502</v>
      </c>
      <c r="B406" t="str">
        <v>502</v>
      </c>
      <c r="C406" t="str">
        <v>Quản lý BIM</v>
      </c>
      <c r="D406" t="str">
        <v>N.HCM.CGIO.KSMN</v>
      </c>
      <c r="E406" t="str">
        <v>Lô A5.01.02, mẫu M4G, M9, M9G</v>
      </c>
      <c r="F406" t="str">
        <v>NU</v>
      </c>
      <c r="G406" t="str">
        <v>KSCL mô hình BIM</v>
      </c>
      <c r="H406" t="str">
        <v>TKBVTC</v>
      </c>
    </row>
    <row r="407" spans="1:8">
      <c r="A407" t="str">
        <v>3.N.HCM.CGIO.KSMN.602</v>
      </c>
      <c r="B407" t="str">
        <v>602</v>
      </c>
      <c r="C407" t="str">
        <v>Quản lý BIM</v>
      </c>
      <c r="D407" t="str">
        <v>N.HCM.CGIO.KSMN</v>
      </c>
      <c r="E407" t="str">
        <v>Lô A5.01.02, mẫu M4G, M9, M9G</v>
      </c>
      <c r="F407" t="str">
        <v>DH</v>
      </c>
      <c r="G407" t="str">
        <v>KSCL mô hình BIM</v>
      </c>
      <c r="H407" t="str">
        <v>TKBVTC</v>
      </c>
    </row>
    <row r="408" spans="1:8">
      <c r="A408" t="str">
        <v>3.N.HCM.CGIO.KSMN.702</v>
      </c>
      <c r="B408" t="str">
        <v>702</v>
      </c>
      <c r="C408" t="str">
        <v>Quản lý BIM</v>
      </c>
      <c r="D408" t="str">
        <v>N.HCM.CGIO.KSMN</v>
      </c>
      <c r="E408" t="str">
        <v>Lô A5.01.02, mẫu M4G, M9, M9G</v>
      </c>
      <c r="F408" t="str">
        <v>PC</v>
      </c>
      <c r="G408" t="str">
        <v>KSCL mô hình BIM</v>
      </c>
      <c r="H408" t="str">
        <v>TKBVTC</v>
      </c>
    </row>
    <row r="409" spans="1:8">
      <c r="A409" t="str">
        <v>3.N.HCM.CGIO.KSMN.105</v>
      </c>
      <c r="B409" t="str">
        <v>105</v>
      </c>
      <c r="C409" t="str">
        <v>Quản lý BIM</v>
      </c>
      <c r="D409" t="str">
        <v>N.HCM.CGIO.KSMN</v>
      </c>
      <c r="E409" t="str">
        <v>Lô A5.01.04, mẫu M2, M2G, M5, M5G</v>
      </c>
      <c r="F409" t="str">
        <v>KT</v>
      </c>
      <c r="G409" t="str">
        <v>KSCL mô hình BIM</v>
      </c>
      <c r="H409" t="str">
        <v>TKBVTC</v>
      </c>
    </row>
    <row r="410" spans="1:8">
      <c r="A410" t="str">
        <v>3.N.HCM.CGIO.KSMN.106</v>
      </c>
      <c r="B410" t="str">
        <v>106</v>
      </c>
      <c r="C410" t="str">
        <v>Quản lý BIM</v>
      </c>
      <c r="D410" t="str">
        <v>N.HCM.CGIO.KSMN</v>
      </c>
      <c r="E410" t="str">
        <v>Lô A5.01.04, mẫu M2, M2G, M5, M5G</v>
      </c>
      <c r="F410" t="str">
        <v>KT</v>
      </c>
      <c r="G410" t="str">
        <v>Tạo lập mô hình BIM</v>
      </c>
      <c r="H410" t="str">
        <v>TKBVTC</v>
      </c>
    </row>
    <row r="411" spans="1:8">
      <c r="A411" t="str">
        <v>3.N.HCM.CGIO.KSMN.203</v>
      </c>
      <c r="B411" t="str">
        <v>203</v>
      </c>
      <c r="C411" t="str">
        <v>Quản lý BIM</v>
      </c>
      <c r="D411" t="str">
        <v>N.HCM.CGIO.KSMN</v>
      </c>
      <c r="E411" t="str">
        <v>Lô A5.01.04, mẫu M2, M2G, M5, M5G</v>
      </c>
      <c r="F411" t="str">
        <v>KC</v>
      </c>
      <c r="G411" t="str">
        <v>KSCL mô hình BIM</v>
      </c>
      <c r="H411" t="str">
        <v>TKBVTC</v>
      </c>
    </row>
    <row r="412" spans="1:8">
      <c r="A412" t="str">
        <v>3.N.HCM.CGIO.KSMN.303</v>
      </c>
      <c r="B412" t="str">
        <v>303</v>
      </c>
      <c r="C412" t="str">
        <v>Quản lý BIM</v>
      </c>
      <c r="D412" t="str">
        <v>N.HCM.CGIO.KSMN</v>
      </c>
      <c r="E412" t="str">
        <v>Lô A5.01.04, mẫu M2, M2G, M5, M5G</v>
      </c>
      <c r="F412" t="str">
        <v>DI</v>
      </c>
      <c r="G412" t="str">
        <v>KSCL mô hình BIM</v>
      </c>
      <c r="H412" t="str">
        <v>TKBVTC</v>
      </c>
    </row>
    <row r="413" spans="1:8">
      <c r="A413" t="str">
        <v>3.N.HCM.CGIO.KSMN.403</v>
      </c>
      <c r="B413" t="str">
        <v>403</v>
      </c>
      <c r="C413" t="str">
        <v>Quản lý BIM</v>
      </c>
      <c r="D413" t="str">
        <v>N.HCM.CGIO.KSMN</v>
      </c>
      <c r="E413" t="str">
        <v>Lô A5.01.04, mẫu M2, M2G, M5, M5G</v>
      </c>
      <c r="F413" t="str">
        <v>DN</v>
      </c>
      <c r="G413" t="str">
        <v>KSCL mô hình BIM</v>
      </c>
      <c r="H413" t="str">
        <v>TKBVTC</v>
      </c>
    </row>
    <row r="414" spans="1:8">
      <c r="A414" t="str">
        <v>3.N.HCM.CGIO.KSMN.503</v>
      </c>
      <c r="B414" t="str">
        <v>503</v>
      </c>
      <c r="C414" t="str">
        <v>Quản lý BIM</v>
      </c>
      <c r="D414" t="str">
        <v>N.HCM.CGIO.KSMN</v>
      </c>
      <c r="E414" t="str">
        <v>Lô A5.01.04, mẫu M2, M2G, M5, M5G</v>
      </c>
      <c r="F414" t="str">
        <v>NU</v>
      </c>
      <c r="G414" t="str">
        <v>KSCL mô hình BIM</v>
      </c>
      <c r="H414" t="str">
        <v>TKBVTC</v>
      </c>
    </row>
    <row r="415" spans="1:8">
      <c r="A415" t="str">
        <v>3.N.HCM.CGIO.KSMN.603</v>
      </c>
      <c r="B415" t="str">
        <v>603</v>
      </c>
      <c r="C415" t="str">
        <v>Quản lý BIM</v>
      </c>
      <c r="D415" t="str">
        <v>N.HCM.CGIO.KSMN</v>
      </c>
      <c r="E415" t="str">
        <v>Lô A5.01.04, mẫu M2, M2G, M5, M5G</v>
      </c>
      <c r="F415" t="str">
        <v>DH</v>
      </c>
      <c r="G415" t="str">
        <v>KSCL mô hình BIM</v>
      </c>
      <c r="H415" t="str">
        <v>TKBVTC</v>
      </c>
    </row>
    <row r="416" spans="1:8">
      <c r="A416" t="str">
        <v>3.N.HCM.CGIO.KSMN.703</v>
      </c>
      <c r="B416" t="str">
        <v>703</v>
      </c>
      <c r="C416" t="str">
        <v>Quản lý BIM</v>
      </c>
      <c r="D416" t="str">
        <v>N.HCM.CGIO.KSMN</v>
      </c>
      <c r="E416" t="str">
        <v>Lô A5.01.04, mẫu M2, M2G, M5, M5G</v>
      </c>
      <c r="F416" t="str">
        <v>PC</v>
      </c>
      <c r="G416" t="str">
        <v>KSCL mô hình BIM</v>
      </c>
      <c r="H416" t="str">
        <v>TKBVTC</v>
      </c>
    </row>
    <row r="417" spans="1:8">
      <c r="A417" t="str">
        <v>3.N.HCM.CGIO.NTD.101</v>
      </c>
      <c r="B417" t="str">
        <v>101</v>
      </c>
      <c r="C417" t="str">
        <v>Quản lý BIM</v>
      </c>
      <c r="D417" t="str">
        <v>N.HCM.CGIO.NTD</v>
      </c>
      <c r="E417" t="str">
        <v>Nhà thi đấu lô B5.03.2</v>
      </c>
      <c r="F417" t="str">
        <v>KT</v>
      </c>
      <c r="G417" t="str">
        <v>KSCL mô hình BIM</v>
      </c>
      <c r="H417" t="str">
        <v>TKBVTC</v>
      </c>
    </row>
    <row r="418" spans="1:8">
      <c r="A418" t="str">
        <v>3.N.HCM.CGIO.NTD.102</v>
      </c>
      <c r="B418" t="str">
        <v>102</v>
      </c>
      <c r="C418" t="str">
        <v>Quản lý BIM</v>
      </c>
      <c r="D418" t="str">
        <v>N.HCM.CGIO.NTD</v>
      </c>
      <c r="E418" t="str">
        <v>Nhà thi đấu lô B5.03.2</v>
      </c>
      <c r="F418" t="str">
        <v>KT</v>
      </c>
      <c r="G418" t="str">
        <v>Xuất khối lượng từ mô hình BIM</v>
      </c>
      <c r="H418" t="str">
        <v>TKBVTC</v>
      </c>
    </row>
    <row r="419" spans="1:8">
      <c r="A419" t="str">
        <v>3.N.HCM.CGIO.NTD.201</v>
      </c>
      <c r="B419" t="str">
        <v>201</v>
      </c>
      <c r="C419" t="str">
        <v>Quản lý BIM</v>
      </c>
      <c r="D419" t="str">
        <v>N.HCM.CGIO.NTD</v>
      </c>
      <c r="E419" t="str">
        <v>Nhà thi đấu lô B5.03.2</v>
      </c>
      <c r="F419" t="str">
        <v>KC</v>
      </c>
      <c r="G419" t="str">
        <v>KSCL mô hình BIM</v>
      </c>
      <c r="H419" t="str">
        <v>TKBVTC</v>
      </c>
    </row>
    <row r="420" spans="1:8">
      <c r="A420" t="str">
        <v>3.N.HCM.CGIO.NTD.202</v>
      </c>
      <c r="B420" t="str">
        <v>202</v>
      </c>
      <c r="C420" t="str">
        <v>Quản lý BIM</v>
      </c>
      <c r="D420" t="str">
        <v>N.HCM.CGIO.NTD</v>
      </c>
      <c r="E420" t="str">
        <v>Nhà thi đấu lô B5.03.2</v>
      </c>
      <c r="F420" t="str">
        <v>KC</v>
      </c>
      <c r="G420" t="str">
        <v>Xuất khối lượng từ mô hình BIM</v>
      </c>
      <c r="H420" t="str">
        <v>TKBVTC</v>
      </c>
    </row>
    <row r="421" spans="1:8">
      <c r="A421" t="str">
        <v>3.N.HCM.CGIO.NTD.301</v>
      </c>
      <c r="B421" t="str">
        <v>301</v>
      </c>
      <c r="C421" t="str">
        <v>Quản lý BIM</v>
      </c>
      <c r="D421" t="str">
        <v>N.HCM.CGIO.NTD</v>
      </c>
      <c r="E421" t="str">
        <v>Nhà thi đấu lô B5.03.2</v>
      </c>
      <c r="F421" t="str">
        <v>DI</v>
      </c>
      <c r="G421" t="str">
        <v>KSCL mô hình BIM</v>
      </c>
      <c r="H421" t="str">
        <v>TKBVTC</v>
      </c>
    </row>
    <row r="422" spans="1:8">
      <c r="A422" t="str">
        <v>3.N.HCM.CGIO.NTD.401</v>
      </c>
      <c r="B422" t="str">
        <v>401</v>
      </c>
      <c r="C422" t="str">
        <v>Quản lý BIM</v>
      </c>
      <c r="D422" t="str">
        <v>N.HCM.CGIO.NTD</v>
      </c>
      <c r="E422" t="str">
        <v>Nhà thi đấu lô B5.03.2</v>
      </c>
      <c r="F422" t="str">
        <v>DN</v>
      </c>
      <c r="G422" t="str">
        <v>KSCL mô hình BIM</v>
      </c>
      <c r="H422" t="str">
        <v>TKBVTC</v>
      </c>
    </row>
    <row r="423" spans="1:8">
      <c r="A423" t="str">
        <v>3.N.HCM.CGIO.NTD.501</v>
      </c>
      <c r="B423" t="str">
        <v>501</v>
      </c>
      <c r="C423" t="str">
        <v>Quản lý BIM</v>
      </c>
      <c r="D423" t="str">
        <v>N.HCM.CGIO.NTD</v>
      </c>
      <c r="E423" t="str">
        <v>Nhà thi đấu lô B5.03.2</v>
      </c>
      <c r="F423" t="str">
        <v>NU</v>
      </c>
      <c r="G423" t="str">
        <v>KSCL mô hình BIM</v>
      </c>
      <c r="H423" t="str">
        <v>TKBVTC</v>
      </c>
    </row>
    <row r="424" spans="1:8">
      <c r="A424" t="str">
        <v>3.N.HCM.CGIO.NTD.601</v>
      </c>
      <c r="B424" t="str">
        <v>601</v>
      </c>
      <c r="C424" t="str">
        <v>Quản lý BIM</v>
      </c>
      <c r="D424" t="str">
        <v>N.HCM.CGIO.NTD</v>
      </c>
      <c r="E424" t="str">
        <v>Nhà thi đấu lô B5.03.2</v>
      </c>
      <c r="F424" t="str">
        <v>DH</v>
      </c>
      <c r="G424" t="str">
        <v>KSCL mô hình BIM</v>
      </c>
      <c r="H424" t="str">
        <v>TKBVTC</v>
      </c>
    </row>
    <row r="425" spans="1:8">
      <c r="A425" t="str">
        <v>3.N.HCM.CGIO.NTD.701</v>
      </c>
      <c r="B425" t="str">
        <v>701</v>
      </c>
      <c r="C425" t="str">
        <v>Quản lý BIM</v>
      </c>
      <c r="D425" t="str">
        <v>N.HCM.CGIO.NTD</v>
      </c>
      <c r="E425" t="str">
        <v>Nhà thi đấu lô B5.03.2</v>
      </c>
      <c r="F425" t="str">
        <v>PC</v>
      </c>
      <c r="G425" t="str">
        <v>KSCL mô hình BIM</v>
      </c>
      <c r="H425" t="str">
        <v>TKBVTC</v>
      </c>
    </row>
    <row r="426" spans="1:8">
      <c r="A426" t="str">
        <v>3.N.HCM.CGIO.NH.101</v>
      </c>
      <c r="B426" t="str">
        <v>101</v>
      </c>
      <c r="C426" t="str">
        <v>Quản lý BIM</v>
      </c>
      <c r="D426" t="str">
        <v>N.HCM.CGIO.NH</v>
      </c>
      <c r="E426" t="str">
        <v>Nhà hát</v>
      </c>
      <c r="F426" t="str">
        <v>KT</v>
      </c>
      <c r="G426" t="str">
        <v>KSCL mô hình BIM</v>
      </c>
      <c r="H426" t="str">
        <v>TKBVTC</v>
      </c>
    </row>
    <row r="427" spans="1:8">
      <c r="A427" t="str">
        <v>3.N.HCM.CGIO.NH.201</v>
      </c>
      <c r="B427" t="str">
        <v>201</v>
      </c>
      <c r="C427" t="str">
        <v>Quản lý BIM</v>
      </c>
      <c r="D427" t="str">
        <v>N.HCM.CGIO.NH</v>
      </c>
      <c r="E427" t="str">
        <v>Nhà hát</v>
      </c>
      <c r="F427" t="str">
        <v>KC</v>
      </c>
      <c r="G427" t="str">
        <v>KSCL mô hình BIM</v>
      </c>
      <c r="H427" t="str">
        <v>TKBVTC</v>
      </c>
    </row>
    <row r="428" spans="1:8">
      <c r="A428" t="str">
        <v>3.N.HCM.CGIO.NH.301</v>
      </c>
      <c r="B428" t="str">
        <v>301</v>
      </c>
      <c r="C428" t="str">
        <v>Quản lý BIM</v>
      </c>
      <c r="D428" t="str">
        <v>N.HCM.CGIO.NH</v>
      </c>
      <c r="E428" t="str">
        <v>Nhà hát</v>
      </c>
      <c r="F428" t="str">
        <v>DI</v>
      </c>
      <c r="G428" t="str">
        <v>KSCL mô hình BIM</v>
      </c>
      <c r="H428" t="str">
        <v>TKBVTC</v>
      </c>
    </row>
    <row r="429" spans="1:8">
      <c r="A429" t="str">
        <v>3.N.HCM.CGIO.NH.401</v>
      </c>
      <c r="B429" t="str">
        <v>401</v>
      </c>
      <c r="C429" t="str">
        <v>Quản lý BIM</v>
      </c>
      <c r="D429" t="str">
        <v>N.HCM.CGIO.NH</v>
      </c>
      <c r="E429" t="str">
        <v>Nhà hát</v>
      </c>
      <c r="F429" t="str">
        <v>DN</v>
      </c>
      <c r="G429" t="str">
        <v>KSCL mô hình BIM</v>
      </c>
      <c r="H429" t="str">
        <v>TKBVTC</v>
      </c>
    </row>
    <row r="430" spans="1:8">
      <c r="A430" t="str">
        <v>3.N.HCM.CGIO.NH.501</v>
      </c>
      <c r="B430" t="str">
        <v>501</v>
      </c>
      <c r="C430" t="str">
        <v>Quản lý BIM</v>
      </c>
      <c r="D430" t="str">
        <v>N.HCM.CGIO.NH</v>
      </c>
      <c r="E430" t="str">
        <v>Nhà hát</v>
      </c>
      <c r="F430" t="str">
        <v>NU</v>
      </c>
      <c r="G430" t="str">
        <v>KSCL mô hình BIM</v>
      </c>
      <c r="H430" t="str">
        <v>TKBVTC</v>
      </c>
    </row>
    <row r="431" spans="1:8">
      <c r="A431" t="str">
        <v>3.N.HCM.CGIO.NH.601</v>
      </c>
      <c r="B431" t="str">
        <v>601</v>
      </c>
      <c r="C431" t="str">
        <v>Quản lý BIM</v>
      </c>
      <c r="D431" t="str">
        <v>N.HCM.CGIO.NH</v>
      </c>
      <c r="E431" t="str">
        <v>Nhà hát</v>
      </c>
      <c r="F431" t="str">
        <v>DH</v>
      </c>
      <c r="G431" t="str">
        <v>KSCL mô hình BIM</v>
      </c>
      <c r="H431" t="str">
        <v>TKBVTC</v>
      </c>
    </row>
    <row r="432" spans="1:8">
      <c r="A432" t="str">
        <v>3.N.HCM.CGIO.NH.701</v>
      </c>
      <c r="B432" t="str">
        <v>701</v>
      </c>
      <c r="C432" t="str">
        <v>Quản lý BIM</v>
      </c>
      <c r="D432" t="str">
        <v>N.HCM.CGIO.NH</v>
      </c>
      <c r="E432" t="str">
        <v>Nhà hát</v>
      </c>
      <c r="F432" t="str">
        <v>PC</v>
      </c>
      <c r="G432" t="str">
        <v>KSCL mô hình BIM</v>
      </c>
      <c r="H432" t="str">
        <v>TKBVTC</v>
      </c>
    </row>
    <row r="433" spans="1:8">
      <c r="A433" t="str">
        <v>3.N.HCM.CGIO.VSC.101</v>
      </c>
      <c r="B433" t="str">
        <v>101</v>
      </c>
      <c r="C433" t="str">
        <v>Quản lý BIM</v>
      </c>
      <c r="D433" t="str">
        <v>N.HCM.CGIO.VSC</v>
      </c>
      <c r="E433" t="str">
        <v>Trường MN tại lô đất A4-13</v>
      </c>
      <c r="F433" t="str">
        <v>KT</v>
      </c>
      <c r="G433" t="str">
        <v>KSCL mô hình BIM</v>
      </c>
      <c r="H433" t="str">
        <v>TKBVTC</v>
      </c>
    </row>
    <row r="434" spans="1:8">
      <c r="A434" t="str">
        <v>3.N.HCM.CGIO.VSC.201</v>
      </c>
      <c r="B434" t="str">
        <v>201</v>
      </c>
      <c r="C434" t="str">
        <v>Quản lý BIM</v>
      </c>
      <c r="D434" t="str">
        <v>N.HCM.CGIO.VSC</v>
      </c>
      <c r="E434" t="str">
        <v>Trường MN tại lô đất A4-13</v>
      </c>
      <c r="F434" t="str">
        <v>KC</v>
      </c>
      <c r="G434" t="str">
        <v>KSCL mô hình BIM</v>
      </c>
      <c r="H434" t="str">
        <v>TKBVTC</v>
      </c>
    </row>
    <row r="435" spans="1:8">
      <c r="A435" t="str">
        <v>3.N.HCM.CGIO.VSC.301</v>
      </c>
      <c r="B435" t="str">
        <v>301</v>
      </c>
      <c r="C435" t="str">
        <v>Quản lý BIM</v>
      </c>
      <c r="D435" t="str">
        <v>N.HCM.CGIO.VSC</v>
      </c>
      <c r="E435" t="str">
        <v>Trường MN tại lô đất A4-13</v>
      </c>
      <c r="F435" t="str">
        <v>DI</v>
      </c>
      <c r="G435" t="str">
        <v>KSCL mô hình BIM</v>
      </c>
      <c r="H435" t="str">
        <v>TKBVTC</v>
      </c>
    </row>
    <row r="436" spans="1:8">
      <c r="A436" t="str">
        <v>3.N.HCM.CGIO.VSC.401</v>
      </c>
      <c r="B436" t="str">
        <v>401</v>
      </c>
      <c r="C436" t="str">
        <v>Quản lý BIM</v>
      </c>
      <c r="D436" t="str">
        <v>N.HCM.CGIO.VSC</v>
      </c>
      <c r="E436" t="str">
        <v>Trường MN tại lô đất A4-13</v>
      </c>
      <c r="F436" t="str">
        <v>DN</v>
      </c>
      <c r="G436" t="str">
        <v>KSCL mô hình BIM</v>
      </c>
      <c r="H436" t="str">
        <v>TKBVTC</v>
      </c>
    </row>
    <row r="437" spans="1:8">
      <c r="A437" t="str">
        <v>3.N.HCM.CGIO.VSC.501</v>
      </c>
      <c r="B437" t="str">
        <v>501</v>
      </c>
      <c r="C437" t="str">
        <v>Quản lý BIM</v>
      </c>
      <c r="D437" t="str">
        <v>N.HCM.CGIO.VSC</v>
      </c>
      <c r="E437" t="str">
        <v>Trường MN tại lô đất A4-13</v>
      </c>
      <c r="F437" t="str">
        <v>NU</v>
      </c>
      <c r="G437" t="str">
        <v>KSCL mô hình BIM</v>
      </c>
      <c r="H437" t="str">
        <v>TKBVTC</v>
      </c>
    </row>
    <row r="438" spans="1:8">
      <c r="A438" t="str">
        <v>3.N.HCM.CGIO.VSC.601</v>
      </c>
      <c r="B438" t="str">
        <v>601</v>
      </c>
      <c r="C438" t="str">
        <v>Quản lý BIM</v>
      </c>
      <c r="D438" t="str">
        <v>N.HCM.CGIO.VSC</v>
      </c>
      <c r="E438" t="str">
        <v>Trường MN tại lô đất A4-13</v>
      </c>
      <c r="F438" t="str">
        <v>DH</v>
      </c>
      <c r="G438" t="str">
        <v>KSCL mô hình BIM</v>
      </c>
      <c r="H438" t="str">
        <v>TKBVTC</v>
      </c>
    </row>
    <row r="439" spans="1:8">
      <c r="A439" t="str">
        <v>3.N.HCM.CGIO.VSC.701</v>
      </c>
      <c r="B439" t="str">
        <v>701</v>
      </c>
      <c r="C439" t="str">
        <v>Quản lý BIM</v>
      </c>
      <c r="D439" t="str">
        <v>N.HCM.CGIO.VSC</v>
      </c>
      <c r="E439" t="str">
        <v>Trường MN tại lô đất A4-13</v>
      </c>
      <c r="F439" t="str">
        <v>PC</v>
      </c>
      <c r="G439" t="str">
        <v>KSCL mô hình BIM</v>
      </c>
      <c r="H439" t="str">
        <v>TKBVTC</v>
      </c>
    </row>
    <row r="440" spans="1:8">
      <c r="A440" t="str">
        <v>3.N.HCM.CGIO.VSC.102</v>
      </c>
      <c r="B440" t="str">
        <v>102</v>
      </c>
      <c r="C440" t="str">
        <v>Quản lý BIM</v>
      </c>
      <c r="D440" t="str">
        <v>N.HCM.CGIO.VSC</v>
      </c>
      <c r="E440" t="str">
        <v>Trường TH tại lô đất A4-15</v>
      </c>
      <c r="F440" t="str">
        <v>KT</v>
      </c>
      <c r="G440" t="str">
        <v>KSCL mô hình BIM</v>
      </c>
      <c r="H440" t="str">
        <v>TKBVTC</v>
      </c>
    </row>
    <row r="441" spans="1:8">
      <c r="A441" t="str">
        <v>3.N.HCM.CGIO.VSC.202</v>
      </c>
      <c r="B441" t="str">
        <v>202</v>
      </c>
      <c r="C441" t="str">
        <v>Quản lý BIM</v>
      </c>
      <c r="D441" t="str">
        <v>N.HCM.CGIO.VSC</v>
      </c>
      <c r="E441" t="str">
        <v>Trường TH tại lô đất A4-15</v>
      </c>
      <c r="F441" t="str">
        <v>KC</v>
      </c>
      <c r="G441" t="str">
        <v>KSCL mô hình BIM</v>
      </c>
      <c r="H441" t="str">
        <v>TKBVTC</v>
      </c>
    </row>
    <row r="442" spans="1:8">
      <c r="A442" t="str">
        <v>3.N.HCM.CGIO.VSC.302</v>
      </c>
      <c r="B442" t="str">
        <v>302</v>
      </c>
      <c r="C442" t="str">
        <v>Quản lý BIM</v>
      </c>
      <c r="D442" t="str">
        <v>N.HCM.CGIO.VSC</v>
      </c>
      <c r="E442" t="str">
        <v>Trường TH tại lô đất A4-15</v>
      </c>
      <c r="F442" t="str">
        <v>DI</v>
      </c>
      <c r="G442" t="str">
        <v>KSCL mô hình BIM</v>
      </c>
      <c r="H442" t="str">
        <v>TKBVTC</v>
      </c>
    </row>
    <row r="443" spans="1:8">
      <c r="A443" t="str">
        <v>3.N.HCM.CGIO.VSC.402</v>
      </c>
      <c r="B443" t="str">
        <v>402</v>
      </c>
      <c r="C443" t="str">
        <v>Quản lý BIM</v>
      </c>
      <c r="D443" t="str">
        <v>N.HCM.CGIO.VSC</v>
      </c>
      <c r="E443" t="str">
        <v>Trường TH tại lô đất A4-15</v>
      </c>
      <c r="F443" t="str">
        <v>DN</v>
      </c>
      <c r="G443" t="str">
        <v>KSCL mô hình BIM</v>
      </c>
      <c r="H443" t="str">
        <v>TKBVTC</v>
      </c>
    </row>
    <row r="444" spans="1:8">
      <c r="A444" t="str">
        <v>3.N.HCM.CGIO.VSC.502</v>
      </c>
      <c r="B444" t="str">
        <v>502</v>
      </c>
      <c r="C444" t="str">
        <v>Quản lý BIM</v>
      </c>
      <c r="D444" t="str">
        <v>N.HCM.CGIO.VSC</v>
      </c>
      <c r="E444" t="str">
        <v>Trường TH tại lô đất A4-15</v>
      </c>
      <c r="F444" t="str">
        <v>NU</v>
      </c>
      <c r="G444" t="str">
        <v>KSCL mô hình BIM</v>
      </c>
      <c r="H444" t="str">
        <v>TKBVTC</v>
      </c>
    </row>
    <row r="445" spans="1:8">
      <c r="A445" t="str">
        <v>3.N.HCM.CGIO.VSC.602</v>
      </c>
      <c r="B445" t="str">
        <v>602</v>
      </c>
      <c r="C445" t="str">
        <v>Quản lý BIM</v>
      </c>
      <c r="D445" t="str">
        <v>N.HCM.CGIO.VSC</v>
      </c>
      <c r="E445" t="str">
        <v>Trường TH tại lô đất A4-15</v>
      </c>
      <c r="F445" t="str">
        <v>DH</v>
      </c>
      <c r="G445" t="str">
        <v>KSCL mô hình BIM</v>
      </c>
      <c r="H445" t="str">
        <v>TKBVTC</v>
      </c>
    </row>
    <row r="446" spans="1:8">
      <c r="A446" t="str">
        <v>3.N.HCM.CGIO.VSC.702</v>
      </c>
      <c r="B446" t="str">
        <v>702</v>
      </c>
      <c r="C446" t="str">
        <v>Quản lý BIM</v>
      </c>
      <c r="D446" t="str">
        <v>N.HCM.CGIO.VSC</v>
      </c>
      <c r="E446" t="str">
        <v>Trường TH tại lô đất A4-15</v>
      </c>
      <c r="F446" t="str">
        <v>PC</v>
      </c>
      <c r="G446" t="str">
        <v>KSCL mô hình BIM</v>
      </c>
      <c r="H446" t="str">
        <v>TKBVTC</v>
      </c>
    </row>
    <row r="447" spans="1:8">
      <c r="A447" t="str">
        <v>3.N.HCM.CGIO.VSC.103</v>
      </c>
      <c r="B447" t="str">
        <v>103</v>
      </c>
      <c r="C447" t="str">
        <v>Quản lý BIM</v>
      </c>
      <c r="D447" t="str">
        <v>N.HCM.CGIO.VSC</v>
      </c>
      <c r="E447" t="str">
        <v>Trường THCS tại lô đất A4-16</v>
      </c>
      <c r="F447" t="str">
        <v>KT</v>
      </c>
      <c r="G447" t="str">
        <v>KSCL mô hình BIM</v>
      </c>
      <c r="H447" t="str">
        <v>TKBVTC</v>
      </c>
    </row>
    <row r="448" spans="1:8">
      <c r="A448" t="str">
        <v>3.N.HCM.CGIO.VSC.203</v>
      </c>
      <c r="B448" t="str">
        <v>203</v>
      </c>
      <c r="C448" t="str">
        <v>Quản lý BIM</v>
      </c>
      <c r="D448" t="str">
        <v>N.HCM.CGIO.VSC</v>
      </c>
      <c r="E448" t="str">
        <v>Trường THCS tại lô đất A4-16</v>
      </c>
      <c r="F448" t="str">
        <v>KC</v>
      </c>
      <c r="G448" t="str">
        <v>KSCL mô hình BIM</v>
      </c>
      <c r="H448" t="str">
        <v>TKBVTC</v>
      </c>
    </row>
    <row r="449" spans="1:8">
      <c r="A449" t="str">
        <v>3.N.HCM.CGIO.VSC.303</v>
      </c>
      <c r="B449" t="str">
        <v>303</v>
      </c>
      <c r="C449" t="str">
        <v>Quản lý BIM</v>
      </c>
      <c r="D449" t="str">
        <v>N.HCM.CGIO.VSC</v>
      </c>
      <c r="E449" t="str">
        <v>Trường THCS tại lô đất A4-16</v>
      </c>
      <c r="F449" t="str">
        <v>DI</v>
      </c>
      <c r="G449" t="str">
        <v>KSCL mô hình BIM</v>
      </c>
      <c r="H449" t="str">
        <v>TKBVTC</v>
      </c>
    </row>
    <row r="450" spans="1:8">
      <c r="A450" t="str">
        <v>3.N.HCM.CGIO.VSC.403</v>
      </c>
      <c r="B450" t="str">
        <v>403</v>
      </c>
      <c r="C450" t="str">
        <v>Quản lý BIM</v>
      </c>
      <c r="D450" t="str">
        <v>N.HCM.CGIO.VSC</v>
      </c>
      <c r="E450" t="str">
        <v>Trường THCS tại lô đất A4-16</v>
      </c>
      <c r="F450" t="str">
        <v>DN</v>
      </c>
      <c r="G450" t="str">
        <v>KSCL mô hình BIM</v>
      </c>
      <c r="H450" t="str">
        <v>TKBVTC</v>
      </c>
    </row>
    <row r="451" spans="1:8">
      <c r="A451" t="str">
        <v>3.N.HCM.CGIO.VSC.503</v>
      </c>
      <c r="B451" t="str">
        <v>503</v>
      </c>
      <c r="C451" t="str">
        <v>Quản lý BIM</v>
      </c>
      <c r="D451" t="str">
        <v>N.HCM.CGIO.VSC</v>
      </c>
      <c r="E451" t="str">
        <v>Trường THCS tại lô đất A4-16</v>
      </c>
      <c r="F451" t="str">
        <v>NU</v>
      </c>
      <c r="G451" t="str">
        <v>KSCL mô hình BIM</v>
      </c>
      <c r="H451" t="str">
        <v>TKBVTC</v>
      </c>
    </row>
    <row r="452" spans="1:8">
      <c r="A452" t="str">
        <v>3.N.HCM.CGIO.VSC.603</v>
      </c>
      <c r="B452" t="str">
        <v>603</v>
      </c>
      <c r="C452" t="str">
        <v>Quản lý BIM</v>
      </c>
      <c r="D452" t="str">
        <v>N.HCM.CGIO.VSC</v>
      </c>
      <c r="E452" t="str">
        <v>Trường THCS tại lô đất A4-16</v>
      </c>
      <c r="F452" t="str">
        <v>DH</v>
      </c>
      <c r="G452" t="str">
        <v>KSCL mô hình BIM</v>
      </c>
      <c r="H452" t="str">
        <v>TKBVTC</v>
      </c>
    </row>
    <row r="453" spans="1:8">
      <c r="A453" t="str">
        <v>3.N.HCM.CGIO.VSC.703</v>
      </c>
      <c r="B453" t="str">
        <v>703</v>
      </c>
      <c r="C453" t="str">
        <v>Quản lý BIM</v>
      </c>
      <c r="D453" t="str">
        <v>N.HCM.CGIO.VSC</v>
      </c>
      <c r="E453" t="str">
        <v>Trường THCS tại lô đất A4-16</v>
      </c>
      <c r="F453" t="str">
        <v>PC</v>
      </c>
      <c r="G453" t="str">
        <v>KSCL mô hình BIM</v>
      </c>
      <c r="H453" t="str">
        <v>TKBVTC</v>
      </c>
    </row>
    <row r="454" spans="1:8">
      <c r="A454" t="str">
        <v>3.N.HCM.CGIO.VSC.104</v>
      </c>
      <c r="B454" t="str">
        <v>104</v>
      </c>
      <c r="C454" t="str">
        <v>Quản lý BIM</v>
      </c>
      <c r="D454" t="str">
        <v>N.HCM.CGIO.VSC</v>
      </c>
      <c r="E454" t="str">
        <v>Trường THPT tại lô đất A4-29</v>
      </c>
      <c r="F454" t="str">
        <v>KT</v>
      </c>
      <c r="G454" t="str">
        <v>KSCL mô hình BIM</v>
      </c>
      <c r="H454" t="str">
        <v>TKBVTC</v>
      </c>
    </row>
    <row r="455" spans="1:8">
      <c r="A455" t="str">
        <v>3.N.HCM.CGIO.VSC.204</v>
      </c>
      <c r="B455" t="str">
        <v>204</v>
      </c>
      <c r="C455" t="str">
        <v>Quản lý BIM</v>
      </c>
      <c r="D455" t="str">
        <v>N.HCM.CGIO.VSC</v>
      </c>
      <c r="E455" t="str">
        <v>Trường THPT tại lô đất A4-29</v>
      </c>
      <c r="F455" t="str">
        <v>KC</v>
      </c>
      <c r="G455" t="str">
        <v>KSCL mô hình BIM</v>
      </c>
      <c r="H455" t="str">
        <v>TKBVTC</v>
      </c>
    </row>
    <row r="456" spans="1:8">
      <c r="A456" t="str">
        <v>3.N.HCM.CGIO.VSC.304</v>
      </c>
      <c r="B456" t="str">
        <v>304</v>
      </c>
      <c r="C456" t="str">
        <v>Quản lý BIM</v>
      </c>
      <c r="D456" t="str">
        <v>N.HCM.CGIO.VSC</v>
      </c>
      <c r="E456" t="str">
        <v>Trường THPT tại lô đất A4-29</v>
      </c>
      <c r="F456" t="str">
        <v>DI</v>
      </c>
      <c r="G456" t="str">
        <v>KSCL mô hình BIM</v>
      </c>
      <c r="H456" t="str">
        <v>TKBVTC</v>
      </c>
    </row>
    <row r="457" spans="1:8">
      <c r="A457" t="str">
        <v>3.N.HCM.CGIO.VSC.404</v>
      </c>
      <c r="B457" t="str">
        <v>404</v>
      </c>
      <c r="C457" t="str">
        <v>Quản lý BIM</v>
      </c>
      <c r="D457" t="str">
        <v>N.HCM.CGIO.VSC</v>
      </c>
      <c r="E457" t="str">
        <v>Trường THPT tại lô đất A4-29</v>
      </c>
      <c r="F457" t="str">
        <v>DN</v>
      </c>
      <c r="G457" t="str">
        <v>KSCL mô hình BIM</v>
      </c>
      <c r="H457" t="str">
        <v>TKBVTC</v>
      </c>
    </row>
    <row r="458" spans="1:8">
      <c r="A458" t="str">
        <v>3.N.HCM.CGIO.VSC.504</v>
      </c>
      <c r="B458" t="str">
        <v>504</v>
      </c>
      <c r="C458" t="str">
        <v>Quản lý BIM</v>
      </c>
      <c r="D458" t="str">
        <v>N.HCM.CGIO.VSC</v>
      </c>
      <c r="E458" t="str">
        <v>Trường THPT tại lô đất A4-29</v>
      </c>
      <c r="F458" t="str">
        <v>NU</v>
      </c>
      <c r="G458" t="str">
        <v>KSCL mô hình BIM</v>
      </c>
      <c r="H458" t="str">
        <v>TKBVTC</v>
      </c>
    </row>
    <row r="459" spans="1:8">
      <c r="A459" t="str">
        <v>3.N.HCM.CGIO.VSC.604</v>
      </c>
      <c r="B459" t="str">
        <v>604</v>
      </c>
      <c r="C459" t="str">
        <v>Quản lý BIM</v>
      </c>
      <c r="D459" t="str">
        <v>N.HCM.CGIO.VSC</v>
      </c>
      <c r="E459" t="str">
        <v>Trường THPT tại lô đất A4-29</v>
      </c>
      <c r="F459" t="str">
        <v>DH</v>
      </c>
      <c r="G459" t="str">
        <v>KSCL mô hình BIM</v>
      </c>
      <c r="H459" t="str">
        <v>TKBVTC</v>
      </c>
    </row>
    <row r="460" spans="1:8">
      <c r="A460" t="str">
        <v>3.N.HCM.CGIO.VSC.704</v>
      </c>
      <c r="B460" t="str">
        <v>704</v>
      </c>
      <c r="C460" t="str">
        <v>Quản lý BIM</v>
      </c>
      <c r="D460" t="str">
        <v>N.HCM.CGIO.VSC</v>
      </c>
      <c r="E460" t="str">
        <v>Trường THPT tại lô đất A4-29</v>
      </c>
      <c r="F460" t="str">
        <v>PC</v>
      </c>
      <c r="G460" t="str">
        <v>KSCL mô hình BIM</v>
      </c>
      <c r="H460" t="str">
        <v>TKBVTC</v>
      </c>
    </row>
    <row r="461" spans="1:8">
      <c r="A461" t="str">
        <v>3.N.HCM.Q9.VP.101</v>
      </c>
      <c r="B461" t="str">
        <v>101</v>
      </c>
      <c r="C461" t="str">
        <v>Quản lý BIM</v>
      </c>
      <c r="D461" t="str">
        <v>N.HCM.Q9.VP</v>
      </c>
      <c r="E461" t="str">
        <v>Toà văn phòng 43 tầng</v>
      </c>
      <c r="F461" t="str">
        <v>KT</v>
      </c>
      <c r="G461" t="str">
        <v>Xuất khối lượng từ mô hình BIM</v>
      </c>
      <c r="H461" t="str">
        <v>TKBVTC</v>
      </c>
    </row>
    <row r="462" spans="1:8">
      <c r="A462" t="str">
        <v>3.N.HCM.Q9.VP.102</v>
      </c>
      <c r="B462" t="str">
        <v>102</v>
      </c>
      <c r="C462" t="str">
        <v>Quản lý BIM</v>
      </c>
      <c r="D462" t="str">
        <v>N.HCM.Q9.VP</v>
      </c>
      <c r="E462" t="str">
        <v>Toà văn phòng 43 tầng</v>
      </c>
      <c r="F462" t="str">
        <v>KT</v>
      </c>
      <c r="G462" t="str">
        <v>Cập nhật thông tin mô hình BIM</v>
      </c>
      <c r="H462" t="str">
        <v>TKBVTC</v>
      </c>
    </row>
    <row r="463" spans="1:8">
      <c r="A463" t="str">
        <v>3.N.HCM.Q9.VP.201</v>
      </c>
      <c r="B463" t="str">
        <v>201</v>
      </c>
      <c r="C463" t="str">
        <v>Quản lý BIM</v>
      </c>
      <c r="D463" t="str">
        <v>N.HCM.Q9.VP</v>
      </c>
      <c r="E463" t="str">
        <v>Toà văn phòng 43 tầng</v>
      </c>
      <c r="F463" t="str">
        <v>KC</v>
      </c>
      <c r="G463" t="str">
        <v>Xuất khối lượng từ mô hình BIM</v>
      </c>
      <c r="H463" t="str">
        <v>TKBVTC</v>
      </c>
    </row>
    <row r="464" spans="1:8">
      <c r="A464" t="str">
        <v>3.N.HCM.Q9.VP.202</v>
      </c>
      <c r="B464" t="str">
        <v>202</v>
      </c>
      <c r="C464" t="str">
        <v>Quản lý BIM</v>
      </c>
      <c r="D464" t="str">
        <v>N.HCM.Q9.VP</v>
      </c>
      <c r="E464" t="str">
        <v>Toà văn phòng 43 tầng</v>
      </c>
      <c r="F464" t="str">
        <v>KC</v>
      </c>
      <c r="G464" t="str">
        <v>Cập nhật thông tin mô hình BIM</v>
      </c>
      <c r="H464" t="str">
        <v>TKBVTC</v>
      </c>
    </row>
    <row r="465" spans="1:8">
      <c r="A465" t="str">
        <v>3.N.HCM.Q9.VP.301</v>
      </c>
      <c r="B465" t="str">
        <v>301</v>
      </c>
      <c r="C465" t="str">
        <v>Quản lý BIM</v>
      </c>
      <c r="D465" t="str">
        <v>N.HCM.Q9.VP</v>
      </c>
      <c r="E465" t="str">
        <v>Toà văn phòng 43 tầng</v>
      </c>
      <c r="F465" t="str">
        <v>DI</v>
      </c>
      <c r="G465" t="str">
        <v>Xuất khối lượng từ mô hình BIM</v>
      </c>
      <c r="H465" t="str">
        <v>TKBVTC</v>
      </c>
    </row>
    <row r="466" spans="1:8">
      <c r="A466" t="str">
        <v>3.N.HCM.Q9.VP.401</v>
      </c>
      <c r="B466" t="str">
        <v>401</v>
      </c>
      <c r="C466" t="str">
        <v>Quản lý BIM</v>
      </c>
      <c r="D466" t="str">
        <v>N.HCM.Q9.VP</v>
      </c>
      <c r="E466" t="str">
        <v>Toà văn phòng 43 tầng</v>
      </c>
      <c r="F466" t="str">
        <v>DN</v>
      </c>
      <c r="G466" t="str">
        <v>Xuất khối lượng từ mô hình BIM</v>
      </c>
      <c r="H466" t="str">
        <v>TKBVTC</v>
      </c>
    </row>
    <row r="467" spans="1:8">
      <c r="A467" t="str">
        <v>3.N.HCM.Q9.VP.501</v>
      </c>
      <c r="B467" t="str">
        <v>501</v>
      </c>
      <c r="C467" t="str">
        <v>Quản lý BIM</v>
      </c>
      <c r="D467" t="str">
        <v>N.HCM.Q9.VP</v>
      </c>
      <c r="E467" t="str">
        <v>Toà văn phòng 43 tầng</v>
      </c>
      <c r="F467" t="str">
        <v>NU</v>
      </c>
      <c r="G467" t="str">
        <v>Xuất khối lượng từ mô hình BIM</v>
      </c>
      <c r="H467" t="str">
        <v>TKBVTC</v>
      </c>
    </row>
    <row r="468" spans="1:8">
      <c r="A468" t="str">
        <v>3.N.HCM.Q9.VP.601</v>
      </c>
      <c r="B468" t="str">
        <v>601</v>
      </c>
      <c r="C468" t="str">
        <v>Quản lý BIM</v>
      </c>
      <c r="D468" t="str">
        <v>N.HCM.Q9.VP</v>
      </c>
      <c r="E468" t="str">
        <v>Toà văn phòng 43 tầng</v>
      </c>
      <c r="F468" t="str">
        <v>DH</v>
      </c>
      <c r="G468" t="str">
        <v>Cập nhật thông tin mô hình BIM</v>
      </c>
      <c r="H468" t="str">
        <v>TKBVTC</v>
      </c>
    </row>
    <row r="469" spans="1:8">
      <c r="A469" t="str">
        <v>3.N.HCM.Q9.VP.602</v>
      </c>
      <c r="B469" t="str">
        <v>602</v>
      </c>
      <c r="C469" t="str">
        <v>Quản lý BIM</v>
      </c>
      <c r="D469" t="str">
        <v>N.HCM.Q9.VP</v>
      </c>
      <c r="E469" t="str">
        <v>Toà văn phòng 43 tầng</v>
      </c>
      <c r="F469" t="str">
        <v>DH</v>
      </c>
      <c r="G469" t="str">
        <v>Xuất khối lượng từ mô hình BIM</v>
      </c>
      <c r="H469" t="str">
        <v>TKBVTC</v>
      </c>
    </row>
    <row r="470" spans="1:8">
      <c r="A470" t="str">
        <v>3.N.HCM.Q9.VP.701</v>
      </c>
      <c r="B470" t="str">
        <v>701</v>
      </c>
      <c r="C470" t="str">
        <v>Quản lý BIM</v>
      </c>
      <c r="D470" t="str">
        <v>N.HCM.Q9.VP</v>
      </c>
      <c r="E470" t="str">
        <v>Toà văn phòng 43 tầng</v>
      </c>
      <c r="F470" t="str">
        <v>PC</v>
      </c>
      <c r="G470" t="str">
        <v>Cập nhật thông tin mô hình BIM</v>
      </c>
      <c r="H470" t="str">
        <v>TKBVTC</v>
      </c>
    </row>
    <row r="471" spans="1:8">
      <c r="A471" t="str">
        <v>3.N.HCM.Q9.VP.603</v>
      </c>
      <c r="B471" t="str">
        <v>603</v>
      </c>
      <c r="C471" t="str">
        <v>Quản lý BIM</v>
      </c>
      <c r="D471" t="str">
        <v>N.HCM.Q9.VP</v>
      </c>
      <c r="E471" t="str">
        <v>Toà văn phòng 43 tầng</v>
      </c>
      <c r="F471" t="str">
        <v>DH</v>
      </c>
      <c r="G471" t="str">
        <v>Cập nhật thông tin mô hình BIM</v>
      </c>
      <c r="H471" t="str">
        <v>TKBVTC</v>
      </c>
    </row>
    <row r="472" spans="1:8">
      <c r="A472" t="str">
        <v>3.N.HCM.Q9.VP.604</v>
      </c>
      <c r="B472" t="str">
        <v>604</v>
      </c>
      <c r="C472" t="str">
        <v>Quản lý BIM</v>
      </c>
      <c r="D472" t="str">
        <v>N.HCM.Q9.VP</v>
      </c>
      <c r="E472" t="str">
        <v>Toà văn phòng 43 tầng</v>
      </c>
      <c r="F472" t="str">
        <v>DH</v>
      </c>
      <c r="G472" t="str">
        <v>Xuất khối lượng từ mô hình BIM</v>
      </c>
      <c r="H472" t="str">
        <v>TKBVTC</v>
      </c>
    </row>
    <row r="473" spans="1:8">
      <c r="A473" t="str">
        <v>3.N.HCM.Q9.VSC.THCS.101</v>
      </c>
      <c r="B473" t="str">
        <v>101</v>
      </c>
      <c r="C473" t="str">
        <v>Quản lý BIM</v>
      </c>
      <c r="D473" t="str">
        <v>N.HCM.Q9.VSC.THCS</v>
      </c>
      <c r="E473" t="str">
        <v>Trường Cambridge (PTLC) III.6</v>
      </c>
      <c r="F473" t="str">
        <v>KT</v>
      </c>
      <c r="G473" t="str">
        <v>KSCL mô hình BIM</v>
      </c>
      <c r="H473" t="str">
        <v>TKBVTC</v>
      </c>
    </row>
    <row r="474" spans="1:8">
      <c r="A474" t="str">
        <v>3.N.HCM.Q9.VSC.THCS.201</v>
      </c>
      <c r="B474" t="str">
        <v>201</v>
      </c>
      <c r="C474" t="str">
        <v>Quản lý BIM</v>
      </c>
      <c r="D474" t="str">
        <v>N.HCM.Q9.VSC.THCS</v>
      </c>
      <c r="E474" t="str">
        <v>Trường Cambridge (PTLC) III.6</v>
      </c>
      <c r="F474" t="str">
        <v>KC</v>
      </c>
      <c r="G474" t="str">
        <v>KSCL mô hình BIM</v>
      </c>
      <c r="H474" t="str">
        <v>TKBVTC</v>
      </c>
    </row>
    <row r="475" spans="1:8">
      <c r="A475" t="str">
        <v>3.N.HCM.Q9.VSC.THCS.301</v>
      </c>
      <c r="B475" t="str">
        <v>301</v>
      </c>
      <c r="C475" t="str">
        <v>Quản lý BIM</v>
      </c>
      <c r="D475" t="str">
        <v>N.HCM.Q9.VSC.THCS</v>
      </c>
      <c r="E475" t="str">
        <v>Trường Cambridge (PTLC) III.6</v>
      </c>
      <c r="F475" t="str">
        <v>DI</v>
      </c>
      <c r="G475" t="str">
        <v>KSCL mô hình BIM</v>
      </c>
      <c r="H475" t="str">
        <v>TKBVTC</v>
      </c>
    </row>
    <row r="476" spans="1:8">
      <c r="A476" t="str">
        <v>3.N.HCM.Q9.VSC.THCS.401</v>
      </c>
      <c r="B476" t="str">
        <v>401</v>
      </c>
      <c r="C476" t="str">
        <v>Quản lý BIM</v>
      </c>
      <c r="D476" t="str">
        <v>N.HCM.Q9.VSC.THCS</v>
      </c>
      <c r="E476" t="str">
        <v>Trường Cambridge (PTLC) III.6</v>
      </c>
      <c r="F476" t="str">
        <v>DN</v>
      </c>
      <c r="G476" t="str">
        <v>KSCL mô hình BIM</v>
      </c>
      <c r="H476" t="str">
        <v>TKBVTC</v>
      </c>
    </row>
    <row r="477" spans="1:8">
      <c r="A477" t="str">
        <v>3.N.HCM.Q9.VSC.THCS.501</v>
      </c>
      <c r="B477" t="str">
        <v>501</v>
      </c>
      <c r="C477" t="str">
        <v>Quản lý BIM</v>
      </c>
      <c r="D477" t="str">
        <v>N.HCM.Q9.VSC.THCS</v>
      </c>
      <c r="E477" t="str">
        <v>Trường Cambridge (PTLC) III.6</v>
      </c>
      <c r="F477" t="str">
        <v>NU</v>
      </c>
      <c r="G477" t="str">
        <v>KSCL mô hình BIM</v>
      </c>
      <c r="H477" t="str">
        <v>TKBVTC</v>
      </c>
    </row>
    <row r="478" spans="1:8">
      <c r="A478" t="str">
        <v>3.N.HCM.Q9.VSC.THCS.601</v>
      </c>
      <c r="B478" t="str">
        <v>601</v>
      </c>
      <c r="C478" t="str">
        <v>Quản lý BIM</v>
      </c>
      <c r="D478" t="str">
        <v>N.HCM.Q9.VSC.THCS</v>
      </c>
      <c r="E478" t="str">
        <v>Trường Cambridge (PTLC) III.6</v>
      </c>
      <c r="F478" t="str">
        <v>DH</v>
      </c>
      <c r="G478" t="str">
        <v>KSCL mô hình BIM</v>
      </c>
      <c r="H478" t="str">
        <v>TKBVTC</v>
      </c>
    </row>
    <row r="479" spans="1:8">
      <c r="A479" t="str">
        <v>3.N.HCM.Q9.VSC.THCS.701</v>
      </c>
      <c r="B479" t="str">
        <v>701</v>
      </c>
      <c r="C479" t="str">
        <v>Quản lý BIM</v>
      </c>
      <c r="D479" t="str">
        <v>N.HCM.Q9.VSC.THCS</v>
      </c>
      <c r="E479" t="str">
        <v>Trường Cambridge (PTLC) III.6</v>
      </c>
      <c r="F479" t="str">
        <v>PC</v>
      </c>
      <c r="G479" t="str">
        <v>KSCL mô hình BIM</v>
      </c>
      <c r="H479" t="str">
        <v>TKBVTC</v>
      </c>
    </row>
    <row r="480" spans="1:8">
      <c r="A480" t="str">
        <v>3.N.TNI.HNLA.VSC.101</v>
      </c>
      <c r="B480" t="str">
        <v>101</v>
      </c>
      <c r="C480" t="str">
        <v>Quản lý BIM</v>
      </c>
      <c r="D480" t="str">
        <v>N.TNI.HNLA.VSC</v>
      </c>
      <c r="E480" t="str">
        <v>Trường PTLC lô THCS-01</v>
      </c>
      <c r="F480" t="str">
        <v>KT</v>
      </c>
      <c r="G480" t="str">
        <v>KSCL mô hình BIM</v>
      </c>
      <c r="H480" t="str">
        <v>TKBVTC</v>
      </c>
    </row>
    <row r="481" spans="1:8">
      <c r="A481" t="str">
        <v>3.N.TNI.HNLA.VSC.201</v>
      </c>
      <c r="B481" t="str">
        <v>201</v>
      </c>
      <c r="C481" t="str">
        <v>Quản lý BIM</v>
      </c>
      <c r="D481" t="str">
        <v>N.TNI.HNLA.VSC</v>
      </c>
      <c r="E481" t="str">
        <v>Trường PTLC lô THCS-01</v>
      </c>
      <c r="F481" t="str">
        <v>KC</v>
      </c>
      <c r="G481" t="str">
        <v>KSCL mô hình BIM</v>
      </c>
      <c r="H481" t="str">
        <v>TKBVTC</v>
      </c>
    </row>
    <row r="482" spans="1:8">
      <c r="A482" t="str">
        <v>3.T.DAN.LVDN.KS.101</v>
      </c>
      <c r="B482" t="str">
        <v>101</v>
      </c>
      <c r="C482" t="str">
        <v>Quản lý BIM</v>
      </c>
      <c r="D482" t="str">
        <v>T.DAN.LVDN.KS</v>
      </c>
      <c r="E482" t="str">
        <v>KS JW Marriott- Làng Vân (Cao 9 tầng)</v>
      </c>
      <c r="F482" t="str">
        <v>KT</v>
      </c>
      <c r="G482" t="str">
        <v>Tạo lập mô hình BIM</v>
      </c>
      <c r="H482" t="str">
        <v>TKBVTC</v>
      </c>
    </row>
    <row r="483" spans="1:8">
      <c r="A483" t="str">
        <v>3.T.DAN.LVDN.KS.201</v>
      </c>
      <c r="B483" t="str">
        <v>201</v>
      </c>
      <c r="C483" t="str">
        <v>Quản lý BIM</v>
      </c>
      <c r="D483" t="str">
        <v>T.DAN.LVDN.KS</v>
      </c>
      <c r="E483" t="str">
        <v>KS JW Marriott- Làng Vân (Cao 9 tầng)</v>
      </c>
      <c r="F483" t="str">
        <v>KC</v>
      </c>
      <c r="G483" t="str">
        <v>Tạo lập mô hình BIM</v>
      </c>
      <c r="H483" t="str">
        <v>TKBVTC</v>
      </c>
    </row>
    <row r="484" spans="1:8">
      <c r="A484" t="str">
        <v>3.T.HTI.STHT.NOXH.CT.101</v>
      </c>
      <c r="B484" t="str">
        <v>101</v>
      </c>
      <c r="C484" t="str">
        <v>Quản lý BIM</v>
      </c>
      <c r="D484" t="str">
        <v>T.HTI.STHT.NOXH.CT</v>
      </c>
      <c r="E484" t="str">
        <v>NOXH-01 (03 tòa)</v>
      </c>
      <c r="F484" t="str">
        <v>KT</v>
      </c>
      <c r="G484" t="str">
        <v>KSCL mô hình BIM</v>
      </c>
      <c r="H484" t="str">
        <v>TKBVTC</v>
      </c>
    </row>
    <row r="485" spans="1:8">
      <c r="A485" t="str">
        <v>3.T.HTI.STHT.NOXH.CT.201</v>
      </c>
      <c r="B485" t="str">
        <v>201</v>
      </c>
      <c r="C485" t="str">
        <v>Quản lý BIM</v>
      </c>
      <c r="D485" t="str">
        <v>T.HTI.STHT.NOXH.CT</v>
      </c>
      <c r="E485" t="str">
        <v>NOXH-01 (03 tòa)</v>
      </c>
      <c r="F485" t="str">
        <v>KC</v>
      </c>
      <c r="G485" t="str">
        <v>KSCL mô hình BIM</v>
      </c>
      <c r="H485" t="str">
        <v>TKBVTC</v>
      </c>
    </row>
    <row r="486" spans="1:8">
      <c r="A486" t="str">
        <v>3.T.HTI.STHT.NOXH.CT.301</v>
      </c>
      <c r="B486" t="str">
        <v>301</v>
      </c>
      <c r="C486" t="str">
        <v>Quản lý BIM</v>
      </c>
      <c r="D486" t="str">
        <v>T.HTI.STHT.NOXH.CT</v>
      </c>
      <c r="E486" t="str">
        <v>NOXH-01 (03 tòa)</v>
      </c>
      <c r="F486" t="str">
        <v>DI</v>
      </c>
      <c r="G486" t="str">
        <v>KSCL mô hình BIM</v>
      </c>
      <c r="H486" t="str">
        <v>TKBVTC</v>
      </c>
    </row>
    <row r="487" spans="1:8">
      <c r="A487" t="str">
        <v>3.T.HTI.STHT.NOXH.CT.401</v>
      </c>
      <c r="B487" t="str">
        <v>401</v>
      </c>
      <c r="C487" t="str">
        <v>Quản lý BIM</v>
      </c>
      <c r="D487" t="str">
        <v>T.HTI.STHT.NOXH.CT</v>
      </c>
      <c r="E487" t="str">
        <v>NOXH-01 (03 tòa)</v>
      </c>
      <c r="F487" t="str">
        <v>DN</v>
      </c>
      <c r="G487" t="str">
        <v>KSCL mô hình BIM</v>
      </c>
      <c r="H487" t="str">
        <v>TKBVTC</v>
      </c>
    </row>
    <row r="488" spans="1:8">
      <c r="A488" t="str">
        <v>3.T.HTI.STHT.NOXH.CT.501</v>
      </c>
      <c r="B488" t="str">
        <v>501</v>
      </c>
      <c r="C488" t="str">
        <v>Quản lý BIM</v>
      </c>
      <c r="D488" t="str">
        <v>T.HTI.STHT.NOXH.CT</v>
      </c>
      <c r="E488" t="str">
        <v>NOXH-01 (03 tòa)</v>
      </c>
      <c r="F488" t="str">
        <v>NU</v>
      </c>
      <c r="G488" t="str">
        <v>KSCL mô hình BIM</v>
      </c>
      <c r="H488" t="str">
        <v>TKBVTC</v>
      </c>
    </row>
    <row r="489" spans="1:8">
      <c r="A489" t="str">
        <v>3.T.HTI.STHT.NOXH.CT.601</v>
      </c>
      <c r="B489" t="str">
        <v>601</v>
      </c>
      <c r="C489" t="str">
        <v>Quản lý BIM</v>
      </c>
      <c r="D489" t="str">
        <v>T.HTI.STHT.NOXH.CT</v>
      </c>
      <c r="E489" t="str">
        <v>NOXH-01 (03 tòa)</v>
      </c>
      <c r="F489" t="str">
        <v>DH</v>
      </c>
      <c r="G489" t="str">
        <v>KSCL mô hình BIM</v>
      </c>
      <c r="H489" t="str">
        <v>TKBVTC</v>
      </c>
    </row>
    <row r="490" spans="1:8">
      <c r="A490" t="str">
        <v>3.T.HTI.STHT.NOXH.CT.701</v>
      </c>
      <c r="B490" t="str">
        <v>701</v>
      </c>
      <c r="C490" t="str">
        <v>Quản lý BIM</v>
      </c>
      <c r="D490" t="str">
        <v>T.HTI.STHT.NOXH.CT</v>
      </c>
      <c r="E490" t="str">
        <v>NOXH-01 (03 tòa)</v>
      </c>
      <c r="F490" t="str">
        <v>PC</v>
      </c>
      <c r="G490" t="str">
        <v>KSCL mô hình BIM</v>
      </c>
      <c r="H490" t="str">
        <v>TKBVTC</v>
      </c>
    </row>
    <row r="491" spans="1:8">
      <c r="A491" t="str">
        <v>3.T.HTI.STHT.NOXH.CT.502</v>
      </c>
      <c r="B491" t="str">
        <v>502</v>
      </c>
      <c r="C491" t="str">
        <v>Quản lý BIM</v>
      </c>
      <c r="D491" t="str">
        <v>T.HTI.STHT.NOXH.CT</v>
      </c>
      <c r="E491" t="str">
        <v>NOXH-01 (03 tòa)</v>
      </c>
      <c r="F491" t="str">
        <v>NU</v>
      </c>
      <c r="G491" t="str">
        <v>Khởi tạo mô hình BIM</v>
      </c>
      <c r="H491" t="str">
        <v>TKBVTC</v>
      </c>
    </row>
    <row r="492" spans="1:8">
      <c r="A492" t="str">
        <v>3.T.KHO.VPNT.KSMN.101</v>
      </c>
      <c r="B492" t="str">
        <v>101</v>
      </c>
      <c r="C492" t="str">
        <v>Quản lý BIM</v>
      </c>
      <c r="D492" t="str">
        <v>T.KHO.VPNT.KSMN</v>
      </c>
      <c r="E492" t="str">
        <v>Mẫu M1</v>
      </c>
      <c r="F492" t="str">
        <v>KT</v>
      </c>
      <c r="G492" t="str">
        <v>KSCL mô hình BIM</v>
      </c>
      <c r="H492" t="str">
        <v>TKBVTC</v>
      </c>
    </row>
    <row r="493" spans="1:8">
      <c r="A493" t="str">
        <v>3.T.KHO.VPNT.KSMN.102</v>
      </c>
      <c r="B493" t="str">
        <v>102</v>
      </c>
      <c r="C493" t="str">
        <v>Quản lý BIM</v>
      </c>
      <c r="D493" t="str">
        <v>T.KHO.VPNT.KSMN</v>
      </c>
      <c r="E493" t="str">
        <v>Mẫu M1</v>
      </c>
      <c r="F493" t="str">
        <v>KT</v>
      </c>
      <c r="G493" t="str">
        <v>Tạo lập mô hình BIM</v>
      </c>
      <c r="H493" t="str">
        <v>TKBVTC</v>
      </c>
    </row>
    <row r="494" spans="1:8">
      <c r="A494" t="str">
        <v>3.T.KHO.VPNT.KSMN.201</v>
      </c>
      <c r="B494" t="str">
        <v>201</v>
      </c>
      <c r="C494" t="str">
        <v>Quản lý BIM</v>
      </c>
      <c r="D494" t="str">
        <v>T.KHO.VPNT.KSMN</v>
      </c>
      <c r="E494" t="str">
        <v>Mẫu M1</v>
      </c>
      <c r="F494" t="str">
        <v>KC</v>
      </c>
      <c r="G494" t="str">
        <v>KSCL mô hình BIM</v>
      </c>
      <c r="H494" t="str">
        <v>TKBVTC</v>
      </c>
    </row>
    <row r="495" spans="1:8">
      <c r="A495" t="str">
        <v>3.T.KHO.VPNT.KSMN.301</v>
      </c>
      <c r="B495" t="str">
        <v>301</v>
      </c>
      <c r="C495" t="str">
        <v>Quản lý BIM</v>
      </c>
      <c r="D495" t="str">
        <v>T.KHO.VPNT.KSMN</v>
      </c>
      <c r="E495" t="str">
        <v>Mẫu M1</v>
      </c>
      <c r="F495" t="str">
        <v>DI</v>
      </c>
      <c r="G495" t="str">
        <v>KSCL mô hình BIM</v>
      </c>
      <c r="H495" t="str">
        <v>TKBVTC</v>
      </c>
    </row>
    <row r="496" spans="1:8">
      <c r="A496" t="str">
        <v>3.T.KHO.VPNT.KSMN.401</v>
      </c>
      <c r="B496" t="str">
        <v>401</v>
      </c>
      <c r="C496" t="str">
        <v>Quản lý BIM</v>
      </c>
      <c r="D496" t="str">
        <v>T.KHO.VPNT.KSMN</v>
      </c>
      <c r="E496" t="str">
        <v>Mẫu M1</v>
      </c>
      <c r="F496" t="str">
        <v>DN</v>
      </c>
      <c r="G496" t="str">
        <v>KSCL mô hình BIM</v>
      </c>
      <c r="H496" t="str">
        <v>TKBVTC</v>
      </c>
    </row>
    <row r="497" spans="1:8">
      <c r="A497" t="str">
        <v>3.T.KHO.VPNT.KSMN.501</v>
      </c>
      <c r="B497" t="str">
        <v>501</v>
      </c>
      <c r="C497" t="str">
        <v>Quản lý BIM</v>
      </c>
      <c r="D497" t="str">
        <v>T.KHO.VPNT.KSMN</v>
      </c>
      <c r="E497" t="str">
        <v>Mẫu M1</v>
      </c>
      <c r="F497" t="str">
        <v>NU</v>
      </c>
      <c r="G497" t="str">
        <v>KSCL mô hình BIM</v>
      </c>
      <c r="H497" t="str">
        <v>TKBVTC</v>
      </c>
    </row>
    <row r="498" spans="1:8">
      <c r="A498" t="str">
        <v>3.T.KHO.VPNT.KSMN.601</v>
      </c>
      <c r="B498" t="str">
        <v>601</v>
      </c>
      <c r="C498" t="str">
        <v>Quản lý BIM</v>
      </c>
      <c r="D498" t="str">
        <v>T.KHO.VPNT.KSMN</v>
      </c>
      <c r="E498" t="str">
        <v>Mẫu M1</v>
      </c>
      <c r="F498" t="str">
        <v>DH</v>
      </c>
      <c r="G498" t="str">
        <v>KSCL mô hình BIM</v>
      </c>
      <c r="H498" t="str">
        <v>TKBVTC</v>
      </c>
    </row>
    <row r="499" spans="1:8">
      <c r="A499" t="str">
        <v>3.T.KHO.VPNT.KSMN.701</v>
      </c>
      <c r="B499" t="str">
        <v>701</v>
      </c>
      <c r="C499" t="str">
        <v>Quản lý BIM</v>
      </c>
      <c r="D499" t="str">
        <v>T.KHO.VPNT.KSMN</v>
      </c>
      <c r="E499" t="str">
        <v>Mẫu M1</v>
      </c>
      <c r="F499" t="str">
        <v>PC</v>
      </c>
      <c r="G499" t="str">
        <v>KSCL mô hình BIM</v>
      </c>
      <c r="H499" t="str">
        <v>TKBVTC</v>
      </c>
    </row>
    <row r="500" spans="1:8">
      <c r="A500" t="str">
        <v>3.T.KHO.VPNT.KSMN.103</v>
      </c>
      <c r="B500" t="str">
        <v>103</v>
      </c>
      <c r="C500" t="str">
        <v>Quản lý BIM</v>
      </c>
      <c r="D500" t="str">
        <v>T.KHO.VPNT.KSMN</v>
      </c>
      <c r="E500" t="str">
        <v>Mẫu M2</v>
      </c>
      <c r="F500" t="str">
        <v>KT</v>
      </c>
      <c r="G500" t="str">
        <v>KSCL mô hình BIM</v>
      </c>
      <c r="H500" t="str">
        <v>TKBVTC</v>
      </c>
    </row>
    <row r="501" spans="1:8">
      <c r="A501" t="str">
        <v>3.T.KHO.VPNT.KSMN.104</v>
      </c>
      <c r="B501" t="str">
        <v>104</v>
      </c>
      <c r="C501" t="str">
        <v>Quản lý BIM</v>
      </c>
      <c r="D501" t="str">
        <v>T.KHO.VPNT.KSMN</v>
      </c>
      <c r="E501" t="str">
        <v>Mẫu M2</v>
      </c>
      <c r="F501" t="str">
        <v>KT</v>
      </c>
      <c r="G501" t="str">
        <v>Tạo lập mô hình BIM</v>
      </c>
      <c r="H501" t="str">
        <v>TKBVTC</v>
      </c>
    </row>
    <row r="502" spans="1:8">
      <c r="A502" t="str">
        <v>3.T.KHO.VPNT.KSMN.202</v>
      </c>
      <c r="B502" t="str">
        <v>202</v>
      </c>
      <c r="C502" t="str">
        <v>Quản lý BIM</v>
      </c>
      <c r="D502" t="str">
        <v>T.KHO.VPNT.KSMN</v>
      </c>
      <c r="E502" t="str">
        <v>Mẫu M2</v>
      </c>
      <c r="F502" t="str">
        <v>KC</v>
      </c>
      <c r="G502" t="str">
        <v>KSCL mô hình BIM</v>
      </c>
      <c r="H502" t="str">
        <v>TKBVTC</v>
      </c>
    </row>
    <row r="503" spans="1:8">
      <c r="A503" t="str">
        <v>3.T.KHO.VPNT.KSMN.302</v>
      </c>
      <c r="B503" t="str">
        <v>302</v>
      </c>
      <c r="C503" t="str">
        <v>Quản lý BIM</v>
      </c>
      <c r="D503" t="str">
        <v>T.KHO.VPNT.KSMN</v>
      </c>
      <c r="E503" t="str">
        <v>Mẫu M2</v>
      </c>
      <c r="F503" t="str">
        <v>DI</v>
      </c>
      <c r="G503" t="str">
        <v>KSCL mô hình BIM</v>
      </c>
      <c r="H503" t="str">
        <v>TKBVTC</v>
      </c>
    </row>
    <row r="504" spans="1:8">
      <c r="A504" t="str">
        <v>3.T.KHO.VPNT.KSMN.402</v>
      </c>
      <c r="B504" t="str">
        <v>402</v>
      </c>
      <c r="C504" t="str">
        <v>Quản lý BIM</v>
      </c>
      <c r="D504" t="str">
        <v>T.KHO.VPNT.KSMN</v>
      </c>
      <c r="E504" t="str">
        <v>Mẫu M2</v>
      </c>
      <c r="F504" t="str">
        <v>DN</v>
      </c>
      <c r="G504" t="str">
        <v>KSCL mô hình BIM</v>
      </c>
      <c r="H504" t="str">
        <v>TKBVTC</v>
      </c>
    </row>
    <row r="505" spans="1:8">
      <c r="A505" t="str">
        <v>3.T.KHO.VPNT.KSMN.502</v>
      </c>
      <c r="B505" t="str">
        <v>502</v>
      </c>
      <c r="C505" t="str">
        <v>Quản lý BIM</v>
      </c>
      <c r="D505" t="str">
        <v>T.KHO.VPNT.KSMN</v>
      </c>
      <c r="E505" t="str">
        <v>Mẫu M2</v>
      </c>
      <c r="F505" t="str">
        <v>NU</v>
      </c>
      <c r="G505" t="str">
        <v>KSCL mô hình BIM</v>
      </c>
      <c r="H505" t="str">
        <v>TKBVTC</v>
      </c>
    </row>
    <row r="506" spans="1:8">
      <c r="A506" t="str">
        <v>3.T.KHO.VPNT.KSMN.602</v>
      </c>
      <c r="B506" t="str">
        <v>602</v>
      </c>
      <c r="C506" t="str">
        <v>Quản lý BIM</v>
      </c>
      <c r="D506" t="str">
        <v>T.KHO.VPNT.KSMN</v>
      </c>
      <c r="E506" t="str">
        <v>Mẫu M2</v>
      </c>
      <c r="F506" t="str">
        <v>DH</v>
      </c>
      <c r="G506" t="str">
        <v>KSCL mô hình BIM</v>
      </c>
      <c r="H506" t="str">
        <v>TKBVTC</v>
      </c>
    </row>
    <row r="507" spans="1:8">
      <c r="A507" t="str">
        <v>3.T.KHO.VPNT.KSMN.702</v>
      </c>
      <c r="B507" t="str">
        <v>702</v>
      </c>
      <c r="C507" t="str">
        <v>Quản lý BIM</v>
      </c>
      <c r="D507" t="str">
        <v>T.KHO.VPNT.KSMN</v>
      </c>
      <c r="E507" t="str">
        <v>Mẫu M2</v>
      </c>
      <c r="F507" t="str">
        <v>PC</v>
      </c>
      <c r="G507" t="str">
        <v>KSCL mô hình BIM</v>
      </c>
      <c r="H507" t="str">
        <v>TKBVTC</v>
      </c>
    </row>
    <row r="508" spans="1:8">
      <c r="A508" t="str">
        <v>3.T.KHO.VPNT.KSMN.105</v>
      </c>
      <c r="B508" t="str">
        <v>105</v>
      </c>
      <c r="C508" t="str">
        <v>Quản lý BIM</v>
      </c>
      <c r="D508" t="str">
        <v>T.KHO.VPNT.KSMN</v>
      </c>
      <c r="E508" t="str">
        <v>Mẫu M3</v>
      </c>
      <c r="F508" t="str">
        <v>KT</v>
      </c>
      <c r="G508" t="str">
        <v>KSCL mô hình BIM</v>
      </c>
      <c r="H508" t="str">
        <v>TKBVTC</v>
      </c>
    </row>
    <row r="509" spans="1:8">
      <c r="A509" t="str">
        <v>3.T.KHO.VPNT.KSMN.106</v>
      </c>
      <c r="B509" t="str">
        <v>106</v>
      </c>
      <c r="C509" t="str">
        <v>Quản lý BIM</v>
      </c>
      <c r="D509" t="str">
        <v>T.KHO.VPNT.KSMN</v>
      </c>
      <c r="E509" t="str">
        <v>Mẫu M3</v>
      </c>
      <c r="F509" t="str">
        <v>KT</v>
      </c>
      <c r="G509" t="str">
        <v>Tạo lập mô hình BIM</v>
      </c>
      <c r="H509" t="str">
        <v>TKBVTC</v>
      </c>
    </row>
    <row r="510" spans="1:8">
      <c r="A510" t="str">
        <v>3.T.KHO.VPNT.KSMN.203</v>
      </c>
      <c r="B510" t="str">
        <v>203</v>
      </c>
      <c r="C510" t="str">
        <v>Quản lý BIM</v>
      </c>
      <c r="D510" t="str">
        <v>T.KHO.VPNT.KSMN</v>
      </c>
      <c r="E510" t="str">
        <v>Mẫu M3</v>
      </c>
      <c r="F510" t="str">
        <v>KC</v>
      </c>
      <c r="G510" t="str">
        <v>KSCL mô hình BIM</v>
      </c>
      <c r="H510" t="str">
        <v>TKBVTC</v>
      </c>
    </row>
    <row r="511" spans="1:8">
      <c r="A511" t="str">
        <v>3.T.KHO.VPNT.KSMN.303</v>
      </c>
      <c r="B511" t="str">
        <v>303</v>
      </c>
      <c r="C511" t="str">
        <v>Quản lý BIM</v>
      </c>
      <c r="D511" t="str">
        <v>T.KHO.VPNT.KSMN</v>
      </c>
      <c r="E511" t="str">
        <v>Mẫu M3</v>
      </c>
      <c r="F511" t="str">
        <v>DI</v>
      </c>
      <c r="G511" t="str">
        <v>KSCL mô hình BIM</v>
      </c>
      <c r="H511" t="str">
        <v>TKBVTC</v>
      </c>
    </row>
    <row r="512" spans="1:8">
      <c r="A512" t="str">
        <v>3.T.KHO.VPNT.KSMN.403</v>
      </c>
      <c r="B512" t="str">
        <v>403</v>
      </c>
      <c r="C512" t="str">
        <v>Quản lý BIM</v>
      </c>
      <c r="D512" t="str">
        <v>T.KHO.VPNT.KSMN</v>
      </c>
      <c r="E512" t="str">
        <v>Mẫu M3</v>
      </c>
      <c r="F512" t="str">
        <v>DN</v>
      </c>
      <c r="G512" t="str">
        <v>KSCL mô hình BIM</v>
      </c>
      <c r="H512" t="str">
        <v>TKBVTC</v>
      </c>
    </row>
    <row r="513" spans="1:8">
      <c r="A513" t="str">
        <v>3.T.KHO.VPNT.KSMN.503</v>
      </c>
      <c r="B513" t="str">
        <v>503</v>
      </c>
      <c r="C513" t="str">
        <v>Quản lý BIM</v>
      </c>
      <c r="D513" t="str">
        <v>T.KHO.VPNT.KSMN</v>
      </c>
      <c r="E513" t="str">
        <v>Mẫu M3</v>
      </c>
      <c r="F513" t="str">
        <v>NU</v>
      </c>
      <c r="G513" t="str">
        <v>KSCL mô hình BIM</v>
      </c>
      <c r="H513" t="str">
        <v>TKBVTC</v>
      </c>
    </row>
    <row r="514" spans="1:8">
      <c r="A514" t="str">
        <v>3.T.KHO.VPNT.KSMN.603</v>
      </c>
      <c r="B514" t="str">
        <v>603</v>
      </c>
      <c r="C514" t="str">
        <v>Quản lý BIM</v>
      </c>
      <c r="D514" t="str">
        <v>T.KHO.VPNT.KSMN</v>
      </c>
      <c r="E514" t="str">
        <v>Mẫu M3</v>
      </c>
      <c r="F514" t="str">
        <v>DH</v>
      </c>
      <c r="G514" t="str">
        <v>KSCL mô hình BIM</v>
      </c>
      <c r="H514" t="str">
        <v>TKBVTC</v>
      </c>
    </row>
    <row r="515" spans="1:8">
      <c r="A515" t="str">
        <v>3.T.KHO.VPNT.KSMN.703</v>
      </c>
      <c r="B515" t="str">
        <v>703</v>
      </c>
      <c r="C515" t="str">
        <v>Quản lý BIM</v>
      </c>
      <c r="D515" t="str">
        <v>T.KHO.VPNT.KSMN</v>
      </c>
      <c r="E515" t="str">
        <v>Mẫu M3</v>
      </c>
      <c r="F515" t="str">
        <v>PC</v>
      </c>
      <c r="G515" t="str">
        <v>KSCL mô hình BIM</v>
      </c>
      <c r="H515" t="str">
        <v>TKBVTC</v>
      </c>
    </row>
    <row r="516" spans="1:8">
      <c r="A516" t="str">
        <v>3.T.KHO.VPNT.KSMN.107</v>
      </c>
      <c r="B516" t="str">
        <v>107</v>
      </c>
      <c r="C516" t="str">
        <v>Quản lý BIM</v>
      </c>
      <c r="D516" t="str">
        <v>T.KHO.VPNT.KSMN</v>
      </c>
      <c r="E516" t="str">
        <v>Mẫu M4</v>
      </c>
      <c r="F516" t="str">
        <v>KT</v>
      </c>
      <c r="G516" t="str">
        <v>KSCL mô hình BIM</v>
      </c>
      <c r="H516" t="str">
        <v>TKBVTC</v>
      </c>
    </row>
    <row r="517" spans="1:8">
      <c r="A517" t="str">
        <v>3.T.KHO.VPNT.KSMN.108</v>
      </c>
      <c r="B517" t="str">
        <v>108</v>
      </c>
      <c r="C517" t="str">
        <v>Quản lý BIM</v>
      </c>
      <c r="D517" t="str">
        <v>T.KHO.VPNT.KSMN</v>
      </c>
      <c r="E517" t="str">
        <v>Mẫu M4</v>
      </c>
      <c r="F517" t="str">
        <v>KT</v>
      </c>
      <c r="G517" t="str">
        <v>Tạo lập mô hình BIM</v>
      </c>
      <c r="H517" t="str">
        <v>TKBVTC</v>
      </c>
    </row>
    <row r="518" spans="1:8">
      <c r="A518" t="str">
        <v>3.T.KHO.VPNT.KSMN.204</v>
      </c>
      <c r="B518" t="str">
        <v>204</v>
      </c>
      <c r="C518" t="str">
        <v>Quản lý BIM</v>
      </c>
      <c r="D518" t="str">
        <v>T.KHO.VPNT.KSMN</v>
      </c>
      <c r="E518" t="str">
        <v>Mẫu M4</v>
      </c>
      <c r="F518" t="str">
        <v>KC</v>
      </c>
      <c r="G518" t="str">
        <v>KSCL mô hình BIM</v>
      </c>
      <c r="H518" t="str">
        <v>TKBVTC</v>
      </c>
    </row>
    <row r="519" spans="1:8">
      <c r="A519" t="str">
        <v>3.T.KHO.VPNT.KSMN.304</v>
      </c>
      <c r="B519" t="str">
        <v>304</v>
      </c>
      <c r="C519" t="str">
        <v>Quản lý BIM</v>
      </c>
      <c r="D519" t="str">
        <v>T.KHO.VPNT.KSMN</v>
      </c>
      <c r="E519" t="str">
        <v>Mẫu M4</v>
      </c>
      <c r="F519" t="str">
        <v>DI</v>
      </c>
      <c r="G519" t="str">
        <v>KSCL mô hình BIM</v>
      </c>
      <c r="H519" t="str">
        <v>TKBVTC</v>
      </c>
    </row>
    <row r="520" spans="1:8">
      <c r="A520" t="str">
        <v>3.T.KHO.VPNT.KSMN.404</v>
      </c>
      <c r="B520" t="str">
        <v>404</v>
      </c>
      <c r="C520" t="str">
        <v>Quản lý BIM</v>
      </c>
      <c r="D520" t="str">
        <v>T.KHO.VPNT.KSMN</v>
      </c>
      <c r="E520" t="str">
        <v>Mẫu M4</v>
      </c>
      <c r="F520" t="str">
        <v>DN</v>
      </c>
      <c r="G520" t="str">
        <v>KSCL mô hình BIM</v>
      </c>
      <c r="H520" t="str">
        <v>TKBVTC</v>
      </c>
    </row>
    <row r="521" spans="1:8">
      <c r="A521" t="str">
        <v>3.T.KHO.VPNT.KSMN.504</v>
      </c>
      <c r="B521" t="str">
        <v>504</v>
      </c>
      <c r="C521" t="str">
        <v>Quản lý BIM</v>
      </c>
      <c r="D521" t="str">
        <v>T.KHO.VPNT.KSMN</v>
      </c>
      <c r="E521" t="str">
        <v>Mẫu M4</v>
      </c>
      <c r="F521" t="str">
        <v>NU</v>
      </c>
      <c r="G521" t="str">
        <v>KSCL mô hình BIM</v>
      </c>
      <c r="H521" t="str">
        <v>TKBVTC</v>
      </c>
    </row>
    <row r="522" spans="1:8">
      <c r="A522" t="str">
        <v>3.T.KHO.VPNT.KSMN.604</v>
      </c>
      <c r="B522" t="str">
        <v>604</v>
      </c>
      <c r="C522" t="str">
        <v>Quản lý BIM</v>
      </c>
      <c r="D522" t="str">
        <v>T.KHO.VPNT.KSMN</v>
      </c>
      <c r="E522" t="str">
        <v>Mẫu M4</v>
      </c>
      <c r="F522" t="str">
        <v>DH</v>
      </c>
      <c r="G522" t="str">
        <v>KSCL mô hình BIM</v>
      </c>
      <c r="H522" t="str">
        <v>TKBVTC</v>
      </c>
    </row>
    <row r="523" spans="1:8">
      <c r="A523" t="str">
        <v>3.T.KHO.VPNT.KSMN.704</v>
      </c>
      <c r="B523" t="str">
        <v>704</v>
      </c>
      <c r="C523" t="str">
        <v>Quản lý BIM</v>
      </c>
      <c r="D523" t="str">
        <v>T.KHO.VPNT.KSMN</v>
      </c>
      <c r="E523" t="str">
        <v>Mẫu M4</v>
      </c>
      <c r="F523" t="str">
        <v>PC</v>
      </c>
      <c r="G523" t="str">
        <v>KSCL mô hình BIM</v>
      </c>
      <c r="H523" t="str">
        <v>TKBVTC</v>
      </c>
    </row>
    <row r="524" spans="1:8">
      <c r="A524" t="str">
        <v>3.T.KHO.VPNT.KSMN.109</v>
      </c>
      <c r="B524" t="str">
        <v>109</v>
      </c>
      <c r="C524" t="str">
        <v>Quản lý BIM</v>
      </c>
      <c r="D524" t="str">
        <v>T.KHO.VPNT.KSMN</v>
      </c>
      <c r="E524" t="str">
        <v>Mẫu M5</v>
      </c>
      <c r="F524" t="str">
        <v>KT</v>
      </c>
      <c r="G524" t="str">
        <v>KSCL mô hình BIM</v>
      </c>
      <c r="H524" t="str">
        <v>TKBVTC</v>
      </c>
    </row>
    <row r="525" spans="1:8">
      <c r="A525" t="str">
        <v>3.T.KHO.VPNT.KSMN.110</v>
      </c>
      <c r="B525" t="str">
        <v>110</v>
      </c>
      <c r="C525" t="str">
        <v>Quản lý BIM</v>
      </c>
      <c r="D525" t="str">
        <v>T.KHO.VPNT.KSMN</v>
      </c>
      <c r="E525" t="str">
        <v>Mẫu M5</v>
      </c>
      <c r="F525" t="str">
        <v>KT</v>
      </c>
      <c r="G525" t="str">
        <v>Tạo lập mô hình BIM</v>
      </c>
      <c r="H525" t="str">
        <v>TKBVTC</v>
      </c>
    </row>
    <row r="526" spans="1:8">
      <c r="A526" t="str">
        <v>3.T.KHO.VPNT.KSMN.205</v>
      </c>
      <c r="B526" t="str">
        <v>205</v>
      </c>
      <c r="C526" t="str">
        <v>Quản lý BIM</v>
      </c>
      <c r="D526" t="str">
        <v>T.KHO.VPNT.KSMN</v>
      </c>
      <c r="E526" t="str">
        <v>Mẫu M5</v>
      </c>
      <c r="F526" t="str">
        <v>KC</v>
      </c>
      <c r="G526" t="str">
        <v>KSCL mô hình BIM</v>
      </c>
      <c r="H526" t="str">
        <v>TKBVTC</v>
      </c>
    </row>
    <row r="527" spans="1:8">
      <c r="A527" t="str">
        <v>3.T.KHO.VPNT.KSMN.305</v>
      </c>
      <c r="B527" t="str">
        <v>305</v>
      </c>
      <c r="C527" t="str">
        <v>Quản lý BIM</v>
      </c>
      <c r="D527" t="str">
        <v>T.KHO.VPNT.KSMN</v>
      </c>
      <c r="E527" t="str">
        <v>Mẫu M5</v>
      </c>
      <c r="F527" t="str">
        <v>DI</v>
      </c>
      <c r="G527" t="str">
        <v>KSCL mô hình BIM</v>
      </c>
      <c r="H527" t="str">
        <v>TKBVTC</v>
      </c>
    </row>
    <row r="528" spans="1:8">
      <c r="A528" t="str">
        <v>3.T.KHO.VPNT.KSMN.405</v>
      </c>
      <c r="B528" t="str">
        <v>405</v>
      </c>
      <c r="C528" t="str">
        <v>Quản lý BIM</v>
      </c>
      <c r="D528" t="str">
        <v>T.KHO.VPNT.KSMN</v>
      </c>
      <c r="E528" t="str">
        <v>Mẫu M5</v>
      </c>
      <c r="F528" t="str">
        <v>DN</v>
      </c>
      <c r="G528" t="str">
        <v>KSCL mô hình BIM</v>
      </c>
      <c r="H528" t="str">
        <v>TKBVTC</v>
      </c>
    </row>
    <row r="529" spans="1:8">
      <c r="A529" t="str">
        <v>3.T.KHO.VPNT.KSMN.505</v>
      </c>
      <c r="B529" t="str">
        <v>505</v>
      </c>
      <c r="C529" t="str">
        <v>Quản lý BIM</v>
      </c>
      <c r="D529" t="str">
        <v>T.KHO.VPNT.KSMN</v>
      </c>
      <c r="E529" t="str">
        <v>Mẫu M5</v>
      </c>
      <c r="F529" t="str">
        <v>NU</v>
      </c>
      <c r="G529" t="str">
        <v>KSCL mô hình BIM</v>
      </c>
      <c r="H529" t="str">
        <v>TKBVTC</v>
      </c>
    </row>
    <row r="530" spans="1:8">
      <c r="A530" t="str">
        <v>3.T.KHO.VPNT.KSMN.605</v>
      </c>
      <c r="B530" t="str">
        <v>605</v>
      </c>
      <c r="C530" t="str">
        <v>Quản lý BIM</v>
      </c>
      <c r="D530" t="str">
        <v>T.KHO.VPNT.KSMN</v>
      </c>
      <c r="E530" t="str">
        <v>Mẫu M5</v>
      </c>
      <c r="F530" t="str">
        <v>DH</v>
      </c>
      <c r="G530" t="str">
        <v>KSCL mô hình BIM</v>
      </c>
      <c r="H530" t="str">
        <v>TKBVTC</v>
      </c>
    </row>
    <row r="531" spans="1:8">
      <c r="A531" t="str">
        <v>3.T.KHO.VPNT.KSMN.705</v>
      </c>
      <c r="B531" t="str">
        <v>705</v>
      </c>
      <c r="C531" t="str">
        <v>Quản lý BIM</v>
      </c>
      <c r="D531" t="str">
        <v>T.KHO.VPNT.KSMN</v>
      </c>
      <c r="E531" t="str">
        <v>Mẫu M5</v>
      </c>
      <c r="F531" t="str">
        <v>PC</v>
      </c>
      <c r="G531" t="str">
        <v>KSCL mô hình BIM</v>
      </c>
      <c r="H531" t="str">
        <v>TKBVTC</v>
      </c>
    </row>
    <row r="532" spans="1:8">
      <c r="A532" t="str">
        <v>3.T.KHO.VPNT.KSMN.111</v>
      </c>
      <c r="B532" t="str">
        <v>111</v>
      </c>
      <c r="C532" t="str">
        <v>Quản lý BIM</v>
      </c>
      <c r="D532" t="str">
        <v>T.KHO.VPNT.KSMN</v>
      </c>
      <c r="E532" t="str">
        <v>Mẫu M6</v>
      </c>
      <c r="F532" t="str">
        <v>KT</v>
      </c>
      <c r="G532" t="str">
        <v>KSCL mô hình BIM</v>
      </c>
      <c r="H532" t="str">
        <v>TKBVTC</v>
      </c>
    </row>
    <row r="533" spans="1:8">
      <c r="A533" t="str">
        <v>3.T.KHO.VPNT.KSMN.112</v>
      </c>
      <c r="B533" t="str">
        <v>112</v>
      </c>
      <c r="C533" t="str">
        <v>Quản lý BIM</v>
      </c>
      <c r="D533" t="str">
        <v>T.KHO.VPNT.KSMN</v>
      </c>
      <c r="E533" t="str">
        <v>Mẫu M6</v>
      </c>
      <c r="F533" t="str">
        <v>KT</v>
      </c>
      <c r="G533" t="str">
        <v>Tạo lập mô hình BIM</v>
      </c>
      <c r="H533" t="str">
        <v>TKBVTC</v>
      </c>
    </row>
    <row r="534" spans="1:8">
      <c r="A534" t="str">
        <v>3.T.KHO.VPNT.KSMN.206</v>
      </c>
      <c r="B534" t="str">
        <v>206</v>
      </c>
      <c r="C534" t="str">
        <v>Quản lý BIM</v>
      </c>
      <c r="D534" t="str">
        <v>T.KHO.VPNT.KSMN</v>
      </c>
      <c r="E534" t="str">
        <v>Mẫu M6</v>
      </c>
      <c r="F534" t="str">
        <v>KC</v>
      </c>
      <c r="G534" t="str">
        <v>KSCL mô hình BIM</v>
      </c>
      <c r="H534" t="str">
        <v>TKBVTC</v>
      </c>
    </row>
    <row r="535" spans="1:8">
      <c r="A535" t="str">
        <v>3.T.KHO.VPNT.KSMN.306</v>
      </c>
      <c r="B535" t="str">
        <v>306</v>
      </c>
      <c r="C535" t="str">
        <v>Quản lý BIM</v>
      </c>
      <c r="D535" t="str">
        <v>T.KHO.VPNT.KSMN</v>
      </c>
      <c r="E535" t="str">
        <v>Mẫu M6</v>
      </c>
      <c r="F535" t="str">
        <v>DI</v>
      </c>
      <c r="G535" t="str">
        <v>KSCL mô hình BIM</v>
      </c>
      <c r="H535" t="str">
        <v>TKBVTC</v>
      </c>
    </row>
    <row r="536" spans="1:8">
      <c r="A536" t="str">
        <v>3.T.KHO.VPNT.KSMN.406</v>
      </c>
      <c r="B536" t="str">
        <v>406</v>
      </c>
      <c r="C536" t="str">
        <v>Quản lý BIM</v>
      </c>
      <c r="D536" t="str">
        <v>T.KHO.VPNT.KSMN</v>
      </c>
      <c r="E536" t="str">
        <v>Mẫu M6</v>
      </c>
      <c r="F536" t="str">
        <v>DN</v>
      </c>
      <c r="G536" t="str">
        <v>KSCL mô hình BIM</v>
      </c>
      <c r="H536" t="str">
        <v>TKBVTC</v>
      </c>
    </row>
    <row r="537" spans="1:8">
      <c r="A537" t="str">
        <v>3.T.KHO.VPNT.KSMN.506</v>
      </c>
      <c r="B537" t="str">
        <v>506</v>
      </c>
      <c r="C537" t="str">
        <v>Quản lý BIM</v>
      </c>
      <c r="D537" t="str">
        <v>T.KHO.VPNT.KSMN</v>
      </c>
      <c r="E537" t="str">
        <v>Mẫu M6</v>
      </c>
      <c r="F537" t="str">
        <v>NU</v>
      </c>
      <c r="G537" t="str">
        <v>KSCL mô hình BIM</v>
      </c>
      <c r="H537" t="str">
        <v>TKBVTC</v>
      </c>
    </row>
    <row r="538" spans="1:8">
      <c r="A538" t="str">
        <v>3.T.KHO.VPNT.KSMN.606</v>
      </c>
      <c r="B538" t="str">
        <v>606</v>
      </c>
      <c r="C538" t="str">
        <v>Quản lý BIM</v>
      </c>
      <c r="D538" t="str">
        <v>T.KHO.VPNT.KSMN</v>
      </c>
      <c r="E538" t="str">
        <v>Mẫu M6</v>
      </c>
      <c r="F538" t="str">
        <v>DH</v>
      </c>
      <c r="G538" t="str">
        <v>KSCL mô hình BIM</v>
      </c>
      <c r="H538" t="str">
        <v>TKBVTC</v>
      </c>
    </row>
    <row r="539" spans="1:8">
      <c r="A539" t="str">
        <v>3.T.KHO.VPNT.KSMN.706</v>
      </c>
      <c r="B539" t="str">
        <v>706</v>
      </c>
      <c r="C539" t="str">
        <v>Quản lý BIM</v>
      </c>
      <c r="D539" t="str">
        <v>T.KHO.VPNT.KSMN</v>
      </c>
      <c r="E539" t="str">
        <v>Mẫu M6</v>
      </c>
      <c r="F539" t="str">
        <v>PC</v>
      </c>
      <c r="G539" t="str">
        <v>KSCL mô hình BIM</v>
      </c>
      <c r="H539" t="str">
        <v>TKBVTC</v>
      </c>
    </row>
    <row r="540" spans="1:8">
      <c r="A540" t="str">
        <v>3.N.HCM.CGIO.KSMN.107</v>
      </c>
      <c r="B540" t="str">
        <v>107</v>
      </c>
      <c r="C540" t="str">
        <v>Quản lý BIM</v>
      </c>
      <c r="D540" t="str">
        <v>N.HCM.CGIO.KSMN</v>
      </c>
      <c r="E540" t="str">
        <v>Lô A5.01.01, mẫu M1G, M7, M8G</v>
      </c>
      <c r="F540" t="str">
        <v>KT</v>
      </c>
      <c r="G540" t="str">
        <v>Tạo lập thư viện</v>
      </c>
      <c r="H540" t="str">
        <v>TKBVTC</v>
      </c>
    </row>
    <row r="541" spans="1:8">
      <c r="A541" t="str">
        <v>3.N.HCM.CGIO.KSMN.108</v>
      </c>
      <c r="B541" t="str">
        <v>108</v>
      </c>
      <c r="C541" t="str">
        <v>Quản lý BIM</v>
      </c>
      <c r="D541" t="str">
        <v>N.HCM.CGIO.KSMN</v>
      </c>
      <c r="E541" t="str">
        <v>A5.01.02_M4G</v>
      </c>
      <c r="F541" t="str">
        <v>KT</v>
      </c>
      <c r="G541" t="str">
        <v>Tạo lập thư viện</v>
      </c>
      <c r="H541" t="str">
        <v>TKBVTC</v>
      </c>
    </row>
    <row r="542" spans="1:8">
      <c r="A542" t="str">
        <v>4.B.HNO.VHOHN.SVD.001</v>
      </c>
      <c r="B542" t="str">
        <v>001</v>
      </c>
      <c r="C542" t="str">
        <v>Thanh tra BIM</v>
      </c>
      <c r="D542" t="str">
        <v>B.HNO.VHOHN.SVD</v>
      </c>
      <c r="E542" t="str">
        <v>Khách sạn lô B5.02.04</v>
      </c>
      <c r="F542" t="str">
        <v>BIM</v>
      </c>
      <c r="G542" t="str">
        <v>Đánh giá KSCL mô hình</v>
      </c>
      <c r="H542" t="str">
        <v>Cao</v>
      </c>
    </row>
    <row r="543" spans="1:8">
      <c r="A543" t="str">
        <v>4.B.HYE.PVF.002</v>
      </c>
      <c r="B543" t="str">
        <v>002</v>
      </c>
      <c r="C543" t="str">
        <v>Thanh tra BIM</v>
      </c>
      <c r="D543" t="str">
        <v>B.HYE.PVF</v>
      </c>
      <c r="E543">
        <v>0</v>
      </c>
      <c r="F543">
        <v>0</v>
      </c>
      <c r="G543" t="str">
        <v>Lấy ý kiến xác nhận lỗi</v>
      </c>
      <c r="H543" t="str">
        <v>Cao</v>
      </c>
    </row>
    <row r="544" spans="1:8">
      <c r="A544" t="str">
        <v>4..003</v>
      </c>
      <c r="B544" t="str">
        <v>003</v>
      </c>
      <c r="C544" t="str">
        <v>Thanh tra BIM</v>
      </c>
      <c r="D544">
        <v>0</v>
      </c>
      <c r="E544">
        <v>0</v>
      </c>
      <c r="F544">
        <v>0</v>
      </c>
      <c r="G544" t="str">
        <v>Lập BB XLVP</v>
      </c>
      <c r="H544" t="str">
        <v>Cao</v>
      </c>
    </row>
    <row r="545" spans="1:8">
      <c r="A545" t="str">
        <v>4..004</v>
      </c>
      <c r="B545" t="str">
        <v>004</v>
      </c>
      <c r="C545" t="str">
        <v>Thanh tra BIM</v>
      </c>
      <c r="D545">
        <v>0</v>
      </c>
      <c r="E545">
        <v>0</v>
      </c>
      <c r="F545">
        <v>0</v>
      </c>
      <c r="G545">
        <v>0</v>
      </c>
      <c r="H545" t="str">
        <v>Cao</v>
      </c>
    </row>
    <row r="546" spans="1:8">
      <c r="A546" t="str">
        <v>4..005</v>
      </c>
      <c r="B546" t="str">
        <v>005</v>
      </c>
      <c r="C546" t="str">
        <v>Thanh tra BIM</v>
      </c>
      <c r="D546">
        <v>0</v>
      </c>
      <c r="E546">
        <v>0</v>
      </c>
      <c r="F546">
        <v>0</v>
      </c>
      <c r="G546">
        <v>0</v>
      </c>
      <c r="H546" t="str">
        <v>Cao</v>
      </c>
    </row>
    <row r="547" spans="1:8">
      <c r="A547" t="str">
        <v>4..006</v>
      </c>
      <c r="B547" t="str">
        <v>006</v>
      </c>
      <c r="C547" t="str">
        <v>Thanh tra BIM</v>
      </c>
      <c r="D547">
        <v>0</v>
      </c>
      <c r="E547">
        <v>0</v>
      </c>
      <c r="F547">
        <v>0</v>
      </c>
      <c r="G547">
        <v>0</v>
      </c>
      <c r="H547" t="str">
        <v>Cao</v>
      </c>
    </row>
    <row r="548" spans="1:8">
      <c r="A548" t="str">
        <v>4..007</v>
      </c>
      <c r="B548" t="str">
        <v>007</v>
      </c>
      <c r="C548" t="str">
        <v>Thanh tra BIM</v>
      </c>
      <c r="D548">
        <v>0</v>
      </c>
      <c r="E548">
        <v>0</v>
      </c>
      <c r="F548">
        <v>0</v>
      </c>
      <c r="G548">
        <v>0</v>
      </c>
      <c r="H548" t="str">
        <v>Cao</v>
      </c>
    </row>
    <row r="549" spans="1:8">
      <c r="A549" t="str">
        <v>4..008</v>
      </c>
      <c r="B549" t="str">
        <v>008</v>
      </c>
      <c r="C549" t="str">
        <v>Thanh tra BIM</v>
      </c>
      <c r="D549">
        <v>0</v>
      </c>
      <c r="E549">
        <v>0</v>
      </c>
      <c r="F549">
        <v>0</v>
      </c>
      <c r="G549">
        <v>0</v>
      </c>
      <c r="H549" t="str">
        <v>Cao</v>
      </c>
    </row>
    <row r="550" spans="1:8">
      <c r="A550" t="str">
        <v>4..009</v>
      </c>
      <c r="B550" t="str">
        <v>009</v>
      </c>
      <c r="C550" t="str">
        <v>Thanh tra BIM</v>
      </c>
      <c r="D550">
        <v>0</v>
      </c>
      <c r="E550">
        <v>0</v>
      </c>
      <c r="F550">
        <v>0</v>
      </c>
      <c r="G550">
        <v>0</v>
      </c>
      <c r="H550" t="str">
        <v>Cao</v>
      </c>
    </row>
    <row r="551" spans="1:8">
      <c r="A551" t="str">
        <v>4..010</v>
      </c>
      <c r="B551" t="str">
        <v>010</v>
      </c>
      <c r="C551" t="str">
        <v>Thanh tra BIM</v>
      </c>
      <c r="D551">
        <v>0</v>
      </c>
      <c r="E551">
        <v>0</v>
      </c>
      <c r="F551">
        <v>0</v>
      </c>
      <c r="G551">
        <v>0</v>
      </c>
      <c r="H551" t="str">
        <v>Cao</v>
      </c>
    </row>
    <row r="552" spans="1:8">
      <c r="A552" t="str">
        <v>4..011</v>
      </c>
      <c r="B552" t="str">
        <v>011</v>
      </c>
      <c r="C552" t="str">
        <v>Thanh tra BIM</v>
      </c>
      <c r="D552">
        <v>0</v>
      </c>
      <c r="E552">
        <v>0</v>
      </c>
      <c r="F552">
        <v>0</v>
      </c>
      <c r="G552">
        <v>0</v>
      </c>
      <c r="H552" t="str">
        <v>Cao</v>
      </c>
    </row>
    <row r="553" spans="1:8">
      <c r="A553" t="str">
        <v>4..012</v>
      </c>
      <c r="B553" t="str">
        <v>012</v>
      </c>
      <c r="C553" t="str">
        <v>Thanh tra BIM</v>
      </c>
      <c r="D553">
        <v>0</v>
      </c>
      <c r="E553">
        <v>0</v>
      </c>
      <c r="F553">
        <v>0</v>
      </c>
      <c r="G553">
        <v>0</v>
      </c>
      <c r="H553" t="str">
        <v>Cao</v>
      </c>
    </row>
    <row r="554" spans="1:8">
      <c r="A554" t="str">
        <v>4..013</v>
      </c>
      <c r="B554" t="str">
        <v>013</v>
      </c>
      <c r="C554" t="str">
        <v>Thanh tra BIM</v>
      </c>
      <c r="D554">
        <v>0</v>
      </c>
      <c r="E554">
        <v>0</v>
      </c>
      <c r="F554">
        <v>0</v>
      </c>
      <c r="G554">
        <v>0</v>
      </c>
      <c r="H554" t="str">
        <v>Cao</v>
      </c>
    </row>
    <row r="555" spans="1:8">
      <c r="A555" t="str">
        <v>4..014</v>
      </c>
      <c r="B555" t="str">
        <v>014</v>
      </c>
      <c r="C555" t="str">
        <v>Thanh tra BIM</v>
      </c>
      <c r="D555">
        <v>0</v>
      </c>
      <c r="E555">
        <v>0</v>
      </c>
      <c r="F555">
        <v>0</v>
      </c>
      <c r="G555">
        <v>0</v>
      </c>
      <c r="H555" t="str">
        <v>Cao</v>
      </c>
    </row>
    <row r="556" spans="1:8">
      <c r="A556" t="str">
        <v>4..015</v>
      </c>
      <c r="B556" t="str">
        <v>015</v>
      </c>
      <c r="C556" t="str">
        <v>Thanh tra BIM</v>
      </c>
      <c r="D556">
        <v>0</v>
      </c>
      <c r="E556">
        <v>0</v>
      </c>
      <c r="F556">
        <v>0</v>
      </c>
      <c r="G556">
        <v>0</v>
      </c>
      <c r="H556" t="str">
        <v>Cao</v>
      </c>
    </row>
    <row r="557" spans="1:8">
      <c r="A557" t="str">
        <v>5.Revit.01</v>
      </c>
      <c r="B557" t="str">
        <v>01</v>
      </c>
      <c r="C557" t="str">
        <v>Phát triển BIM Tools</v>
      </c>
      <c r="D557" t="str">
        <v>Revit</v>
      </c>
      <c r="E557" t="str">
        <v>Dàn trang tài liệu bán hàng CAD</v>
      </c>
      <c r="F557" t="str">
        <v>BIM IT</v>
      </c>
      <c r="G557" t="str">
        <v>Thực hiện Code</v>
      </c>
      <c r="H557" t="str">
        <v>Cao</v>
      </c>
    </row>
    <row r="558" spans="1:8">
      <c r="A558" t="str">
        <v>5.Revit.02</v>
      </c>
      <c r="B558" t="str">
        <v>02</v>
      </c>
      <c r="C558" t="str">
        <v>Phát triển BIM Tools</v>
      </c>
      <c r="D558" t="str">
        <v>Revit</v>
      </c>
      <c r="E558" t="str">
        <v>Dàn trang tài liệu bán hàng CAD</v>
      </c>
      <c r="F558" t="str">
        <v>BIM IT</v>
      </c>
      <c r="G558" t="str">
        <v>Chạy thử và Đánh giá</v>
      </c>
      <c r="H558" t="str">
        <v>Cao</v>
      </c>
    </row>
    <row r="559" spans="1:8">
      <c r="A559" t="str">
        <v>5.Revit.03</v>
      </c>
      <c r="B559" t="str">
        <v>03</v>
      </c>
      <c r="C559" t="str">
        <v>Phát triển BIM Tools</v>
      </c>
      <c r="D559" t="str">
        <v>Revit</v>
      </c>
      <c r="E559" t="str">
        <v>Dàn trang tài liệu bán hàng CAD</v>
      </c>
      <c r="F559" t="str">
        <v>BIM IT</v>
      </c>
      <c r="G559" t="str">
        <v>Hướng dẫn sử dụng</v>
      </c>
      <c r="H559" t="str">
        <v>Cao</v>
      </c>
    </row>
    <row r="560" spans="1:8">
      <c r="A560" t="str">
        <v>5.Revit.04</v>
      </c>
      <c r="B560" t="str">
        <v>04</v>
      </c>
      <c r="C560" t="str">
        <v>Phát triển BIM Tools</v>
      </c>
      <c r="D560" t="str">
        <v>Revit</v>
      </c>
      <c r="E560" t="str">
        <v>Dàn trang tài liệu bán hàng CAD</v>
      </c>
      <c r="F560" t="str">
        <v>BIM IT</v>
      </c>
      <c r="G560" t="str">
        <v>Xuất bản</v>
      </c>
      <c r="H560" t="str">
        <v>Cao</v>
      </c>
    </row>
    <row r="561" spans="1:8">
      <c r="A561" t="str">
        <v>5.Revit.05</v>
      </c>
      <c r="B561" t="str">
        <v>05</v>
      </c>
      <c r="C561" t="str">
        <v>Phát triển BIM Tools</v>
      </c>
      <c r="D561" t="str">
        <v>Revit</v>
      </c>
      <c r="E561" t="str">
        <v xml:space="preserve">Edit Tường, Sàn KT </v>
      </c>
      <c r="F561" t="str">
        <v>BIM IT</v>
      </c>
      <c r="G561" t="str">
        <v>Ghi nhận yêu cầu và tìm hiểu nghiệp vụ</v>
      </c>
      <c r="H561" t="str">
        <v>Trung bình</v>
      </c>
    </row>
    <row r="562" spans="1:8">
      <c r="A562" t="str">
        <v>5.Revit.06</v>
      </c>
      <c r="B562" t="str">
        <v>06</v>
      </c>
      <c r="C562" t="str">
        <v>Phát triển BIM Tools</v>
      </c>
      <c r="D562" t="str">
        <v>Revit</v>
      </c>
      <c r="E562" t="str">
        <v xml:space="preserve">Edit Tường, Sàn KT </v>
      </c>
      <c r="F562" t="str">
        <v>BIM IT</v>
      </c>
      <c r="G562" t="str">
        <v>Lên và Trình PD phương án</v>
      </c>
      <c r="H562" t="str">
        <v>Trung bình</v>
      </c>
    </row>
    <row r="563" spans="1:8">
      <c r="A563" t="str">
        <v>5.Revit.07</v>
      </c>
      <c r="B563" t="str">
        <v>07</v>
      </c>
      <c r="C563" t="str">
        <v>Phát triển BIM Tools</v>
      </c>
      <c r="D563" t="str">
        <v>Revit</v>
      </c>
      <c r="E563" t="str">
        <v xml:space="preserve">Edit Tường, Sàn KT </v>
      </c>
      <c r="F563" t="str">
        <v>BIM IT</v>
      </c>
      <c r="G563" t="str">
        <v>Thực hiện Code</v>
      </c>
      <c r="H563" t="str">
        <v>Trung bình</v>
      </c>
    </row>
    <row r="564" spans="1:8">
      <c r="A564" t="str">
        <v>5.Revit.08</v>
      </c>
      <c r="B564" t="str">
        <v>08</v>
      </c>
      <c r="C564" t="str">
        <v>Phát triển BIM Tools</v>
      </c>
      <c r="D564" t="str">
        <v>Revit</v>
      </c>
      <c r="E564" t="str">
        <v xml:space="preserve">Edit Tường, Sàn KT </v>
      </c>
      <c r="F564" t="str">
        <v>BIM IT</v>
      </c>
      <c r="G564" t="str">
        <v>Chạy thử và Đánh giá</v>
      </c>
      <c r="H564" t="str">
        <v>Trung bình</v>
      </c>
    </row>
    <row r="565" spans="1:8">
      <c r="A565" t="str">
        <v>5.Revit.10</v>
      </c>
      <c r="B565" t="str">
        <v>10</v>
      </c>
      <c r="C565" t="str">
        <v>Phát triển BIM Tools</v>
      </c>
      <c r="D565" t="str">
        <v>Revit</v>
      </c>
      <c r="E565" t="str">
        <v xml:space="preserve">Edit Tường, Sàn KT </v>
      </c>
      <c r="F565" t="str">
        <v>BIM IT</v>
      </c>
      <c r="G565" t="str">
        <v>Hướng dẫn sử dụng</v>
      </c>
      <c r="H565" t="str">
        <v>Trung bình</v>
      </c>
    </row>
    <row r="566" spans="1:8">
      <c r="A566" t="str">
        <v>5.Revit.11</v>
      </c>
      <c r="B566" t="str">
        <v>11</v>
      </c>
      <c r="C566" t="str">
        <v>Phát triển BIM Tools</v>
      </c>
      <c r="D566" t="str">
        <v>Revit</v>
      </c>
      <c r="E566" t="str">
        <v xml:space="preserve">Edit Tường, Sàn KT </v>
      </c>
      <c r="F566" t="str">
        <v>BIM IT</v>
      </c>
      <c r="G566" t="str">
        <v>Xuất bản</v>
      </c>
      <c r="H566" t="str">
        <v>Trung bình</v>
      </c>
    </row>
    <row r="567" spans="1:8">
      <c r="A567" t="str">
        <v>5.Revit.12</v>
      </c>
      <c r="B567" t="str">
        <v>12</v>
      </c>
      <c r="C567" t="str">
        <v>Phát triển BIM Tools</v>
      </c>
      <c r="D567" t="str">
        <v>Revit</v>
      </c>
      <c r="E567" t="str">
        <v>Thống kê tình trạng bàn giao đất</v>
      </c>
      <c r="F567" t="str">
        <v>BIM IT</v>
      </c>
      <c r="G567" t="str">
        <v>Ghi nhận yêu cầu và tìm hiểu nghiệp vụ</v>
      </c>
      <c r="H567" t="str">
        <v>Cao</v>
      </c>
    </row>
    <row r="568" spans="1:8">
      <c r="A568" t="str">
        <v>5.Revit.13</v>
      </c>
      <c r="B568" t="str">
        <v>13</v>
      </c>
      <c r="C568" t="str">
        <v>Phát triển BIM Tools</v>
      </c>
      <c r="D568" t="str">
        <v>Revit</v>
      </c>
      <c r="E568" t="str">
        <v>Thống kê tình trạng bàn giao đất</v>
      </c>
      <c r="F568" t="str">
        <v>BIM IT</v>
      </c>
      <c r="G568" t="str">
        <v>Lên và Trình PD phương án</v>
      </c>
      <c r="H568" t="str">
        <v>Cao</v>
      </c>
    </row>
    <row r="569" spans="1:8">
      <c r="A569" t="str">
        <v>5.Revit.14</v>
      </c>
      <c r="B569" t="str">
        <v>14</v>
      </c>
      <c r="C569" t="str">
        <v>Phát triển BIM Tools</v>
      </c>
      <c r="D569" t="str">
        <v>Revit</v>
      </c>
      <c r="E569" t="str">
        <v>Thống kê tình trạng bàn giao đất</v>
      </c>
      <c r="F569" t="str">
        <v>BIM IT</v>
      </c>
      <c r="G569" t="str">
        <v>Thực hiện Code</v>
      </c>
      <c r="H569" t="str">
        <v>Cao</v>
      </c>
    </row>
    <row r="570" spans="1:8">
      <c r="A570" t="str">
        <v>5.Revit.15</v>
      </c>
      <c r="B570" t="str">
        <v>15</v>
      </c>
      <c r="C570" t="str">
        <v>Phát triển BIM Tools</v>
      </c>
      <c r="D570" t="str">
        <v>Revit</v>
      </c>
      <c r="E570" t="str">
        <v>Thống kê tình trạng bàn giao đất</v>
      </c>
      <c r="F570" t="str">
        <v>BIM IT</v>
      </c>
      <c r="G570" t="str">
        <v>Chạy thử và Đánh giá</v>
      </c>
      <c r="H570" t="str">
        <v>Cao</v>
      </c>
    </row>
    <row r="571" spans="1:8">
      <c r="A571" t="str">
        <v>5.Revit.17</v>
      </c>
      <c r="B571" t="str">
        <v>17</v>
      </c>
      <c r="C571" t="str">
        <v>Phát triển BIM Tools</v>
      </c>
      <c r="D571" t="str">
        <v>Revit</v>
      </c>
      <c r="E571" t="str">
        <v>Thống kê tình trạng bàn giao đất</v>
      </c>
      <c r="F571" t="str">
        <v>BIM IT</v>
      </c>
      <c r="G571" t="str">
        <v>Hướng dẫn sử dụng</v>
      </c>
      <c r="H571" t="str">
        <v>Cao</v>
      </c>
    </row>
    <row r="572" spans="1:8">
      <c r="A572" t="str">
        <v>5.Revit.18</v>
      </c>
      <c r="B572" t="str">
        <v>18</v>
      </c>
      <c r="C572" t="str">
        <v>Phát triển BIM Tools</v>
      </c>
      <c r="D572" t="str">
        <v>Revit</v>
      </c>
      <c r="E572" t="str">
        <v>Thống kê tình trạng bàn giao đất</v>
      </c>
      <c r="F572" t="str">
        <v>BIM IT</v>
      </c>
      <c r="G572" t="str">
        <v>Xuất bản</v>
      </c>
      <c r="H572" t="str">
        <v>Cao</v>
      </c>
    </row>
    <row r="573" spans="1:8">
      <c r="A573" t="str">
        <v>5.Revit.19</v>
      </c>
      <c r="B573" t="str">
        <v>19</v>
      </c>
      <c r="C573" t="str">
        <v>Phát triển BIM Tools</v>
      </c>
      <c r="D573" t="str">
        <v>Revit</v>
      </c>
      <c r="E573" t="str">
        <v>QC mô hình</v>
      </c>
      <c r="F573" t="str">
        <v>BIM IT</v>
      </c>
      <c r="G573" t="str">
        <v>Ghi nhận yêu cầu và tìm hiểu nghiệp vụ</v>
      </c>
      <c r="H573" t="str">
        <v>Cao</v>
      </c>
    </row>
    <row r="574" spans="1:8">
      <c r="A574" t="str">
        <v>5.Revit.20</v>
      </c>
      <c r="B574" t="str">
        <v>20</v>
      </c>
      <c r="C574" t="str">
        <v>Phát triển BIM Tools</v>
      </c>
      <c r="D574" t="str">
        <v>Revit</v>
      </c>
      <c r="E574" t="str">
        <v>QC mô hình</v>
      </c>
      <c r="F574" t="str">
        <v>BIM IT</v>
      </c>
      <c r="G574" t="str">
        <v>Lên và Trình PD phương án</v>
      </c>
      <c r="H574" t="str">
        <v>Cao</v>
      </c>
    </row>
    <row r="575" spans="1:8">
      <c r="A575" t="str">
        <v>5.Revit.21</v>
      </c>
      <c r="B575" t="str">
        <v>21</v>
      </c>
      <c r="C575" t="str">
        <v>Phát triển BIM Tools</v>
      </c>
      <c r="D575" t="str">
        <v>Revit</v>
      </c>
      <c r="E575" t="str">
        <v>QC mô hình</v>
      </c>
      <c r="F575" t="str">
        <v>BIM IT</v>
      </c>
      <c r="G575" t="str">
        <v>Thực hiện Code</v>
      </c>
      <c r="H575" t="str">
        <v>Cao</v>
      </c>
    </row>
    <row r="576" spans="1:8">
      <c r="A576" t="str">
        <v>5.Revit.22</v>
      </c>
      <c r="B576" t="str">
        <v>22</v>
      </c>
      <c r="C576" t="str">
        <v>Phát triển BIM Tools</v>
      </c>
      <c r="D576" t="str">
        <v>Revit</v>
      </c>
      <c r="E576" t="str">
        <v>QC mô hình</v>
      </c>
      <c r="F576" t="str">
        <v>BIM IT</v>
      </c>
      <c r="G576" t="str">
        <v>Chạy thử và Đánh giá</v>
      </c>
      <c r="H576" t="str">
        <v>Cao</v>
      </c>
    </row>
    <row r="577" spans="1:8">
      <c r="A577" t="str">
        <v>5.Revit.23</v>
      </c>
      <c r="B577" t="str">
        <v>23</v>
      </c>
      <c r="C577" t="str">
        <v>Phát triển BIM Tools</v>
      </c>
      <c r="D577" t="str">
        <v>Revit</v>
      </c>
      <c r="E577" t="str">
        <v>QC mô hình</v>
      </c>
      <c r="F577" t="str">
        <v>BIM IT</v>
      </c>
      <c r="G577" t="str">
        <v>Hướng dẫn sử dụng</v>
      </c>
      <c r="H577" t="str">
        <v>Cao</v>
      </c>
    </row>
    <row r="578" spans="1:8">
      <c r="A578" t="str">
        <v>5.Revit.24</v>
      </c>
      <c r="B578" t="str">
        <v>24</v>
      </c>
      <c r="C578" t="str">
        <v>Phát triển BIM Tools</v>
      </c>
      <c r="D578" t="str">
        <v>Revit</v>
      </c>
      <c r="E578" t="str">
        <v>QC mô hình</v>
      </c>
      <c r="F578" t="str">
        <v>BIM IT</v>
      </c>
      <c r="G578" t="str">
        <v>Xuất bản</v>
      </c>
      <c r="H578" t="str">
        <v>Cao</v>
      </c>
    </row>
    <row r="579" spans="1:8">
      <c r="A579" t="str">
        <v>5.Web App.25</v>
      </c>
      <c r="B579" t="str">
        <v>25</v>
      </c>
      <c r="C579" t="str">
        <v>Phát triển BIM Tools</v>
      </c>
      <c r="D579" t="str">
        <v>Web App</v>
      </c>
      <c r="E579" t="str">
        <v xml:space="preserve">KSCL và Điều phối </v>
      </c>
      <c r="F579" t="str">
        <v>BIM IT</v>
      </c>
      <c r="G579" t="str">
        <v>Xuất bản</v>
      </c>
      <c r="H579" t="str">
        <v>Cao</v>
      </c>
    </row>
    <row r="580" spans="1:8">
      <c r="A580" t="str">
        <v>5.Revit.26</v>
      </c>
      <c r="B580" t="str">
        <v>26</v>
      </c>
      <c r="C580" t="str">
        <v>Phát triển BIM Tools</v>
      </c>
      <c r="D580" t="str">
        <v>Revit</v>
      </c>
      <c r="E580" t="str">
        <v>Cắt bê tông</v>
      </c>
      <c r="F580" t="str">
        <v>BIM IT</v>
      </c>
      <c r="G580" t="str">
        <v>Ghi nhận yêu cầu và tìm hiểu nghiệp vụ</v>
      </c>
      <c r="H580" t="str">
        <v>Trung bình</v>
      </c>
    </row>
    <row r="581" spans="1:8">
      <c r="A581" t="str">
        <v>5.Revit.27</v>
      </c>
      <c r="B581" t="str">
        <v>27</v>
      </c>
      <c r="C581" t="str">
        <v>Phát triển BIM Tools</v>
      </c>
      <c r="D581" t="str">
        <v>Revit</v>
      </c>
      <c r="E581" t="str">
        <v>Cắt bê tông</v>
      </c>
      <c r="F581" t="str">
        <v>BIM IT</v>
      </c>
      <c r="G581" t="str">
        <v>Lên và Trình PD phương án</v>
      </c>
      <c r="H581" t="str">
        <v>Trung bình</v>
      </c>
    </row>
    <row r="582" spans="1:8">
      <c r="A582" t="str">
        <v>5.Revit.28</v>
      </c>
      <c r="B582" t="str">
        <v>28</v>
      </c>
      <c r="C582" t="str">
        <v>Phát triển BIM Tools</v>
      </c>
      <c r="D582" t="str">
        <v>Revit</v>
      </c>
      <c r="E582" t="str">
        <v>Cắt bê tông</v>
      </c>
      <c r="F582" t="str">
        <v>BIM IT</v>
      </c>
      <c r="G582" t="str">
        <v>Thực hiện Code</v>
      </c>
      <c r="H582" t="str">
        <v>Trung bình</v>
      </c>
    </row>
    <row r="583" spans="1:8">
      <c r="A583" t="str">
        <v>5.Revit.29</v>
      </c>
      <c r="B583" t="str">
        <v>29</v>
      </c>
      <c r="C583" t="str">
        <v>Phát triển BIM Tools</v>
      </c>
      <c r="D583" t="str">
        <v>Revit</v>
      </c>
      <c r="E583" t="str">
        <v>Cắt bê tông</v>
      </c>
      <c r="F583" t="str">
        <v>BIM IT</v>
      </c>
      <c r="G583" t="str">
        <v>Chạy thử và Đánh giá</v>
      </c>
      <c r="H583" t="str">
        <v>Trung bình</v>
      </c>
    </row>
    <row r="584" spans="1:8">
      <c r="A584" t="str">
        <v>5.Revit.30</v>
      </c>
      <c r="B584" t="str">
        <v>30</v>
      </c>
      <c r="C584" t="str">
        <v>Phát triển BIM Tools</v>
      </c>
      <c r="D584" t="str">
        <v>Revit</v>
      </c>
      <c r="E584" t="str">
        <v>Cắt bê tông</v>
      </c>
      <c r="F584" t="str">
        <v>BIM IT</v>
      </c>
      <c r="G584" t="str">
        <v>Fix lỗi</v>
      </c>
      <c r="H584" t="str">
        <v>Trung bình</v>
      </c>
    </row>
    <row r="585" spans="1:8">
      <c r="A585" t="str">
        <v>5.Revit.31</v>
      </c>
      <c r="B585" t="str">
        <v>31</v>
      </c>
      <c r="C585" t="str">
        <v>Phát triển BIM Tools</v>
      </c>
      <c r="D585" t="str">
        <v>Revit</v>
      </c>
      <c r="E585" t="str">
        <v>Cắt bê tông</v>
      </c>
      <c r="F585" t="str">
        <v>BIM IT</v>
      </c>
      <c r="G585" t="str">
        <v>Hướng dẫn sử dụng</v>
      </c>
      <c r="H585" t="str">
        <v>Trung bình</v>
      </c>
    </row>
    <row r="586" spans="1:8">
      <c r="A586" t="str">
        <v>5.Revit.32</v>
      </c>
      <c r="B586" t="str">
        <v>32</v>
      </c>
      <c r="C586" t="str">
        <v>Phát triển BIM Tools</v>
      </c>
      <c r="D586" t="str">
        <v>Revit</v>
      </c>
      <c r="E586" t="str">
        <v>Cắt bê tông</v>
      </c>
      <c r="F586" t="str">
        <v>BIM IT</v>
      </c>
      <c r="G586" t="str">
        <v>Xuất bản</v>
      </c>
      <c r="H586" t="str">
        <v>Trung bình</v>
      </c>
    </row>
    <row r="587" spans="1:8">
      <c r="A587" t="str">
        <v>5.CAD.33</v>
      </c>
      <c r="B587" t="str">
        <v>33</v>
      </c>
      <c r="C587" t="str">
        <v>Phát triển BIM Tools</v>
      </c>
      <c r="D587" t="str">
        <v>CAD</v>
      </c>
      <c r="E587" t="str">
        <v>Ghép dãy thấp tầng</v>
      </c>
      <c r="F587" t="str">
        <v>BIM IT</v>
      </c>
      <c r="G587" t="str">
        <v>Ghi nhận yêu cầu và tìm hiểu nghiệp vụ</v>
      </c>
      <c r="H587" t="str">
        <v>Cao</v>
      </c>
    </row>
    <row r="588" spans="1:8">
      <c r="A588" t="str">
        <v>5.CAD.34</v>
      </c>
      <c r="B588" t="str">
        <v>34</v>
      </c>
      <c r="C588" t="str">
        <v>Phát triển BIM Tools</v>
      </c>
      <c r="D588" t="str">
        <v>CAD</v>
      </c>
      <c r="E588" t="str">
        <v>Ghép dãy thấp tầng</v>
      </c>
      <c r="F588" t="str">
        <v>BIM IT</v>
      </c>
      <c r="G588" t="str">
        <v>Lên và Trình PD phương án</v>
      </c>
      <c r="H588" t="str">
        <v>Cao</v>
      </c>
    </row>
    <row r="589" spans="1:8">
      <c r="A589" t="str">
        <v>5.CAD.35</v>
      </c>
      <c r="B589" t="str">
        <v>35</v>
      </c>
      <c r="C589" t="str">
        <v>Phát triển BIM Tools</v>
      </c>
      <c r="D589" t="str">
        <v>CAD</v>
      </c>
      <c r="E589" t="str">
        <v>Ghép dãy thấp tầng</v>
      </c>
      <c r="F589" t="str">
        <v>BIM IT</v>
      </c>
      <c r="G589" t="str">
        <v>Thực hiện Code</v>
      </c>
      <c r="H589" t="str">
        <v>Cao</v>
      </c>
    </row>
    <row r="590" spans="1:8">
      <c r="A590" t="str">
        <v>5.CAD.36</v>
      </c>
      <c r="B590" t="str">
        <v>36</v>
      </c>
      <c r="C590" t="str">
        <v>Phát triển BIM Tools</v>
      </c>
      <c r="D590" t="str">
        <v>CAD</v>
      </c>
      <c r="E590" t="str">
        <v>Ghép dãy thấp tầng</v>
      </c>
      <c r="F590" t="str">
        <v>BIM IT</v>
      </c>
      <c r="G590" t="str">
        <v>Chạy thử và Đánh giá</v>
      </c>
      <c r="H590" t="str">
        <v>Cao</v>
      </c>
    </row>
    <row r="591" spans="1:8">
      <c r="A591" t="str">
        <v>5.CAD.37</v>
      </c>
      <c r="B591" t="str">
        <v>37</v>
      </c>
      <c r="C591" t="str">
        <v>Phát triển BIM Tools</v>
      </c>
      <c r="D591" t="str">
        <v>CAD</v>
      </c>
      <c r="E591" t="str">
        <v>Ghép dãy thấp tầng</v>
      </c>
      <c r="F591" t="str">
        <v>BIM IT</v>
      </c>
      <c r="G591" t="str">
        <v>Fix lỗi</v>
      </c>
      <c r="H591" t="str">
        <v>Cao</v>
      </c>
    </row>
    <row r="592" spans="1:8">
      <c r="A592" t="str">
        <v>5.CAD.38</v>
      </c>
      <c r="B592" t="str">
        <v>38</v>
      </c>
      <c r="C592" t="str">
        <v>Phát triển BIM Tools</v>
      </c>
      <c r="D592" t="str">
        <v>CAD</v>
      </c>
      <c r="E592" t="str">
        <v>Ghép dãy thấp tầng</v>
      </c>
      <c r="F592" t="str">
        <v>BIM IT</v>
      </c>
      <c r="G592" t="str">
        <v>Hướng dẫn sử dụng</v>
      </c>
      <c r="H592" t="str">
        <v>Cao</v>
      </c>
    </row>
    <row r="593" spans="1:8">
      <c r="A593" t="str">
        <v>5.CAD.39</v>
      </c>
      <c r="B593" t="str">
        <v>39</v>
      </c>
      <c r="C593" t="str">
        <v>Phát triển BIM Tools</v>
      </c>
      <c r="D593" t="str">
        <v>CAD</v>
      </c>
      <c r="E593" t="str">
        <v>Ghép dãy thấp tầng</v>
      </c>
      <c r="F593" t="str">
        <v>BIM IT</v>
      </c>
      <c r="G593" t="str">
        <v>Xuất bản</v>
      </c>
      <c r="H593" t="str">
        <v>Cao</v>
      </c>
    </row>
    <row r="594" spans="1:8">
      <c r="A594" t="str">
        <v>5.Didital Twin.40</v>
      </c>
      <c r="B594" t="str">
        <v>40</v>
      </c>
      <c r="C594" t="str">
        <v>Phát triển BIM Tools</v>
      </c>
      <c r="D594" t="str">
        <v>Didital Twin</v>
      </c>
      <c r="E594" t="str">
        <v>App Digital Twin V1</v>
      </c>
      <c r="F594" t="str">
        <v>BIM IT</v>
      </c>
      <c r="G594" t="str">
        <v>Ghi nhận yêu cầu và tìm hiểu nghiệp vụ</v>
      </c>
      <c r="H594" t="str">
        <v>Cao</v>
      </c>
    </row>
    <row r="595" spans="1:8">
      <c r="A595" t="str">
        <v>5.Didital Twin.41</v>
      </c>
      <c r="B595" t="str">
        <v>41</v>
      </c>
      <c r="C595" t="str">
        <v>Phát triển BIM Tools</v>
      </c>
      <c r="D595" t="str">
        <v>Didital Twin</v>
      </c>
      <c r="E595" t="str">
        <v>App Digital Twin V1</v>
      </c>
      <c r="F595" t="str">
        <v>BIM IT</v>
      </c>
      <c r="G595" t="str">
        <v>Lên và Trình PD phương án</v>
      </c>
      <c r="H595" t="str">
        <v>Cao</v>
      </c>
    </row>
    <row r="596" spans="1:8">
      <c r="A596" t="str">
        <v>5.Didital Twin.42</v>
      </c>
      <c r="B596" t="str">
        <v>42</v>
      </c>
      <c r="C596" t="str">
        <v>Phát triển BIM Tools</v>
      </c>
      <c r="D596" t="str">
        <v>Didital Twin</v>
      </c>
      <c r="E596" t="str">
        <v>App Digital Twin V1</v>
      </c>
      <c r="F596" t="str">
        <v>BIM IT</v>
      </c>
      <c r="G596" t="str">
        <v>Thực hiện Code</v>
      </c>
      <c r="H596" t="str">
        <v>Cao</v>
      </c>
    </row>
    <row r="597" spans="1:8">
      <c r="A597" t="str">
        <v>5.Didital Twin.43</v>
      </c>
      <c r="B597" t="str">
        <v>43</v>
      </c>
      <c r="C597" t="str">
        <v>Phát triển BIM Tools</v>
      </c>
      <c r="D597" t="str">
        <v>Didital Twin</v>
      </c>
      <c r="E597" t="str">
        <v>App Digital Twin V1</v>
      </c>
      <c r="F597" t="str">
        <v>BIM IT</v>
      </c>
      <c r="G597" t="str">
        <v>Chạy thử và Đánh giá</v>
      </c>
      <c r="H597" t="str">
        <v>Cao</v>
      </c>
    </row>
    <row r="598" spans="1:8">
      <c r="A598" t="str">
        <v>5.Didital Twin.44</v>
      </c>
      <c r="B598" t="str">
        <v>44</v>
      </c>
      <c r="C598" t="str">
        <v>Phát triển BIM Tools</v>
      </c>
      <c r="D598" t="str">
        <v>Didital Twin</v>
      </c>
      <c r="E598" t="str">
        <v>App Digital Twin V1</v>
      </c>
      <c r="F598" t="str">
        <v>BIM IT</v>
      </c>
      <c r="G598" t="str">
        <v>Fix lỗi</v>
      </c>
      <c r="H598" t="str">
        <v>Cao</v>
      </c>
    </row>
    <row r="599" spans="1:8">
      <c r="A599" t="str">
        <v>5.Didital Twin.45</v>
      </c>
      <c r="B599" t="str">
        <v>45</v>
      </c>
      <c r="C599" t="str">
        <v>Phát triển BIM Tools</v>
      </c>
      <c r="D599" t="str">
        <v>Didital Twin</v>
      </c>
      <c r="E599" t="str">
        <v>App Digital Twin V1</v>
      </c>
      <c r="F599" t="str">
        <v>BIM IT</v>
      </c>
      <c r="G599" t="str">
        <v>Hướng dẫn sử dụng</v>
      </c>
      <c r="H599" t="str">
        <v>Cao</v>
      </c>
    </row>
    <row r="600" spans="1:8">
      <c r="A600" t="str">
        <v>5.Didital Twin.46</v>
      </c>
      <c r="B600" t="str">
        <v>46</v>
      </c>
      <c r="C600" t="str">
        <v>Phát triển BIM Tools</v>
      </c>
      <c r="D600" t="str">
        <v>Didital Twin</v>
      </c>
      <c r="E600" t="str">
        <v>App Digital Twin V1</v>
      </c>
      <c r="F600" t="str">
        <v>BIM IT</v>
      </c>
      <c r="G600" t="str">
        <v>Xuất bản</v>
      </c>
      <c r="H600" t="str">
        <v>Cao</v>
      </c>
    </row>
    <row r="601" spans="1:8">
      <c r="A601" t="str">
        <v>5.Didital Twin.47</v>
      </c>
      <c r="B601" t="str">
        <v>47</v>
      </c>
      <c r="C601" t="str">
        <v>Phát triển BIM Tools</v>
      </c>
      <c r="D601" t="str">
        <v>Didital Twin</v>
      </c>
      <c r="E601" t="str">
        <v>App Digital Twin V2</v>
      </c>
      <c r="F601" t="str">
        <v>BIM IT</v>
      </c>
      <c r="G601" t="str">
        <v>Ghi nhận yêu cầu và tìm hiểu nghiệp vụ</v>
      </c>
      <c r="H601" t="str">
        <v>Cao</v>
      </c>
    </row>
    <row r="602" spans="1:8">
      <c r="A602" t="str">
        <v>5.Didital Twin.48</v>
      </c>
      <c r="B602" t="str">
        <v>48</v>
      </c>
      <c r="C602" t="str">
        <v>Phát triển BIM Tools</v>
      </c>
      <c r="D602" t="str">
        <v>Didital Twin</v>
      </c>
      <c r="E602" t="str">
        <v>App Digital Twin V2</v>
      </c>
      <c r="F602" t="str">
        <v>BIM IT</v>
      </c>
      <c r="G602" t="str">
        <v>Lên và Trình PD phương án</v>
      </c>
      <c r="H602" t="str">
        <v>Cao</v>
      </c>
    </row>
    <row r="603" spans="1:8">
      <c r="A603" t="str">
        <v>5.Didital Twin.49</v>
      </c>
      <c r="B603" t="str">
        <v>49</v>
      </c>
      <c r="C603" t="str">
        <v>Phát triển BIM Tools</v>
      </c>
      <c r="D603" t="str">
        <v>Didital Twin</v>
      </c>
      <c r="E603" t="str">
        <v>App Digital Twin V2</v>
      </c>
      <c r="F603" t="str">
        <v>BIM IT</v>
      </c>
      <c r="G603" t="str">
        <v>Thực hiện Code</v>
      </c>
      <c r="H603" t="str">
        <v>Cao</v>
      </c>
    </row>
    <row r="604" spans="1:8">
      <c r="A604" t="str">
        <v>5.Didital Twin.50</v>
      </c>
      <c r="B604" t="str">
        <v>50</v>
      </c>
      <c r="C604" t="str">
        <v>Phát triển BIM Tools</v>
      </c>
      <c r="D604" t="str">
        <v>Didital Twin</v>
      </c>
      <c r="E604" t="str">
        <v>App Digital Twin V2</v>
      </c>
      <c r="F604" t="str">
        <v>BIM IT</v>
      </c>
      <c r="G604" t="str">
        <v>Chạy thử và Đánh giá</v>
      </c>
      <c r="H604" t="str">
        <v>Cao</v>
      </c>
    </row>
    <row r="605" spans="1:8">
      <c r="A605" t="str">
        <v>5.Didital Twin.51</v>
      </c>
      <c r="B605" t="str">
        <v>51</v>
      </c>
      <c r="C605" t="str">
        <v>Phát triển BIM Tools</v>
      </c>
      <c r="D605" t="str">
        <v>Didital Twin</v>
      </c>
      <c r="E605" t="str">
        <v>App Digital Twin V2</v>
      </c>
      <c r="F605" t="str">
        <v>BIM IT</v>
      </c>
      <c r="G605" t="str">
        <v>Fix lỗi</v>
      </c>
      <c r="H605" t="str">
        <v>Cao</v>
      </c>
    </row>
    <row r="606" spans="1:8">
      <c r="A606" t="str">
        <v>5.Didital Twin.52</v>
      </c>
      <c r="B606" t="str">
        <v>52</v>
      </c>
      <c r="C606" t="str">
        <v>Phát triển BIM Tools</v>
      </c>
      <c r="D606" t="str">
        <v>Didital Twin</v>
      </c>
      <c r="E606" t="str">
        <v>App Digital Twin V2</v>
      </c>
      <c r="F606" t="str">
        <v>BIM IT</v>
      </c>
      <c r="G606" t="str">
        <v>Hướng dẫn sử dụng</v>
      </c>
      <c r="H606" t="str">
        <v>Cao</v>
      </c>
    </row>
    <row r="607" spans="1:8">
      <c r="A607" t="str">
        <v>5.Didital Twin.53</v>
      </c>
      <c r="B607" t="str">
        <v>53</v>
      </c>
      <c r="C607" t="str">
        <v>Phát triển BIM Tools</v>
      </c>
      <c r="D607" t="str">
        <v>Didital Twin</v>
      </c>
      <c r="E607" t="str">
        <v>App Digital Twin V2</v>
      </c>
      <c r="F607" t="str">
        <v>BIM IT</v>
      </c>
      <c r="G607" t="str">
        <v>Xuất bản</v>
      </c>
      <c r="H607" t="str">
        <v>Cao</v>
      </c>
    </row>
    <row r="608" spans="1:8">
      <c r="A608" t="str">
        <v>5.Didital Twin.54</v>
      </c>
      <c r="B608" t="str">
        <v>54</v>
      </c>
      <c r="C608" t="str">
        <v>Phát triển BIM Tools</v>
      </c>
      <c r="D608" t="str">
        <v>Didital Twin</v>
      </c>
      <c r="E608" t="str">
        <v>App Digital Twin V3</v>
      </c>
      <c r="F608" t="str">
        <v>BIM IT</v>
      </c>
      <c r="G608" t="str">
        <v>Ghi nhận yêu cầu và tìm hiểu nghiệp vụ</v>
      </c>
      <c r="H608" t="str">
        <v>Cao</v>
      </c>
    </row>
    <row r="609" spans="1:8">
      <c r="A609" t="str">
        <v>5.Didital Twin.55</v>
      </c>
      <c r="B609" t="str">
        <v>55</v>
      </c>
      <c r="C609" t="str">
        <v>Phát triển BIM Tools</v>
      </c>
      <c r="D609" t="str">
        <v>Didital Twin</v>
      </c>
      <c r="E609" t="str">
        <v>App Digital Twin V3</v>
      </c>
      <c r="F609" t="str">
        <v>BIM IT</v>
      </c>
      <c r="G609" t="str">
        <v>Lên và Trình PD phương án</v>
      </c>
      <c r="H609" t="str">
        <v>Cao</v>
      </c>
    </row>
    <row r="610" spans="1:8">
      <c r="A610" t="str">
        <v>5.Didital Twin.56</v>
      </c>
      <c r="B610" t="str">
        <v>56</v>
      </c>
      <c r="C610" t="str">
        <v>Phát triển BIM Tools</v>
      </c>
      <c r="D610" t="str">
        <v>Didital Twin</v>
      </c>
      <c r="E610" t="str">
        <v>App Digital Twin V3</v>
      </c>
      <c r="F610" t="str">
        <v>BIM IT</v>
      </c>
      <c r="G610" t="str">
        <v>Thực hiện Code</v>
      </c>
      <c r="H610" t="str">
        <v>Cao</v>
      </c>
    </row>
    <row r="611" spans="1:8">
      <c r="A611" t="str">
        <v>5.Didital Twin.57</v>
      </c>
      <c r="B611" t="str">
        <v>57</v>
      </c>
      <c r="C611" t="str">
        <v>Phát triển BIM Tools</v>
      </c>
      <c r="D611" t="str">
        <v>Didital Twin</v>
      </c>
      <c r="E611" t="str">
        <v>App Digital Twin V3</v>
      </c>
      <c r="F611" t="str">
        <v>BIM IT</v>
      </c>
      <c r="G611" t="str">
        <v>Chạy thử và Đánh giá</v>
      </c>
      <c r="H611" t="str">
        <v>Cao</v>
      </c>
    </row>
    <row r="612" spans="1:8">
      <c r="A612" t="str">
        <v>5.Didital Twin.58</v>
      </c>
      <c r="B612" t="str">
        <v>58</v>
      </c>
      <c r="C612" t="str">
        <v>Phát triển BIM Tools</v>
      </c>
      <c r="D612" t="str">
        <v>Didital Twin</v>
      </c>
      <c r="E612" t="str">
        <v>App Digital Twin V3</v>
      </c>
      <c r="F612" t="str">
        <v>BIM IT</v>
      </c>
      <c r="G612" t="str">
        <v>Fix lỗi</v>
      </c>
      <c r="H612" t="str">
        <v>Cao</v>
      </c>
    </row>
    <row r="613" spans="1:8">
      <c r="A613" t="str">
        <v>5.Didital Twin.59</v>
      </c>
      <c r="B613" t="str">
        <v>59</v>
      </c>
      <c r="C613" t="str">
        <v>Phát triển BIM Tools</v>
      </c>
      <c r="D613" t="str">
        <v>Didital Twin</v>
      </c>
      <c r="E613" t="str">
        <v>App Digital Twin V3</v>
      </c>
      <c r="F613" t="str">
        <v>BIM IT</v>
      </c>
      <c r="G613" t="str">
        <v>Hướng dẫn sử dụng</v>
      </c>
      <c r="H613" t="str">
        <v>Cao</v>
      </c>
    </row>
    <row r="614" spans="1:8">
      <c r="A614" t="str">
        <v>5.Didital Twin.60</v>
      </c>
      <c r="B614" t="str">
        <v>60</v>
      </c>
      <c r="C614" t="str">
        <v>Phát triển BIM Tools</v>
      </c>
      <c r="D614" t="str">
        <v>Didital Twin</v>
      </c>
      <c r="E614" t="str">
        <v>App Digital Twin V3</v>
      </c>
      <c r="F614" t="str">
        <v>BIM IT</v>
      </c>
      <c r="G614" t="str">
        <v>Xuất bản</v>
      </c>
      <c r="H614" t="str">
        <v>Cao</v>
      </c>
    </row>
    <row r="615" spans="1:8">
      <c r="A615" t="str">
        <v>5.Didital Twin.61</v>
      </c>
      <c r="B615" t="str">
        <v>61</v>
      </c>
      <c r="C615" t="str">
        <v>Phát triển BIM Tools</v>
      </c>
      <c r="D615" t="str">
        <v>Didital Twin</v>
      </c>
      <c r="E615" t="str">
        <v>App Digital Twin V4</v>
      </c>
      <c r="F615" t="str">
        <v>BIM IT</v>
      </c>
      <c r="G615" t="str">
        <v>Ghi nhận yêu cầu và tìm hiểu nghiệp vụ</v>
      </c>
      <c r="H615" t="str">
        <v>Cao</v>
      </c>
    </row>
    <row r="616" spans="1:8">
      <c r="A616" t="str">
        <v>5.Didital Twin.62</v>
      </c>
      <c r="B616" t="str">
        <v>62</v>
      </c>
      <c r="C616" t="str">
        <v>Phát triển BIM Tools</v>
      </c>
      <c r="D616" t="str">
        <v>Didital Twin</v>
      </c>
      <c r="E616" t="str">
        <v>App Digital Twin V4</v>
      </c>
      <c r="F616" t="str">
        <v>BIM IT</v>
      </c>
      <c r="G616" t="str">
        <v>Lên và Trình PD phương án</v>
      </c>
      <c r="H616" t="str">
        <v>Cao</v>
      </c>
    </row>
    <row r="617" spans="1:8">
      <c r="A617" t="str">
        <v>5.Didital Twin.63</v>
      </c>
      <c r="B617" t="str">
        <v>63</v>
      </c>
      <c r="C617" t="str">
        <v>Phát triển BIM Tools</v>
      </c>
      <c r="D617" t="str">
        <v>Didital Twin</v>
      </c>
      <c r="E617" t="str">
        <v>App Digital Twin V4</v>
      </c>
      <c r="F617" t="str">
        <v>BIM IT</v>
      </c>
      <c r="G617" t="str">
        <v>Thực hiện Code</v>
      </c>
      <c r="H617" t="str">
        <v>Cao</v>
      </c>
    </row>
    <row r="618" spans="1:8">
      <c r="A618" t="str">
        <v>5.Didital Twin.64</v>
      </c>
      <c r="B618" t="str">
        <v>64</v>
      </c>
      <c r="C618" t="str">
        <v>Phát triển BIM Tools</v>
      </c>
      <c r="D618" t="str">
        <v>Didital Twin</v>
      </c>
      <c r="E618" t="str">
        <v>App Digital Twin V4</v>
      </c>
      <c r="F618" t="str">
        <v>BIM IT</v>
      </c>
      <c r="G618" t="str">
        <v>Chạy thử và Đánh giá</v>
      </c>
      <c r="H618" t="str">
        <v>Cao</v>
      </c>
    </row>
    <row r="619" spans="1:8">
      <c r="A619" t="str">
        <v>5.Didital Twin.65</v>
      </c>
      <c r="B619" t="str">
        <v>65</v>
      </c>
      <c r="C619" t="str">
        <v>Phát triển BIM Tools</v>
      </c>
      <c r="D619" t="str">
        <v>Didital Twin</v>
      </c>
      <c r="E619" t="str">
        <v>App Digital Twin V4</v>
      </c>
      <c r="F619" t="str">
        <v>BIM IT</v>
      </c>
      <c r="G619" t="str">
        <v>Fix lỗi</v>
      </c>
      <c r="H619" t="str">
        <v>Cao</v>
      </c>
    </row>
    <row r="620" spans="1:8">
      <c r="A620" t="str">
        <v>5.Didital Twin.66</v>
      </c>
      <c r="B620" t="str">
        <v>66</v>
      </c>
      <c r="C620" t="str">
        <v>Phát triển BIM Tools</v>
      </c>
      <c r="D620" t="str">
        <v>Didital Twin</v>
      </c>
      <c r="E620" t="str">
        <v>App Digital Twin V4</v>
      </c>
      <c r="F620" t="str">
        <v>BIM IT</v>
      </c>
      <c r="G620" t="str">
        <v>Hướng dẫn sử dụng</v>
      </c>
      <c r="H620" t="str">
        <v>Cao</v>
      </c>
    </row>
    <row r="621" spans="1:8">
      <c r="A621" t="str">
        <v>5.Didital Twin.67</v>
      </c>
      <c r="B621" t="str">
        <v>67</v>
      </c>
      <c r="C621" t="str">
        <v>Phát triển BIM Tools</v>
      </c>
      <c r="D621" t="str">
        <v>Didital Twin</v>
      </c>
      <c r="E621" t="str">
        <v>App Digital Twin V4</v>
      </c>
      <c r="F621" t="str">
        <v>BIM IT</v>
      </c>
      <c r="G621" t="str">
        <v>Xuất bản</v>
      </c>
      <c r="H621" t="str">
        <v>Cao</v>
      </c>
    </row>
    <row r="622" spans="1:8">
      <c r="A622" t="str">
        <v>5.Revit.68</v>
      </c>
      <c r="B622" t="str">
        <v>68</v>
      </c>
      <c r="C622" t="str">
        <v>Phát triển BIM Tools</v>
      </c>
      <c r="D622" t="str">
        <v>Revit</v>
      </c>
      <c r="E622" t="str">
        <v>Xác định trọng tâm đối tượng</v>
      </c>
      <c r="F622" t="str">
        <v>BIM IT</v>
      </c>
      <c r="G622" t="str">
        <v>Ghi nhận yêu cầu và tìm hiểu nghiệp vụ</v>
      </c>
      <c r="H622" t="str">
        <v>Cao</v>
      </c>
    </row>
    <row r="623" spans="1:8">
      <c r="A623" t="str">
        <v>5.Revit.69</v>
      </c>
      <c r="B623" t="str">
        <v>69</v>
      </c>
      <c r="C623" t="str">
        <v>Phát triển BIM Tools</v>
      </c>
      <c r="D623" t="str">
        <v>Revit</v>
      </c>
      <c r="E623" t="str">
        <v>Xác định trọng tâm đối tượng</v>
      </c>
      <c r="F623" t="str">
        <v>BIM IT</v>
      </c>
      <c r="G623" t="str">
        <v>Lên và Trình PD phương án</v>
      </c>
      <c r="H623" t="str">
        <v>Cao</v>
      </c>
    </row>
    <row r="624" spans="1:8">
      <c r="A624" t="str">
        <v>5.Revit.70</v>
      </c>
      <c r="B624" t="str">
        <v>70</v>
      </c>
      <c r="C624" t="str">
        <v>Phát triển BIM Tools</v>
      </c>
      <c r="D624" t="str">
        <v>Revit</v>
      </c>
      <c r="E624" t="str">
        <v>Xác định trọng tâm đối tượng</v>
      </c>
      <c r="F624" t="str">
        <v>BIM IT</v>
      </c>
      <c r="G624" t="str">
        <v>Thực hiện Code</v>
      </c>
      <c r="H624" t="str">
        <v>Cao</v>
      </c>
    </row>
    <row r="625" spans="1:8">
      <c r="A625" t="str">
        <v>5.Revit.71</v>
      </c>
      <c r="B625" t="str">
        <v>71</v>
      </c>
      <c r="C625" t="str">
        <v>Phát triển BIM Tools</v>
      </c>
      <c r="D625" t="str">
        <v>Revit</v>
      </c>
      <c r="E625" t="str">
        <v>Xác định trọng tâm đối tượng</v>
      </c>
      <c r="F625" t="str">
        <v>BIM IT</v>
      </c>
      <c r="G625" t="str">
        <v>Chạy thử và Đánh giá</v>
      </c>
      <c r="H625" t="str">
        <v>Cao</v>
      </c>
    </row>
    <row r="626" spans="1:8">
      <c r="A626" t="str">
        <v>5.Revit.72</v>
      </c>
      <c r="B626" t="str">
        <v>72</v>
      </c>
      <c r="C626" t="str">
        <v>Phát triển BIM Tools</v>
      </c>
      <c r="D626" t="str">
        <v>Revit</v>
      </c>
      <c r="E626" t="str">
        <v>Xác định trọng tâm đối tượng</v>
      </c>
      <c r="F626" t="str">
        <v>BIM IT</v>
      </c>
      <c r="G626" t="str">
        <v>Fix lỗi</v>
      </c>
      <c r="H626" t="str">
        <v>Cao</v>
      </c>
    </row>
    <row r="627" spans="1:8">
      <c r="A627" t="str">
        <v>5.Revit.73</v>
      </c>
      <c r="B627" t="str">
        <v>73</v>
      </c>
      <c r="C627" t="str">
        <v>Phát triển BIM Tools</v>
      </c>
      <c r="D627" t="str">
        <v>Revit</v>
      </c>
      <c r="E627" t="str">
        <v>Xác định trọng tâm đối tượng</v>
      </c>
      <c r="F627" t="str">
        <v>BIM IT</v>
      </c>
      <c r="G627" t="str">
        <v>Hướng dẫn sử dụng</v>
      </c>
      <c r="H627" t="str">
        <v>Cao</v>
      </c>
    </row>
    <row r="628" spans="1:8">
      <c r="A628" t="str">
        <v>5.Revit.74</v>
      </c>
      <c r="B628" t="str">
        <v>74</v>
      </c>
      <c r="C628" t="str">
        <v>Phát triển BIM Tools</v>
      </c>
      <c r="D628" t="str">
        <v>Revit</v>
      </c>
      <c r="E628" t="str">
        <v>Xác định trọng tâm đối tượng</v>
      </c>
      <c r="F628" t="str">
        <v>BIM IT</v>
      </c>
      <c r="G628" t="str">
        <v>Xuất bản</v>
      </c>
      <c r="H628" t="str">
        <v>Cao</v>
      </c>
    </row>
    <row r="629" spans="1:8">
      <c r="A629" t="str">
        <v>5.Web App.75</v>
      </c>
      <c r="B629" t="str">
        <v>75</v>
      </c>
      <c r="C629" t="str">
        <v>Phát triển BIM Tools</v>
      </c>
      <c r="D629" t="str">
        <v>Web App</v>
      </c>
      <c r="E629" t="str">
        <v>Quản lý công việc P.BIM</v>
      </c>
      <c r="F629" t="str">
        <v>BIM IT</v>
      </c>
      <c r="G629" t="str">
        <v>Thực hiện Code</v>
      </c>
      <c r="H629" t="str">
        <v>Cao</v>
      </c>
    </row>
    <row r="630" spans="1:8">
      <c r="A630" t="str">
        <v>5.Web App.76</v>
      </c>
      <c r="B630" t="str">
        <v>76</v>
      </c>
      <c r="C630" t="str">
        <v>Phát triển BIM Tools</v>
      </c>
      <c r="D630" t="str">
        <v>Web App</v>
      </c>
      <c r="E630" t="str">
        <v>Quản lý công việc P.BIM</v>
      </c>
      <c r="F630" t="str">
        <v>BIM IT</v>
      </c>
      <c r="G630" t="str">
        <v>Chạy thử và Đánh giá</v>
      </c>
      <c r="H630" t="str">
        <v>Cao</v>
      </c>
    </row>
    <row r="631" spans="1:8">
      <c r="A631" t="str">
        <v>6..001</v>
      </c>
      <c r="B631" t="str">
        <v>001</v>
      </c>
      <c r="C631" t="str">
        <v>Quản lý phần mềm</v>
      </c>
      <c r="D631">
        <v>0</v>
      </c>
      <c r="E631" t="str">
        <v>Hạng mục 1</v>
      </c>
      <c r="F631" t="str">
        <v>BIM IT</v>
      </c>
      <c r="G631" t="str">
        <v>Khảo sát nhu cầu và cân đối số lượng</v>
      </c>
      <c r="H631" t="str">
        <v>Cao</v>
      </c>
    </row>
    <row r="632" spans="1:8">
      <c r="A632" t="str">
        <v>6..002</v>
      </c>
      <c r="B632" t="str">
        <v>002</v>
      </c>
      <c r="C632" t="str">
        <v>Quản lý phần mềm</v>
      </c>
      <c r="D632">
        <v>0</v>
      </c>
      <c r="E632" t="str">
        <v>Hạng mục 2</v>
      </c>
      <c r="F632" t="str">
        <v>BIM IT</v>
      </c>
      <c r="G632">
        <v>0</v>
      </c>
      <c r="H632" t="str">
        <v>Trung bình</v>
      </c>
    </row>
    <row r="633" spans="1:8">
      <c r="A633" t="str">
        <v>6..003</v>
      </c>
      <c r="B633" t="str">
        <v>003</v>
      </c>
      <c r="C633" t="str">
        <v>Quản lý phần mềm</v>
      </c>
      <c r="D633">
        <v>0</v>
      </c>
      <c r="E633" t="str">
        <v>Hạng mục 3</v>
      </c>
      <c r="F633" t="str">
        <v>BIM IT</v>
      </c>
      <c r="G633">
        <v>0</v>
      </c>
      <c r="H633" t="str">
        <v>Thấp</v>
      </c>
    </row>
    <row r="634" spans="1:8">
      <c r="A634" t="str">
        <v>6..004</v>
      </c>
      <c r="B634" t="str">
        <v>004</v>
      </c>
      <c r="C634" t="str">
        <v>Quản lý phần mềm</v>
      </c>
      <c r="D634">
        <v>0</v>
      </c>
      <c r="E634" t="str">
        <v>Hạng mục 4</v>
      </c>
      <c r="F634" t="str">
        <v>BIM IT</v>
      </c>
      <c r="G634">
        <v>0</v>
      </c>
      <c r="H634">
        <v>0</v>
      </c>
    </row>
    <row r="635" spans="1:8">
      <c r="A635" t="str">
        <v>6..005</v>
      </c>
      <c r="B635" t="str">
        <v>005</v>
      </c>
      <c r="C635" t="str">
        <v>Quản lý phần mềm</v>
      </c>
      <c r="D635">
        <v>0</v>
      </c>
      <c r="E635" t="str">
        <v>Hạng mục 5</v>
      </c>
      <c r="F635" t="str">
        <v>BIM IT</v>
      </c>
      <c r="G635">
        <v>0</v>
      </c>
      <c r="H635">
        <v>0</v>
      </c>
    </row>
    <row r="636" spans="1:8">
      <c r="A636" t="str">
        <v>6..006</v>
      </c>
      <c r="B636" t="str">
        <v>006</v>
      </c>
      <c r="C636" t="str">
        <v>Quản lý phần mềm</v>
      </c>
      <c r="D636">
        <v>0</v>
      </c>
      <c r="E636" t="str">
        <v>Hạng mục 6</v>
      </c>
      <c r="F636" t="str">
        <v>BIM IT</v>
      </c>
      <c r="G636">
        <v>0</v>
      </c>
      <c r="H636">
        <v>0</v>
      </c>
    </row>
    <row r="637" spans="1:8">
      <c r="A637" t="str">
        <v>6..007</v>
      </c>
      <c r="B637" t="str">
        <v>007</v>
      </c>
      <c r="C637" t="str">
        <v>Quản lý phần mềm</v>
      </c>
      <c r="D637">
        <v>0</v>
      </c>
      <c r="E637" t="str">
        <v>Hạng mục 7</v>
      </c>
      <c r="F637" t="str">
        <v>BIM IT</v>
      </c>
      <c r="G637">
        <v>0</v>
      </c>
      <c r="H637">
        <v>0</v>
      </c>
    </row>
    <row r="638" spans="1:8">
      <c r="A638" t="str">
        <v>6..008</v>
      </c>
      <c r="B638" t="str">
        <v>008</v>
      </c>
      <c r="C638" t="str">
        <v>Quản lý phần mềm</v>
      </c>
      <c r="D638">
        <v>0</v>
      </c>
      <c r="E638" t="str">
        <v>Hạng mục 8</v>
      </c>
      <c r="F638" t="str">
        <v>BIM IT</v>
      </c>
      <c r="G638">
        <v>0</v>
      </c>
      <c r="H638">
        <v>0</v>
      </c>
    </row>
    <row r="639" spans="1:8">
      <c r="A639" t="str">
        <v>6..009</v>
      </c>
      <c r="B639" t="str">
        <v>009</v>
      </c>
      <c r="C639" t="str">
        <v>Quản lý phần mềm</v>
      </c>
      <c r="D639">
        <v>0</v>
      </c>
      <c r="E639" t="str">
        <v>Hạng mục 9</v>
      </c>
      <c r="F639" t="str">
        <v>BIM IT</v>
      </c>
      <c r="G639">
        <v>0</v>
      </c>
      <c r="H639">
        <v>0</v>
      </c>
    </row>
    <row r="640" spans="1:8">
      <c r="A640" t="str">
        <v>6..010</v>
      </c>
      <c r="B640" t="str">
        <v>010</v>
      </c>
      <c r="C640" t="str">
        <v>Quản lý phần mềm</v>
      </c>
      <c r="D640">
        <v>0</v>
      </c>
      <c r="E640" t="str">
        <v>Hạng mục 10</v>
      </c>
      <c r="F640" t="str">
        <v>BIM IT</v>
      </c>
      <c r="G640">
        <v>0</v>
      </c>
      <c r="H640">
        <v>0</v>
      </c>
    </row>
    <row r="641" spans="1:8">
      <c r="A641" t="str">
        <v>6..011</v>
      </c>
      <c r="B641" t="str">
        <v>011</v>
      </c>
      <c r="C641" t="str">
        <v>Quản lý phần mềm</v>
      </c>
      <c r="D641">
        <v>0</v>
      </c>
      <c r="E641" t="str">
        <v>Hạng mục 11</v>
      </c>
      <c r="F641" t="str">
        <v>BIM IT</v>
      </c>
      <c r="G641">
        <v>0</v>
      </c>
      <c r="H641">
        <v>0</v>
      </c>
    </row>
    <row r="642" spans="1:8">
      <c r="A642" t="str">
        <v>6..012</v>
      </c>
      <c r="B642" t="str">
        <v>012</v>
      </c>
      <c r="C642" t="str">
        <v>Quản lý phần mềm</v>
      </c>
      <c r="D642">
        <v>0</v>
      </c>
      <c r="E642" t="str">
        <v>Hạng mục 12</v>
      </c>
      <c r="F642" t="str">
        <v>BIM IT</v>
      </c>
      <c r="G642">
        <v>0</v>
      </c>
      <c r="H642">
        <v>0</v>
      </c>
    </row>
    <row r="643" spans="1:8">
      <c r="A643" t="str">
        <v>6..013</v>
      </c>
      <c r="B643" t="str">
        <v>013</v>
      </c>
      <c r="C643" t="str">
        <v>Quản lý phần mềm</v>
      </c>
      <c r="D643">
        <v>0</v>
      </c>
      <c r="E643" t="str">
        <v>Hạng mục 13</v>
      </c>
      <c r="F643" t="str">
        <v>BIM IT</v>
      </c>
      <c r="G643">
        <v>0</v>
      </c>
      <c r="H643">
        <v>0</v>
      </c>
    </row>
    <row r="644" spans="1:8">
      <c r="A644" t="str">
        <v>6..014</v>
      </c>
      <c r="B644" t="str">
        <v>014</v>
      </c>
      <c r="C644" t="str">
        <v>Quản lý phần mềm</v>
      </c>
      <c r="D644">
        <v>0</v>
      </c>
      <c r="E644" t="str">
        <v>Hạng mục 14</v>
      </c>
      <c r="F644" t="str">
        <v>BIM IT</v>
      </c>
      <c r="G644">
        <v>0</v>
      </c>
      <c r="H644">
        <v>0</v>
      </c>
    </row>
    <row r="645" spans="1:8">
      <c r="A645" t="str">
        <v>6..015</v>
      </c>
      <c r="B645" t="str">
        <v>015</v>
      </c>
      <c r="C645" t="str">
        <v>Quản lý phần mềm</v>
      </c>
      <c r="D645">
        <v>0</v>
      </c>
      <c r="E645" t="str">
        <v>Hạng mục 15</v>
      </c>
      <c r="F645" t="str">
        <v>BIM IT</v>
      </c>
      <c r="G645">
        <v>0</v>
      </c>
      <c r="H645">
        <v>0</v>
      </c>
    </row>
    <row r="646" spans="1:8">
      <c r="A646" t="str">
        <v>1.Công việc khác.001</v>
      </c>
      <c r="B646" t="str">
        <v>001</v>
      </c>
      <c r="C646" t="str">
        <v>Công việc khác</v>
      </c>
      <c r="D646" t="str">
        <v>Công việc khác</v>
      </c>
      <c r="E646" t="str">
        <v>Công việc khác</v>
      </c>
      <c r="F646" t="str">
        <v>BIM</v>
      </c>
      <c r="G646" t="str">
        <v xml:space="preserve">Họp nội bộ </v>
      </c>
      <c r="H646" t="str">
        <v>Trung bình</v>
      </c>
    </row>
    <row r="647" spans="1:8">
      <c r="A647" t="str">
        <v>1.Công việc khác.002</v>
      </c>
      <c r="B647" t="str">
        <v>002</v>
      </c>
      <c r="C647" t="str">
        <v>Công việc khác</v>
      </c>
      <c r="D647" t="str">
        <v>Công việc khác</v>
      </c>
      <c r="E647" t="str">
        <v>Công việc khác</v>
      </c>
      <c r="F647" t="str">
        <v>BIM</v>
      </c>
      <c r="G647" t="str">
        <v>Setup hệ thống quản lý công việc</v>
      </c>
      <c r="H647" t="str">
        <v>Cao</v>
      </c>
    </row>
    <row r="648" spans="1:8">
      <c r="A648" t="str">
        <v>1.Công việc khác.003</v>
      </c>
      <c r="B648" t="str">
        <v>003</v>
      </c>
      <c r="C648" t="str">
        <v>Công việc khác</v>
      </c>
      <c r="D648" t="str">
        <v>Công việc khác</v>
      </c>
      <c r="E648" t="str">
        <v>Công việc khác</v>
      </c>
      <c r="F648" t="str">
        <v>BIM</v>
      </c>
      <c r="G648" t="str">
        <v>Phối hợp, hỗ trợ các BP khác</v>
      </c>
      <c r="H648" t="str">
        <v>Cao</v>
      </c>
    </row>
    <row r="649" spans="1:8">
      <c r="A649" t="str">
        <v>1.Công việc khác.004</v>
      </c>
      <c r="B649" t="str">
        <v>004</v>
      </c>
      <c r="C649" t="str">
        <v>Công việc khác</v>
      </c>
      <c r="D649" t="str">
        <v>Công việc khác</v>
      </c>
      <c r="E649" t="str">
        <v>Công việc khác</v>
      </c>
      <c r="F649" t="str">
        <v>BIM</v>
      </c>
      <c r="G649" t="str">
        <v>Báo cáo công việc</v>
      </c>
      <c r="H649" t="str">
        <v>Cao</v>
      </c>
    </row>
    <row r="650" spans="1:8">
      <c r="A650" t="str">
        <v>1.Công việc khác.005</v>
      </c>
      <c r="B650" t="str">
        <v>005</v>
      </c>
      <c r="C650" t="str">
        <v>Công việc khác</v>
      </c>
      <c r="D650" t="str">
        <v>Công việc khác</v>
      </c>
      <c r="E650" t="str">
        <v>Công việc khác</v>
      </c>
      <c r="F650" t="str">
        <v>BIM</v>
      </c>
      <c r="G650" t="str">
        <v>Giao việc/Kiểm tra các đầu việc</v>
      </c>
      <c r="H650" t="str">
        <v>Cao</v>
      </c>
    </row>
    <row r="651" spans="1:8">
      <c r="A651" t="str">
        <v>1.Công việc khác.006</v>
      </c>
      <c r="B651" t="str">
        <v>006</v>
      </c>
      <c r="C651" t="str">
        <v>Công việc khác</v>
      </c>
      <c r="D651" t="str">
        <v>Công việc khác</v>
      </c>
      <c r="E651" t="str">
        <v>Công việc khác</v>
      </c>
      <c r="F651" t="str">
        <v>BIM</v>
      </c>
      <c r="G651" t="str">
        <v>Nghỉ phép</v>
      </c>
      <c r="H651" t="str">
        <v>Thấp</v>
      </c>
    </row>
  </sheetData>
  <dataValidations count="1">
    <dataValidation allowBlank="1" showInputMessage="1" showErrorMessage="1" sqref="A2:H2" xr:uid="{E7306E90-BD08-40C5-B0E3-D25FF64DC22A}"/>
  </dataValidation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715A00D6-DCD4-4703-945F-5D21FF85FB49}">
          <x14:formula1>
            <xm:f>Data!$V$4:$V$33</xm:f>
          </x14:formula1>
          <xm:sqref>F1</xm:sqref>
        </x14:dataValidation>
        <x14:dataValidation type="list" allowBlank="1" showInputMessage="1" showErrorMessage="1" xr:uid="{68FEF9C3-0C58-4F52-877D-269588301411}">
          <x14:formula1>
            <xm:f>Data!$X$4:$X$33</xm:f>
          </x14:formula1>
          <xm:sqref>H1</xm:sqref>
        </x14:dataValidation>
        <x14:dataValidation type="list" allowBlank="1" showInputMessage="1" showErrorMessage="1" xr:uid="{E958A864-1E55-4BC1-A0A1-767CDCFD5D5D}">
          <x14:formula1>
            <xm:f>Data!$L$4:$L$33</xm:f>
          </x14:formula1>
          <xm:sqref>G1</xm:sqref>
        </x14:dataValidation>
        <x14:dataValidation type="list" allowBlank="1" showInputMessage="1" showErrorMessage="1" xr:uid="{20B1188D-302D-4200-B130-B0ECB5F64177}">
          <x14:formula1>
            <xm:f>Data!$I:$I</xm:f>
          </x14:formula1>
          <xm:sqref>E1</xm:sqref>
        </x14:dataValidation>
        <x14:dataValidation type="list" allowBlank="1" showInputMessage="1" showErrorMessage="1" xr:uid="{D48B130B-CFE8-4DA7-BE5A-9357DA58C854}">
          <x14:formula1>
            <xm:f>Data!$H:$H</xm:f>
          </x14:formula1>
          <xm:sqref>D1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74F48-0C3B-4782-9B79-25887B04E6DF}">
  <dimension ref="A1:M34"/>
  <sheetViews>
    <sheetView zoomScale="115" zoomScaleNormal="115" workbookViewId="0">
      <pane ySplit="2" topLeftCell="A3" activePane="bottomLeft" state="frozen"/>
      <selection pane="bottomLeft" activeCell="J42" sqref="J42"/>
    </sheetView>
  </sheetViews>
  <sheetFormatPr defaultRowHeight="15" customHeight="1"/>
  <cols>
    <col min="1" max="1" width="35.7109375" bestFit="1" customWidth="1"/>
    <col min="2" max="2" width="6.85546875" customWidth="1"/>
    <col min="3" max="3" width="36.140625" bestFit="1" customWidth="1"/>
    <col min="4" max="4" width="30.140625" bestFit="1" customWidth="1"/>
    <col min="5" max="5" width="63.85546875" bestFit="1" customWidth="1"/>
    <col min="6" max="6" width="7.28515625" bestFit="1" customWidth="1"/>
    <col min="7" max="7" width="7.5703125" bestFit="1" customWidth="1"/>
    <col min="8" max="8" width="15.28515625" style="180" bestFit="1" customWidth="1"/>
    <col min="9" max="11" width="20.5703125" bestFit="1" customWidth="1"/>
    <col min="12" max="12" width="9.28515625" style="44" bestFit="1" customWidth="1"/>
    <col min="13" max="13" width="10.42578125" style="44" bestFit="1" customWidth="1"/>
  </cols>
  <sheetData>
    <row r="1" spans="1:13">
      <c r="A1" s="27"/>
      <c r="B1" s="27"/>
      <c r="C1" s="37" t="s">
        <v>459</v>
      </c>
      <c r="D1" s="27"/>
      <c r="E1" s="27"/>
      <c r="F1" s="27"/>
      <c r="G1" s="27"/>
      <c r="H1" s="178"/>
      <c r="I1" s="27"/>
      <c r="J1" s="27"/>
      <c r="K1" s="27"/>
      <c r="L1" s="42"/>
      <c r="M1" s="42"/>
    </row>
    <row r="2" spans="1:13" s="2" customFormat="1">
      <c r="A2" s="3" t="s">
        <v>456</v>
      </c>
      <c r="B2" s="3" t="s">
        <v>457</v>
      </c>
      <c r="C2" s="3" t="s">
        <v>458</v>
      </c>
      <c r="D2" s="3" t="s">
        <v>51</v>
      </c>
      <c r="E2" s="3" t="s">
        <v>52</v>
      </c>
      <c r="F2" s="3" t="s">
        <v>53</v>
      </c>
      <c r="G2" s="3" t="s">
        <v>54</v>
      </c>
      <c r="H2" s="41" t="s">
        <v>88</v>
      </c>
      <c r="I2" s="13" t="s">
        <v>460</v>
      </c>
      <c r="J2" s="13" t="s">
        <v>461</v>
      </c>
      <c r="K2" s="13" t="s">
        <v>462</v>
      </c>
      <c r="L2" s="43" t="s">
        <v>463</v>
      </c>
      <c r="M2" s="43" t="s">
        <v>464</v>
      </c>
    </row>
    <row r="3" spans="1:13">
      <c r="A3" s="28" t="str">
        <f>"1."&amp;D3&amp;"."&amp;B3</f>
        <v>1.Quy định.001</v>
      </c>
      <c r="B3" s="108" t="s">
        <v>465</v>
      </c>
      <c r="C3" s="109" t="s">
        <v>8</v>
      </c>
      <c r="D3" s="4" t="s">
        <v>89</v>
      </c>
      <c r="E3" s="4" t="s">
        <v>90</v>
      </c>
      <c r="F3" s="4" t="s">
        <v>103</v>
      </c>
      <c r="G3" s="4" t="s">
        <v>91</v>
      </c>
      <c r="H3" s="179" t="s">
        <v>134</v>
      </c>
      <c r="I3" s="21" t="s">
        <v>94</v>
      </c>
      <c r="J3" s="21"/>
      <c r="K3" s="21"/>
      <c r="L3" s="30">
        <v>46174</v>
      </c>
      <c r="M3" s="170">
        <v>46280</v>
      </c>
    </row>
    <row r="4" spans="1:13">
      <c r="A4" s="28" t="str">
        <f>"1."&amp;D4&amp;"."&amp;B4</f>
        <v>1.Các phụ lục.002</v>
      </c>
      <c r="B4" s="108" t="s">
        <v>466</v>
      </c>
      <c r="C4" s="109" t="s">
        <v>8</v>
      </c>
      <c r="D4" s="4" t="s">
        <v>106</v>
      </c>
      <c r="E4" s="1" t="s">
        <v>107</v>
      </c>
      <c r="F4" s="4" t="s">
        <v>103</v>
      </c>
      <c r="G4" s="4" t="s">
        <v>91</v>
      </c>
      <c r="H4" s="179" t="s">
        <v>134</v>
      </c>
      <c r="I4" s="21" t="s">
        <v>94</v>
      </c>
      <c r="J4" s="21"/>
      <c r="K4" s="21"/>
      <c r="L4" s="30">
        <v>46174</v>
      </c>
      <c r="M4" s="170">
        <v>46280</v>
      </c>
    </row>
    <row r="5" spans="1:13">
      <c r="A5" s="28" t="str">
        <f>"1."&amp;D5&amp;"."&amp;B5</f>
        <v>1.Các phụ lục.003</v>
      </c>
      <c r="B5" s="108" t="s">
        <v>467</v>
      </c>
      <c r="C5" s="109" t="s">
        <v>8</v>
      </c>
      <c r="D5" s="4" t="s">
        <v>106</v>
      </c>
      <c r="E5" s="1" t="s">
        <v>123</v>
      </c>
      <c r="F5" s="4" t="s">
        <v>103</v>
      </c>
      <c r="G5" s="4" t="s">
        <v>91</v>
      </c>
      <c r="H5" s="179" t="s">
        <v>134</v>
      </c>
      <c r="I5" s="21" t="s">
        <v>94</v>
      </c>
      <c r="J5" s="21"/>
      <c r="K5" s="21"/>
      <c r="L5" s="30">
        <v>46174</v>
      </c>
      <c r="M5" s="170">
        <v>46280</v>
      </c>
    </row>
    <row r="6" spans="1:13">
      <c r="A6" s="28" t="str">
        <f>"1."&amp;D6&amp;"."&amp;B6</f>
        <v>1.Các phụ lục.004</v>
      </c>
      <c r="B6" s="108" t="s">
        <v>468</v>
      </c>
      <c r="C6" s="109" t="s">
        <v>8</v>
      </c>
      <c r="D6" s="4" t="s">
        <v>106</v>
      </c>
      <c r="E6" s="1" t="s">
        <v>135</v>
      </c>
      <c r="F6" s="4" t="s">
        <v>103</v>
      </c>
      <c r="G6" s="4" t="s">
        <v>91</v>
      </c>
      <c r="H6" s="179" t="s">
        <v>134</v>
      </c>
      <c r="I6" s="21" t="s">
        <v>94</v>
      </c>
      <c r="J6" s="21"/>
      <c r="K6" s="21"/>
      <c r="L6" s="30">
        <v>46174</v>
      </c>
      <c r="M6" s="170">
        <v>46280</v>
      </c>
    </row>
    <row r="7" spans="1:13">
      <c r="A7" s="28" t="str">
        <f>"1."&amp;D7&amp;"."&amp;B7</f>
        <v>1.Các phụ lục.005</v>
      </c>
      <c r="B7" s="108" t="s">
        <v>469</v>
      </c>
      <c r="C7" s="109" t="s">
        <v>8</v>
      </c>
      <c r="D7" s="4" t="s">
        <v>106</v>
      </c>
      <c r="E7" s="1" t="s">
        <v>146</v>
      </c>
      <c r="F7" s="4" t="s">
        <v>103</v>
      </c>
      <c r="G7" s="4" t="s">
        <v>91</v>
      </c>
      <c r="H7" s="179" t="s">
        <v>134</v>
      </c>
      <c r="I7" s="21" t="s">
        <v>94</v>
      </c>
      <c r="J7" s="21"/>
      <c r="K7" s="21"/>
      <c r="L7" s="30">
        <v>46174</v>
      </c>
      <c r="M7" s="170">
        <v>46280</v>
      </c>
    </row>
    <row r="8" spans="1:13">
      <c r="A8" s="28" t="str">
        <f>"1."&amp;D8&amp;"."&amp;B8</f>
        <v>1.Các phụ lục.006</v>
      </c>
      <c r="B8" s="108" t="s">
        <v>470</v>
      </c>
      <c r="C8" s="109" t="s">
        <v>8</v>
      </c>
      <c r="D8" s="4" t="s">
        <v>106</v>
      </c>
      <c r="E8" s="1" t="s">
        <v>157</v>
      </c>
      <c r="F8" s="4" t="s">
        <v>103</v>
      </c>
      <c r="G8" s="4" t="s">
        <v>91</v>
      </c>
      <c r="H8" s="179" t="s">
        <v>134</v>
      </c>
      <c r="I8" s="21" t="s">
        <v>94</v>
      </c>
      <c r="J8" s="21"/>
      <c r="K8" s="21"/>
      <c r="L8" s="30">
        <v>46174</v>
      </c>
      <c r="M8" s="170">
        <v>46280</v>
      </c>
    </row>
    <row r="9" spans="1:13">
      <c r="A9" s="28" t="str">
        <f>"1."&amp;D9&amp;"."&amp;B9</f>
        <v>1.Các phụ lục.007</v>
      </c>
      <c r="B9" s="108" t="s">
        <v>471</v>
      </c>
      <c r="C9" s="109" t="s">
        <v>8</v>
      </c>
      <c r="D9" s="4" t="s">
        <v>106</v>
      </c>
      <c r="E9" s="1" t="s">
        <v>166</v>
      </c>
      <c r="F9" s="4" t="s">
        <v>103</v>
      </c>
      <c r="G9" s="4" t="s">
        <v>91</v>
      </c>
      <c r="H9" s="179" t="s">
        <v>134</v>
      </c>
      <c r="I9" s="21" t="s">
        <v>94</v>
      </c>
      <c r="J9" s="21"/>
      <c r="K9" s="21"/>
      <c r="L9" s="30">
        <v>46174</v>
      </c>
      <c r="M9" s="170">
        <v>46280</v>
      </c>
    </row>
    <row r="10" spans="1:13">
      <c r="A10" s="28" t="str">
        <f>"1."&amp;D10&amp;"."&amp;B10</f>
        <v>1.Các phụ lục.008</v>
      </c>
      <c r="B10" s="108" t="s">
        <v>472</v>
      </c>
      <c r="C10" s="109" t="s">
        <v>8</v>
      </c>
      <c r="D10" s="4" t="s">
        <v>106</v>
      </c>
      <c r="E10" s="1" t="s">
        <v>176</v>
      </c>
      <c r="F10" s="4" t="s">
        <v>103</v>
      </c>
      <c r="G10" s="4" t="s">
        <v>91</v>
      </c>
      <c r="H10" s="179" t="s">
        <v>134</v>
      </c>
      <c r="I10" s="21" t="s">
        <v>94</v>
      </c>
      <c r="J10" s="21"/>
      <c r="K10" s="21"/>
      <c r="L10" s="30">
        <v>46174</v>
      </c>
      <c r="M10" s="170">
        <v>46280</v>
      </c>
    </row>
    <row r="11" spans="1:13">
      <c r="A11" s="28" t="str">
        <f>"1."&amp;D11&amp;"."&amp;B11</f>
        <v>1.Các phụ lục.009</v>
      </c>
      <c r="B11" s="108" t="s">
        <v>473</v>
      </c>
      <c r="C11" s="109" t="s">
        <v>8</v>
      </c>
      <c r="D11" s="4" t="s">
        <v>106</v>
      </c>
      <c r="E11" s="1" t="s">
        <v>184</v>
      </c>
      <c r="F11" s="4" t="s">
        <v>103</v>
      </c>
      <c r="G11" s="4" t="s">
        <v>91</v>
      </c>
      <c r="H11" s="179" t="s">
        <v>134</v>
      </c>
      <c r="I11" s="21" t="s">
        <v>94</v>
      </c>
      <c r="J11" s="21"/>
      <c r="K11" s="21"/>
      <c r="L11" s="30">
        <v>46174</v>
      </c>
      <c r="M11" s="170">
        <v>46280</v>
      </c>
    </row>
    <row r="12" spans="1:13">
      <c r="A12" s="28" t="str">
        <f>"1."&amp;D12&amp;"."&amp;B12</f>
        <v>1.Các phụ lục.010</v>
      </c>
      <c r="B12" s="108" t="s">
        <v>474</v>
      </c>
      <c r="C12" s="109" t="s">
        <v>8</v>
      </c>
      <c r="D12" s="4" t="s">
        <v>106</v>
      </c>
      <c r="E12" s="1" t="s">
        <v>191</v>
      </c>
      <c r="F12" s="4" t="s">
        <v>103</v>
      </c>
      <c r="G12" s="4" t="s">
        <v>91</v>
      </c>
      <c r="H12" s="179" t="s">
        <v>134</v>
      </c>
      <c r="I12" s="21" t="s">
        <v>94</v>
      </c>
      <c r="J12" s="21"/>
      <c r="K12" s="21"/>
      <c r="L12" s="30">
        <v>46174</v>
      </c>
      <c r="M12" s="170">
        <v>46280</v>
      </c>
    </row>
    <row r="13" spans="1:13">
      <c r="A13" s="28" t="str">
        <f>"1."&amp;D13&amp;"."&amp;B13</f>
        <v>1.Các phụ lục.011</v>
      </c>
      <c r="B13" s="108" t="s">
        <v>475</v>
      </c>
      <c r="C13" s="109" t="s">
        <v>8</v>
      </c>
      <c r="D13" s="4" t="s">
        <v>106</v>
      </c>
      <c r="E13" s="1" t="s">
        <v>197</v>
      </c>
      <c r="F13" s="4" t="s">
        <v>103</v>
      </c>
      <c r="G13" s="4" t="s">
        <v>91</v>
      </c>
      <c r="H13" s="179" t="s">
        <v>134</v>
      </c>
      <c r="I13" s="21" t="s">
        <v>94</v>
      </c>
      <c r="J13" s="21"/>
      <c r="K13" s="21"/>
      <c r="L13" s="30">
        <v>46174</v>
      </c>
      <c r="M13" s="170">
        <v>46280</v>
      </c>
    </row>
    <row r="14" spans="1:13">
      <c r="A14" s="28" t="str">
        <f>"1."&amp;D14&amp;"."&amp;B14</f>
        <v>1.Các phụ lục.012</v>
      </c>
      <c r="B14" s="108" t="s">
        <v>476</v>
      </c>
      <c r="C14" s="109" t="s">
        <v>8</v>
      </c>
      <c r="D14" s="4" t="s">
        <v>106</v>
      </c>
      <c r="E14" s="1" t="s">
        <v>202</v>
      </c>
      <c r="F14" s="4" t="s">
        <v>103</v>
      </c>
      <c r="G14" s="4" t="s">
        <v>91</v>
      </c>
      <c r="H14" s="179" t="s">
        <v>134</v>
      </c>
      <c r="I14" s="21" t="s">
        <v>94</v>
      </c>
      <c r="J14" s="21"/>
      <c r="K14" s="21"/>
      <c r="L14" s="30">
        <v>46174</v>
      </c>
      <c r="M14" s="170">
        <v>46280</v>
      </c>
    </row>
    <row r="15" spans="1:13">
      <c r="A15" s="28" t="str">
        <f>"1."&amp;D15&amp;"."&amp;B15</f>
        <v>1.Các phụ lục.013</v>
      </c>
      <c r="B15" s="108" t="s">
        <v>477</v>
      </c>
      <c r="C15" s="109" t="s">
        <v>8</v>
      </c>
      <c r="D15" s="4" t="s">
        <v>106</v>
      </c>
      <c r="E15" s="1" t="s">
        <v>207</v>
      </c>
      <c r="F15" s="4" t="s">
        <v>103</v>
      </c>
      <c r="G15" s="4" t="s">
        <v>91</v>
      </c>
      <c r="H15" s="179" t="s">
        <v>134</v>
      </c>
      <c r="I15" s="21" t="s">
        <v>94</v>
      </c>
      <c r="J15" s="21"/>
      <c r="K15" s="21"/>
      <c r="L15" s="30">
        <v>46174</v>
      </c>
      <c r="M15" s="170">
        <v>46280</v>
      </c>
    </row>
    <row r="16" spans="1:13">
      <c r="A16" s="28" t="str">
        <f>"1."&amp;D16&amp;"."&amp;B16</f>
        <v>1.Các phụ lục.014</v>
      </c>
      <c r="B16" s="108" t="s">
        <v>478</v>
      </c>
      <c r="C16" s="109" t="s">
        <v>8</v>
      </c>
      <c r="D16" s="4" t="s">
        <v>106</v>
      </c>
      <c r="E16" s="1" t="s">
        <v>212</v>
      </c>
      <c r="F16" s="4" t="s">
        <v>103</v>
      </c>
      <c r="G16" s="4" t="s">
        <v>91</v>
      </c>
      <c r="H16" s="179" t="s">
        <v>134</v>
      </c>
      <c r="I16" s="21" t="s">
        <v>94</v>
      </c>
      <c r="J16" s="21"/>
      <c r="K16" s="21"/>
      <c r="L16" s="30">
        <v>46174</v>
      </c>
      <c r="M16" s="170">
        <v>46280</v>
      </c>
    </row>
    <row r="17" spans="1:13">
      <c r="A17" s="28" t="str">
        <f>"1."&amp;D17&amp;"."&amp;B17</f>
        <v>1.Các phụ lục.015</v>
      </c>
      <c r="B17" s="108" t="s">
        <v>479</v>
      </c>
      <c r="C17" s="109" t="s">
        <v>8</v>
      </c>
      <c r="D17" s="4" t="s">
        <v>106</v>
      </c>
      <c r="E17" s="1" t="s">
        <v>217</v>
      </c>
      <c r="F17" s="4" t="s">
        <v>103</v>
      </c>
      <c r="G17" s="4" t="s">
        <v>91</v>
      </c>
      <c r="H17" s="179" t="s">
        <v>134</v>
      </c>
      <c r="I17" s="21" t="s">
        <v>94</v>
      </c>
      <c r="J17" s="21"/>
      <c r="K17" s="21"/>
      <c r="L17" s="30">
        <v>46174</v>
      </c>
      <c r="M17" s="170">
        <v>46280</v>
      </c>
    </row>
    <row r="18" spans="1:13">
      <c r="A18" s="28" t="str">
        <f>"1."&amp;D18&amp;"."&amp;B18</f>
        <v>1.Các phụ lục.016</v>
      </c>
      <c r="B18" s="108" t="s">
        <v>480</v>
      </c>
      <c r="C18" s="109" t="s">
        <v>8</v>
      </c>
      <c r="D18" s="4" t="s">
        <v>106</v>
      </c>
      <c r="E18" s="1" t="s">
        <v>221</v>
      </c>
      <c r="F18" s="4" t="s">
        <v>103</v>
      </c>
      <c r="G18" s="4" t="s">
        <v>91</v>
      </c>
      <c r="H18" s="179" t="s">
        <v>134</v>
      </c>
      <c r="I18" s="21" t="s">
        <v>94</v>
      </c>
      <c r="J18" s="21"/>
      <c r="K18" s="21"/>
      <c r="L18" s="30">
        <v>46174</v>
      </c>
      <c r="M18" s="170">
        <v>46280</v>
      </c>
    </row>
    <row r="19" spans="1:13">
      <c r="A19" s="28" t="str">
        <f>"1."&amp;D19&amp;"."&amp;B19</f>
        <v>1.Các phụ lục.017</v>
      </c>
      <c r="B19" s="108" t="s">
        <v>481</v>
      </c>
      <c r="C19" s="109" t="s">
        <v>8</v>
      </c>
      <c r="D19" s="4" t="s">
        <v>106</v>
      </c>
      <c r="E19" s="1" t="s">
        <v>225</v>
      </c>
      <c r="F19" s="4" t="s">
        <v>103</v>
      </c>
      <c r="G19" s="4" t="s">
        <v>91</v>
      </c>
      <c r="H19" s="179" t="s">
        <v>134</v>
      </c>
      <c r="I19" s="21" t="s">
        <v>94</v>
      </c>
      <c r="J19" s="21"/>
      <c r="K19" s="21"/>
      <c r="L19" s="30">
        <v>46174</v>
      </c>
      <c r="M19" s="170">
        <v>46280</v>
      </c>
    </row>
    <row r="20" spans="1:13">
      <c r="A20" s="28" t="str">
        <f>"1."&amp;D20&amp;"."&amp;B20</f>
        <v>1.Các phụ lục.018</v>
      </c>
      <c r="B20" s="108" t="s">
        <v>482</v>
      </c>
      <c r="C20" s="109" t="s">
        <v>8</v>
      </c>
      <c r="D20" s="4" t="s">
        <v>106</v>
      </c>
      <c r="E20" s="1" t="s">
        <v>230</v>
      </c>
      <c r="F20" s="4" t="s">
        <v>103</v>
      </c>
      <c r="G20" s="4" t="s">
        <v>91</v>
      </c>
      <c r="H20" s="179" t="s">
        <v>134</v>
      </c>
      <c r="I20" s="21" t="s">
        <v>94</v>
      </c>
      <c r="J20" s="21"/>
      <c r="K20" s="21"/>
      <c r="L20" s="30">
        <v>46174</v>
      </c>
      <c r="M20" s="170">
        <v>46280</v>
      </c>
    </row>
    <row r="21" spans="1:13">
      <c r="A21" s="28" t="str">
        <f>"1."&amp;D21&amp;"."&amp;B21</f>
        <v>1.Các phụ lục.019</v>
      </c>
      <c r="B21" s="108" t="s">
        <v>483</v>
      </c>
      <c r="C21" s="109" t="s">
        <v>8</v>
      </c>
      <c r="D21" s="4" t="s">
        <v>106</v>
      </c>
      <c r="E21" s="1" t="s">
        <v>235</v>
      </c>
      <c r="F21" s="4" t="s">
        <v>103</v>
      </c>
      <c r="G21" s="4" t="s">
        <v>91</v>
      </c>
      <c r="H21" s="179" t="s">
        <v>134</v>
      </c>
      <c r="I21" s="21" t="s">
        <v>94</v>
      </c>
      <c r="J21" s="21"/>
      <c r="K21" s="21"/>
      <c r="L21" s="30">
        <v>46174</v>
      </c>
      <c r="M21" s="170">
        <v>46280</v>
      </c>
    </row>
    <row r="22" spans="1:13">
      <c r="A22" s="28" t="str">
        <f>"1."&amp;D22&amp;"."&amp;B22</f>
        <v>1.Các phụ lục.020</v>
      </c>
      <c r="B22" s="108" t="s">
        <v>484</v>
      </c>
      <c r="C22" s="109" t="s">
        <v>8</v>
      </c>
      <c r="D22" s="4" t="s">
        <v>106</v>
      </c>
      <c r="E22" s="1" t="s">
        <v>239</v>
      </c>
      <c r="F22" s="4" t="s">
        <v>103</v>
      </c>
      <c r="G22" s="4" t="s">
        <v>91</v>
      </c>
      <c r="H22" s="179" t="s">
        <v>134</v>
      </c>
      <c r="I22" s="21" t="s">
        <v>94</v>
      </c>
      <c r="J22" s="21"/>
      <c r="K22" s="21"/>
      <c r="L22" s="30">
        <v>46174</v>
      </c>
      <c r="M22" s="170">
        <v>46280</v>
      </c>
    </row>
    <row r="23" spans="1:13">
      <c r="A23" s="28" t="str">
        <f>"1."&amp;D23&amp;"."&amp;B23</f>
        <v>1.Các biểu mẫu.021</v>
      </c>
      <c r="B23" s="108" t="s">
        <v>485</v>
      </c>
      <c r="C23" s="109" t="s">
        <v>8</v>
      </c>
      <c r="D23" s="4" t="s">
        <v>243</v>
      </c>
      <c r="E23" s="1" t="s">
        <v>244</v>
      </c>
      <c r="F23" s="4" t="s">
        <v>103</v>
      </c>
      <c r="G23" s="4" t="s">
        <v>91</v>
      </c>
      <c r="H23" s="179" t="s">
        <v>134</v>
      </c>
      <c r="I23" s="21" t="s">
        <v>94</v>
      </c>
      <c r="J23" s="21"/>
      <c r="K23" s="21"/>
      <c r="L23" s="30">
        <v>46174</v>
      </c>
      <c r="M23" s="170">
        <v>46280</v>
      </c>
    </row>
    <row r="24" spans="1:13">
      <c r="A24" s="28" t="str">
        <f>"1."&amp;D24&amp;"."&amp;B24</f>
        <v>1.Các biểu mẫu.022</v>
      </c>
      <c r="B24" s="108" t="s">
        <v>486</v>
      </c>
      <c r="C24" s="109" t="s">
        <v>8</v>
      </c>
      <c r="D24" s="4" t="s">
        <v>243</v>
      </c>
      <c r="E24" s="1" t="s">
        <v>248</v>
      </c>
      <c r="F24" s="4" t="s">
        <v>103</v>
      </c>
      <c r="G24" s="4" t="s">
        <v>91</v>
      </c>
      <c r="H24" s="179" t="s">
        <v>134</v>
      </c>
      <c r="I24" s="21" t="s">
        <v>94</v>
      </c>
      <c r="J24" s="21"/>
      <c r="K24" s="21"/>
      <c r="L24" s="30">
        <v>46174</v>
      </c>
      <c r="M24" s="170">
        <v>46280</v>
      </c>
    </row>
    <row r="25" spans="1:13">
      <c r="A25" s="28" t="str">
        <f>"1."&amp;D25&amp;"."&amp;B25</f>
        <v>1.Các biểu mẫu.023</v>
      </c>
      <c r="B25" s="108" t="s">
        <v>487</v>
      </c>
      <c r="C25" s="109" t="s">
        <v>8</v>
      </c>
      <c r="D25" s="4" t="s">
        <v>243</v>
      </c>
      <c r="E25" s="1" t="s">
        <v>252</v>
      </c>
      <c r="F25" s="4" t="s">
        <v>103</v>
      </c>
      <c r="G25" s="4" t="s">
        <v>91</v>
      </c>
      <c r="H25" s="179" t="s">
        <v>134</v>
      </c>
      <c r="I25" s="21" t="s">
        <v>94</v>
      </c>
      <c r="J25" s="21"/>
      <c r="K25" s="21"/>
      <c r="L25" s="30">
        <v>46174</v>
      </c>
      <c r="M25" s="170">
        <v>46280</v>
      </c>
    </row>
    <row r="26" spans="1:13">
      <c r="A26" s="28" t="str">
        <f>"1."&amp;D26&amp;"."&amp;B26</f>
        <v>1.Các biểu mẫu.024</v>
      </c>
      <c r="B26" s="108" t="s">
        <v>488</v>
      </c>
      <c r="C26" s="109" t="s">
        <v>8</v>
      </c>
      <c r="D26" s="4" t="s">
        <v>243</v>
      </c>
      <c r="E26" s="1" t="s">
        <v>257</v>
      </c>
      <c r="F26" s="4" t="s">
        <v>103</v>
      </c>
      <c r="G26" s="4" t="s">
        <v>91</v>
      </c>
      <c r="H26" s="179" t="s">
        <v>134</v>
      </c>
      <c r="I26" s="21" t="s">
        <v>94</v>
      </c>
      <c r="J26" s="21"/>
      <c r="K26" s="21"/>
      <c r="L26" s="30">
        <v>46174</v>
      </c>
      <c r="M26" s="170">
        <v>46280</v>
      </c>
    </row>
    <row r="27" spans="1:13">
      <c r="A27" s="28" t="str">
        <f>"1."&amp;D27&amp;"."&amp;B27</f>
        <v>1.Các biểu mẫu.025</v>
      </c>
      <c r="B27" s="108" t="s">
        <v>489</v>
      </c>
      <c r="C27" s="109" t="s">
        <v>8</v>
      </c>
      <c r="D27" s="4" t="s">
        <v>243</v>
      </c>
      <c r="E27" s="1" t="s">
        <v>262</v>
      </c>
      <c r="F27" s="4" t="s">
        <v>103</v>
      </c>
      <c r="G27" s="4" t="s">
        <v>91</v>
      </c>
      <c r="H27" s="179" t="s">
        <v>134</v>
      </c>
      <c r="I27" s="21" t="s">
        <v>94</v>
      </c>
      <c r="J27" s="21"/>
      <c r="K27" s="21"/>
      <c r="L27" s="30">
        <v>46174</v>
      </c>
      <c r="M27" s="170">
        <v>46280</v>
      </c>
    </row>
    <row r="28" spans="1:13">
      <c r="A28" s="28" t="str">
        <f>"1."&amp;D28&amp;"."&amp;B28</f>
        <v>1.Các biểu mẫu.026</v>
      </c>
      <c r="B28" s="108" t="s">
        <v>490</v>
      </c>
      <c r="C28" s="109" t="s">
        <v>8</v>
      </c>
      <c r="D28" s="4" t="s">
        <v>243</v>
      </c>
      <c r="E28" s="1" t="s">
        <v>268</v>
      </c>
      <c r="F28" s="4" t="s">
        <v>103</v>
      </c>
      <c r="G28" s="4" t="s">
        <v>91</v>
      </c>
      <c r="H28" s="179" t="s">
        <v>134</v>
      </c>
      <c r="I28" s="21" t="s">
        <v>94</v>
      </c>
      <c r="J28" s="21"/>
      <c r="K28" s="21"/>
      <c r="L28" s="30">
        <v>46174</v>
      </c>
      <c r="M28" s="170">
        <v>46280</v>
      </c>
    </row>
    <row r="29" spans="1:13">
      <c r="A29" s="28" t="str">
        <f>"1."&amp;D29&amp;"."&amp;B29</f>
        <v>1.Các biểu mẫu.027</v>
      </c>
      <c r="B29" s="108" t="s">
        <v>491</v>
      </c>
      <c r="C29" s="109" t="s">
        <v>8</v>
      </c>
      <c r="D29" s="4" t="s">
        <v>243</v>
      </c>
      <c r="E29" s="1" t="s">
        <v>272</v>
      </c>
      <c r="F29" s="4" t="s">
        <v>103</v>
      </c>
      <c r="G29" s="4" t="s">
        <v>91</v>
      </c>
      <c r="H29" s="179" t="s">
        <v>134</v>
      </c>
      <c r="I29" s="21" t="s">
        <v>94</v>
      </c>
      <c r="J29" s="21"/>
      <c r="K29" s="21"/>
      <c r="L29" s="30">
        <v>46174</v>
      </c>
      <c r="M29" s="170">
        <v>46280</v>
      </c>
    </row>
    <row r="30" spans="1:13">
      <c r="A30" s="28" t="str">
        <f>"1."&amp;D30&amp;"."&amp;B30</f>
        <v>1.Các biểu mẫu.028</v>
      </c>
      <c r="B30" s="108" t="s">
        <v>492</v>
      </c>
      <c r="C30" s="109" t="s">
        <v>8</v>
      </c>
      <c r="D30" s="4" t="s">
        <v>243</v>
      </c>
      <c r="E30" s="1" t="s">
        <v>276</v>
      </c>
      <c r="F30" s="4" t="s">
        <v>103</v>
      </c>
      <c r="G30" s="4" t="s">
        <v>91</v>
      </c>
      <c r="H30" s="179" t="s">
        <v>134</v>
      </c>
      <c r="I30" s="21" t="s">
        <v>94</v>
      </c>
      <c r="J30" s="21"/>
      <c r="K30" s="21"/>
      <c r="L30" s="30">
        <v>46174</v>
      </c>
      <c r="M30" s="170">
        <v>46280</v>
      </c>
    </row>
    <row r="31" spans="1:13">
      <c r="A31" s="28" t="str">
        <f>"1."&amp;D31&amp;"."&amp;B31</f>
        <v>1.Các biểu mẫu.029</v>
      </c>
      <c r="B31" s="108" t="s">
        <v>493</v>
      </c>
      <c r="C31" s="109" t="s">
        <v>8</v>
      </c>
      <c r="D31" s="4" t="s">
        <v>243</v>
      </c>
      <c r="E31" s="1" t="s">
        <v>280</v>
      </c>
      <c r="F31" s="4" t="s">
        <v>103</v>
      </c>
      <c r="G31" s="4" t="s">
        <v>91</v>
      </c>
      <c r="H31" s="179" t="s">
        <v>134</v>
      </c>
      <c r="I31" s="21" t="s">
        <v>94</v>
      </c>
      <c r="J31" s="21"/>
      <c r="K31" s="21"/>
      <c r="L31" s="30">
        <v>46174</v>
      </c>
      <c r="M31" s="170">
        <v>46280</v>
      </c>
    </row>
    <row r="32" spans="1:13">
      <c r="A32" s="28" t="str">
        <f>"1."&amp;D32&amp;"."&amp;B32</f>
        <v>1.Các biểu mẫu.030</v>
      </c>
      <c r="B32" s="108" t="s">
        <v>494</v>
      </c>
      <c r="C32" s="109" t="s">
        <v>8</v>
      </c>
      <c r="D32" s="4" t="s">
        <v>243</v>
      </c>
      <c r="E32" s="1" t="s">
        <v>283</v>
      </c>
      <c r="F32" s="4" t="s">
        <v>103</v>
      </c>
      <c r="G32" s="4" t="s">
        <v>91</v>
      </c>
      <c r="H32" s="179" t="s">
        <v>134</v>
      </c>
      <c r="I32" s="21" t="s">
        <v>94</v>
      </c>
      <c r="J32" s="21"/>
      <c r="K32" s="21"/>
      <c r="L32" s="30">
        <v>46174</v>
      </c>
      <c r="M32" s="170">
        <v>46280</v>
      </c>
    </row>
    <row r="33" spans="1:13">
      <c r="A33" s="28" t="str">
        <f>"1."&amp;D33&amp;"."&amp;B33</f>
        <v>1.Các biểu mẫu.031</v>
      </c>
      <c r="B33" s="108" t="s">
        <v>495</v>
      </c>
      <c r="C33" s="109" t="s">
        <v>8</v>
      </c>
      <c r="D33" s="4" t="s">
        <v>243</v>
      </c>
      <c r="E33" s="1" t="s">
        <v>286</v>
      </c>
      <c r="F33" s="4" t="s">
        <v>103</v>
      </c>
      <c r="G33" s="4" t="s">
        <v>91</v>
      </c>
      <c r="H33" s="179" t="s">
        <v>134</v>
      </c>
      <c r="I33" s="21" t="s">
        <v>94</v>
      </c>
      <c r="J33" s="21"/>
      <c r="K33" s="21"/>
      <c r="L33" s="30">
        <v>46174</v>
      </c>
      <c r="M33" s="170">
        <v>46280</v>
      </c>
    </row>
    <row r="34" spans="1:13">
      <c r="A34" s="28" t="str">
        <f>"1."&amp;D34&amp;"."&amp;B34</f>
        <v>1.Quy định công tác thanh tra BIM.032</v>
      </c>
      <c r="B34" s="108" t="s">
        <v>496</v>
      </c>
      <c r="C34" s="109" t="s">
        <v>8</v>
      </c>
      <c r="D34" s="1" t="s">
        <v>289</v>
      </c>
      <c r="E34" s="1" t="s">
        <v>289</v>
      </c>
      <c r="F34" s="4" t="s">
        <v>103</v>
      </c>
      <c r="G34" s="4" t="s">
        <v>91</v>
      </c>
      <c r="H34" s="179" t="s">
        <v>134</v>
      </c>
      <c r="I34" s="21" t="s">
        <v>94</v>
      </c>
      <c r="J34" s="21"/>
      <c r="K34" s="21"/>
      <c r="L34" s="30">
        <v>46174</v>
      </c>
      <c r="M34" s="170">
        <v>46280</v>
      </c>
    </row>
  </sheetData>
  <phoneticPr fontId="4" type="noConversion"/>
  <dataValidations count="1">
    <dataValidation allowBlank="1" showInputMessage="1" showErrorMessage="1" sqref="A1:XFD2" xr:uid="{E1F16FF5-A98F-4E09-86C4-B6D5B61961A9}"/>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7">
        <x14:dataValidation type="list" allowBlank="1" showInputMessage="1" showErrorMessage="1" xr:uid="{FF65D692-719E-43E4-8A53-04BDBEC76B6E}">
          <x14:formula1>
            <xm:f>Data!$Y$4:$Y$33</xm:f>
          </x14:formula1>
          <xm:sqref>I3:K1048576</xm:sqref>
        </x14:dataValidation>
        <x14:dataValidation type="list" allowBlank="1" showInputMessage="1" showErrorMessage="1" xr:uid="{89857CC0-B209-411B-97A8-BE0231E3D8D4}">
          <x14:formula1>
            <xm:f>Data!$X$4:$X$33</xm:f>
          </x14:formula1>
          <xm:sqref>H3:H1048576</xm:sqref>
        </x14:dataValidation>
        <x14:dataValidation type="list" allowBlank="1" showInputMessage="1" showErrorMessage="1" xr:uid="{9DEEDCD9-FC3D-4C6B-A081-BD4C57BC133D}">
          <x14:formula1>
            <xm:f>Data!$D$4:$D$33</xm:f>
          </x14:formula1>
          <xm:sqref>G3:G1048576</xm:sqref>
        </x14:dataValidation>
        <x14:dataValidation type="list" allowBlank="1" showInputMessage="1" showErrorMessage="1" xr:uid="{3460024B-D370-48D6-B910-E2873E5997C0}">
          <x14:formula1>
            <xm:f>Data!$V$4:$V$33</xm:f>
          </x14:formula1>
          <xm:sqref>F3:F1048576</xm:sqref>
        </x14:dataValidation>
        <x14:dataValidation type="list" allowBlank="1" showInputMessage="1" showErrorMessage="1" xr:uid="{DD62B310-3198-4404-90A6-23BA442CE08E}">
          <x14:formula1>
            <xm:f>Data!$B$2</xm:f>
          </x14:formula1>
          <xm:sqref>C3:C1048576</xm:sqref>
        </x14:dataValidation>
        <x14:dataValidation type="list" allowBlank="1" showInputMessage="1" showErrorMessage="1" xr:uid="{9AF0FBE3-F2CF-4D7D-9B30-46EB1269E1F0}">
          <x14:formula1>
            <xm:f>Data!$B$4:$B$53</xm:f>
          </x14:formula1>
          <xm:sqref>D3:D1048576</xm:sqref>
        </x14:dataValidation>
        <x14:dataValidation type="list" allowBlank="1" showInputMessage="1" showErrorMessage="1" xr:uid="{F5473384-376D-4E5B-B9F7-65B464A6C1E0}">
          <x14:formula1>
            <xm:f>Data!$C$4:$C$53</xm:f>
          </x14:formula1>
          <xm:sqref>E3:E1048576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DFBC2-B9AA-4E22-BC49-316D9DB2746E}">
  <dimension ref="A1:M24"/>
  <sheetViews>
    <sheetView zoomScale="130" zoomScaleNormal="130" workbookViewId="0">
      <pane ySplit="2" topLeftCell="A3" activePane="bottomLeft" state="frozen"/>
      <selection pane="bottomLeft" activeCell="G19" sqref="G19"/>
    </sheetView>
  </sheetViews>
  <sheetFormatPr defaultRowHeight="15"/>
  <cols>
    <col min="1" max="1" width="30.140625" style="12" bestFit="1" customWidth="1"/>
    <col min="2" max="2" width="17.7109375" style="12" customWidth="1"/>
    <col min="3" max="3" width="15.42578125" style="12" customWidth="1"/>
    <col min="4" max="4" width="25.7109375" style="12" customWidth="1"/>
    <col min="5" max="5" width="29.28515625" style="12" customWidth="1"/>
    <col min="6" max="6" width="11.42578125" style="12" customWidth="1"/>
    <col min="7" max="7" width="31.7109375" style="12" customWidth="1"/>
    <col min="8" max="8" width="15.28515625" style="12" bestFit="1" customWidth="1"/>
    <col min="9" max="11" width="21.5703125" style="12" customWidth="1"/>
    <col min="12" max="13" width="11.140625" style="77" customWidth="1"/>
    <col min="14" max="16384" width="9.140625" style="12"/>
  </cols>
  <sheetData>
    <row r="1" spans="1:13">
      <c r="A1" s="78"/>
      <c r="B1" s="78"/>
      <c r="C1" s="78" t="s">
        <v>497</v>
      </c>
      <c r="D1" s="78"/>
      <c r="E1" s="78"/>
      <c r="F1" s="78"/>
      <c r="G1" s="78"/>
      <c r="H1" s="78"/>
      <c r="I1" s="78"/>
      <c r="J1" s="78"/>
      <c r="K1" s="78"/>
      <c r="L1" s="80"/>
      <c r="M1" s="80"/>
    </row>
    <row r="2" spans="1:13">
      <c r="A2" s="22" t="s">
        <v>456</v>
      </c>
      <c r="B2" s="22" t="s">
        <v>457</v>
      </c>
      <c r="C2" s="22" t="s">
        <v>458</v>
      </c>
      <c r="D2" s="22" t="s">
        <v>51</v>
      </c>
      <c r="E2" s="22" t="s">
        <v>52</v>
      </c>
      <c r="F2" s="22" t="s">
        <v>53</v>
      </c>
      <c r="G2" s="22" t="s">
        <v>54</v>
      </c>
      <c r="H2" s="39" t="s">
        <v>88</v>
      </c>
      <c r="I2" s="17" t="s">
        <v>460</v>
      </c>
      <c r="J2" s="17" t="s">
        <v>461</v>
      </c>
      <c r="K2" s="17" t="s">
        <v>462</v>
      </c>
      <c r="L2" s="94" t="s">
        <v>463</v>
      </c>
      <c r="M2" s="45" t="s">
        <v>464</v>
      </c>
    </row>
    <row r="3" spans="1:13">
      <c r="A3" s="28" t="str">
        <f>"2."&amp;D3&amp;"."&amp;B3</f>
        <v>2.Công cụ tạo lập mô hình.001</v>
      </c>
      <c r="B3" s="28" t="str">
        <f>TEXT(COUNTIFS($C$3:C3,C3,$D$3:D3,D3),"000")</f>
        <v>001</v>
      </c>
      <c r="C3" s="100" t="s">
        <v>9</v>
      </c>
      <c r="D3" s="28" t="s">
        <v>147</v>
      </c>
      <c r="E3" s="28" t="s">
        <v>148</v>
      </c>
      <c r="F3" s="28" t="s">
        <v>164</v>
      </c>
      <c r="G3" s="28" t="s">
        <v>111</v>
      </c>
      <c r="H3" s="28" t="s">
        <v>105</v>
      </c>
      <c r="I3" s="28" t="s">
        <v>32</v>
      </c>
      <c r="J3" s="28" t="s">
        <v>34</v>
      </c>
      <c r="K3" s="28"/>
      <c r="L3" s="70">
        <v>46185</v>
      </c>
      <c r="M3" s="70">
        <v>46192</v>
      </c>
    </row>
    <row r="4" spans="1:13">
      <c r="A4" s="28" t="str">
        <f>"2."&amp;D4&amp;"."&amp;B4</f>
        <v>2.Công cụ tạo lập mô hình.002</v>
      </c>
      <c r="B4" s="28" t="str">
        <f>TEXT(COUNTIFS($C$3:C4,C4,$D$3:D4,D4),"000")</f>
        <v>002</v>
      </c>
      <c r="C4" s="100" t="s">
        <v>9</v>
      </c>
      <c r="D4" s="28" t="s">
        <v>147</v>
      </c>
      <c r="E4" s="28" t="s">
        <v>148</v>
      </c>
      <c r="F4" s="28" t="s">
        <v>164</v>
      </c>
      <c r="G4" s="28" t="s">
        <v>125</v>
      </c>
      <c r="H4" s="28" t="s">
        <v>105</v>
      </c>
      <c r="I4" s="28" t="s">
        <v>32</v>
      </c>
      <c r="J4" s="28" t="s">
        <v>34</v>
      </c>
      <c r="K4" s="28"/>
      <c r="L4" s="70"/>
      <c r="M4" s="70"/>
    </row>
    <row r="5" spans="1:13">
      <c r="A5" s="28" t="str">
        <f>"2."&amp;D5&amp;"."&amp;B5</f>
        <v>2.Công cụ tạo lập mô hình.003</v>
      </c>
      <c r="B5" s="28" t="str">
        <f>TEXT(COUNTIFS($C$3:C5,C5,$D$3:D5,D5),"000")</f>
        <v>003</v>
      </c>
      <c r="C5" s="100" t="s">
        <v>9</v>
      </c>
      <c r="D5" s="28" t="s">
        <v>147</v>
      </c>
      <c r="E5" s="28" t="s">
        <v>148</v>
      </c>
      <c r="F5" s="28" t="s">
        <v>164</v>
      </c>
      <c r="G5" s="28" t="s">
        <v>137</v>
      </c>
      <c r="H5" s="28" t="s">
        <v>105</v>
      </c>
      <c r="I5" s="28" t="s">
        <v>32</v>
      </c>
      <c r="J5" s="28" t="s">
        <v>34</v>
      </c>
      <c r="K5" s="28"/>
      <c r="L5" s="70"/>
      <c r="M5" s="70"/>
    </row>
    <row r="6" spans="1:13">
      <c r="A6" s="28" t="str">
        <f>"2."&amp;D6&amp;"."&amp;B6</f>
        <v>2.Công cụ tạo lập mô hình.004</v>
      </c>
      <c r="B6" s="28" t="str">
        <f>TEXT(COUNTIFS($C$3:C6,C6,$D$3:D6,D6),"000")</f>
        <v>004</v>
      </c>
      <c r="C6" s="100" t="s">
        <v>9</v>
      </c>
      <c r="D6" s="28" t="s">
        <v>147</v>
      </c>
      <c r="E6" s="28" t="s">
        <v>148</v>
      </c>
      <c r="F6" s="28" t="s">
        <v>164</v>
      </c>
      <c r="G6" s="28" t="s">
        <v>149</v>
      </c>
      <c r="H6" s="28" t="s">
        <v>105</v>
      </c>
      <c r="I6" s="28" t="s">
        <v>32</v>
      </c>
      <c r="J6" s="28" t="s">
        <v>34</v>
      </c>
      <c r="K6" s="28"/>
      <c r="L6" s="70"/>
      <c r="M6" s="70"/>
    </row>
    <row r="7" spans="1:13">
      <c r="A7" s="28" t="str">
        <f>"2."&amp;D7&amp;"."&amp;B7</f>
        <v>2.Công cụ tạo lập mô hình.005</v>
      </c>
      <c r="B7" s="28" t="str">
        <f>TEXT(COUNTIFS($C$3:C7,C7,$D$3:D7,D7),"000")</f>
        <v>005</v>
      </c>
      <c r="C7" s="100" t="s">
        <v>9</v>
      </c>
      <c r="D7" s="28" t="s">
        <v>147</v>
      </c>
      <c r="E7" s="28" t="s">
        <v>148</v>
      </c>
      <c r="F7" s="28" t="s">
        <v>70</v>
      </c>
      <c r="G7" s="28" t="s">
        <v>137</v>
      </c>
      <c r="H7" s="28" t="s">
        <v>105</v>
      </c>
      <c r="I7" s="28" t="s">
        <v>220</v>
      </c>
      <c r="J7" s="28"/>
      <c r="K7" s="28"/>
      <c r="L7" s="70">
        <v>46178</v>
      </c>
      <c r="M7" s="70">
        <v>46185</v>
      </c>
    </row>
    <row r="8" spans="1:13">
      <c r="A8" s="28" t="str">
        <f>"2."&amp;D8&amp;"."&amp;B8</f>
        <v>2.Công cụ tạo lập mô hình.006</v>
      </c>
      <c r="B8" s="28" t="str">
        <f>TEXT(COUNTIFS($C$3:C8,C8,$D$3:D8,D8),"000")</f>
        <v>006</v>
      </c>
      <c r="C8" s="100" t="s">
        <v>9</v>
      </c>
      <c r="D8" s="28" t="s">
        <v>147</v>
      </c>
      <c r="E8" s="28" t="s">
        <v>148</v>
      </c>
      <c r="F8" s="28" t="s">
        <v>70</v>
      </c>
      <c r="G8" s="28" t="s">
        <v>149</v>
      </c>
      <c r="H8" s="28" t="s">
        <v>105</v>
      </c>
      <c r="I8" s="28" t="s">
        <v>201</v>
      </c>
      <c r="J8" s="28"/>
      <c r="K8" s="28"/>
      <c r="L8" s="70">
        <v>46188</v>
      </c>
      <c r="M8" s="70">
        <v>46188</v>
      </c>
    </row>
    <row r="9" spans="1:13">
      <c r="A9" s="28" t="str">
        <f>"2."&amp;D9&amp;"."&amp;B9</f>
        <v>2.CDE.001</v>
      </c>
      <c r="B9" s="28" t="str">
        <f>TEXT(COUNTIFS($C$3:C9,C9,$D$3:D9,D9),"000")</f>
        <v>001</v>
      </c>
      <c r="C9" s="100" t="s">
        <v>9</v>
      </c>
      <c r="D9" s="28" t="s">
        <v>109</v>
      </c>
      <c r="E9" s="28" t="s">
        <v>110</v>
      </c>
      <c r="F9" s="28" t="s">
        <v>103</v>
      </c>
      <c r="G9" s="28" t="s">
        <v>93</v>
      </c>
      <c r="H9" s="28" t="s">
        <v>122</v>
      </c>
      <c r="I9" s="28" t="s">
        <v>31</v>
      </c>
      <c r="J9" s="28" t="s">
        <v>201</v>
      </c>
      <c r="K9" s="28"/>
      <c r="L9" s="70">
        <v>46174</v>
      </c>
      <c r="M9" s="145">
        <v>46179</v>
      </c>
    </row>
    <row r="10" spans="1:13">
      <c r="A10" s="28" t="str">
        <f>"2."&amp;D10&amp;"."&amp;B10</f>
        <v>2.CDE.002</v>
      </c>
      <c r="B10" s="28" t="str">
        <f>TEXT(COUNTIFS($C$3:C10,C10,$D$3:D10,D10),"000")</f>
        <v>002</v>
      </c>
      <c r="C10" s="100" t="s">
        <v>9</v>
      </c>
      <c r="D10" s="28" t="s">
        <v>109</v>
      </c>
      <c r="E10" s="28" t="s">
        <v>124</v>
      </c>
      <c r="F10" s="28" t="s">
        <v>103</v>
      </c>
      <c r="G10" s="28" t="s">
        <v>93</v>
      </c>
      <c r="H10" s="28" t="s">
        <v>122</v>
      </c>
      <c r="I10" s="28" t="s">
        <v>31</v>
      </c>
      <c r="J10" s="28" t="s">
        <v>201</v>
      </c>
      <c r="K10" s="28"/>
      <c r="L10" s="70">
        <v>46174</v>
      </c>
      <c r="M10" s="145">
        <v>46179</v>
      </c>
    </row>
    <row r="11" spans="1:13">
      <c r="A11" s="28" t="str">
        <f>"2."&amp;D11&amp;"."&amp;B11</f>
        <v>2.Công cụ tạo lập mô hình.007</v>
      </c>
      <c r="B11" s="28" t="str">
        <f>TEXT(COUNTIFS($C$3:C11,C11,$D$3:D11,D11),"000")</f>
        <v>007</v>
      </c>
      <c r="C11" s="100" t="s">
        <v>9</v>
      </c>
      <c r="D11" s="28" t="s">
        <v>147</v>
      </c>
      <c r="E11" s="28" t="s">
        <v>148</v>
      </c>
      <c r="F11" s="28" t="s">
        <v>103</v>
      </c>
      <c r="G11" s="28" t="s">
        <v>93</v>
      </c>
      <c r="H11" s="28" t="s">
        <v>122</v>
      </c>
      <c r="I11" s="28" t="s">
        <v>31</v>
      </c>
      <c r="J11" s="28" t="s">
        <v>201</v>
      </c>
      <c r="K11" s="28"/>
      <c r="L11" s="70">
        <v>46174</v>
      </c>
      <c r="M11" s="145">
        <v>46179</v>
      </c>
    </row>
    <row r="12" spans="1:13">
      <c r="A12" s="28" t="str">
        <f>"2."&amp;D12&amp;"."&amp;B12</f>
        <v>2.Công cụ tạo lập mô hình.008</v>
      </c>
      <c r="B12" s="28" t="str">
        <f>TEXT(COUNTIFS($C$3:C12,C12,$D$3:D12,D12),"000")</f>
        <v>008</v>
      </c>
      <c r="C12" s="100" t="s">
        <v>9</v>
      </c>
      <c r="D12" s="28" t="s">
        <v>147</v>
      </c>
      <c r="E12" s="28" t="s">
        <v>158</v>
      </c>
      <c r="F12" s="28" t="s">
        <v>103</v>
      </c>
      <c r="G12" s="28" t="s">
        <v>93</v>
      </c>
      <c r="H12" s="28" t="s">
        <v>122</v>
      </c>
      <c r="I12" s="28" t="s">
        <v>31</v>
      </c>
      <c r="J12" s="28"/>
      <c r="K12" s="28"/>
      <c r="L12" s="70">
        <v>46174</v>
      </c>
      <c r="M12" s="145">
        <v>46179</v>
      </c>
    </row>
    <row r="13" spans="1:13">
      <c r="A13" s="28" t="str">
        <f>"2."&amp;D13&amp;"."&amp;B13</f>
        <v>2.Công cụ phối hợp mô hình.001</v>
      </c>
      <c r="B13" s="28" t="str">
        <f>TEXT(COUNTIFS($C$3:C13,C13,$D$3:D13,D13),"000")</f>
        <v>001</v>
      </c>
      <c r="C13" s="100" t="s">
        <v>9</v>
      </c>
      <c r="D13" s="28" t="s">
        <v>177</v>
      </c>
      <c r="E13" s="28" t="s">
        <v>178</v>
      </c>
      <c r="F13" s="28" t="s">
        <v>103</v>
      </c>
      <c r="G13" s="28" t="s">
        <v>93</v>
      </c>
      <c r="H13" s="28" t="s">
        <v>122</v>
      </c>
      <c r="I13" s="28" t="s">
        <v>31</v>
      </c>
      <c r="J13" s="28" t="s">
        <v>201</v>
      </c>
      <c r="K13" s="28"/>
      <c r="L13" s="70">
        <v>46174</v>
      </c>
      <c r="M13" s="145">
        <v>46179</v>
      </c>
    </row>
    <row r="14" spans="1:13">
      <c r="A14" s="28" t="str">
        <f>"2."&amp;D14&amp;"."&amp;B14</f>
        <v>2.BIM Tools.001</v>
      </c>
      <c r="B14" s="28" t="str">
        <f>TEXT(COUNTIFS($C$3:C14,C14,$D$3:D14,D14),"000")</f>
        <v>001</v>
      </c>
      <c r="C14" s="100" t="s">
        <v>9</v>
      </c>
      <c r="D14" s="28" t="s">
        <v>185</v>
      </c>
      <c r="E14" s="28" t="s">
        <v>185</v>
      </c>
      <c r="F14" s="28" t="s">
        <v>103</v>
      </c>
      <c r="G14" s="28" t="s">
        <v>93</v>
      </c>
      <c r="H14" s="28" t="s">
        <v>122</v>
      </c>
      <c r="I14" s="28" t="s">
        <v>267</v>
      </c>
      <c r="J14" s="28" t="s">
        <v>211</v>
      </c>
      <c r="K14" s="28"/>
      <c r="L14" s="70">
        <v>46174</v>
      </c>
      <c r="M14" s="145">
        <v>46179</v>
      </c>
    </row>
    <row r="15" spans="1:13">
      <c r="A15" s="28"/>
      <c r="B15" s="108"/>
      <c r="C15" s="100"/>
      <c r="D15" s="28"/>
      <c r="E15" s="28"/>
      <c r="F15" s="28"/>
      <c r="G15" s="28"/>
      <c r="H15" s="28"/>
      <c r="I15" s="28"/>
      <c r="J15" s="28"/>
      <c r="K15" s="28"/>
      <c r="L15" s="70"/>
      <c r="M15" s="70"/>
    </row>
    <row r="16" spans="1:13">
      <c r="A16" s="28"/>
      <c r="B16" s="108"/>
      <c r="C16" s="100"/>
      <c r="D16" s="28"/>
      <c r="E16" s="28"/>
      <c r="F16" s="28"/>
      <c r="G16" s="28"/>
      <c r="H16" s="28"/>
      <c r="I16" s="28"/>
      <c r="J16" s="28"/>
      <c r="K16" s="28"/>
      <c r="L16" s="70"/>
      <c r="M16" s="70"/>
    </row>
    <row r="17" spans="1:13">
      <c r="A17" s="28"/>
      <c r="B17" s="108"/>
      <c r="C17" s="100"/>
      <c r="D17" s="28"/>
      <c r="E17" s="28"/>
      <c r="F17" s="28"/>
      <c r="G17" s="28"/>
      <c r="H17" s="28"/>
      <c r="I17" s="28"/>
      <c r="J17" s="28"/>
      <c r="K17" s="28"/>
      <c r="L17" s="70"/>
      <c r="M17" s="70"/>
    </row>
    <row r="18" spans="1:13">
      <c r="A18" s="28"/>
      <c r="B18" s="108"/>
      <c r="C18" s="100"/>
      <c r="D18" s="28"/>
      <c r="E18" s="28"/>
      <c r="F18" s="28"/>
      <c r="G18" s="28"/>
      <c r="H18" s="28"/>
      <c r="I18" s="28"/>
      <c r="J18" s="28"/>
      <c r="K18" s="28"/>
      <c r="L18" s="70"/>
      <c r="M18" s="70"/>
    </row>
    <row r="19" spans="1:13">
      <c r="A19" s="28"/>
      <c r="B19" s="108"/>
      <c r="C19" s="100"/>
      <c r="D19" s="28"/>
      <c r="E19" s="28"/>
      <c r="F19" s="28"/>
      <c r="G19" s="28"/>
      <c r="H19" s="28"/>
      <c r="I19" s="28"/>
      <c r="J19" s="28"/>
      <c r="K19" s="28"/>
      <c r="L19" s="70"/>
      <c r="M19" s="70"/>
    </row>
    <row r="20" spans="1:13">
      <c r="A20" s="28"/>
      <c r="B20" s="108"/>
      <c r="C20" s="100"/>
      <c r="D20" s="28"/>
      <c r="E20" s="28"/>
      <c r="F20" s="28"/>
      <c r="G20" s="28"/>
      <c r="H20" s="28"/>
      <c r="I20" s="28"/>
      <c r="J20" s="28"/>
      <c r="K20" s="28"/>
      <c r="L20" s="70"/>
      <c r="M20" s="70"/>
    </row>
    <row r="21" spans="1:13">
      <c r="A21" s="28"/>
      <c r="B21" s="108"/>
      <c r="C21" s="100"/>
      <c r="D21" s="28"/>
      <c r="E21" s="28"/>
      <c r="F21" s="28"/>
      <c r="G21" s="28"/>
      <c r="H21" s="28"/>
      <c r="I21" s="28"/>
      <c r="J21" s="28"/>
      <c r="K21" s="28"/>
      <c r="L21" s="70"/>
      <c r="M21" s="70"/>
    </row>
    <row r="22" spans="1:13">
      <c r="A22" s="28"/>
      <c r="B22" s="108"/>
      <c r="C22" s="100"/>
      <c r="D22" s="28"/>
      <c r="E22" s="28"/>
      <c r="F22" s="28"/>
      <c r="G22" s="28"/>
      <c r="H22" s="28"/>
      <c r="I22" s="28"/>
      <c r="J22" s="28"/>
      <c r="K22" s="28"/>
      <c r="L22" s="70"/>
      <c r="M22" s="70"/>
    </row>
    <row r="23" spans="1:13">
      <c r="A23" s="28"/>
      <c r="B23" s="108"/>
      <c r="C23" s="100"/>
      <c r="D23" s="28"/>
      <c r="E23" s="28"/>
      <c r="F23" s="28"/>
      <c r="G23" s="28"/>
      <c r="H23" s="28"/>
      <c r="I23" s="28"/>
      <c r="J23" s="28"/>
      <c r="K23" s="28"/>
      <c r="L23" s="70"/>
      <c r="M23" s="70"/>
    </row>
    <row r="24" spans="1:13">
      <c r="A24" s="28"/>
      <c r="B24" s="108"/>
      <c r="C24" s="100"/>
      <c r="D24" s="28"/>
      <c r="E24" s="28"/>
      <c r="F24" s="28"/>
      <c r="G24" s="28"/>
      <c r="H24" s="28"/>
      <c r="I24" s="28"/>
      <c r="J24" s="28"/>
      <c r="K24" s="28"/>
      <c r="L24" s="70"/>
      <c r="M24" s="70"/>
    </row>
  </sheetData>
  <dataValidations count="1">
    <dataValidation allowBlank="1" showInputMessage="1" showErrorMessage="1" sqref="A1:XFD2" xr:uid="{F55D223E-58D3-41D2-A3A5-3DCBD4353505}"/>
  </dataValidations>
  <pageMargins left="0.7" right="0.7" top="0.75" bottom="0.75" header="0.3" footer="0.3"/>
  <extLst>
    <ext xmlns:x14="http://schemas.microsoft.com/office/spreadsheetml/2009/9/main" uri="{CCE6A557-97BC-4b89-ADB6-D9C93CAAB3DF}">
      <x14:dataValidations xmlns:xm="http://schemas.microsoft.com/office/excel/2006/main" count="7">
        <x14:dataValidation type="list" allowBlank="1" showInputMessage="1" showErrorMessage="1" xr:uid="{C586D730-BB5E-472A-8B54-F9DB0F72377A}">
          <x14:formula1>
            <xm:f>Data!$Y$4:$Y$33</xm:f>
          </x14:formula1>
          <xm:sqref>K37 I37 I38:K1048576 G40 I3:K36</xm:sqref>
        </x14:dataValidation>
        <x14:dataValidation type="list" allowBlank="1" showInputMessage="1" showErrorMessage="1" xr:uid="{44EA38EC-F2A9-4238-89E9-53DDFB2811A6}">
          <x14:formula1>
            <xm:f>Data!$X$4:$X$33</xm:f>
          </x14:formula1>
          <xm:sqref>H3:H1048576</xm:sqref>
        </x14:dataValidation>
        <x14:dataValidation type="list" allowBlank="1" showInputMessage="1" showErrorMessage="1" xr:uid="{B60DF5B6-9C72-4900-9CEB-09BE82305A88}">
          <x14:formula1>
            <xm:f>Data!$V$4:$V$33</xm:f>
          </x14:formula1>
          <xm:sqref>F3:F1048576</xm:sqref>
        </x14:dataValidation>
        <x14:dataValidation type="list" allowBlank="1" showInputMessage="1" showErrorMessage="1" xr:uid="{4E7E7A3C-1854-4F86-A7A1-8734E2C70462}">
          <x14:formula1>
            <xm:f>Data!$G$4:$G$33</xm:f>
          </x14:formula1>
          <xm:sqref>G3:G1048576</xm:sqref>
        </x14:dataValidation>
        <x14:dataValidation type="list" allowBlank="1" showInputMessage="1" showErrorMessage="1" xr:uid="{DB8F737A-E824-40DB-9FD6-A9A975844799}">
          <x14:formula1>
            <xm:f>Data!$F$4:$F$53</xm:f>
          </x14:formula1>
          <xm:sqref>E3:E1048576</xm:sqref>
        </x14:dataValidation>
        <x14:dataValidation type="list" allowBlank="1" showInputMessage="1" showErrorMessage="1" xr:uid="{553DAF51-299F-4359-AD81-2F3490D6FD32}">
          <x14:formula1>
            <xm:f>Data!$E$2</xm:f>
          </x14:formula1>
          <xm:sqref>C3:C1048576</xm:sqref>
        </x14:dataValidation>
        <x14:dataValidation type="list" allowBlank="1" showInputMessage="1" showErrorMessage="1" xr:uid="{CA62998E-00AE-4D5C-B10A-299A2B32FFDC}">
          <x14:formula1>
            <xm:f>Data!$E$4:$E$53</xm:f>
          </x14:formula1>
          <xm:sqref>D3:D1048576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FA83D-2A5A-4C49-B9F4-6D373B3FB318}">
  <dimension ref="A1:P589"/>
  <sheetViews>
    <sheetView zoomScale="115" zoomScaleNormal="115" workbookViewId="0">
      <pane ySplit="2" topLeftCell="A582" activePane="bottomLeft" state="frozen"/>
      <selection pane="bottomLeft" activeCell="A588" sqref="A588"/>
    </sheetView>
  </sheetViews>
  <sheetFormatPr defaultRowHeight="15"/>
  <cols>
    <col min="1" max="1" width="25.7109375" style="12" customWidth="1"/>
    <col min="2" max="2" width="9.140625" style="12" bestFit="1" customWidth="1"/>
    <col min="3" max="3" width="13.28515625" style="12" bestFit="1" customWidth="1"/>
    <col min="4" max="4" width="19.7109375" style="12" bestFit="1" customWidth="1"/>
    <col min="5" max="5" width="48.85546875" style="12" bestFit="1" customWidth="1"/>
    <col min="6" max="6" width="14" style="89" customWidth="1"/>
    <col min="7" max="7" width="34.28515625" style="12" bestFit="1" customWidth="1"/>
    <col min="8" max="8" width="18.7109375" style="12" customWidth="1"/>
    <col min="9" max="9" width="11.7109375" style="12" customWidth="1"/>
    <col min="10" max="13" width="21.28515625" style="76" customWidth="1"/>
    <col min="14" max="15" width="11.5703125" style="77" customWidth="1"/>
    <col min="16" max="16" width="54.140625" style="211" customWidth="1"/>
    <col min="17" max="16384" width="9.140625" style="12"/>
  </cols>
  <sheetData>
    <row r="1" spans="1:16">
      <c r="A1" s="78"/>
      <c r="B1" s="78"/>
      <c r="C1" s="78" t="s">
        <v>498</v>
      </c>
      <c r="D1" s="78"/>
      <c r="E1" s="78"/>
      <c r="F1" s="104"/>
      <c r="G1" s="78"/>
      <c r="H1" s="78"/>
      <c r="I1" s="78"/>
      <c r="J1" s="79"/>
      <c r="K1" s="79"/>
      <c r="L1" s="79"/>
      <c r="M1" s="79"/>
      <c r="N1" s="80"/>
      <c r="O1" s="80"/>
    </row>
    <row r="2" spans="1:16" s="2" customFormat="1" ht="30.75">
      <c r="A2" s="22" t="s">
        <v>456</v>
      </c>
      <c r="B2" s="22" t="s">
        <v>457</v>
      </c>
      <c r="C2" s="22" t="s">
        <v>458</v>
      </c>
      <c r="D2" s="3" t="s">
        <v>51</v>
      </c>
      <c r="E2" s="3" t="s">
        <v>52</v>
      </c>
      <c r="F2" s="3" t="s">
        <v>53</v>
      </c>
      <c r="G2" s="3" t="s">
        <v>54</v>
      </c>
      <c r="H2" s="3" t="s">
        <v>87</v>
      </c>
      <c r="I2" s="158" t="s">
        <v>499</v>
      </c>
      <c r="J2" s="159" t="s">
        <v>500</v>
      </c>
      <c r="K2" s="159" t="s">
        <v>501</v>
      </c>
      <c r="L2" s="159" t="s">
        <v>502</v>
      </c>
      <c r="M2" s="159" t="s">
        <v>503</v>
      </c>
      <c r="N2" s="43" t="s">
        <v>463</v>
      </c>
      <c r="O2" s="43" t="s">
        <v>464</v>
      </c>
      <c r="P2" s="212" t="s">
        <v>504</v>
      </c>
    </row>
    <row r="3" spans="1:16" s="2" customFormat="1">
      <c r="A3" s="28" t="str">
        <f>"3."&amp;D3&amp;"."&amp;B3</f>
        <v>3.All.001</v>
      </c>
      <c r="B3" s="28" t="str">
        <f>TEXT(
COUNTIFS($C3:C$4,C3,$D3:D$4,D3,$F3:F$4,F3)
+
IF(F3="KT",100,
IF(F3="KC",200,
IF(F3="BIM MEPF",300,0))),"000")</f>
        <v>001</v>
      </c>
      <c r="C3" s="28" t="s">
        <v>10</v>
      </c>
      <c r="D3" s="81" t="s">
        <v>94</v>
      </c>
      <c r="E3" s="82" t="s">
        <v>94</v>
      </c>
      <c r="F3" s="87" t="s">
        <v>103</v>
      </c>
      <c r="G3" s="6" t="s">
        <v>151</v>
      </c>
      <c r="H3" s="6" t="s">
        <v>156</v>
      </c>
      <c r="I3" s="82" t="s">
        <v>105</v>
      </c>
      <c r="J3" s="20"/>
      <c r="K3" s="20"/>
      <c r="L3" s="20"/>
      <c r="M3" s="20"/>
      <c r="N3" s="208"/>
      <c r="O3" s="208"/>
      <c r="P3" s="212"/>
    </row>
    <row r="4" spans="1:16">
      <c r="A4" s="28" t="str">
        <f>"3."&amp;D4&amp;"."&amp;B4</f>
        <v>3.B.DSHNQN.DMF.101</v>
      </c>
      <c r="B4" s="28" t="str">
        <f>TEXT(
COUNTIFS($C$4:C4,C4,$D$4:D4,D4,$F$4:F4,F4)
+
IF(F4="KT",100,
IF(F4="KC",200,
IF(F4="BIM MEPF",300,0))),"000")</f>
        <v>101</v>
      </c>
      <c r="C4" s="28" t="s">
        <v>10</v>
      </c>
      <c r="D4" s="81" t="s">
        <v>112</v>
      </c>
      <c r="E4" s="82" t="s">
        <v>113</v>
      </c>
      <c r="F4" s="87" t="s">
        <v>164</v>
      </c>
      <c r="G4" s="6" t="s">
        <v>169</v>
      </c>
      <c r="H4" s="6" t="s">
        <v>156</v>
      </c>
      <c r="I4" s="82" t="s">
        <v>105</v>
      </c>
      <c r="J4" s="20" t="s">
        <v>31</v>
      </c>
      <c r="K4" s="20" t="s">
        <v>33</v>
      </c>
      <c r="L4" s="20"/>
      <c r="M4" s="20"/>
      <c r="N4" s="208"/>
      <c r="O4" s="208"/>
      <c r="P4" s="211" t="str">
        <f>J4&amp;", "&amp;K4&amp;", "&amp;L4</f>
        <v xml:space="preserve">Lý Huy Thành, Đỗ Minh Ngọc, </v>
      </c>
    </row>
    <row r="5" spans="1:16">
      <c r="A5" s="28" t="str">
        <f>"3."&amp;D5&amp;"."&amp;B5</f>
        <v>3.B.DSHNQN.DMF.201</v>
      </c>
      <c r="B5" s="28" t="str">
        <f>TEXT(COUNTIFS($C$4:C5,C5,$D$4:D5,D5,$F$4:F5,F5)+IF(F5="KT",100,IF(F5="KC",200,IF(F5="DI",300,IF(F5="DN",400,IF(F5="NU",500,IF(F5="DH",600,IF(F5="PC",700,0))))))),"000")</f>
        <v>201</v>
      </c>
      <c r="C5" s="28" t="s">
        <v>10</v>
      </c>
      <c r="D5" s="81" t="s">
        <v>112</v>
      </c>
      <c r="E5" s="82" t="s">
        <v>113</v>
      </c>
      <c r="F5" s="87" t="s">
        <v>174</v>
      </c>
      <c r="G5" s="6" t="s">
        <v>169</v>
      </c>
      <c r="H5" s="6" t="s">
        <v>156</v>
      </c>
      <c r="I5" s="82" t="s">
        <v>105</v>
      </c>
      <c r="J5" s="60" t="s">
        <v>31</v>
      </c>
      <c r="K5" s="60" t="s">
        <v>33</v>
      </c>
      <c r="L5" s="60"/>
      <c r="N5" s="208"/>
      <c r="O5" s="208"/>
      <c r="P5" s="211" t="str">
        <f>J5&amp;", "&amp;K5&amp;", "&amp;L5</f>
        <v xml:space="preserve">Lý Huy Thành, Đỗ Minh Ngọc, </v>
      </c>
    </row>
    <row r="6" spans="1:16">
      <c r="A6" s="28" t="str">
        <f>"3."&amp;D6&amp;"."&amp;B6</f>
        <v>3.B.DSHNQN.DMF.301</v>
      </c>
      <c r="B6" s="28" t="str">
        <f>TEXT(COUNTIFS($C$4:C6,C6,$D$4:D6,D6,$F$4:F6,F6)+IF(F6="KT",100,IF(F6="KC",200,IF(F6="DI",300,IF(F6="DN",400,IF(F6="NU",500,IF(F6="DH",600,IF(F6="PC",700,0))))))),"000")</f>
        <v>301</v>
      </c>
      <c r="C6" s="28" t="s">
        <v>10</v>
      </c>
      <c r="D6" s="81" t="s">
        <v>112</v>
      </c>
      <c r="E6" s="82" t="s">
        <v>113</v>
      </c>
      <c r="F6" s="87" t="s">
        <v>182</v>
      </c>
      <c r="G6" s="6" t="s">
        <v>23</v>
      </c>
      <c r="H6" s="6" t="s">
        <v>156</v>
      </c>
      <c r="I6" s="82" t="s">
        <v>105</v>
      </c>
      <c r="J6" s="60" t="s">
        <v>216</v>
      </c>
      <c r="K6" s="60"/>
      <c r="L6" s="60"/>
      <c r="N6" s="96">
        <v>46198</v>
      </c>
      <c r="O6" s="96">
        <v>46230</v>
      </c>
      <c r="P6" s="211" t="str">
        <f t="shared" ref="P6:P124" si="0">J6&amp;", "&amp;K6&amp;", "&amp;L6</f>
        <v xml:space="preserve">Đặng Thái Sơn, , </v>
      </c>
    </row>
    <row r="7" spans="1:16">
      <c r="A7" s="28" t="str">
        <f>"3."&amp;D7&amp;"."&amp;B7</f>
        <v>3.B.DSHNQN.DMF.401</v>
      </c>
      <c r="B7" s="28" t="str">
        <f>TEXT(COUNTIFS($C$4:C7,C7,$D$4:D7,D7,$F$4:F7,F7)+IF(F7="KT",100,IF(F7="KC",200,IF(F7="DI",300,IF(F7="DN",400,IF(F7="NU",500,IF(F7="DH",600,IF(F7="PC",700,0))))))),"000")</f>
        <v>401</v>
      </c>
      <c r="C7" s="28" t="s">
        <v>10</v>
      </c>
      <c r="D7" s="81" t="s">
        <v>112</v>
      </c>
      <c r="E7" s="82" t="s">
        <v>113</v>
      </c>
      <c r="F7" s="87" t="s">
        <v>190</v>
      </c>
      <c r="G7" s="6" t="s">
        <v>23</v>
      </c>
      <c r="H7" s="6" t="s">
        <v>156</v>
      </c>
      <c r="I7" s="82" t="s">
        <v>105</v>
      </c>
      <c r="J7" s="60" t="s">
        <v>216</v>
      </c>
      <c r="K7" s="60"/>
      <c r="L7" s="60"/>
      <c r="N7" s="96">
        <v>46198</v>
      </c>
      <c r="O7" s="96">
        <v>46230</v>
      </c>
      <c r="P7" s="211" t="str">
        <f t="shared" si="0"/>
        <v xml:space="preserve">Đặng Thái Sơn, , </v>
      </c>
    </row>
    <row r="8" spans="1:16">
      <c r="A8" s="28" t="str">
        <f>"3."&amp;D8&amp;"."&amp;B8</f>
        <v>3.B.DSHNQN.DMF.501</v>
      </c>
      <c r="B8" s="28" t="str">
        <f>TEXT(COUNTIFS($C$4:C8,C8,$D$4:D8,D8,$F$4:F8,F8)+IF(F8="KT",100,IF(F8="KC",200,IF(F8="DI",300,IF(F8="DN",400,IF(F8="NU",500,IF(F8="DH",600,IF(F8="PC",700,0))))))),"000")</f>
        <v>501</v>
      </c>
      <c r="C8" s="28" t="s">
        <v>10</v>
      </c>
      <c r="D8" s="81" t="s">
        <v>112</v>
      </c>
      <c r="E8" s="82" t="s">
        <v>113</v>
      </c>
      <c r="F8" s="87" t="s">
        <v>195</v>
      </c>
      <c r="G8" s="6" t="s">
        <v>23</v>
      </c>
      <c r="H8" s="6" t="s">
        <v>156</v>
      </c>
      <c r="I8" s="82" t="s">
        <v>105</v>
      </c>
      <c r="J8" s="60" t="s">
        <v>216</v>
      </c>
      <c r="K8" s="60"/>
      <c r="L8" s="60"/>
      <c r="N8" s="96">
        <v>46198</v>
      </c>
      <c r="O8" s="96">
        <v>46230</v>
      </c>
      <c r="P8" s="211" t="str">
        <f t="shared" si="0"/>
        <v xml:space="preserve">Đặng Thái Sơn, , </v>
      </c>
    </row>
    <row r="9" spans="1:16">
      <c r="A9" s="28" t="str">
        <f>"3."&amp;D9&amp;"."&amp;B9</f>
        <v>3.B.DSHNQN.DMF.601</v>
      </c>
      <c r="B9" s="28" t="str">
        <f>TEXT(COUNTIFS($C$4:C9,C9,$D$4:D9,D9,$F$4:F9,F9)+IF(F9="KT",100,IF(F9="KC",200,IF(F9="DI",300,IF(F9="DN",400,IF(F9="NU",500,IF(F9="DH",600,IF(F9="PC",700,0))))))),"000")</f>
        <v>601</v>
      </c>
      <c r="C9" s="28" t="s">
        <v>10</v>
      </c>
      <c r="D9" s="81" t="s">
        <v>112</v>
      </c>
      <c r="E9" s="82" t="s">
        <v>113</v>
      </c>
      <c r="F9" s="87" t="s">
        <v>205</v>
      </c>
      <c r="G9" s="6" t="s">
        <v>23</v>
      </c>
      <c r="H9" s="6" t="s">
        <v>156</v>
      </c>
      <c r="I9" s="82" t="s">
        <v>105</v>
      </c>
      <c r="J9" s="60" t="s">
        <v>216</v>
      </c>
      <c r="K9" s="60"/>
      <c r="L9" s="60"/>
      <c r="N9" s="96">
        <v>46198</v>
      </c>
      <c r="O9" s="96">
        <v>46230</v>
      </c>
      <c r="P9" s="211" t="str">
        <f t="shared" si="0"/>
        <v xml:space="preserve">Đặng Thái Sơn, , </v>
      </c>
    </row>
    <row r="10" spans="1:16">
      <c r="A10" s="28" t="str">
        <f>"3."&amp;D10&amp;"."&amp;B10</f>
        <v>3.B.DSHNQN.DMF.701</v>
      </c>
      <c r="B10" s="28" t="str">
        <f>TEXT(COUNTIFS($C$4:C10,C10,$D$4:D10,D10,$F$4:F10,F10)+IF(F10="KT",100,IF(F10="KC",200,IF(F10="DI",300,IF(F10="DN",400,IF(F10="NU",500,IF(F10="DH",600,IF(F10="PC",700,0))))))),"000")</f>
        <v>701</v>
      </c>
      <c r="C10" s="28" t="s">
        <v>10</v>
      </c>
      <c r="D10" s="81" t="s">
        <v>112</v>
      </c>
      <c r="E10" s="82" t="s">
        <v>113</v>
      </c>
      <c r="F10" s="87" t="s">
        <v>200</v>
      </c>
      <c r="G10" s="6" t="s">
        <v>23</v>
      </c>
      <c r="H10" s="6" t="s">
        <v>156</v>
      </c>
      <c r="I10" s="82" t="s">
        <v>105</v>
      </c>
      <c r="J10" s="60" t="s">
        <v>216</v>
      </c>
      <c r="K10" s="60"/>
      <c r="L10" s="60"/>
      <c r="N10" s="96">
        <v>46198</v>
      </c>
      <c r="O10" s="96">
        <v>46230</v>
      </c>
      <c r="P10" s="211" t="str">
        <f t="shared" si="0"/>
        <v xml:space="preserve">Đặng Thái Sơn, , </v>
      </c>
    </row>
    <row r="11" spans="1:16">
      <c r="A11" s="28" t="str">
        <f>"3."&amp;D11&amp;"."&amp;B11</f>
        <v>3.B.DSHNQN.DMF.102</v>
      </c>
      <c r="B11" s="28" t="str">
        <f>TEXT(COUNTIFS($C$4:C11,C11,$D$4:D11,D11,$F$4:F11,F11)+IF(F11="KT",100,IF(F11="KC",200,IF(F11="DI",300,IF(F11="DN",400,IF(F11="NU",500,IF(F11="DH",600,IF(F11="PC",700,0))))))),"000")</f>
        <v>102</v>
      </c>
      <c r="C11" s="28" t="s">
        <v>10</v>
      </c>
      <c r="D11" s="81" t="s">
        <v>112</v>
      </c>
      <c r="E11" s="82" t="s">
        <v>126</v>
      </c>
      <c r="F11" s="87" t="s">
        <v>164</v>
      </c>
      <c r="G11" s="6" t="s">
        <v>169</v>
      </c>
      <c r="H11" s="6" t="s">
        <v>156</v>
      </c>
      <c r="I11" s="82" t="s">
        <v>105</v>
      </c>
      <c r="J11" s="20" t="s">
        <v>31</v>
      </c>
      <c r="K11" s="20" t="s">
        <v>33</v>
      </c>
      <c r="L11" s="60"/>
      <c r="N11" s="96">
        <v>46114</v>
      </c>
      <c r="O11" s="96">
        <v>46248</v>
      </c>
      <c r="P11" s="211" t="str">
        <f t="shared" si="0"/>
        <v xml:space="preserve">Lý Huy Thành, Đỗ Minh Ngọc, </v>
      </c>
    </row>
    <row r="12" spans="1:16">
      <c r="A12" s="28" t="str">
        <f>"3."&amp;D12&amp;"."&amp;B12</f>
        <v>3.B.DSHNQN.DMF.202</v>
      </c>
      <c r="B12" s="28" t="str">
        <f>TEXT(COUNTIFS($C$4:C12,C12,$D$4:D12,D12,$F$4:F12,F12)+IF(F12="KT",100,IF(F12="KC",200,IF(F12="DI",300,IF(F12="DN",400,IF(F12="NU",500,IF(F12="DH",600,IF(F12="PC",700,0))))))),"000")</f>
        <v>202</v>
      </c>
      <c r="C12" s="28" t="s">
        <v>10</v>
      </c>
      <c r="D12" s="100" t="s">
        <v>112</v>
      </c>
      <c r="E12" s="82" t="s">
        <v>126</v>
      </c>
      <c r="F12" s="87" t="s">
        <v>174</v>
      </c>
      <c r="G12" s="6" t="s">
        <v>169</v>
      </c>
      <c r="H12" s="6" t="s">
        <v>156</v>
      </c>
      <c r="I12" s="82" t="s">
        <v>105</v>
      </c>
      <c r="J12" s="60" t="s">
        <v>31</v>
      </c>
      <c r="K12" s="60" t="s">
        <v>33</v>
      </c>
      <c r="L12" s="60"/>
      <c r="N12" s="96">
        <v>46154</v>
      </c>
      <c r="O12" s="96">
        <v>46330</v>
      </c>
      <c r="P12" s="211" t="str">
        <f t="shared" si="0"/>
        <v xml:space="preserve">Lý Huy Thành, Đỗ Minh Ngọc, </v>
      </c>
    </row>
    <row r="13" spans="1:16">
      <c r="A13" s="28" t="str">
        <f>"3."&amp;D13&amp;"."&amp;B13</f>
        <v>3.B.DSHNQN.DMF.302</v>
      </c>
      <c r="B13" s="28" t="str">
        <f>TEXT(COUNTIFS($C$4:C13,C13,$D$4:D13,D13,$F$4:F13,F13)+IF(F13="KT",100,IF(F13="KC",200,IF(F13="DI",300,IF(F13="DN",400,IF(F13="NU",500,IF(F13="DH",600,IF(F13="PC",700,0))))))),"000")</f>
        <v>302</v>
      </c>
      <c r="C13" s="28" t="s">
        <v>10</v>
      </c>
      <c r="D13" s="100" t="s">
        <v>112</v>
      </c>
      <c r="E13" s="82" t="s">
        <v>126</v>
      </c>
      <c r="F13" s="87" t="s">
        <v>182</v>
      </c>
      <c r="G13" s="6" t="s">
        <v>23</v>
      </c>
      <c r="H13" s="6" t="s">
        <v>156</v>
      </c>
      <c r="I13" s="82" t="s">
        <v>105</v>
      </c>
      <c r="J13" s="60" t="s">
        <v>220</v>
      </c>
      <c r="K13" s="60"/>
      <c r="L13" s="60"/>
      <c r="N13" s="96">
        <v>46186</v>
      </c>
      <c r="O13" s="96">
        <v>46230</v>
      </c>
      <c r="P13" s="211" t="str">
        <f t="shared" si="0"/>
        <v xml:space="preserve">Phan Trường Giang, , </v>
      </c>
    </row>
    <row r="14" spans="1:16">
      <c r="A14" s="28" t="str">
        <f>"3."&amp;D14&amp;"."&amp;B14</f>
        <v>3.B.DSHNQN.DMF.402</v>
      </c>
      <c r="B14" s="28" t="str">
        <f>TEXT(COUNTIFS($C$4:C14,C14,$D$4:D14,D14,$F$4:F14,F14)+IF(F14="KT",100,IF(F14="KC",200,IF(F14="DI",300,IF(F14="DN",400,IF(F14="NU",500,IF(F14="DH",600,IF(F14="PC",700,0))))))),"000")</f>
        <v>402</v>
      </c>
      <c r="C14" s="28" t="s">
        <v>10</v>
      </c>
      <c r="D14" s="100" t="s">
        <v>112</v>
      </c>
      <c r="E14" s="82" t="s">
        <v>126</v>
      </c>
      <c r="F14" s="87" t="s">
        <v>190</v>
      </c>
      <c r="G14" s="6" t="s">
        <v>23</v>
      </c>
      <c r="H14" s="6" t="s">
        <v>156</v>
      </c>
      <c r="I14" s="82" t="s">
        <v>105</v>
      </c>
      <c r="J14" s="60" t="s">
        <v>220</v>
      </c>
      <c r="K14" s="60"/>
      <c r="L14" s="60"/>
      <c r="N14" s="96">
        <v>46186</v>
      </c>
      <c r="O14" s="96">
        <v>46230</v>
      </c>
      <c r="P14" s="211" t="str">
        <f t="shared" si="0"/>
        <v xml:space="preserve">Phan Trường Giang, , </v>
      </c>
    </row>
    <row r="15" spans="1:16">
      <c r="A15" s="28" t="str">
        <f t="shared" ref="A15:A17" si="1">"3."&amp;D15&amp;"."&amp;B15</f>
        <v>3.B.DSHNQN.DMF.502</v>
      </c>
      <c r="B15" s="28" t="str">
        <f>TEXT(COUNTIFS($C$4:C15,C15,$D$4:D15,D15,$F$4:F15,F15)+IF(F15="KT",100,IF(F15="KC",200,IF(F15="DI",300,IF(F15="DN",400,IF(F15="NU",500,IF(F15="DH",600,IF(F15="PC",700,0))))))),"000")</f>
        <v>502</v>
      </c>
      <c r="C15" s="28" t="s">
        <v>10</v>
      </c>
      <c r="D15" s="100" t="s">
        <v>112</v>
      </c>
      <c r="E15" s="82" t="s">
        <v>126</v>
      </c>
      <c r="F15" s="87" t="s">
        <v>195</v>
      </c>
      <c r="G15" s="6" t="s">
        <v>23</v>
      </c>
      <c r="H15" s="6" t="s">
        <v>156</v>
      </c>
      <c r="I15" s="82" t="s">
        <v>105</v>
      </c>
      <c r="J15" s="60" t="s">
        <v>220</v>
      </c>
      <c r="K15" s="60"/>
      <c r="L15" s="60"/>
      <c r="N15" s="96">
        <v>46186</v>
      </c>
      <c r="O15" s="96">
        <v>46230</v>
      </c>
      <c r="P15" s="211" t="str">
        <f t="shared" si="0"/>
        <v xml:space="preserve">Phan Trường Giang, , </v>
      </c>
    </row>
    <row r="16" spans="1:16">
      <c r="A16" s="28" t="str">
        <f t="shared" si="1"/>
        <v>3.B.DSHNQN.DMF.602</v>
      </c>
      <c r="B16" s="28" t="str">
        <f>TEXT(COUNTIFS($C$4:C16,C16,$D$4:D16,D16,$F$4:F16,F16)+IF(F16="KT",100,IF(F16="KC",200,IF(F16="DI",300,IF(F16="DN",400,IF(F16="NU",500,IF(F16="DH",600,IF(F16="PC",700,0))))))),"000")</f>
        <v>602</v>
      </c>
      <c r="C16" s="28" t="s">
        <v>10</v>
      </c>
      <c r="D16" s="100" t="s">
        <v>112</v>
      </c>
      <c r="E16" s="82" t="s">
        <v>126</v>
      </c>
      <c r="F16" s="87" t="s">
        <v>205</v>
      </c>
      <c r="G16" s="6" t="s">
        <v>23</v>
      </c>
      <c r="H16" s="6" t="s">
        <v>156</v>
      </c>
      <c r="I16" s="82" t="s">
        <v>105</v>
      </c>
      <c r="J16" s="60" t="s">
        <v>220</v>
      </c>
      <c r="K16" s="60"/>
      <c r="L16" s="60"/>
      <c r="N16" s="96">
        <v>46186</v>
      </c>
      <c r="O16" s="96">
        <v>46230</v>
      </c>
      <c r="P16" s="211" t="str">
        <f t="shared" si="0"/>
        <v xml:space="preserve">Phan Trường Giang, , </v>
      </c>
    </row>
    <row r="17" spans="1:16">
      <c r="A17" s="28" t="str">
        <f t="shared" si="1"/>
        <v>3.B.DSHNQN.DMF.702</v>
      </c>
      <c r="B17" s="28" t="str">
        <f>TEXT(COUNTIFS($C$4:C17,C17,$D$4:D17,D17,$F$4:F17,F17)+IF(F17="KT",100,IF(F17="KC",200,IF(F17="DI",300,IF(F17="DN",400,IF(F17="NU",500,IF(F17="DH",600,IF(F17="PC",700,0))))))),"000")</f>
        <v>702</v>
      </c>
      <c r="C17" s="28" t="s">
        <v>10</v>
      </c>
      <c r="D17" s="100" t="s">
        <v>112</v>
      </c>
      <c r="E17" s="82" t="s">
        <v>126</v>
      </c>
      <c r="F17" s="87" t="s">
        <v>200</v>
      </c>
      <c r="G17" s="6" t="s">
        <v>23</v>
      </c>
      <c r="H17" s="6" t="s">
        <v>156</v>
      </c>
      <c r="I17" s="82" t="s">
        <v>105</v>
      </c>
      <c r="J17" s="60" t="s">
        <v>220</v>
      </c>
      <c r="K17" s="60"/>
      <c r="L17" s="60"/>
      <c r="N17" s="96">
        <v>46186</v>
      </c>
      <c r="O17" s="96">
        <v>46230</v>
      </c>
      <c r="P17" s="211" t="str">
        <f t="shared" si="0"/>
        <v xml:space="preserve">Phan Trường Giang, , </v>
      </c>
    </row>
    <row r="18" spans="1:16">
      <c r="A18" s="28" t="str">
        <f>"3."&amp;D18&amp;"."&amp;B18</f>
        <v>3.B.DSHNQN.STA.101</v>
      </c>
      <c r="B18" s="28" t="str">
        <f>TEXT(COUNTIFS($C$4:C18,C18,$D$4:D18,D18,$F$4:F18,F18)+IF(F18="KT",100,IF(F18="KC",200,IF(F18="DI",300,IF(F18="DN",400,IF(F18="NU",500,IF(F18="DH",600,IF(F18="PC",700,0))))))),"000")</f>
        <v>101</v>
      </c>
      <c r="C18" s="28" t="s">
        <v>10</v>
      </c>
      <c r="D18" s="100" t="s">
        <v>138</v>
      </c>
      <c r="E18" s="82" t="s">
        <v>139</v>
      </c>
      <c r="F18" s="87" t="s">
        <v>164</v>
      </c>
      <c r="G18" s="6" t="s">
        <v>169</v>
      </c>
      <c r="H18" s="6" t="s">
        <v>156</v>
      </c>
      <c r="I18" s="82" t="s">
        <v>105</v>
      </c>
      <c r="J18" s="60" t="s">
        <v>34</v>
      </c>
      <c r="K18" s="60"/>
      <c r="L18" s="60"/>
      <c r="N18" s="96">
        <v>46170</v>
      </c>
      <c r="O18" s="96">
        <v>46230</v>
      </c>
      <c r="P18" s="211" t="str">
        <f t="shared" si="0"/>
        <v xml:space="preserve">Trần Văn Diện, , </v>
      </c>
    </row>
    <row r="19" spans="1:16">
      <c r="A19" s="28" t="str">
        <f>"3."&amp;D19&amp;"."&amp;B19</f>
        <v>3.B.DSHNQN.STA.301</v>
      </c>
      <c r="B19" s="28" t="str">
        <f>TEXT(COUNTIFS($C$4:C19,C19,$D$4:D19,D19,$F$4:F19,F19)+IF(F19="KT",100,IF(F19="KC",200,IF(F19="DI",300,IF(F19="DN",400,IF(F19="NU",500,IF(F19="DH",600,IF(F19="PC",700,0))))))),"000")</f>
        <v>301</v>
      </c>
      <c r="C19" s="28" t="s">
        <v>10</v>
      </c>
      <c r="D19" s="139" t="s">
        <v>138</v>
      </c>
      <c r="E19" s="54" t="s">
        <v>139</v>
      </c>
      <c r="F19" s="87" t="s">
        <v>182</v>
      </c>
      <c r="G19" s="6" t="s">
        <v>23</v>
      </c>
      <c r="H19" s="6" t="s">
        <v>156</v>
      </c>
      <c r="I19" s="82" t="s">
        <v>105</v>
      </c>
      <c r="J19" s="20" t="s">
        <v>206</v>
      </c>
      <c r="K19" s="20"/>
      <c r="L19" s="20"/>
      <c r="M19" s="20"/>
      <c r="N19" s="96">
        <v>46170</v>
      </c>
      <c r="O19" s="96">
        <v>46230</v>
      </c>
      <c r="P19" s="211" t="str">
        <f t="shared" si="0"/>
        <v xml:space="preserve">Nguyễn Văn Hải, , </v>
      </c>
    </row>
    <row r="20" spans="1:16">
      <c r="A20" s="28" t="str">
        <f>"3."&amp;D20&amp;"."&amp;B20</f>
        <v>3.B.DSHNQN.STA.401</v>
      </c>
      <c r="B20" s="28" t="str">
        <f>TEXT(COUNTIFS($C$4:C20,C20,$D$4:D20,D20,$F$4:F20,F20)+IF(F20="KT",100,IF(F20="KC",200,IF(F20="DI",300,IF(F20="DN",400,IF(F20="NU",500,IF(F20="DH",600,IF(F20="PC",700,0))))))),"000")</f>
        <v>401</v>
      </c>
      <c r="C20" s="28" t="s">
        <v>10</v>
      </c>
      <c r="D20" s="139" t="s">
        <v>138</v>
      </c>
      <c r="E20" s="54" t="s">
        <v>139</v>
      </c>
      <c r="F20" s="87" t="s">
        <v>190</v>
      </c>
      <c r="G20" s="6" t="s">
        <v>23</v>
      </c>
      <c r="H20" s="6" t="s">
        <v>156</v>
      </c>
      <c r="I20" s="82" t="s">
        <v>105</v>
      </c>
      <c r="J20" s="20" t="s">
        <v>206</v>
      </c>
      <c r="K20" s="20"/>
      <c r="L20" s="20"/>
      <c r="M20" s="20"/>
      <c r="N20" s="96">
        <v>46170</v>
      </c>
      <c r="O20" s="96">
        <v>46230</v>
      </c>
      <c r="P20" s="211" t="str">
        <f t="shared" si="0"/>
        <v xml:space="preserve">Nguyễn Văn Hải, , </v>
      </c>
    </row>
    <row r="21" spans="1:16">
      <c r="A21" s="28" t="str">
        <f>"3."&amp;D21&amp;"."&amp;B21</f>
        <v>3.B.DSHNQN.STA.501</v>
      </c>
      <c r="B21" s="28" t="str">
        <f>TEXT(COUNTIFS($C$4:C21,C21,$D$4:D21,D21,$F$4:F21,F21)+IF(F21="KT",100,IF(F21="KC",200,IF(F21="DI",300,IF(F21="DN",400,IF(F21="NU",500,IF(F21="DH",600,IF(F21="PC",700,0))))))),"000")</f>
        <v>501</v>
      </c>
      <c r="C21" s="28" t="s">
        <v>10</v>
      </c>
      <c r="D21" s="139" t="s">
        <v>138</v>
      </c>
      <c r="E21" s="54" t="s">
        <v>139</v>
      </c>
      <c r="F21" s="87" t="s">
        <v>195</v>
      </c>
      <c r="G21" s="6" t="s">
        <v>23</v>
      </c>
      <c r="H21" s="6" t="s">
        <v>156</v>
      </c>
      <c r="I21" s="82" t="s">
        <v>105</v>
      </c>
      <c r="J21" s="20" t="s">
        <v>206</v>
      </c>
      <c r="K21" s="20"/>
      <c r="L21" s="20"/>
      <c r="M21" s="20"/>
      <c r="N21" s="96">
        <v>46170</v>
      </c>
      <c r="O21" s="96">
        <v>46230</v>
      </c>
      <c r="P21" s="211" t="str">
        <f t="shared" si="0"/>
        <v xml:space="preserve">Nguyễn Văn Hải, , </v>
      </c>
    </row>
    <row r="22" spans="1:16">
      <c r="A22" s="28" t="str">
        <f>"3."&amp;D22&amp;"."&amp;B22</f>
        <v>3.B.DSHNQN.STA.601</v>
      </c>
      <c r="B22" s="28" t="str">
        <f>TEXT(COUNTIFS($C$4:C22,C22,$D$4:D22,D22,$F$4:F22,F22)+IF(F22="KT",100,IF(F22="KC",200,IF(F22="DI",300,IF(F22="DN",400,IF(F22="NU",500,IF(F22="DH",600,IF(F22="PC",700,0))))))),"000")</f>
        <v>601</v>
      </c>
      <c r="C22" s="28" t="s">
        <v>10</v>
      </c>
      <c r="D22" s="139" t="s">
        <v>138</v>
      </c>
      <c r="E22" s="54" t="s">
        <v>139</v>
      </c>
      <c r="F22" s="87" t="s">
        <v>205</v>
      </c>
      <c r="G22" s="6" t="s">
        <v>23</v>
      </c>
      <c r="H22" s="6" t="s">
        <v>156</v>
      </c>
      <c r="I22" s="82" t="s">
        <v>105</v>
      </c>
      <c r="J22" s="20" t="s">
        <v>206</v>
      </c>
      <c r="K22" s="20"/>
      <c r="L22" s="20"/>
      <c r="M22" s="20"/>
      <c r="N22" s="96">
        <v>46170</v>
      </c>
      <c r="O22" s="96">
        <v>46230</v>
      </c>
      <c r="P22" s="211" t="str">
        <f t="shared" si="0"/>
        <v xml:space="preserve">Nguyễn Văn Hải, , </v>
      </c>
    </row>
    <row r="23" spans="1:16">
      <c r="A23" s="28" t="str">
        <f>"3."&amp;D23&amp;"."&amp;B23</f>
        <v>3.B.DSHNQN.STA.701</v>
      </c>
      <c r="B23" s="28" t="str">
        <f>TEXT(COUNTIFS($C$4:C23,C23,$D$4:D23,D23,$F$4:F23,F23)+IF(F23="KT",100,IF(F23="KC",200,IF(F23="DI",300,IF(F23="DN",400,IF(F23="NU",500,IF(F23="DH",600,IF(F23="PC",700,0))))))),"000")</f>
        <v>701</v>
      </c>
      <c r="C23" s="28" t="s">
        <v>10</v>
      </c>
      <c r="D23" s="139" t="s">
        <v>138</v>
      </c>
      <c r="E23" s="54" t="s">
        <v>139</v>
      </c>
      <c r="F23" s="87" t="s">
        <v>200</v>
      </c>
      <c r="G23" s="6" t="s">
        <v>23</v>
      </c>
      <c r="H23" s="6" t="s">
        <v>156</v>
      </c>
      <c r="I23" s="82" t="s">
        <v>105</v>
      </c>
      <c r="J23" s="20" t="s">
        <v>206</v>
      </c>
      <c r="K23" s="20"/>
      <c r="L23" s="20"/>
      <c r="M23" s="20"/>
      <c r="N23" s="96">
        <v>46170</v>
      </c>
      <c r="O23" s="96">
        <v>46230</v>
      </c>
      <c r="P23" s="211" t="str">
        <f t="shared" si="0"/>
        <v xml:space="preserve">Nguyễn Văn Hải, , </v>
      </c>
    </row>
    <row r="24" spans="1:16">
      <c r="A24" s="28" t="str">
        <f>"3."&amp;D24&amp;"."&amp;B24</f>
        <v>3.B.DSHNQN.STA.102</v>
      </c>
      <c r="B24" s="28" t="str">
        <f>TEXT(COUNTIFS($C$4:C24,C24,$D$4:D24,D24,$F$4:F24,F24)+IF(F24="KT",100,IF(F24="KC",200,IF(F24="DI",300,IF(F24="DN",400,IF(F24="NU",500,IF(F24="DH",600,IF(F24="PC",700,0))))))),"000")</f>
        <v>102</v>
      </c>
      <c r="C24" s="28" t="s">
        <v>10</v>
      </c>
      <c r="D24" s="139" t="s">
        <v>138</v>
      </c>
      <c r="E24" s="28" t="s">
        <v>150</v>
      </c>
      <c r="F24" s="87" t="s">
        <v>164</v>
      </c>
      <c r="G24" s="6" t="s">
        <v>169</v>
      </c>
      <c r="H24" s="6" t="s">
        <v>156</v>
      </c>
      <c r="I24" s="82" t="s">
        <v>105</v>
      </c>
      <c r="J24" s="60" t="s">
        <v>34</v>
      </c>
      <c r="K24" s="60"/>
      <c r="L24" s="60"/>
      <c r="N24" s="96">
        <v>46212</v>
      </c>
      <c r="O24" s="96">
        <v>46230</v>
      </c>
      <c r="P24" s="211" t="str">
        <f t="shared" si="0"/>
        <v xml:space="preserve">Trần Văn Diện, , </v>
      </c>
    </row>
    <row r="25" spans="1:16">
      <c r="A25" s="28" t="str">
        <f>"3."&amp;D25&amp;"."&amp;B25</f>
        <v>3.B.DSHNQN.STA.302</v>
      </c>
      <c r="B25" s="28" t="str">
        <f>TEXT(COUNTIFS($C$4:C25,C25,$D$4:D25,D25,$F$4:F25,F25)+IF(F25="KT",100,IF(F25="KC",200,IF(F25="DI",300,IF(F25="DN",400,IF(F25="NU",500,IF(F25="DH",600,IF(F25="PC",700,0))))))),"000")</f>
        <v>302</v>
      </c>
      <c r="C25" s="28" t="s">
        <v>10</v>
      </c>
      <c r="D25" s="81" t="s">
        <v>138</v>
      </c>
      <c r="E25" s="82" t="s">
        <v>150</v>
      </c>
      <c r="F25" s="87" t="s">
        <v>182</v>
      </c>
      <c r="G25" s="6" t="s">
        <v>23</v>
      </c>
      <c r="H25" s="6" t="s">
        <v>156</v>
      </c>
      <c r="I25" s="82" t="s">
        <v>105</v>
      </c>
      <c r="J25" s="60" t="s">
        <v>206</v>
      </c>
      <c r="K25" s="60"/>
      <c r="L25" s="60"/>
      <c r="N25" s="96">
        <v>46212</v>
      </c>
      <c r="O25" s="96">
        <v>46230</v>
      </c>
      <c r="P25" s="211" t="str">
        <f t="shared" si="0"/>
        <v xml:space="preserve">Nguyễn Văn Hải, , </v>
      </c>
    </row>
    <row r="26" spans="1:16">
      <c r="A26" s="28" t="str">
        <f>"3."&amp;D26&amp;"."&amp;B26</f>
        <v>3.B.DSHNQN.STA.402</v>
      </c>
      <c r="B26" s="28" t="str">
        <f>TEXT(COUNTIFS($C$4:C26,C26,$D$4:D26,D26,$F$4:F26,F26)+IF(F26="KT",100,IF(F26="KC",200,IF(F26="DI",300,IF(F26="DN",400,IF(F26="NU",500,IF(F26="DH",600,IF(F26="PC",700,0))))))),"000")</f>
        <v>402</v>
      </c>
      <c r="C26" s="28" t="s">
        <v>10</v>
      </c>
      <c r="D26" s="81" t="s">
        <v>138</v>
      </c>
      <c r="E26" s="82" t="s">
        <v>150</v>
      </c>
      <c r="F26" s="87" t="s">
        <v>190</v>
      </c>
      <c r="G26" s="6" t="s">
        <v>23</v>
      </c>
      <c r="H26" s="6" t="s">
        <v>156</v>
      </c>
      <c r="I26" s="82" t="s">
        <v>105</v>
      </c>
      <c r="J26" s="60" t="s">
        <v>206</v>
      </c>
      <c r="K26" s="60"/>
      <c r="L26" s="60"/>
      <c r="N26" s="96">
        <v>46212</v>
      </c>
      <c r="O26" s="96">
        <v>46230</v>
      </c>
      <c r="P26" s="211" t="str">
        <f t="shared" si="0"/>
        <v xml:space="preserve">Nguyễn Văn Hải, , </v>
      </c>
    </row>
    <row r="27" spans="1:16">
      <c r="A27" s="28" t="str">
        <f>"3."&amp;D27&amp;"."&amp;B27</f>
        <v>3.B.DSHNQN.STA.502</v>
      </c>
      <c r="B27" s="28" t="str">
        <f>TEXT(COUNTIFS($C$4:C27,C27,$D$4:D27,D27,$F$4:F27,F27)+IF(F27="KT",100,IF(F27="KC",200,IF(F27="DI",300,IF(F27="DN",400,IF(F27="NU",500,IF(F27="DH",600,IF(F27="PC",700,0))))))),"000")</f>
        <v>502</v>
      </c>
      <c r="C27" s="28" t="s">
        <v>10</v>
      </c>
      <c r="D27" s="81" t="s">
        <v>138</v>
      </c>
      <c r="E27" s="82" t="s">
        <v>150</v>
      </c>
      <c r="F27" s="87" t="s">
        <v>195</v>
      </c>
      <c r="G27" s="6" t="s">
        <v>23</v>
      </c>
      <c r="H27" s="6" t="s">
        <v>156</v>
      </c>
      <c r="I27" s="82" t="s">
        <v>105</v>
      </c>
      <c r="J27" s="60" t="s">
        <v>206</v>
      </c>
      <c r="K27" s="60"/>
      <c r="L27" s="60"/>
      <c r="N27" s="96">
        <v>46212</v>
      </c>
      <c r="O27" s="96">
        <v>46230</v>
      </c>
      <c r="P27" s="211" t="str">
        <f t="shared" si="0"/>
        <v xml:space="preserve">Nguyễn Văn Hải, , </v>
      </c>
    </row>
    <row r="28" spans="1:16">
      <c r="A28" s="28" t="str">
        <f>"3."&amp;D28&amp;"."&amp;B28</f>
        <v>3.B.DSHNQN.STA.602</v>
      </c>
      <c r="B28" s="28" t="str">
        <f>TEXT(COUNTIFS($C$4:C28,C28,$D$4:D28,D28,$F$4:F28,F28)+IF(F28="KT",100,IF(F28="KC",200,IF(F28="DI",300,IF(F28="DN",400,IF(F28="NU",500,IF(F28="DH",600,IF(F28="PC",700,0))))))),"000")</f>
        <v>602</v>
      </c>
      <c r="C28" s="28" t="s">
        <v>10</v>
      </c>
      <c r="D28" s="81" t="s">
        <v>138</v>
      </c>
      <c r="E28" s="82" t="s">
        <v>150</v>
      </c>
      <c r="F28" s="87" t="s">
        <v>205</v>
      </c>
      <c r="G28" s="6" t="s">
        <v>23</v>
      </c>
      <c r="H28" s="6" t="s">
        <v>156</v>
      </c>
      <c r="I28" s="82" t="s">
        <v>105</v>
      </c>
      <c r="J28" s="60" t="s">
        <v>206</v>
      </c>
      <c r="K28" s="60"/>
      <c r="L28" s="60"/>
      <c r="N28" s="96">
        <v>46212</v>
      </c>
      <c r="O28" s="96">
        <v>46230</v>
      </c>
      <c r="P28" s="211" t="str">
        <f t="shared" si="0"/>
        <v xml:space="preserve">Nguyễn Văn Hải, , </v>
      </c>
    </row>
    <row r="29" spans="1:16">
      <c r="A29" s="28" t="str">
        <f>"3."&amp;D29&amp;"."&amp;B29</f>
        <v>3.B.DSHNQN.STA.702</v>
      </c>
      <c r="B29" s="28" t="str">
        <f>TEXT(COUNTIFS($C$4:C29,C29,$D$4:D29,D29,$F$4:F29,F29)+IF(F29="KT",100,IF(F29="KC",200,IF(F29="DI",300,IF(F29="DN",400,IF(F29="NU",500,IF(F29="DH",600,IF(F29="PC",700,0))))))),"000")</f>
        <v>702</v>
      </c>
      <c r="C29" s="28" t="s">
        <v>10</v>
      </c>
      <c r="D29" s="81" t="s">
        <v>138</v>
      </c>
      <c r="E29" s="82" t="s">
        <v>150</v>
      </c>
      <c r="F29" s="87" t="s">
        <v>200</v>
      </c>
      <c r="G29" s="6" t="s">
        <v>23</v>
      </c>
      <c r="H29" s="6" t="s">
        <v>156</v>
      </c>
      <c r="I29" s="82" t="s">
        <v>105</v>
      </c>
      <c r="J29" s="60" t="s">
        <v>206</v>
      </c>
      <c r="K29" s="60"/>
      <c r="L29" s="60"/>
      <c r="N29" s="96">
        <v>46212</v>
      </c>
      <c r="O29" s="96">
        <v>46230</v>
      </c>
      <c r="P29" s="211" t="str">
        <f t="shared" si="0"/>
        <v xml:space="preserve">Nguyễn Văn Hải, , </v>
      </c>
    </row>
    <row r="30" spans="1:16">
      <c r="A30" s="28" t="str">
        <f>"3."&amp;D30&amp;"."&amp;B30</f>
        <v>3.B.DSHNQN.STA.103</v>
      </c>
      <c r="B30" s="28" t="str">
        <f>TEXT(COUNTIFS($C$4:C30,C30,$D$4:D30,D30,$F$4:F30,F30)+IF(F30="KT",100,IF(F30="KC",200,IF(F30="DI",300,IF(F30="DN",400,IF(F30="NU",500,IF(F30="DH",600,IF(F30="PC",700,0))))))),"000")</f>
        <v>103</v>
      </c>
      <c r="C30" s="28" t="s">
        <v>10</v>
      </c>
      <c r="D30" s="100" t="s">
        <v>138</v>
      </c>
      <c r="E30" s="28" t="s">
        <v>159</v>
      </c>
      <c r="F30" s="88" t="s">
        <v>164</v>
      </c>
      <c r="G30" s="6" t="s">
        <v>169</v>
      </c>
      <c r="H30" s="6" t="s">
        <v>156</v>
      </c>
      <c r="I30" s="82" t="s">
        <v>105</v>
      </c>
      <c r="J30" s="20" t="s">
        <v>36</v>
      </c>
      <c r="K30" s="20" t="s">
        <v>196</v>
      </c>
      <c r="L30" s="20"/>
      <c r="M30" s="20"/>
      <c r="N30" s="96">
        <v>46114</v>
      </c>
      <c r="O30" s="96">
        <v>46212</v>
      </c>
      <c r="P30" s="211" t="str">
        <f t="shared" si="0"/>
        <v xml:space="preserve">Trần Văn Toản, Vũ Thị Thêu, </v>
      </c>
    </row>
    <row r="31" spans="1:16">
      <c r="A31" s="28" t="str">
        <f>"3."&amp;D31&amp;"."&amp;B31</f>
        <v>3.B.DSHNQN.STA.201</v>
      </c>
      <c r="B31" s="28" t="str">
        <f>TEXT(COUNTIFS($C$4:C31,C31,$D$4:D31,D31,$F$4:F31,F31)+IF(F31="KT",100,IF(F31="KC",200,IF(F31="DI",300,IF(F31="DN",400,IF(F31="NU",500,IF(F31="DH",600,IF(F31="PC",700,0))))))),"000")</f>
        <v>201</v>
      </c>
      <c r="C31" s="28" t="s">
        <v>10</v>
      </c>
      <c r="D31" s="100" t="s">
        <v>138</v>
      </c>
      <c r="E31" s="28" t="s">
        <v>159</v>
      </c>
      <c r="F31" s="88" t="s">
        <v>174</v>
      </c>
      <c r="G31" s="6" t="s">
        <v>23</v>
      </c>
      <c r="H31" s="6" t="s">
        <v>156</v>
      </c>
      <c r="I31" s="82" t="s">
        <v>105</v>
      </c>
      <c r="J31" s="20" t="s">
        <v>36</v>
      </c>
      <c r="K31" s="20" t="s">
        <v>196</v>
      </c>
      <c r="L31" s="20"/>
      <c r="M31" s="20"/>
      <c r="N31" s="96">
        <v>46154</v>
      </c>
      <c r="O31" s="96">
        <v>46330</v>
      </c>
      <c r="P31" s="211" t="str">
        <f t="shared" si="0"/>
        <v xml:space="preserve">Trần Văn Toản, Vũ Thị Thêu, </v>
      </c>
    </row>
    <row r="32" spans="1:16">
      <c r="A32" s="28" t="str">
        <f>"3."&amp;D32&amp;"."&amp;B32</f>
        <v>3.B.DSHNQN.STA.303</v>
      </c>
      <c r="B32" s="28" t="str">
        <f>TEXT(COUNTIFS($C$4:C32,C32,$D$4:D32,D32,$F$4:F32,F32)+IF(F32="KT",100,IF(F32="KC",200,IF(F32="DI",300,IF(F32="DN",400,IF(F32="NU",500,IF(F32="DH",600,IF(F32="PC",700,0))))))),"000")</f>
        <v>303</v>
      </c>
      <c r="C32" s="28" t="s">
        <v>10</v>
      </c>
      <c r="D32" s="100" t="s">
        <v>138</v>
      </c>
      <c r="E32" s="28" t="s">
        <v>159</v>
      </c>
      <c r="F32" s="87" t="s">
        <v>182</v>
      </c>
      <c r="G32" s="6" t="s">
        <v>23</v>
      </c>
      <c r="H32" s="6" t="s">
        <v>156</v>
      </c>
      <c r="I32" s="82" t="s">
        <v>105</v>
      </c>
      <c r="J32" s="20" t="s">
        <v>206</v>
      </c>
      <c r="K32" s="20"/>
      <c r="L32" s="20"/>
      <c r="M32" s="20"/>
      <c r="N32" s="96">
        <v>46186</v>
      </c>
      <c r="O32" s="96">
        <v>46230</v>
      </c>
      <c r="P32" s="211" t="str">
        <f t="shared" si="0"/>
        <v xml:space="preserve">Nguyễn Văn Hải, , </v>
      </c>
    </row>
    <row r="33" spans="1:16">
      <c r="A33" s="28" t="str">
        <f>"3."&amp;D33&amp;"."&amp;B33</f>
        <v>3.B.DSHNQN.STA.403</v>
      </c>
      <c r="B33" s="28" t="str">
        <f>TEXT(COUNTIFS($C$4:C33,C33,$D$4:D33,D33,$F$4:F33,F33)+IF(F33="KT",100,IF(F33="KC",200,IF(F33="DI",300,IF(F33="DN",400,IF(F33="NU",500,IF(F33="DH",600,IF(F33="PC",700,0))))))),"000")</f>
        <v>403</v>
      </c>
      <c r="C33" s="28" t="s">
        <v>10</v>
      </c>
      <c r="D33" s="100" t="s">
        <v>138</v>
      </c>
      <c r="E33" s="28" t="s">
        <v>159</v>
      </c>
      <c r="F33" s="87" t="s">
        <v>190</v>
      </c>
      <c r="G33" s="6" t="s">
        <v>23</v>
      </c>
      <c r="H33" s="6" t="s">
        <v>156</v>
      </c>
      <c r="I33" s="82" t="s">
        <v>105</v>
      </c>
      <c r="J33" s="20" t="s">
        <v>206</v>
      </c>
      <c r="K33" s="20"/>
      <c r="L33" s="20"/>
      <c r="M33" s="20"/>
      <c r="N33" s="96">
        <v>46186</v>
      </c>
      <c r="O33" s="96">
        <v>46230</v>
      </c>
      <c r="P33" s="211" t="str">
        <f t="shared" si="0"/>
        <v xml:space="preserve">Nguyễn Văn Hải, , </v>
      </c>
    </row>
    <row r="34" spans="1:16">
      <c r="A34" s="28" t="str">
        <f>"3."&amp;D34&amp;"."&amp;B34</f>
        <v>3.B.DSHNQN.STA.503</v>
      </c>
      <c r="B34" s="28" t="str">
        <f>TEXT(COUNTIFS($C$4:C34,C34,$D$4:D34,D34,$F$4:F34,F34)+IF(F34="KT",100,IF(F34="KC",200,IF(F34="DI",300,IF(F34="DN",400,IF(F34="NU",500,IF(F34="DH",600,IF(F34="PC",700,0))))))),"000")</f>
        <v>503</v>
      </c>
      <c r="C34" s="28" t="s">
        <v>10</v>
      </c>
      <c r="D34" s="100" t="s">
        <v>138</v>
      </c>
      <c r="E34" s="28" t="s">
        <v>159</v>
      </c>
      <c r="F34" s="87" t="s">
        <v>195</v>
      </c>
      <c r="G34" s="6" t="s">
        <v>23</v>
      </c>
      <c r="H34" s="6" t="s">
        <v>156</v>
      </c>
      <c r="I34" s="82" t="s">
        <v>105</v>
      </c>
      <c r="J34" s="20" t="s">
        <v>206</v>
      </c>
      <c r="K34" s="20"/>
      <c r="L34" s="20"/>
      <c r="M34" s="20"/>
      <c r="N34" s="96">
        <v>46186</v>
      </c>
      <c r="O34" s="96">
        <v>46230</v>
      </c>
      <c r="P34" s="211" t="str">
        <f t="shared" si="0"/>
        <v xml:space="preserve">Nguyễn Văn Hải, , </v>
      </c>
    </row>
    <row r="35" spans="1:16">
      <c r="A35" s="28" t="str">
        <f>"3."&amp;D35&amp;"."&amp;B35</f>
        <v>3.B.DSHNQN.STA.603</v>
      </c>
      <c r="B35" s="28" t="str">
        <f>TEXT(COUNTIFS($C$4:C35,C35,$D$4:D35,D35,$F$4:F35,F35)+IF(F35="KT",100,IF(F35="KC",200,IF(F35="DI",300,IF(F35="DN",400,IF(F35="NU",500,IF(F35="DH",600,IF(F35="PC",700,0))))))),"000")</f>
        <v>603</v>
      </c>
      <c r="C35" s="28" t="s">
        <v>10</v>
      </c>
      <c r="D35" s="100" t="s">
        <v>138</v>
      </c>
      <c r="E35" s="28" t="s">
        <v>159</v>
      </c>
      <c r="F35" s="87" t="s">
        <v>205</v>
      </c>
      <c r="G35" s="6" t="s">
        <v>23</v>
      </c>
      <c r="H35" s="6" t="s">
        <v>156</v>
      </c>
      <c r="I35" s="82" t="s">
        <v>105</v>
      </c>
      <c r="J35" s="20" t="s">
        <v>206</v>
      </c>
      <c r="K35" s="20"/>
      <c r="L35" s="20"/>
      <c r="M35" s="20"/>
      <c r="N35" s="96">
        <v>46186</v>
      </c>
      <c r="O35" s="96">
        <v>46230</v>
      </c>
      <c r="P35" s="211" t="str">
        <f t="shared" si="0"/>
        <v xml:space="preserve">Nguyễn Văn Hải, , </v>
      </c>
    </row>
    <row r="36" spans="1:16">
      <c r="A36" s="28" t="str">
        <f>"3."&amp;D36&amp;"."&amp;B36</f>
        <v>3.B.DSHNQN.STA.703</v>
      </c>
      <c r="B36" s="28" t="str">
        <f>TEXT(COUNTIFS($C$4:C36,C36,$D$4:D36,D36,$F$4:F36,F36)+IF(F36="KT",100,IF(F36="KC",200,IF(F36="DI",300,IF(F36="DN",400,IF(F36="NU",500,IF(F36="DH",600,IF(F36="PC",700,0))))))),"000")</f>
        <v>703</v>
      </c>
      <c r="C36" s="28" t="s">
        <v>10</v>
      </c>
      <c r="D36" s="100" t="s">
        <v>138</v>
      </c>
      <c r="E36" s="28" t="s">
        <v>159</v>
      </c>
      <c r="F36" s="87" t="s">
        <v>200</v>
      </c>
      <c r="G36" s="6" t="s">
        <v>23</v>
      </c>
      <c r="H36" s="6" t="s">
        <v>156</v>
      </c>
      <c r="I36" s="82" t="s">
        <v>105</v>
      </c>
      <c r="J36" s="20" t="s">
        <v>206</v>
      </c>
      <c r="K36" s="20"/>
      <c r="L36" s="20"/>
      <c r="M36" s="20"/>
      <c r="N36" s="96">
        <v>46186</v>
      </c>
      <c r="O36" s="96">
        <v>46230</v>
      </c>
      <c r="P36" s="211" t="str">
        <f t="shared" si="0"/>
        <v xml:space="preserve">Nguyễn Văn Hải, , </v>
      </c>
    </row>
    <row r="37" spans="1:16">
      <c r="A37" s="28" t="str">
        <f>"3."&amp;D37&amp;"."&amp;B37</f>
        <v>3.B.DSHNQN.STA.104</v>
      </c>
      <c r="B37" s="28" t="str">
        <f>TEXT(COUNTIFS($C$4:C37,C37,$D$4:D37,D37,$F$4:F37,F37)+IF(F37="KT",100,IF(F37="KC",200,IF(F37="DI",300,IF(F37="DN",400,IF(F37="NU",500,IF(F37="DH",600,IF(F37="PC",700,0))))))),"000")</f>
        <v>104</v>
      </c>
      <c r="C37" s="28" t="s">
        <v>10</v>
      </c>
      <c r="D37" s="100" t="s">
        <v>138</v>
      </c>
      <c r="E37" s="28" t="s">
        <v>168</v>
      </c>
      <c r="F37" s="88" t="s">
        <v>164</v>
      </c>
      <c r="G37" s="6" t="s">
        <v>169</v>
      </c>
      <c r="H37" s="6" t="s">
        <v>156</v>
      </c>
      <c r="I37" s="82" t="s">
        <v>105</v>
      </c>
      <c r="J37" s="28" t="s">
        <v>36</v>
      </c>
      <c r="K37" s="28" t="s">
        <v>196</v>
      </c>
      <c r="L37" s="28"/>
      <c r="M37" s="28"/>
      <c r="N37" s="96">
        <v>46128</v>
      </c>
      <c r="O37" s="96">
        <v>46206</v>
      </c>
      <c r="P37" s="211" t="str">
        <f t="shared" si="0"/>
        <v xml:space="preserve">Trần Văn Toản, Vũ Thị Thêu, </v>
      </c>
    </row>
    <row r="38" spans="1:16">
      <c r="A38" s="28" t="str">
        <f>"3."&amp;D38&amp;"."&amp;B38</f>
        <v>3.B.DSHNQN.STA.202</v>
      </c>
      <c r="B38" s="28" t="str">
        <f>TEXT(COUNTIFS($C$4:C38,C38,$D$4:D38,D38,$F$4:F38,F38)+IF(F38="KT",100,IF(F38="KC",200,IF(F38="DI",300,IF(F38="DN",400,IF(F38="NU",500,IF(F38="DH",600,IF(F38="PC",700,0))))))),"000")</f>
        <v>202</v>
      </c>
      <c r="C38" s="28" t="s">
        <v>10</v>
      </c>
      <c r="D38" s="100" t="s">
        <v>138</v>
      </c>
      <c r="E38" s="28" t="s">
        <v>168</v>
      </c>
      <c r="F38" s="88" t="s">
        <v>174</v>
      </c>
      <c r="G38" s="6" t="s">
        <v>23</v>
      </c>
      <c r="H38" s="6" t="s">
        <v>156</v>
      </c>
      <c r="I38" s="82" t="s">
        <v>105</v>
      </c>
      <c r="J38" s="28" t="s">
        <v>36</v>
      </c>
      <c r="K38" s="28" t="s">
        <v>196</v>
      </c>
      <c r="L38" s="28"/>
      <c r="M38" s="28"/>
      <c r="N38" s="96">
        <v>46163</v>
      </c>
      <c r="O38" s="96">
        <v>46330</v>
      </c>
      <c r="P38" s="211" t="str">
        <f t="shared" si="0"/>
        <v xml:space="preserve">Trần Văn Toản, Vũ Thị Thêu, </v>
      </c>
    </row>
    <row r="39" spans="1:16">
      <c r="A39" s="28" t="str">
        <f>"3."&amp;D39&amp;"."&amp;B39</f>
        <v>3.B.DSHNQN.STA.304</v>
      </c>
      <c r="B39" s="28" t="str">
        <f>TEXT(COUNTIFS($C$4:C39,C39,$D$4:D39,D39,$F$4:F39,F39)+IF(F39="KT",100,IF(F39="KC",200,IF(F39="DI",300,IF(F39="DN",400,IF(F39="NU",500,IF(F39="DH",600,IF(F39="PC",700,0))))))),"000")</f>
        <v>304</v>
      </c>
      <c r="C39" s="28" t="s">
        <v>10</v>
      </c>
      <c r="D39" s="100" t="s">
        <v>138</v>
      </c>
      <c r="E39" s="28" t="s">
        <v>168</v>
      </c>
      <c r="F39" s="87" t="s">
        <v>182</v>
      </c>
      <c r="G39" s="6" t="s">
        <v>23</v>
      </c>
      <c r="H39" s="6" t="s">
        <v>156</v>
      </c>
      <c r="I39" s="82" t="s">
        <v>105</v>
      </c>
      <c r="J39" s="20" t="s">
        <v>216</v>
      </c>
      <c r="K39" s="20"/>
      <c r="L39" s="20"/>
      <c r="M39" s="20"/>
      <c r="N39" s="96">
        <v>46212</v>
      </c>
      <c r="O39" s="96">
        <v>46230</v>
      </c>
      <c r="P39" s="211" t="str">
        <f t="shared" si="0"/>
        <v xml:space="preserve">Đặng Thái Sơn, , </v>
      </c>
    </row>
    <row r="40" spans="1:16">
      <c r="A40" s="28" t="str">
        <f>"3."&amp;D40&amp;"."&amp;B40</f>
        <v>3.B.DSHNQN.STA.404</v>
      </c>
      <c r="B40" s="28" t="str">
        <f>TEXT(COUNTIFS($C$4:C40,C40,$D$4:D40,D40,$F$4:F40,F40)+IF(F40="KT",100,IF(F40="KC",200,IF(F40="DI",300,IF(F40="DN",400,IF(F40="NU",500,IF(F40="DH",600,IF(F40="PC",700,0))))))),"000")</f>
        <v>404</v>
      </c>
      <c r="C40" s="28" t="s">
        <v>10</v>
      </c>
      <c r="D40" s="100" t="s">
        <v>138</v>
      </c>
      <c r="E40" s="28" t="s">
        <v>168</v>
      </c>
      <c r="F40" s="87" t="s">
        <v>190</v>
      </c>
      <c r="G40" s="6" t="s">
        <v>23</v>
      </c>
      <c r="H40" s="6" t="s">
        <v>156</v>
      </c>
      <c r="I40" s="82" t="s">
        <v>105</v>
      </c>
      <c r="J40" s="20" t="s">
        <v>216</v>
      </c>
      <c r="K40" s="20"/>
      <c r="L40" s="20"/>
      <c r="M40" s="20"/>
      <c r="N40" s="96">
        <v>46212</v>
      </c>
      <c r="O40" s="96">
        <v>46230</v>
      </c>
      <c r="P40" s="211" t="str">
        <f t="shared" si="0"/>
        <v xml:space="preserve">Đặng Thái Sơn, , </v>
      </c>
    </row>
    <row r="41" spans="1:16">
      <c r="A41" s="28" t="str">
        <f>"3."&amp;D41&amp;"."&amp;B41</f>
        <v>3.B.DSHNQN.STA.504</v>
      </c>
      <c r="B41" s="28" t="str">
        <f>TEXT(COUNTIFS($C$4:C41,C41,$D$4:D41,D41,$F$4:F41,F41)+IF(F41="KT",100,IF(F41="KC",200,IF(F41="DI",300,IF(F41="DN",400,IF(F41="NU",500,IF(F41="DH",600,IF(F41="PC",700,0))))))),"000")</f>
        <v>504</v>
      </c>
      <c r="C41" s="28" t="s">
        <v>10</v>
      </c>
      <c r="D41" s="100" t="s">
        <v>138</v>
      </c>
      <c r="E41" s="28" t="s">
        <v>168</v>
      </c>
      <c r="F41" s="87" t="s">
        <v>195</v>
      </c>
      <c r="G41" s="6" t="s">
        <v>23</v>
      </c>
      <c r="H41" s="6" t="s">
        <v>156</v>
      </c>
      <c r="I41" s="82" t="s">
        <v>105</v>
      </c>
      <c r="J41" s="20" t="s">
        <v>216</v>
      </c>
      <c r="K41" s="20"/>
      <c r="L41" s="20"/>
      <c r="M41" s="20"/>
      <c r="N41" s="96">
        <v>46212</v>
      </c>
      <c r="O41" s="96">
        <v>46230</v>
      </c>
      <c r="P41" s="211" t="str">
        <f t="shared" si="0"/>
        <v xml:space="preserve">Đặng Thái Sơn, , </v>
      </c>
    </row>
    <row r="42" spans="1:16">
      <c r="A42" s="28" t="str">
        <f>"3."&amp;D42&amp;"."&amp;B42</f>
        <v>3.B.DSHNQN.STA.604</v>
      </c>
      <c r="B42" s="28" t="str">
        <f>TEXT(COUNTIFS($C$4:C42,C42,$D$4:D42,D42,$F$4:F42,F42)+IF(F42="KT",100,IF(F42="KC",200,IF(F42="DI",300,IF(F42="DN",400,IF(F42="NU",500,IF(F42="DH",600,IF(F42="PC",700,0))))))),"000")</f>
        <v>604</v>
      </c>
      <c r="C42" s="28" t="s">
        <v>10</v>
      </c>
      <c r="D42" s="100" t="s">
        <v>138</v>
      </c>
      <c r="E42" s="28" t="s">
        <v>168</v>
      </c>
      <c r="F42" s="87" t="s">
        <v>205</v>
      </c>
      <c r="G42" s="6" t="s">
        <v>23</v>
      </c>
      <c r="H42" s="6" t="s">
        <v>156</v>
      </c>
      <c r="I42" s="82" t="s">
        <v>105</v>
      </c>
      <c r="J42" s="20" t="s">
        <v>216</v>
      </c>
      <c r="K42" s="20"/>
      <c r="L42" s="20"/>
      <c r="M42" s="20"/>
      <c r="N42" s="96">
        <v>46212</v>
      </c>
      <c r="O42" s="96">
        <v>46230</v>
      </c>
      <c r="P42" s="211" t="str">
        <f t="shared" si="0"/>
        <v xml:space="preserve">Đặng Thái Sơn, , </v>
      </c>
    </row>
    <row r="43" spans="1:16">
      <c r="A43" s="28" t="str">
        <f>"3."&amp;D43&amp;"."&amp;B43</f>
        <v>3.B.DSHNQN.STA.704</v>
      </c>
      <c r="B43" s="28" t="str">
        <f>TEXT(COUNTIFS($C$4:C43,C43,$D$4:D43,D43,$F$4:F43,F43)+IF(F43="KT",100,IF(F43="KC",200,IF(F43="DI",300,IF(F43="DN",400,IF(F43="NU",500,IF(F43="DH",600,IF(F43="PC",700,0))))))),"000")</f>
        <v>704</v>
      </c>
      <c r="C43" s="28" t="s">
        <v>10</v>
      </c>
      <c r="D43" s="100" t="s">
        <v>138</v>
      </c>
      <c r="E43" s="28" t="s">
        <v>168</v>
      </c>
      <c r="F43" s="87" t="s">
        <v>200</v>
      </c>
      <c r="G43" s="6" t="s">
        <v>23</v>
      </c>
      <c r="H43" s="6" t="s">
        <v>156</v>
      </c>
      <c r="I43" s="82" t="s">
        <v>105</v>
      </c>
      <c r="J43" s="20" t="s">
        <v>216</v>
      </c>
      <c r="K43" s="20"/>
      <c r="L43" s="20"/>
      <c r="M43" s="20"/>
      <c r="N43" s="96">
        <v>46212</v>
      </c>
      <c r="O43" s="96">
        <v>46230</v>
      </c>
      <c r="P43" s="211" t="str">
        <f t="shared" si="0"/>
        <v xml:space="preserve">Đặng Thái Sơn, , </v>
      </c>
    </row>
    <row r="44" spans="1:16">
      <c r="A44" s="28" t="str">
        <f>"3."&amp;D44&amp;"."&amp;B44</f>
        <v>3.B.DSHNQN.STA.105</v>
      </c>
      <c r="B44" s="28" t="str">
        <f>TEXT(COUNTIFS($C$4:C44,C44,$D$4:D44,D44,$F$4:F44,F44)+IF(F44="KT",100,IF(F44="KC",200,IF(F44="DI",300,IF(F44="DN",400,IF(F44="NU",500,IF(F44="DH",600,IF(F44="PC",700,0))))))),"000")</f>
        <v>105</v>
      </c>
      <c r="C44" s="28" t="s">
        <v>10</v>
      </c>
      <c r="D44" s="100" t="s">
        <v>138</v>
      </c>
      <c r="E44" s="28" t="s">
        <v>179</v>
      </c>
      <c r="F44" s="88" t="s">
        <v>164</v>
      </c>
      <c r="G44" s="6" t="s">
        <v>169</v>
      </c>
      <c r="H44" s="6" t="s">
        <v>156</v>
      </c>
      <c r="I44" s="82" t="s">
        <v>105</v>
      </c>
      <c r="J44" s="20" t="s">
        <v>32</v>
      </c>
      <c r="K44" s="20" t="s">
        <v>34</v>
      </c>
      <c r="L44" s="20"/>
      <c r="M44" s="20"/>
      <c r="N44" s="106">
        <v>46146</v>
      </c>
      <c r="O44" s="106">
        <v>46317</v>
      </c>
      <c r="P44" s="211" t="str">
        <f t="shared" si="0"/>
        <v xml:space="preserve">Nguyễn Hải Nam, Trần Văn Diện, </v>
      </c>
    </row>
    <row r="45" spans="1:16">
      <c r="A45" s="28" t="str">
        <f>"3."&amp;D45&amp;"."&amp;B45</f>
        <v>3.B.DSHNQN.STA.203</v>
      </c>
      <c r="B45" s="28" t="str">
        <f>TEXT(COUNTIFS($C$4:C45,C45,$D$4:D45,D45,$F$4:F45,F45)+IF(F45="KT",100,IF(F45="KC",200,IF(F45="DI",300,IF(F45="DN",400,IF(F45="NU",500,IF(F45="DH",600,IF(F45="PC",700,0))))))),"000")</f>
        <v>203</v>
      </c>
      <c r="C45" s="28" t="s">
        <v>10</v>
      </c>
      <c r="D45" s="100" t="s">
        <v>138</v>
      </c>
      <c r="E45" s="28" t="s">
        <v>179</v>
      </c>
      <c r="F45" s="88" t="s">
        <v>174</v>
      </c>
      <c r="G45" s="6" t="s">
        <v>23</v>
      </c>
      <c r="H45" s="6" t="s">
        <v>156</v>
      </c>
      <c r="I45" s="82" t="s">
        <v>105</v>
      </c>
      <c r="J45" s="20" t="s">
        <v>32</v>
      </c>
      <c r="K45" s="20" t="s">
        <v>34</v>
      </c>
      <c r="L45" s="20"/>
      <c r="M45" s="20"/>
      <c r="N45" s="106">
        <v>46162</v>
      </c>
      <c r="O45" s="106">
        <v>46317</v>
      </c>
      <c r="P45" s="211" t="str">
        <f t="shared" si="0"/>
        <v xml:space="preserve">Nguyễn Hải Nam, Trần Văn Diện, </v>
      </c>
    </row>
    <row r="46" spans="1:16">
      <c r="A46" s="28" t="str">
        <f>"3."&amp;D46&amp;"."&amp;B46</f>
        <v>3.B.DSHNQN.STA.305</v>
      </c>
      <c r="B46" s="28" t="str">
        <f>TEXT(COUNTIFS($C$4:C46,C46,$D$4:D46,D46,$F$4:F46,F46)+IF(F46="KT",100,IF(F46="KC",200,IF(F46="DI",300,IF(F46="DN",400,IF(F46="NU",500,IF(F46="DH",600,IF(F46="PC",700,0))))))),"000")</f>
        <v>305</v>
      </c>
      <c r="C46" s="28" t="s">
        <v>10</v>
      </c>
      <c r="D46" s="100" t="s">
        <v>138</v>
      </c>
      <c r="E46" s="28" t="s">
        <v>179</v>
      </c>
      <c r="F46" s="87" t="s">
        <v>182</v>
      </c>
      <c r="G46" s="6" t="s">
        <v>23</v>
      </c>
      <c r="H46" s="6" t="s">
        <v>156</v>
      </c>
      <c r="I46" s="82" t="s">
        <v>105</v>
      </c>
      <c r="J46" s="20" t="s">
        <v>220</v>
      </c>
      <c r="K46" s="20"/>
      <c r="L46" s="20"/>
      <c r="M46" s="20"/>
      <c r="N46" s="96">
        <v>46212</v>
      </c>
      <c r="O46" s="96">
        <v>46230</v>
      </c>
      <c r="P46" s="211" t="str">
        <f t="shared" si="0"/>
        <v xml:space="preserve">Phan Trường Giang, , </v>
      </c>
    </row>
    <row r="47" spans="1:16">
      <c r="A47" s="28" t="str">
        <f>"3."&amp;D47&amp;"."&amp;B47</f>
        <v>3.B.DSHNQN.STA.405</v>
      </c>
      <c r="B47" s="28" t="str">
        <f>TEXT(COUNTIFS($C$4:C47,C47,$D$4:D47,D47,$F$4:F47,F47)+IF(F47="KT",100,IF(F47="KC",200,IF(F47="DI",300,IF(F47="DN",400,IF(F47="NU",500,IF(F47="DH",600,IF(F47="PC",700,0))))))),"000")</f>
        <v>405</v>
      </c>
      <c r="C47" s="28" t="s">
        <v>10</v>
      </c>
      <c r="D47" s="100" t="s">
        <v>138</v>
      </c>
      <c r="E47" s="28" t="s">
        <v>179</v>
      </c>
      <c r="F47" s="87" t="s">
        <v>190</v>
      </c>
      <c r="G47" s="6" t="s">
        <v>23</v>
      </c>
      <c r="H47" s="6" t="s">
        <v>156</v>
      </c>
      <c r="I47" s="82" t="s">
        <v>105</v>
      </c>
      <c r="J47" s="20" t="s">
        <v>220</v>
      </c>
      <c r="K47" s="20"/>
      <c r="L47" s="20"/>
      <c r="M47" s="20"/>
      <c r="N47" s="96">
        <v>46212</v>
      </c>
      <c r="O47" s="96">
        <v>46230</v>
      </c>
      <c r="P47" s="211" t="str">
        <f t="shared" si="0"/>
        <v xml:space="preserve">Phan Trường Giang, , </v>
      </c>
    </row>
    <row r="48" spans="1:16">
      <c r="A48" s="28" t="str">
        <f>"3."&amp;D48&amp;"."&amp;B48</f>
        <v>3.B.DSHNQN.STA.505</v>
      </c>
      <c r="B48" s="28" t="str">
        <f>TEXT(COUNTIFS($C$4:C48,C48,$D$4:D48,D48,$F$4:F48,F48)+IF(F48="KT",100,IF(F48="KC",200,IF(F48="DI",300,IF(F48="DN",400,IF(F48="NU",500,IF(F48="DH",600,IF(F48="PC",700,0))))))),"000")</f>
        <v>505</v>
      </c>
      <c r="C48" s="28" t="s">
        <v>10</v>
      </c>
      <c r="D48" s="100" t="s">
        <v>138</v>
      </c>
      <c r="E48" s="28" t="s">
        <v>179</v>
      </c>
      <c r="F48" s="87" t="s">
        <v>195</v>
      </c>
      <c r="G48" s="6" t="s">
        <v>23</v>
      </c>
      <c r="H48" s="6" t="s">
        <v>156</v>
      </c>
      <c r="I48" s="82" t="s">
        <v>105</v>
      </c>
      <c r="J48" s="20" t="s">
        <v>220</v>
      </c>
      <c r="K48" s="20"/>
      <c r="L48" s="20"/>
      <c r="M48" s="20"/>
      <c r="N48" s="96">
        <v>46212</v>
      </c>
      <c r="O48" s="96">
        <v>46230</v>
      </c>
      <c r="P48" s="211" t="str">
        <f t="shared" si="0"/>
        <v xml:space="preserve">Phan Trường Giang, , </v>
      </c>
    </row>
    <row r="49" spans="1:16">
      <c r="A49" s="28" t="str">
        <f>"3."&amp;D49&amp;"."&amp;B49</f>
        <v>3.B.DSHNQN.STA.605</v>
      </c>
      <c r="B49" s="28" t="str">
        <f>TEXT(COUNTIFS($C$4:C49,C49,$D$4:D49,D49,$F$4:F49,F49)+IF(F49="KT",100,IF(F49="KC",200,IF(F49="DI",300,IF(F49="DN",400,IF(F49="NU",500,IF(F49="DH",600,IF(F49="PC",700,0))))))),"000")</f>
        <v>605</v>
      </c>
      <c r="C49" s="28" t="s">
        <v>10</v>
      </c>
      <c r="D49" s="100" t="s">
        <v>138</v>
      </c>
      <c r="E49" s="28" t="s">
        <v>179</v>
      </c>
      <c r="F49" s="87" t="s">
        <v>205</v>
      </c>
      <c r="G49" s="6" t="s">
        <v>23</v>
      </c>
      <c r="H49" s="6" t="s">
        <v>156</v>
      </c>
      <c r="I49" s="82" t="s">
        <v>105</v>
      </c>
      <c r="J49" s="20" t="s">
        <v>220</v>
      </c>
      <c r="K49" s="20"/>
      <c r="L49" s="20"/>
      <c r="M49" s="20"/>
      <c r="N49" s="96">
        <v>46212</v>
      </c>
      <c r="O49" s="96">
        <v>46230</v>
      </c>
      <c r="P49" s="211" t="str">
        <f t="shared" si="0"/>
        <v xml:space="preserve">Phan Trường Giang, , </v>
      </c>
    </row>
    <row r="50" spans="1:16">
      <c r="A50" s="28" t="str">
        <f>"3."&amp;D50&amp;"."&amp;B50</f>
        <v>3.B.DSHNQN.STA.705</v>
      </c>
      <c r="B50" s="28" t="str">
        <f>TEXT(COUNTIFS($C$4:C50,C50,$D$4:D50,D50,$F$4:F50,F50)+IF(F50="KT",100,IF(F50="KC",200,IF(F50="DI",300,IF(F50="DN",400,IF(F50="NU",500,IF(F50="DH",600,IF(F50="PC",700,0))))))),"000")</f>
        <v>705</v>
      </c>
      <c r="C50" s="28" t="s">
        <v>10</v>
      </c>
      <c r="D50" s="100" t="s">
        <v>138</v>
      </c>
      <c r="E50" s="28" t="s">
        <v>179</v>
      </c>
      <c r="F50" s="87" t="s">
        <v>200</v>
      </c>
      <c r="G50" s="6" t="s">
        <v>23</v>
      </c>
      <c r="H50" s="6" t="s">
        <v>156</v>
      </c>
      <c r="I50" s="82" t="s">
        <v>105</v>
      </c>
      <c r="J50" s="20" t="s">
        <v>220</v>
      </c>
      <c r="K50" s="20"/>
      <c r="L50" s="20"/>
      <c r="M50" s="20"/>
      <c r="N50" s="96">
        <v>46212</v>
      </c>
      <c r="O50" s="96">
        <v>46230</v>
      </c>
      <c r="P50" s="211" t="str">
        <f t="shared" si="0"/>
        <v xml:space="preserve">Phan Trường Giang, , </v>
      </c>
    </row>
    <row r="51" spans="1:16">
      <c r="A51" s="28" t="str">
        <f>"3."&amp;D51&amp;"."&amp;B51</f>
        <v>3.B.DSHNQN.SUP.101</v>
      </c>
      <c r="B51" s="28" t="str">
        <f>TEXT(COUNTIFS($C$4:C51,C51,$D$4:D51,D51,$F$4:F51,F51)+IF(F51="KT",100,IF(F51="KC",200,IF(F51="DI",300,IF(F51="DN",400,IF(F51="NU",500,IF(F51="DH",600,IF(F51="PC",700,0))))))),"000")</f>
        <v>101</v>
      </c>
      <c r="C51" s="28" t="s">
        <v>10</v>
      </c>
      <c r="D51" s="100" t="s">
        <v>186</v>
      </c>
      <c r="E51" s="28" t="s">
        <v>187</v>
      </c>
      <c r="F51" s="88" t="s">
        <v>164</v>
      </c>
      <c r="G51" s="6" t="s">
        <v>169</v>
      </c>
      <c r="H51" s="6" t="s">
        <v>156</v>
      </c>
      <c r="I51" s="82" t="s">
        <v>105</v>
      </c>
      <c r="J51" s="20" t="s">
        <v>36</v>
      </c>
      <c r="K51" s="20"/>
      <c r="L51" s="20"/>
      <c r="M51" s="20"/>
      <c r="N51" s="284">
        <v>46176</v>
      </c>
      <c r="O51" s="284">
        <v>46195</v>
      </c>
      <c r="P51" s="211" t="str">
        <f t="shared" ref="P51:P58" si="2">J51&amp;", "&amp;K51&amp;", "&amp;L51</f>
        <v xml:space="preserve">Trần Văn Toản, , </v>
      </c>
    </row>
    <row r="52" spans="1:16">
      <c r="A52" s="28" t="str">
        <f>"3."&amp;D52&amp;"."&amp;B52</f>
        <v>3.B.DSHNQN.SUP.102</v>
      </c>
      <c r="B52" s="28" t="str">
        <f>TEXT(COUNTIFS($C$4:C52,C52,$D$4:D52,D52,$F$4:F52,F52)+IF(F52="KT",100,IF(F52="KC",200,IF(F52="DI",300,IF(F52="DN",400,IF(F52="NU",500,IF(F52="DH",600,IF(F52="PC",700,0))))))),"000")</f>
        <v>102</v>
      </c>
      <c r="C52" s="28" t="s">
        <v>10</v>
      </c>
      <c r="D52" s="100" t="s">
        <v>186</v>
      </c>
      <c r="E52" s="28" t="s">
        <v>192</v>
      </c>
      <c r="F52" s="88" t="s">
        <v>164</v>
      </c>
      <c r="G52" s="6" t="s">
        <v>169</v>
      </c>
      <c r="H52" s="6" t="s">
        <v>156</v>
      </c>
      <c r="I52" s="82" t="s">
        <v>105</v>
      </c>
      <c r="J52" s="20" t="s">
        <v>196</v>
      </c>
      <c r="K52" s="20"/>
      <c r="L52" s="20"/>
      <c r="M52" s="20"/>
      <c r="N52" s="284"/>
      <c r="O52" s="284"/>
      <c r="P52" s="211" t="str">
        <f t="shared" ref="P52" si="3">J52&amp;", "&amp;K52&amp;", "&amp;L52</f>
        <v xml:space="preserve">Vũ Thị Thêu, , </v>
      </c>
    </row>
    <row r="53" spans="1:16">
      <c r="A53" s="28" t="str">
        <f>"3."&amp;D53&amp;"."&amp;B53</f>
        <v>3.B.DSHNQN.SUP.103</v>
      </c>
      <c r="B53" s="28" t="str">
        <f>TEXT(COUNTIFS($C$4:C53,C53,$D$4:D53,D53,$F$4:F53,F53)+IF(F53="KT",100,IF(F53="KC",200,IF(F53="DI",300,IF(F53="DN",400,IF(F53="NU",500,IF(F53="DH",600,IF(F53="PC",700,0))))))),"000")</f>
        <v>103</v>
      </c>
      <c r="C53" s="28" t="s">
        <v>10</v>
      </c>
      <c r="D53" s="100" t="s">
        <v>186</v>
      </c>
      <c r="E53" s="28" t="s">
        <v>198</v>
      </c>
      <c r="F53" s="88" t="s">
        <v>164</v>
      </c>
      <c r="G53" s="6" t="s">
        <v>169</v>
      </c>
      <c r="H53" s="6" t="s">
        <v>156</v>
      </c>
      <c r="I53" s="82" t="s">
        <v>105</v>
      </c>
      <c r="J53" s="20" t="s">
        <v>196</v>
      </c>
      <c r="K53" s="20"/>
      <c r="L53" s="20"/>
      <c r="M53" s="20"/>
      <c r="N53" s="284"/>
      <c r="O53" s="284"/>
      <c r="P53" s="211" t="str">
        <f t="shared" si="2"/>
        <v xml:space="preserve">Vũ Thị Thêu, , </v>
      </c>
    </row>
    <row r="54" spans="1:16">
      <c r="A54" s="28" t="str">
        <f>"3."&amp;D54&amp;"."&amp;B54</f>
        <v>3.B.DSHNQN.SUP.104</v>
      </c>
      <c r="B54" s="28" t="str">
        <f>TEXT(COUNTIFS($C$4:C54,C54,$D$4:D54,D54,$F$4:F54,F54)+IF(F54="KT",100,IF(F54="KC",200,IF(F54="DI",300,IF(F54="DN",400,IF(F54="NU",500,IF(F54="DH",600,IF(F54="PC",700,0))))))),"000")</f>
        <v>104</v>
      </c>
      <c r="C54" s="28" t="s">
        <v>10</v>
      </c>
      <c r="D54" s="100" t="s">
        <v>186</v>
      </c>
      <c r="E54" s="28" t="s">
        <v>203</v>
      </c>
      <c r="F54" s="88" t="s">
        <v>164</v>
      </c>
      <c r="G54" s="6" t="s">
        <v>169</v>
      </c>
      <c r="H54" s="6" t="s">
        <v>156</v>
      </c>
      <c r="I54" s="82" t="s">
        <v>105</v>
      </c>
      <c r="J54" s="20" t="s">
        <v>36</v>
      </c>
      <c r="K54" s="20"/>
      <c r="L54" s="20"/>
      <c r="M54" s="20"/>
      <c r="N54" s="208">
        <v>46176</v>
      </c>
      <c r="O54" s="208">
        <v>46199</v>
      </c>
      <c r="P54" s="211" t="str">
        <f t="shared" si="2"/>
        <v xml:space="preserve">Trần Văn Toản, , </v>
      </c>
    </row>
    <row r="55" spans="1:16">
      <c r="A55" s="28" t="str">
        <f>"3."&amp;D55&amp;"."&amp;B55</f>
        <v>3.B.DSHNQN.SUP.105</v>
      </c>
      <c r="B55" s="28" t="str">
        <f>TEXT(COUNTIFS($C$4:C55,C55,$D$4:D55,D55,$F$4:F55,F55)+IF(F55="KT",100,IF(F55="KC",200,IF(F55="DI",300,IF(F55="DN",400,IF(F55="NU",500,IF(F55="DH",600,IF(F55="PC",700,0))))))),"000")</f>
        <v>105</v>
      </c>
      <c r="C55" s="28" t="s">
        <v>10</v>
      </c>
      <c r="D55" s="100" t="s">
        <v>186</v>
      </c>
      <c r="E55" s="28" t="s">
        <v>208</v>
      </c>
      <c r="F55" s="88" t="s">
        <v>164</v>
      </c>
      <c r="G55" s="6" t="s">
        <v>169</v>
      </c>
      <c r="H55" s="6" t="s">
        <v>156</v>
      </c>
      <c r="I55" s="82" t="s">
        <v>105</v>
      </c>
      <c r="J55" s="20" t="s">
        <v>35</v>
      </c>
      <c r="K55" s="20"/>
      <c r="L55" s="20"/>
      <c r="M55" s="20"/>
      <c r="N55" s="208">
        <v>46181</v>
      </c>
      <c r="O55" s="208">
        <v>46195</v>
      </c>
      <c r="P55" s="211" t="str">
        <f t="shared" si="2"/>
        <v xml:space="preserve">Đặng Minh Quang, , </v>
      </c>
    </row>
    <row r="56" spans="1:16">
      <c r="A56" s="28" t="str">
        <f>"3."&amp;D56&amp;"."&amp;B56</f>
        <v>3.B.DSHNQN.SUP.106</v>
      </c>
      <c r="B56" s="28" t="str">
        <f>TEXT(COUNTIFS($C$4:C56,C56,$D$4:D56,D56,$F$4:F56,F56)+IF(F56="KT",100,IF(F56="KC",200,IF(F56="DI",300,IF(F56="DN",400,IF(F56="NU",500,IF(F56="DH",600,IF(F56="PC",700,0))))))),"000")</f>
        <v>106</v>
      </c>
      <c r="C56" s="28" t="s">
        <v>10</v>
      </c>
      <c r="D56" s="100" t="s">
        <v>186</v>
      </c>
      <c r="E56" s="28" t="s">
        <v>213</v>
      </c>
      <c r="F56" s="88" t="s">
        <v>164</v>
      </c>
      <c r="G56" s="6" t="s">
        <v>169</v>
      </c>
      <c r="H56" s="6" t="s">
        <v>156</v>
      </c>
      <c r="I56" s="82" t="s">
        <v>105</v>
      </c>
      <c r="J56" s="20" t="s">
        <v>35</v>
      </c>
      <c r="K56" s="20"/>
      <c r="L56" s="20"/>
      <c r="M56" s="20"/>
      <c r="N56" s="208">
        <v>46181</v>
      </c>
      <c r="O56" s="208">
        <v>46199</v>
      </c>
      <c r="P56" s="211" t="str">
        <f t="shared" si="2"/>
        <v xml:space="preserve">Đặng Minh Quang, , </v>
      </c>
    </row>
    <row r="57" spans="1:16">
      <c r="A57" s="28" t="str">
        <f>"3."&amp;D57&amp;"."&amp;B57</f>
        <v>3.B.DSHNQN.SUP.107</v>
      </c>
      <c r="B57" s="28" t="str">
        <f>TEXT(COUNTIFS($C$4:C57,C57,$D$4:D57,D57,$F$4:F57,F57)+IF(F57="KT",100,IF(F57="KC",200,IF(F57="DI",300,IF(F57="DN",400,IF(F57="NU",500,IF(F57="DH",600,IF(F57="PC",700,0))))))),"000")</f>
        <v>107</v>
      </c>
      <c r="C57" s="28" t="s">
        <v>10</v>
      </c>
      <c r="D57" s="100" t="s">
        <v>186</v>
      </c>
      <c r="E57" s="28" t="s">
        <v>218</v>
      </c>
      <c r="F57" s="88" t="s">
        <v>164</v>
      </c>
      <c r="G57" s="6" t="s">
        <v>169</v>
      </c>
      <c r="H57" s="6" t="s">
        <v>156</v>
      </c>
      <c r="I57" s="82" t="s">
        <v>105</v>
      </c>
      <c r="J57" s="20" t="s">
        <v>34</v>
      </c>
      <c r="K57" s="20"/>
      <c r="L57" s="20"/>
      <c r="M57" s="20"/>
      <c r="N57" s="208">
        <v>46177</v>
      </c>
      <c r="O57" s="208">
        <v>46195</v>
      </c>
      <c r="P57" s="211" t="str">
        <f t="shared" si="2"/>
        <v xml:space="preserve">Trần Văn Diện, , </v>
      </c>
    </row>
    <row r="58" spans="1:16">
      <c r="A58" s="28" t="str">
        <f>"3."&amp;D58&amp;"."&amp;B58</f>
        <v>3.B.DSHNQN.SUP.108</v>
      </c>
      <c r="B58" s="28" t="str">
        <f>TEXT(COUNTIFS($C$4:C58,C58,$D$4:D58,D58,$F$4:F58,F58)+IF(F58="KT",100,IF(F58="KC",200,IF(F58="DI",300,IF(F58="DN",400,IF(F58="NU",500,IF(F58="DH",600,IF(F58="PC",700,0))))))),"000")</f>
        <v>108</v>
      </c>
      <c r="C58" s="28" t="s">
        <v>10</v>
      </c>
      <c r="D58" s="100" t="s">
        <v>186</v>
      </c>
      <c r="E58" s="28" t="s">
        <v>222</v>
      </c>
      <c r="F58" s="88" t="s">
        <v>164</v>
      </c>
      <c r="G58" s="6" t="s">
        <v>169</v>
      </c>
      <c r="H58" s="6" t="s">
        <v>156</v>
      </c>
      <c r="I58" s="82" t="s">
        <v>105</v>
      </c>
      <c r="J58" s="20" t="s">
        <v>34</v>
      </c>
      <c r="K58" s="20"/>
      <c r="L58" s="20"/>
      <c r="M58" s="20"/>
      <c r="N58" s="208">
        <v>46177</v>
      </c>
      <c r="O58" s="208">
        <v>46195</v>
      </c>
      <c r="P58" s="211" t="str">
        <f t="shared" si="2"/>
        <v xml:space="preserve">Trần Văn Diện, , </v>
      </c>
    </row>
    <row r="59" spans="1:16">
      <c r="A59" s="28" t="str">
        <f>"3."&amp;D59&amp;"."&amp;B59</f>
        <v>3.B.DSHNQN.SUP.201</v>
      </c>
      <c r="B59" s="28" t="str">
        <f>TEXT(COUNTIFS($C$4:C59,C59,$D$4:D59,D59,$F$4:F59,F59)+IF(F59="KT",100,IF(F59="KC",200,IF(F59="DI",300,IF(F59="DN",400,IF(F59="NU",500,IF(F59="DH",600,IF(F59="PC",700,0))))))),"000")</f>
        <v>201</v>
      </c>
      <c r="C59" s="28" t="s">
        <v>10</v>
      </c>
      <c r="D59" s="100" t="s">
        <v>186</v>
      </c>
      <c r="E59" s="28" t="s">
        <v>187</v>
      </c>
      <c r="F59" s="88" t="s">
        <v>174</v>
      </c>
      <c r="G59" s="6" t="s">
        <v>169</v>
      </c>
      <c r="H59" s="6" t="s">
        <v>156</v>
      </c>
      <c r="I59" s="82" t="s">
        <v>105</v>
      </c>
      <c r="J59" s="20" t="s">
        <v>36</v>
      </c>
      <c r="K59" s="20"/>
      <c r="L59" s="20"/>
      <c r="M59" s="20"/>
      <c r="N59" s="284">
        <v>46179</v>
      </c>
      <c r="O59" s="284">
        <v>46195</v>
      </c>
      <c r="P59" s="211" t="str">
        <f t="shared" ref="P59:P66" si="4">J59&amp;", "&amp;K59&amp;", "&amp;L59</f>
        <v xml:space="preserve">Trần Văn Toản, , </v>
      </c>
    </row>
    <row r="60" spans="1:16">
      <c r="A60" s="28" t="str">
        <f>"3."&amp;D60&amp;"."&amp;B60</f>
        <v>3.B.DSHNQN.SUP.202</v>
      </c>
      <c r="B60" s="28" t="str">
        <f>TEXT(COUNTIFS($C$4:C60,C60,$D$4:D60,D60,$F$4:F60,F60)+IF(F60="KT",100,IF(F60="KC",200,IF(F60="DI",300,IF(F60="DN",400,IF(F60="NU",500,IF(F60="DH",600,IF(F60="PC",700,0))))))),"000")</f>
        <v>202</v>
      </c>
      <c r="C60" s="28" t="s">
        <v>10</v>
      </c>
      <c r="D60" s="100" t="s">
        <v>186</v>
      </c>
      <c r="E60" s="28" t="s">
        <v>192</v>
      </c>
      <c r="F60" s="88" t="s">
        <v>174</v>
      </c>
      <c r="G60" s="6" t="s">
        <v>169</v>
      </c>
      <c r="H60" s="6" t="s">
        <v>156</v>
      </c>
      <c r="I60" s="82" t="s">
        <v>105</v>
      </c>
      <c r="J60" s="20" t="s">
        <v>196</v>
      </c>
      <c r="K60" s="20"/>
      <c r="L60" s="20"/>
      <c r="M60" s="20"/>
      <c r="N60" s="284"/>
      <c r="O60" s="284"/>
      <c r="P60" s="211" t="str">
        <f t="shared" ref="P60" si="5">J60&amp;", "&amp;K60&amp;", "&amp;L60</f>
        <v xml:space="preserve">Vũ Thị Thêu, , </v>
      </c>
    </row>
    <row r="61" spans="1:16">
      <c r="A61" s="28" t="str">
        <f>"3."&amp;D61&amp;"."&amp;B61</f>
        <v>3.B.DSHNQN.SUP.203</v>
      </c>
      <c r="B61" s="28" t="str">
        <f>TEXT(COUNTIFS($C$4:C61,C61,$D$4:D61,D61,$F$4:F61,F61)+IF(F61="KT",100,IF(F61="KC",200,IF(F61="DI",300,IF(F61="DN",400,IF(F61="NU",500,IF(F61="DH",600,IF(F61="PC",700,0))))))),"000")</f>
        <v>203</v>
      </c>
      <c r="C61" s="28" t="s">
        <v>10</v>
      </c>
      <c r="D61" s="100" t="s">
        <v>186</v>
      </c>
      <c r="E61" s="28" t="s">
        <v>198</v>
      </c>
      <c r="F61" s="88" t="s">
        <v>174</v>
      </c>
      <c r="G61" s="6" t="s">
        <v>169</v>
      </c>
      <c r="H61" s="6" t="s">
        <v>156</v>
      </c>
      <c r="I61" s="82" t="s">
        <v>105</v>
      </c>
      <c r="J61" s="20" t="s">
        <v>196</v>
      </c>
      <c r="K61" s="20"/>
      <c r="L61" s="20"/>
      <c r="M61" s="20"/>
      <c r="N61" s="284"/>
      <c r="O61" s="284"/>
      <c r="P61" s="211" t="str">
        <f t="shared" si="4"/>
        <v xml:space="preserve">Vũ Thị Thêu, , </v>
      </c>
    </row>
    <row r="62" spans="1:16">
      <c r="A62" s="28" t="str">
        <f>"3."&amp;D62&amp;"."&amp;B62</f>
        <v>3.B.DSHNQN.SUP.204</v>
      </c>
      <c r="B62" s="28" t="str">
        <f>TEXT(COUNTIFS($C$4:C62,C62,$D$4:D62,D62,$F$4:F62,F62)+IF(F62="KT",100,IF(F62="KC",200,IF(F62="DI",300,IF(F62="DN",400,IF(F62="NU",500,IF(F62="DH",600,IF(F62="PC",700,0))))))),"000")</f>
        <v>204</v>
      </c>
      <c r="C62" s="28" t="s">
        <v>10</v>
      </c>
      <c r="D62" s="100" t="s">
        <v>186</v>
      </c>
      <c r="E62" s="28" t="s">
        <v>203</v>
      </c>
      <c r="F62" s="88" t="s">
        <v>174</v>
      </c>
      <c r="G62" s="6" t="s">
        <v>169</v>
      </c>
      <c r="H62" s="6" t="s">
        <v>156</v>
      </c>
      <c r="I62" s="82" t="s">
        <v>105</v>
      </c>
      <c r="J62" s="20" t="s">
        <v>36</v>
      </c>
      <c r="K62" s="20"/>
      <c r="L62" s="20"/>
      <c r="M62" s="20"/>
      <c r="N62" s="208">
        <v>46182</v>
      </c>
      <c r="O62" s="208">
        <v>46199</v>
      </c>
      <c r="P62" s="211" t="str">
        <f t="shared" si="4"/>
        <v xml:space="preserve">Trần Văn Toản, , </v>
      </c>
    </row>
    <row r="63" spans="1:16">
      <c r="A63" s="28" t="str">
        <f>"3."&amp;D63&amp;"."&amp;B63</f>
        <v>3.B.DSHNQN.SUP.205</v>
      </c>
      <c r="B63" s="28" t="str">
        <f>TEXT(COUNTIFS($C$4:C63,C63,$D$4:D63,D63,$F$4:F63,F63)+IF(F63="KT",100,IF(F63="KC",200,IF(F63="DI",300,IF(F63="DN",400,IF(F63="NU",500,IF(F63="DH",600,IF(F63="PC",700,0))))))),"000")</f>
        <v>205</v>
      </c>
      <c r="C63" s="28" t="s">
        <v>10</v>
      </c>
      <c r="D63" s="100" t="s">
        <v>186</v>
      </c>
      <c r="E63" s="28" t="s">
        <v>208</v>
      </c>
      <c r="F63" s="88" t="s">
        <v>174</v>
      </c>
      <c r="G63" s="6" t="s">
        <v>169</v>
      </c>
      <c r="H63" s="6" t="s">
        <v>156</v>
      </c>
      <c r="I63" s="82" t="s">
        <v>105</v>
      </c>
      <c r="J63" s="20" t="s">
        <v>35</v>
      </c>
      <c r="K63" s="20"/>
      <c r="L63" s="20"/>
      <c r="M63" s="20"/>
      <c r="N63" s="208">
        <v>46181</v>
      </c>
      <c r="O63" s="208">
        <v>46195</v>
      </c>
      <c r="P63" s="211" t="str">
        <f t="shared" si="4"/>
        <v xml:space="preserve">Đặng Minh Quang, , </v>
      </c>
    </row>
    <row r="64" spans="1:16">
      <c r="A64" s="28" t="str">
        <f>"3."&amp;D64&amp;"."&amp;B64</f>
        <v>3.B.DSHNQN.SUP.206</v>
      </c>
      <c r="B64" s="28" t="str">
        <f>TEXT(COUNTIFS($C$4:C64,C64,$D$4:D64,D64,$F$4:F64,F64)+IF(F64="KT",100,IF(F64="KC",200,IF(F64="DI",300,IF(F64="DN",400,IF(F64="NU",500,IF(F64="DH",600,IF(F64="PC",700,0))))))),"000")</f>
        <v>206</v>
      </c>
      <c r="C64" s="28" t="s">
        <v>10</v>
      </c>
      <c r="D64" s="100" t="s">
        <v>186</v>
      </c>
      <c r="E64" s="28" t="s">
        <v>213</v>
      </c>
      <c r="F64" s="88" t="s">
        <v>174</v>
      </c>
      <c r="G64" s="6" t="s">
        <v>169</v>
      </c>
      <c r="H64" s="6" t="s">
        <v>156</v>
      </c>
      <c r="I64" s="82" t="s">
        <v>105</v>
      </c>
      <c r="J64" s="20" t="s">
        <v>35</v>
      </c>
      <c r="K64" s="20"/>
      <c r="L64" s="20"/>
      <c r="M64" s="20"/>
      <c r="N64" s="208">
        <v>46181</v>
      </c>
      <c r="O64" s="208">
        <v>46199</v>
      </c>
      <c r="P64" s="211" t="str">
        <f t="shared" si="4"/>
        <v xml:space="preserve">Đặng Minh Quang, , </v>
      </c>
    </row>
    <row r="65" spans="1:16">
      <c r="A65" s="28" t="str">
        <f>"3."&amp;D65&amp;"."&amp;B65</f>
        <v>3.B.DSHNQN.SUP.207</v>
      </c>
      <c r="B65" s="28" t="str">
        <f>TEXT(COUNTIFS($C$4:C65,C65,$D$4:D65,D65,$F$4:F65,F65)+IF(F65="KT",100,IF(F65="KC",200,IF(F65="DI",300,IF(F65="DN",400,IF(F65="NU",500,IF(F65="DH",600,IF(F65="PC",700,0))))))),"000")</f>
        <v>207</v>
      </c>
      <c r="C65" s="28" t="s">
        <v>10</v>
      </c>
      <c r="D65" s="100" t="s">
        <v>186</v>
      </c>
      <c r="E65" s="28" t="s">
        <v>218</v>
      </c>
      <c r="F65" s="88" t="s">
        <v>174</v>
      </c>
      <c r="G65" s="6" t="s">
        <v>169</v>
      </c>
      <c r="H65" s="6" t="s">
        <v>156</v>
      </c>
      <c r="I65" s="82" t="s">
        <v>105</v>
      </c>
      <c r="J65" s="20" t="s">
        <v>34</v>
      </c>
      <c r="K65" s="20"/>
      <c r="L65" s="20"/>
      <c r="M65" s="20"/>
      <c r="N65" s="208">
        <v>46177</v>
      </c>
      <c r="O65" s="208">
        <v>46195</v>
      </c>
      <c r="P65" s="211" t="str">
        <f t="shared" si="4"/>
        <v xml:space="preserve">Trần Văn Diện, , </v>
      </c>
    </row>
    <row r="66" spans="1:16">
      <c r="A66" s="28" t="str">
        <f>"3."&amp;D66&amp;"."&amp;B66</f>
        <v>3.B.DSHNQN.SUP.208</v>
      </c>
      <c r="B66" s="28" t="str">
        <f>TEXT(COUNTIFS($C$4:C66,C66,$D$4:D66,D66,$F$4:F66,F66)+IF(F66="KT",100,IF(F66="KC",200,IF(F66="DI",300,IF(F66="DN",400,IF(F66="NU",500,IF(F66="DH",600,IF(F66="PC",700,0))))))),"000")</f>
        <v>208</v>
      </c>
      <c r="C66" s="28" t="s">
        <v>10</v>
      </c>
      <c r="D66" s="100" t="s">
        <v>186</v>
      </c>
      <c r="E66" s="28" t="s">
        <v>222</v>
      </c>
      <c r="F66" s="88" t="s">
        <v>174</v>
      </c>
      <c r="G66" s="6" t="s">
        <v>169</v>
      </c>
      <c r="H66" s="6" t="s">
        <v>156</v>
      </c>
      <c r="I66" s="82" t="s">
        <v>105</v>
      </c>
      <c r="J66" s="20" t="s">
        <v>34</v>
      </c>
      <c r="K66" s="20"/>
      <c r="L66" s="20"/>
      <c r="M66" s="20"/>
      <c r="N66" s="208">
        <v>46177</v>
      </c>
      <c r="O66" s="208">
        <v>46195</v>
      </c>
      <c r="P66" s="211" t="str">
        <f t="shared" si="4"/>
        <v xml:space="preserve">Trần Văn Diện, , </v>
      </c>
    </row>
    <row r="67" spans="1:16">
      <c r="A67" s="28" t="str">
        <f>"3."&amp;D67&amp;"."&amp;B67</f>
        <v>3.B.DSHNQN.SUP.301</v>
      </c>
      <c r="B67" s="28" t="str">
        <f>TEXT(COUNTIFS($C$4:C67,C67,$D$4:D67,D67,$F$4:F67,F67)+IF(F67="KT",100,IF(F67="KC",200,IF(F67="DI",300,IF(F67="DN",400,IF(F67="NU",500,IF(F67="DH",600,IF(F67="PC",700,0))))))),"000")</f>
        <v>301</v>
      </c>
      <c r="C67" s="28" t="s">
        <v>10</v>
      </c>
      <c r="D67" s="100" t="s">
        <v>186</v>
      </c>
      <c r="E67" s="28" t="s">
        <v>187</v>
      </c>
      <c r="F67" s="88" t="s">
        <v>182</v>
      </c>
      <c r="G67" s="6" t="s">
        <v>169</v>
      </c>
      <c r="H67" s="6" t="s">
        <v>156</v>
      </c>
      <c r="I67" s="82" t="s">
        <v>105</v>
      </c>
      <c r="J67" s="20" t="s">
        <v>220</v>
      </c>
      <c r="K67" s="20"/>
      <c r="L67" s="20"/>
      <c r="M67" s="20"/>
      <c r="N67" s="208">
        <v>46177</v>
      </c>
      <c r="O67" s="208">
        <v>46195</v>
      </c>
      <c r="P67" s="211" t="str">
        <f>J67&amp;", "&amp;K67&amp;", "&amp;L67</f>
        <v xml:space="preserve">Phan Trường Giang, , </v>
      </c>
    </row>
    <row r="68" spans="1:16">
      <c r="A68" s="28" t="str">
        <f>"3."&amp;D68&amp;"."&amp;B68</f>
        <v>3.B.DSHNQN.SUP.302</v>
      </c>
      <c r="B68" s="28" t="str">
        <f>TEXT(COUNTIFS($C$4:C68,C68,$D$4:D68,D68,$F$4:F68,F68)+IF(F68="KT",100,IF(F68="KC",200,IF(F68="DI",300,IF(F68="DN",400,IF(F68="NU",500,IF(F68="DH",600,IF(F68="PC",700,0))))))),"000")</f>
        <v>302</v>
      </c>
      <c r="C68" s="28" t="s">
        <v>10</v>
      </c>
      <c r="D68" s="100" t="s">
        <v>186</v>
      </c>
      <c r="E68" s="28" t="s">
        <v>192</v>
      </c>
      <c r="F68" s="88" t="s">
        <v>182</v>
      </c>
      <c r="G68" s="6" t="s">
        <v>169</v>
      </c>
      <c r="H68" s="6" t="s">
        <v>156</v>
      </c>
      <c r="I68" s="82" t="s">
        <v>105</v>
      </c>
      <c r="J68" s="20" t="s">
        <v>220</v>
      </c>
      <c r="K68" s="20"/>
      <c r="L68" s="20"/>
      <c r="M68" s="20"/>
      <c r="N68" s="208">
        <v>46177</v>
      </c>
      <c r="O68" s="208">
        <v>46195</v>
      </c>
      <c r="P68" s="211" t="str">
        <f>J68&amp;", "&amp;K68&amp;", "&amp;L68</f>
        <v xml:space="preserve">Phan Trường Giang, , </v>
      </c>
    </row>
    <row r="69" spans="1:16">
      <c r="A69" s="28" t="str">
        <f>"3."&amp;D69&amp;"."&amp;B69</f>
        <v>3.B.DSHNQN.SUP.303</v>
      </c>
      <c r="B69" s="28" t="str">
        <f>TEXT(COUNTIFS($C$4:C69,C69,$D$4:D69,D69,$F$4:F69,F69)+IF(F69="KT",100,IF(F69="KC",200,IF(F69="DI",300,IF(F69="DN",400,IF(F69="NU",500,IF(F69="DH",600,IF(F69="PC",700,0))))))),"000")</f>
        <v>303</v>
      </c>
      <c r="C69" s="28" t="s">
        <v>10</v>
      </c>
      <c r="D69" s="100" t="s">
        <v>186</v>
      </c>
      <c r="E69" s="28" t="s">
        <v>198</v>
      </c>
      <c r="F69" s="88" t="s">
        <v>182</v>
      </c>
      <c r="G69" s="6" t="s">
        <v>169</v>
      </c>
      <c r="H69" s="6" t="s">
        <v>156</v>
      </c>
      <c r="I69" s="82" t="s">
        <v>105</v>
      </c>
      <c r="J69" s="20" t="s">
        <v>220</v>
      </c>
      <c r="K69" s="20"/>
      <c r="L69" s="20"/>
      <c r="M69" s="20"/>
      <c r="N69" s="208">
        <v>46177</v>
      </c>
      <c r="O69" s="208">
        <v>46195</v>
      </c>
      <c r="P69" s="211" t="str">
        <f>J69&amp;", "&amp;K69&amp;", "&amp;L69</f>
        <v xml:space="preserve">Phan Trường Giang, , </v>
      </c>
    </row>
    <row r="70" spans="1:16">
      <c r="A70" s="28" t="str">
        <f>"3."&amp;D70&amp;"."&amp;B70</f>
        <v>3.B.DSHNQN.SUP.304</v>
      </c>
      <c r="B70" s="28" t="str">
        <f>TEXT(COUNTIFS($C$4:C70,C70,$D$4:D70,D70,$F$4:F70,F70)+IF(F70="KT",100,IF(F70="KC",200,IF(F70="DI",300,IF(F70="DN",400,IF(F70="NU",500,IF(F70="DH",600,IF(F70="PC",700,0))))))),"000")</f>
        <v>304</v>
      </c>
      <c r="C70" s="28" t="s">
        <v>10</v>
      </c>
      <c r="D70" s="100" t="s">
        <v>186</v>
      </c>
      <c r="E70" s="28" t="s">
        <v>203</v>
      </c>
      <c r="F70" s="88" t="s">
        <v>182</v>
      </c>
      <c r="G70" s="6" t="s">
        <v>169</v>
      </c>
      <c r="H70" s="6" t="s">
        <v>156</v>
      </c>
      <c r="I70" s="82" t="s">
        <v>105</v>
      </c>
      <c r="J70" s="20" t="s">
        <v>220</v>
      </c>
      <c r="K70" s="20"/>
      <c r="L70" s="20"/>
      <c r="M70" s="20"/>
      <c r="N70" s="208">
        <v>46177</v>
      </c>
      <c r="O70" s="208">
        <v>46195</v>
      </c>
      <c r="P70" s="211" t="str">
        <f>J70&amp;", "&amp;K70&amp;", "&amp;L70</f>
        <v xml:space="preserve">Phan Trường Giang, , </v>
      </c>
    </row>
    <row r="71" spans="1:16">
      <c r="A71" s="28" t="str">
        <f>"3."&amp;D71&amp;"."&amp;B71</f>
        <v>3.B.DSHNQN.SUP.305</v>
      </c>
      <c r="B71" s="28" t="str">
        <f>TEXT(COUNTIFS($C$4:C71,C71,$D$4:D71,D71,$F$4:F71,F71)+IF(F71="KT",100,IF(F71="KC",200,IF(F71="DI",300,IF(F71="DN",400,IF(F71="NU",500,IF(F71="DH",600,IF(F71="PC",700,0))))))),"000")</f>
        <v>305</v>
      </c>
      <c r="C71" s="28" t="s">
        <v>10</v>
      </c>
      <c r="D71" s="100" t="s">
        <v>186</v>
      </c>
      <c r="E71" s="28" t="s">
        <v>208</v>
      </c>
      <c r="F71" s="88" t="s">
        <v>182</v>
      </c>
      <c r="G71" s="6" t="s">
        <v>169</v>
      </c>
      <c r="H71" s="6" t="s">
        <v>156</v>
      </c>
      <c r="I71" s="82" t="s">
        <v>105</v>
      </c>
      <c r="J71" s="20" t="s">
        <v>220</v>
      </c>
      <c r="K71" s="20"/>
      <c r="L71" s="20"/>
      <c r="M71" s="20"/>
      <c r="N71" s="208">
        <v>46177</v>
      </c>
      <c r="O71" s="208">
        <v>46195</v>
      </c>
      <c r="P71" s="211" t="str">
        <f>J71&amp;", "&amp;K71&amp;", "&amp;L71</f>
        <v xml:space="preserve">Phan Trường Giang, , </v>
      </c>
    </row>
    <row r="72" spans="1:16">
      <c r="A72" s="28" t="str">
        <f>"3."&amp;D72&amp;"."&amp;B72</f>
        <v>3.B.DSHNQN.SUP.306</v>
      </c>
      <c r="B72" s="28" t="str">
        <f>TEXT(COUNTIFS($C$4:C72,C72,$D$4:D72,D72,$F$4:F72,F72)+IF(F72="KT",100,IF(F72="KC",200,IF(F72="DI",300,IF(F72="DN",400,IF(F72="NU",500,IF(F72="DH",600,IF(F72="PC",700,0))))))),"000")</f>
        <v>306</v>
      </c>
      <c r="C72" s="28" t="s">
        <v>10</v>
      </c>
      <c r="D72" s="100" t="s">
        <v>186</v>
      </c>
      <c r="E72" s="28" t="s">
        <v>213</v>
      </c>
      <c r="F72" s="88" t="s">
        <v>182</v>
      </c>
      <c r="G72" s="6" t="s">
        <v>169</v>
      </c>
      <c r="H72" s="6" t="s">
        <v>156</v>
      </c>
      <c r="I72" s="82" t="s">
        <v>105</v>
      </c>
      <c r="J72" s="20" t="s">
        <v>220</v>
      </c>
      <c r="K72" s="20"/>
      <c r="L72" s="20"/>
      <c r="M72" s="20"/>
      <c r="N72" s="208">
        <v>46177</v>
      </c>
      <c r="O72" s="208">
        <v>46195</v>
      </c>
      <c r="P72" s="211" t="str">
        <f>J72&amp;", "&amp;K72&amp;", "&amp;L72</f>
        <v xml:space="preserve">Phan Trường Giang, , </v>
      </c>
    </row>
    <row r="73" spans="1:16">
      <c r="A73" s="28" t="str">
        <f>"3."&amp;D73&amp;"."&amp;B73</f>
        <v>3.B.DSHNQN.SUP.307</v>
      </c>
      <c r="B73" s="28" t="str">
        <f>TEXT(COUNTIFS($C$4:C73,C73,$D$4:D73,D73,$F$4:F73,F73)+IF(F73="KT",100,IF(F73="KC",200,IF(F73="DI",300,IF(F73="DN",400,IF(F73="NU",500,IF(F73="DH",600,IF(F73="PC",700,0))))))),"000")</f>
        <v>307</v>
      </c>
      <c r="C73" s="28" t="s">
        <v>10</v>
      </c>
      <c r="D73" s="100" t="s">
        <v>186</v>
      </c>
      <c r="E73" s="28" t="s">
        <v>218</v>
      </c>
      <c r="F73" s="88" t="s">
        <v>182</v>
      </c>
      <c r="G73" s="6" t="s">
        <v>169</v>
      </c>
      <c r="H73" s="6" t="s">
        <v>156</v>
      </c>
      <c r="I73" s="82" t="s">
        <v>105</v>
      </c>
      <c r="J73" s="20" t="s">
        <v>220</v>
      </c>
      <c r="K73" s="20"/>
      <c r="L73" s="20"/>
      <c r="M73" s="20"/>
      <c r="N73" s="208">
        <v>46177</v>
      </c>
      <c r="O73" s="208">
        <v>46195</v>
      </c>
      <c r="P73" s="211" t="str">
        <f>J73&amp;", "&amp;K73&amp;", "&amp;L73</f>
        <v xml:space="preserve">Phan Trường Giang, , </v>
      </c>
    </row>
    <row r="74" spans="1:16">
      <c r="A74" s="28" t="str">
        <f>"3."&amp;D74&amp;"."&amp;B74</f>
        <v>3.B.DSHNQN.SUP.308</v>
      </c>
      <c r="B74" s="28" t="str">
        <f>TEXT(COUNTIFS($C$4:C74,C74,$D$4:D74,D74,$F$4:F74,F74)+IF(F74="KT",100,IF(F74="KC",200,IF(F74="DI",300,IF(F74="DN",400,IF(F74="NU",500,IF(F74="DH",600,IF(F74="PC",700,0))))))),"000")</f>
        <v>308</v>
      </c>
      <c r="C74" s="28" t="s">
        <v>10</v>
      </c>
      <c r="D74" s="100" t="s">
        <v>186</v>
      </c>
      <c r="E74" s="28" t="s">
        <v>222</v>
      </c>
      <c r="F74" s="88" t="s">
        <v>182</v>
      </c>
      <c r="G74" s="6" t="s">
        <v>169</v>
      </c>
      <c r="H74" s="6" t="s">
        <v>156</v>
      </c>
      <c r="I74" s="82" t="s">
        <v>105</v>
      </c>
      <c r="J74" s="20" t="s">
        <v>220</v>
      </c>
      <c r="K74" s="20"/>
      <c r="L74" s="20"/>
      <c r="M74" s="20"/>
      <c r="N74" s="208">
        <v>46177</v>
      </c>
      <c r="O74" s="208">
        <v>46195</v>
      </c>
      <c r="P74" s="211" t="str">
        <f>J74&amp;", "&amp;K74&amp;", "&amp;L74</f>
        <v xml:space="preserve">Phan Trường Giang, , </v>
      </c>
    </row>
    <row r="75" spans="1:16">
      <c r="A75" s="28" t="str">
        <f>"3."&amp;D75&amp;"."&amp;B75</f>
        <v>3.B.DSHNQN.SUP.401</v>
      </c>
      <c r="B75" s="28" t="str">
        <f>TEXT(COUNTIFS($C$4:C75,C75,$D$4:D75,D75,$F$4:F75,F75)+IF(F75="KT",100,IF(F75="KC",200,IF(F75="DI",300,IF(F75="DN",400,IF(F75="NU",500,IF(F75="DH",600,IF(F75="PC",700,0))))))),"000")</f>
        <v>401</v>
      </c>
      <c r="C75" s="28" t="s">
        <v>10</v>
      </c>
      <c r="D75" s="100" t="s">
        <v>186</v>
      </c>
      <c r="E75" s="28" t="s">
        <v>187</v>
      </c>
      <c r="F75" s="88" t="s">
        <v>190</v>
      </c>
      <c r="G75" s="6" t="s">
        <v>169</v>
      </c>
      <c r="H75" s="6" t="s">
        <v>156</v>
      </c>
      <c r="I75" s="82" t="s">
        <v>105</v>
      </c>
      <c r="J75" s="20" t="s">
        <v>220</v>
      </c>
      <c r="K75" s="20"/>
      <c r="L75" s="20"/>
      <c r="M75" s="20"/>
      <c r="N75" s="208">
        <v>46177</v>
      </c>
      <c r="O75" s="208">
        <v>46195</v>
      </c>
      <c r="P75" s="211" t="str">
        <f>J75&amp;", "&amp;K75&amp;", "&amp;L75</f>
        <v xml:space="preserve">Phan Trường Giang, , </v>
      </c>
    </row>
    <row r="76" spans="1:16">
      <c r="A76" s="28" t="str">
        <f>"3."&amp;D76&amp;"."&amp;B76</f>
        <v>3.B.DSHNQN.SUP.402</v>
      </c>
      <c r="B76" s="28" t="str">
        <f>TEXT(COUNTIFS($C$4:C76,C76,$D$4:D76,D76,$F$4:F76,F76)+IF(F76="KT",100,IF(F76="KC",200,IF(F76="DI",300,IF(F76="DN",400,IF(F76="NU",500,IF(F76="DH",600,IF(F76="PC",700,0))))))),"000")</f>
        <v>402</v>
      </c>
      <c r="C76" s="28" t="s">
        <v>10</v>
      </c>
      <c r="D76" s="100" t="s">
        <v>186</v>
      </c>
      <c r="E76" s="28" t="s">
        <v>192</v>
      </c>
      <c r="F76" s="88" t="s">
        <v>190</v>
      </c>
      <c r="G76" s="6" t="s">
        <v>169</v>
      </c>
      <c r="H76" s="6" t="s">
        <v>156</v>
      </c>
      <c r="I76" s="82" t="s">
        <v>105</v>
      </c>
      <c r="J76" s="20" t="s">
        <v>220</v>
      </c>
      <c r="K76" s="20"/>
      <c r="L76" s="20"/>
      <c r="M76" s="20"/>
      <c r="N76" s="208">
        <v>46177</v>
      </c>
      <c r="O76" s="208">
        <v>46195</v>
      </c>
      <c r="P76" s="211" t="str">
        <f>J76&amp;", "&amp;K76&amp;", "&amp;L76</f>
        <v xml:space="preserve">Phan Trường Giang, , </v>
      </c>
    </row>
    <row r="77" spans="1:16">
      <c r="A77" s="28" t="str">
        <f>"3."&amp;D77&amp;"."&amp;B77</f>
        <v>3.B.DSHNQN.SUP.403</v>
      </c>
      <c r="B77" s="28" t="str">
        <f>TEXT(COUNTIFS($C$4:C77,C77,$D$4:D77,D77,$F$4:F77,F77)+IF(F77="KT",100,IF(F77="KC",200,IF(F77="DI",300,IF(F77="DN",400,IF(F77="NU",500,IF(F77="DH",600,IF(F77="PC",700,0))))))),"000")</f>
        <v>403</v>
      </c>
      <c r="C77" s="28" t="s">
        <v>10</v>
      </c>
      <c r="D77" s="100" t="s">
        <v>186</v>
      </c>
      <c r="E77" s="28" t="s">
        <v>198</v>
      </c>
      <c r="F77" s="88" t="s">
        <v>190</v>
      </c>
      <c r="G77" s="6" t="s">
        <v>169</v>
      </c>
      <c r="H77" s="6" t="s">
        <v>156</v>
      </c>
      <c r="I77" s="82" t="s">
        <v>105</v>
      </c>
      <c r="J77" s="20" t="s">
        <v>220</v>
      </c>
      <c r="K77" s="20"/>
      <c r="L77" s="20"/>
      <c r="M77" s="20"/>
      <c r="N77" s="208">
        <v>46177</v>
      </c>
      <c r="O77" s="208">
        <v>46195</v>
      </c>
      <c r="P77" s="211" t="str">
        <f>J77&amp;", "&amp;K77&amp;", "&amp;L77</f>
        <v xml:space="preserve">Phan Trường Giang, , </v>
      </c>
    </row>
    <row r="78" spans="1:16">
      <c r="A78" s="28" t="str">
        <f>"3."&amp;D78&amp;"."&amp;B78</f>
        <v>3.B.DSHNQN.SUP.404</v>
      </c>
      <c r="B78" s="28" t="str">
        <f>TEXT(COUNTIFS($C$4:C78,C78,$D$4:D78,D78,$F$4:F78,F78)+IF(F78="KT",100,IF(F78="KC",200,IF(F78="DI",300,IF(F78="DN",400,IF(F78="NU",500,IF(F78="DH",600,IF(F78="PC",700,0))))))),"000")</f>
        <v>404</v>
      </c>
      <c r="C78" s="28" t="s">
        <v>10</v>
      </c>
      <c r="D78" s="100" t="s">
        <v>186</v>
      </c>
      <c r="E78" s="28" t="s">
        <v>203</v>
      </c>
      <c r="F78" s="88" t="s">
        <v>190</v>
      </c>
      <c r="G78" s="6" t="s">
        <v>169</v>
      </c>
      <c r="H78" s="6" t="s">
        <v>156</v>
      </c>
      <c r="I78" s="82" t="s">
        <v>105</v>
      </c>
      <c r="J78" s="20" t="s">
        <v>220</v>
      </c>
      <c r="K78" s="20"/>
      <c r="L78" s="20"/>
      <c r="M78" s="20"/>
      <c r="N78" s="208">
        <v>46177</v>
      </c>
      <c r="O78" s="208">
        <v>46195</v>
      </c>
      <c r="P78" s="211" t="str">
        <f>J78&amp;", "&amp;K78&amp;", "&amp;L78</f>
        <v xml:space="preserve">Phan Trường Giang, , </v>
      </c>
    </row>
    <row r="79" spans="1:16">
      <c r="A79" s="28" t="str">
        <f>"3."&amp;D79&amp;"."&amp;B79</f>
        <v>3.B.DSHNQN.SUP.405</v>
      </c>
      <c r="B79" s="28" t="str">
        <f>TEXT(COUNTIFS($C$4:C79,C79,$D$4:D79,D79,$F$4:F79,F79)+IF(F79="KT",100,IF(F79="KC",200,IF(F79="DI",300,IF(F79="DN",400,IF(F79="NU",500,IF(F79="DH",600,IF(F79="PC",700,0))))))),"000")</f>
        <v>405</v>
      </c>
      <c r="C79" s="28" t="s">
        <v>10</v>
      </c>
      <c r="D79" s="100" t="s">
        <v>186</v>
      </c>
      <c r="E79" s="28" t="s">
        <v>208</v>
      </c>
      <c r="F79" s="88" t="s">
        <v>190</v>
      </c>
      <c r="G79" s="6" t="s">
        <v>169</v>
      </c>
      <c r="H79" s="6" t="s">
        <v>156</v>
      </c>
      <c r="I79" s="82" t="s">
        <v>105</v>
      </c>
      <c r="J79" s="20" t="s">
        <v>220</v>
      </c>
      <c r="K79" s="20"/>
      <c r="L79" s="20"/>
      <c r="M79" s="20"/>
      <c r="N79" s="208">
        <v>46177</v>
      </c>
      <c r="O79" s="208">
        <v>46195</v>
      </c>
      <c r="P79" s="211" t="str">
        <f>J79&amp;", "&amp;K79&amp;", "&amp;L79</f>
        <v xml:space="preserve">Phan Trường Giang, , </v>
      </c>
    </row>
    <row r="80" spans="1:16">
      <c r="A80" s="28" t="str">
        <f>"3."&amp;D80&amp;"."&amp;B80</f>
        <v>3.B.DSHNQN.SUP.406</v>
      </c>
      <c r="B80" s="28" t="str">
        <f>TEXT(COUNTIFS($C$4:C80,C80,$D$4:D80,D80,$F$4:F80,F80)+IF(F80="KT",100,IF(F80="KC",200,IF(F80="DI",300,IF(F80="DN",400,IF(F80="NU",500,IF(F80="DH",600,IF(F80="PC",700,0))))))),"000")</f>
        <v>406</v>
      </c>
      <c r="C80" s="28" t="s">
        <v>10</v>
      </c>
      <c r="D80" s="100" t="s">
        <v>186</v>
      </c>
      <c r="E80" s="28" t="s">
        <v>213</v>
      </c>
      <c r="F80" s="88" t="s">
        <v>190</v>
      </c>
      <c r="G80" s="6" t="s">
        <v>169</v>
      </c>
      <c r="H80" s="6" t="s">
        <v>156</v>
      </c>
      <c r="I80" s="82" t="s">
        <v>105</v>
      </c>
      <c r="J80" s="20" t="s">
        <v>220</v>
      </c>
      <c r="K80" s="20"/>
      <c r="L80" s="20"/>
      <c r="M80" s="20"/>
      <c r="N80" s="208">
        <v>46177</v>
      </c>
      <c r="O80" s="208">
        <v>46195</v>
      </c>
      <c r="P80" s="211" t="str">
        <f>J80&amp;", "&amp;K80&amp;", "&amp;L80</f>
        <v xml:space="preserve">Phan Trường Giang, , </v>
      </c>
    </row>
    <row r="81" spans="1:16">
      <c r="A81" s="28" t="str">
        <f>"3."&amp;D81&amp;"."&amp;B81</f>
        <v>3.B.DSHNQN.SUP.407</v>
      </c>
      <c r="B81" s="28" t="str">
        <f>TEXT(COUNTIFS($C$4:C81,C81,$D$4:D81,D81,$F$4:F81,F81)+IF(F81="KT",100,IF(F81="KC",200,IF(F81="DI",300,IF(F81="DN",400,IF(F81="NU",500,IF(F81="DH",600,IF(F81="PC",700,0))))))),"000")</f>
        <v>407</v>
      </c>
      <c r="C81" s="28" t="s">
        <v>10</v>
      </c>
      <c r="D81" s="100" t="s">
        <v>186</v>
      </c>
      <c r="E81" s="28" t="s">
        <v>218</v>
      </c>
      <c r="F81" s="88" t="s">
        <v>190</v>
      </c>
      <c r="G81" s="6" t="s">
        <v>169</v>
      </c>
      <c r="H81" s="6" t="s">
        <v>156</v>
      </c>
      <c r="I81" s="82" t="s">
        <v>105</v>
      </c>
      <c r="J81" s="20" t="s">
        <v>220</v>
      </c>
      <c r="K81" s="20"/>
      <c r="L81" s="20"/>
      <c r="M81" s="20"/>
      <c r="N81" s="208">
        <v>46177</v>
      </c>
      <c r="O81" s="208">
        <v>46195</v>
      </c>
      <c r="P81" s="211" t="str">
        <f>J81&amp;", "&amp;K81&amp;", "&amp;L81</f>
        <v xml:space="preserve">Phan Trường Giang, , </v>
      </c>
    </row>
    <row r="82" spans="1:16">
      <c r="A82" s="28" t="str">
        <f>"3."&amp;D82&amp;"."&amp;B82</f>
        <v>3.B.DSHNQN.SUP.408</v>
      </c>
      <c r="B82" s="28" t="str">
        <f>TEXT(COUNTIFS($C$4:C82,C82,$D$4:D82,D82,$F$4:F82,F82)+IF(F82="KT",100,IF(F82="KC",200,IF(F82="DI",300,IF(F82="DN",400,IF(F82="NU",500,IF(F82="DH",600,IF(F82="PC",700,0))))))),"000")</f>
        <v>408</v>
      </c>
      <c r="C82" s="28" t="s">
        <v>10</v>
      </c>
      <c r="D82" s="100" t="s">
        <v>186</v>
      </c>
      <c r="E82" s="28" t="s">
        <v>222</v>
      </c>
      <c r="F82" s="88" t="s">
        <v>190</v>
      </c>
      <c r="G82" s="6" t="s">
        <v>169</v>
      </c>
      <c r="H82" s="6" t="s">
        <v>156</v>
      </c>
      <c r="I82" s="82" t="s">
        <v>105</v>
      </c>
      <c r="J82" s="20" t="s">
        <v>220</v>
      </c>
      <c r="K82" s="20"/>
      <c r="L82" s="20"/>
      <c r="M82" s="20"/>
      <c r="N82" s="208">
        <v>46177</v>
      </c>
      <c r="O82" s="208">
        <v>46195</v>
      </c>
      <c r="P82" s="211" t="str">
        <f>J82&amp;", "&amp;K82&amp;", "&amp;L82</f>
        <v xml:space="preserve">Phan Trường Giang, , </v>
      </c>
    </row>
    <row r="83" spans="1:16">
      <c r="A83" s="28" t="str">
        <f>"3."&amp;D83&amp;"."&amp;B83</f>
        <v>3.B.DSHNQN.SUP.501</v>
      </c>
      <c r="B83" s="28" t="str">
        <f>TEXT(COUNTIFS($C$4:C83,C83,$D$4:D83,D83,$F$4:F83,F83)+IF(F83="KT",100,IF(F83="KC",200,IF(F83="DI",300,IF(F83="DN",400,IF(F83="NU",500,IF(F83="DH",600,IF(F83="PC",700,0))))))),"000")</f>
        <v>501</v>
      </c>
      <c r="C83" s="28" t="s">
        <v>10</v>
      </c>
      <c r="D83" s="100" t="s">
        <v>186</v>
      </c>
      <c r="E83" s="28" t="s">
        <v>187</v>
      </c>
      <c r="F83" s="88" t="s">
        <v>195</v>
      </c>
      <c r="G83" s="6" t="s">
        <v>169</v>
      </c>
      <c r="H83" s="6" t="s">
        <v>156</v>
      </c>
      <c r="I83" s="82" t="s">
        <v>105</v>
      </c>
      <c r="J83" s="20" t="s">
        <v>206</v>
      </c>
      <c r="K83" s="20"/>
      <c r="L83" s="20"/>
      <c r="M83" s="20"/>
      <c r="N83" s="208">
        <v>46177</v>
      </c>
      <c r="O83" s="208">
        <v>46195</v>
      </c>
      <c r="P83" s="211" t="str">
        <f>J83&amp;", "&amp;K83&amp;", "&amp;L83</f>
        <v xml:space="preserve">Nguyễn Văn Hải, , </v>
      </c>
    </row>
    <row r="84" spans="1:16">
      <c r="A84" s="28" t="str">
        <f>"3."&amp;D84&amp;"."&amp;B84</f>
        <v>3.B.DSHNQN.SUP.502</v>
      </c>
      <c r="B84" s="28" t="str">
        <f>TEXT(COUNTIFS($C$4:C84,C84,$D$4:D84,D84,$F$4:F84,F84)+IF(F84="KT",100,IF(F84="KC",200,IF(F84="DI",300,IF(F84="DN",400,IF(F84="NU",500,IF(F84="DH",600,IF(F84="PC",700,0))))))),"000")</f>
        <v>502</v>
      </c>
      <c r="C84" s="28" t="s">
        <v>10</v>
      </c>
      <c r="D84" s="100" t="s">
        <v>186</v>
      </c>
      <c r="E84" s="28" t="s">
        <v>192</v>
      </c>
      <c r="F84" s="88" t="s">
        <v>195</v>
      </c>
      <c r="G84" s="6" t="s">
        <v>169</v>
      </c>
      <c r="H84" s="6" t="s">
        <v>156</v>
      </c>
      <c r="I84" s="82" t="s">
        <v>105</v>
      </c>
      <c r="J84" s="20" t="s">
        <v>206</v>
      </c>
      <c r="K84" s="20"/>
      <c r="L84" s="20"/>
      <c r="M84" s="20"/>
      <c r="N84" s="208">
        <v>46177</v>
      </c>
      <c r="O84" s="208">
        <v>46195</v>
      </c>
      <c r="P84" s="211" t="str">
        <f>J84&amp;", "&amp;K84&amp;", "&amp;L84</f>
        <v xml:space="preserve">Nguyễn Văn Hải, , </v>
      </c>
    </row>
    <row r="85" spans="1:16">
      <c r="A85" s="28" t="str">
        <f>"3."&amp;D85&amp;"."&amp;B85</f>
        <v>3.B.DSHNQN.SUP.503</v>
      </c>
      <c r="B85" s="28" t="str">
        <f>TEXT(COUNTIFS($C$4:C85,C85,$D$4:D85,D85,$F$4:F85,F85)+IF(F85="KT",100,IF(F85="KC",200,IF(F85="DI",300,IF(F85="DN",400,IF(F85="NU",500,IF(F85="DH",600,IF(F85="PC",700,0))))))),"000")</f>
        <v>503</v>
      </c>
      <c r="C85" s="28" t="s">
        <v>10</v>
      </c>
      <c r="D85" s="100" t="s">
        <v>186</v>
      </c>
      <c r="E85" s="28" t="s">
        <v>198</v>
      </c>
      <c r="F85" s="88" t="s">
        <v>195</v>
      </c>
      <c r="G85" s="6" t="s">
        <v>169</v>
      </c>
      <c r="H85" s="6" t="s">
        <v>156</v>
      </c>
      <c r="I85" s="82" t="s">
        <v>105</v>
      </c>
      <c r="J85" s="20" t="s">
        <v>206</v>
      </c>
      <c r="K85" s="20"/>
      <c r="L85" s="20"/>
      <c r="M85" s="20"/>
      <c r="N85" s="208">
        <v>46177</v>
      </c>
      <c r="O85" s="208">
        <v>46195</v>
      </c>
      <c r="P85" s="211" t="str">
        <f>J85&amp;", "&amp;K85&amp;", "&amp;L85</f>
        <v xml:space="preserve">Nguyễn Văn Hải, , </v>
      </c>
    </row>
    <row r="86" spans="1:16">
      <c r="A86" s="28" t="str">
        <f>"3."&amp;D86&amp;"."&amp;B86</f>
        <v>3.B.DSHNQN.SUP.504</v>
      </c>
      <c r="B86" s="28" t="str">
        <f>TEXT(COUNTIFS($C$4:C86,C86,$D$4:D86,D86,$F$4:F86,F86)+IF(F86="KT",100,IF(F86="KC",200,IF(F86="DI",300,IF(F86="DN",400,IF(F86="NU",500,IF(F86="DH",600,IF(F86="PC",700,0))))))),"000")</f>
        <v>504</v>
      </c>
      <c r="C86" s="28" t="s">
        <v>10</v>
      </c>
      <c r="D86" s="100" t="s">
        <v>186</v>
      </c>
      <c r="E86" s="28" t="s">
        <v>203</v>
      </c>
      <c r="F86" s="88" t="s">
        <v>195</v>
      </c>
      <c r="G86" s="6" t="s">
        <v>169</v>
      </c>
      <c r="H86" s="6" t="s">
        <v>156</v>
      </c>
      <c r="I86" s="82" t="s">
        <v>105</v>
      </c>
      <c r="J86" s="20" t="s">
        <v>206</v>
      </c>
      <c r="K86" s="20"/>
      <c r="L86" s="20"/>
      <c r="M86" s="20"/>
      <c r="N86" s="208">
        <v>46177</v>
      </c>
      <c r="O86" s="208">
        <v>46195</v>
      </c>
      <c r="P86" s="211" t="str">
        <f>J86&amp;", "&amp;K86&amp;", "&amp;L86</f>
        <v xml:space="preserve">Nguyễn Văn Hải, , </v>
      </c>
    </row>
    <row r="87" spans="1:16">
      <c r="A87" s="28" t="str">
        <f>"3."&amp;D87&amp;"."&amp;B87</f>
        <v>3.B.DSHNQN.SUP.505</v>
      </c>
      <c r="B87" s="28" t="str">
        <f>TEXT(COUNTIFS($C$4:C87,C87,$D$4:D87,D87,$F$4:F87,F87)+IF(F87="KT",100,IF(F87="KC",200,IF(F87="DI",300,IF(F87="DN",400,IF(F87="NU",500,IF(F87="DH",600,IF(F87="PC",700,0))))))),"000")</f>
        <v>505</v>
      </c>
      <c r="C87" s="28" t="s">
        <v>10</v>
      </c>
      <c r="D87" s="100" t="s">
        <v>186</v>
      </c>
      <c r="E87" s="28" t="s">
        <v>208</v>
      </c>
      <c r="F87" s="88" t="s">
        <v>195</v>
      </c>
      <c r="G87" s="6" t="s">
        <v>169</v>
      </c>
      <c r="H87" s="6" t="s">
        <v>156</v>
      </c>
      <c r="I87" s="82" t="s">
        <v>105</v>
      </c>
      <c r="J87" s="20" t="s">
        <v>206</v>
      </c>
      <c r="K87" s="20"/>
      <c r="L87" s="20"/>
      <c r="M87" s="20"/>
      <c r="N87" s="208">
        <v>46177</v>
      </c>
      <c r="O87" s="208">
        <v>46195</v>
      </c>
      <c r="P87" s="211" t="str">
        <f>J87&amp;", "&amp;K87&amp;", "&amp;L87</f>
        <v xml:space="preserve">Nguyễn Văn Hải, , </v>
      </c>
    </row>
    <row r="88" spans="1:16">
      <c r="A88" s="28" t="str">
        <f>"3."&amp;D88&amp;"."&amp;B88</f>
        <v>3.B.DSHNQN.SUP.506</v>
      </c>
      <c r="B88" s="28" t="str">
        <f>TEXT(COUNTIFS($C$4:C88,C88,$D$4:D88,D88,$F$4:F88,F88)+IF(F88="KT",100,IF(F88="KC",200,IF(F88="DI",300,IF(F88="DN",400,IF(F88="NU",500,IF(F88="DH",600,IF(F88="PC",700,0))))))),"000")</f>
        <v>506</v>
      </c>
      <c r="C88" s="28" t="s">
        <v>10</v>
      </c>
      <c r="D88" s="100" t="s">
        <v>186</v>
      </c>
      <c r="E88" s="28" t="s">
        <v>213</v>
      </c>
      <c r="F88" s="88" t="s">
        <v>195</v>
      </c>
      <c r="G88" s="6" t="s">
        <v>169</v>
      </c>
      <c r="H88" s="6" t="s">
        <v>156</v>
      </c>
      <c r="I88" s="82" t="s">
        <v>105</v>
      </c>
      <c r="J88" s="20" t="s">
        <v>206</v>
      </c>
      <c r="K88" s="20"/>
      <c r="L88" s="20"/>
      <c r="M88" s="20"/>
      <c r="N88" s="208">
        <v>46177</v>
      </c>
      <c r="O88" s="208">
        <v>46195</v>
      </c>
      <c r="P88" s="211" t="str">
        <f>J88&amp;", "&amp;K88&amp;", "&amp;L88</f>
        <v xml:space="preserve">Nguyễn Văn Hải, , </v>
      </c>
    </row>
    <row r="89" spans="1:16">
      <c r="A89" s="28" t="str">
        <f>"3."&amp;D89&amp;"."&amp;B89</f>
        <v>3.B.DSHNQN.SUP.507</v>
      </c>
      <c r="B89" s="28" t="str">
        <f>TEXT(COUNTIFS($C$4:C89,C89,$D$4:D89,D89,$F$4:F89,F89)+IF(F89="KT",100,IF(F89="KC",200,IF(F89="DI",300,IF(F89="DN",400,IF(F89="NU",500,IF(F89="DH",600,IF(F89="PC",700,0))))))),"000")</f>
        <v>507</v>
      </c>
      <c r="C89" s="28" t="s">
        <v>10</v>
      </c>
      <c r="D89" s="100" t="s">
        <v>186</v>
      </c>
      <c r="E89" s="28" t="s">
        <v>218</v>
      </c>
      <c r="F89" s="88" t="s">
        <v>195</v>
      </c>
      <c r="G89" s="6" t="s">
        <v>169</v>
      </c>
      <c r="H89" s="6" t="s">
        <v>156</v>
      </c>
      <c r="I89" s="82" t="s">
        <v>105</v>
      </c>
      <c r="J89" s="20" t="s">
        <v>206</v>
      </c>
      <c r="K89" s="20"/>
      <c r="L89" s="20"/>
      <c r="M89" s="20"/>
      <c r="N89" s="208">
        <v>46177</v>
      </c>
      <c r="O89" s="208">
        <v>46195</v>
      </c>
      <c r="P89" s="211" t="str">
        <f>J89&amp;", "&amp;K89&amp;", "&amp;L89</f>
        <v xml:space="preserve">Nguyễn Văn Hải, , </v>
      </c>
    </row>
    <row r="90" spans="1:16">
      <c r="A90" s="28" t="str">
        <f>"3."&amp;D90&amp;"."&amp;B90</f>
        <v>3.B.DSHNQN.SUP.508</v>
      </c>
      <c r="B90" s="28" t="str">
        <f>TEXT(COUNTIFS($C$4:C90,C90,$D$4:D90,D90,$F$4:F90,F90)+IF(F90="KT",100,IF(F90="KC",200,IF(F90="DI",300,IF(F90="DN",400,IF(F90="NU",500,IF(F90="DH",600,IF(F90="PC",700,0))))))),"000")</f>
        <v>508</v>
      </c>
      <c r="C90" s="28" t="s">
        <v>10</v>
      </c>
      <c r="D90" s="100" t="s">
        <v>186</v>
      </c>
      <c r="E90" s="28" t="s">
        <v>222</v>
      </c>
      <c r="F90" s="88" t="s">
        <v>195</v>
      </c>
      <c r="G90" s="6" t="s">
        <v>169</v>
      </c>
      <c r="H90" s="6" t="s">
        <v>156</v>
      </c>
      <c r="I90" s="82" t="s">
        <v>105</v>
      </c>
      <c r="J90" s="20" t="s">
        <v>206</v>
      </c>
      <c r="K90" s="20"/>
      <c r="L90" s="20"/>
      <c r="M90" s="20"/>
      <c r="N90" s="208">
        <v>46177</v>
      </c>
      <c r="O90" s="208">
        <v>46195</v>
      </c>
      <c r="P90" s="211" t="str">
        <f>J90&amp;", "&amp;K90&amp;", "&amp;L90</f>
        <v xml:space="preserve">Nguyễn Văn Hải, , </v>
      </c>
    </row>
    <row r="91" spans="1:16">
      <c r="A91" s="28" t="str">
        <f>"3."&amp;D91&amp;"."&amp;B91</f>
        <v>3.B.DSHNQN.SUP.601</v>
      </c>
      <c r="B91" s="28" t="str">
        <f>TEXT(COUNTIFS($C$4:C91,C91,$D$4:D91,D91,$F$4:F91,F91)+IF(F91="KT",100,IF(F91="KC",200,IF(F91="DI",300,IF(F91="DN",400,IF(F91="NU",500,IF(F91="DH",600,IF(F91="PC",700,0))))))),"000")</f>
        <v>601</v>
      </c>
      <c r="C91" s="28" t="s">
        <v>10</v>
      </c>
      <c r="D91" s="100" t="s">
        <v>186</v>
      </c>
      <c r="E91" s="28" t="s">
        <v>187</v>
      </c>
      <c r="F91" s="88" t="s">
        <v>205</v>
      </c>
      <c r="G91" s="6" t="s">
        <v>169</v>
      </c>
      <c r="H91" s="6" t="s">
        <v>156</v>
      </c>
      <c r="I91" s="82" t="s">
        <v>105</v>
      </c>
      <c r="J91" s="20" t="s">
        <v>216</v>
      </c>
      <c r="K91" s="20"/>
      <c r="L91" s="20"/>
      <c r="M91" s="20"/>
      <c r="N91" s="208">
        <v>46177</v>
      </c>
      <c r="O91" s="208">
        <v>46195</v>
      </c>
      <c r="P91" s="211" t="str">
        <f>J91&amp;", "&amp;K91&amp;", "&amp;L91</f>
        <v xml:space="preserve">Đặng Thái Sơn, , </v>
      </c>
    </row>
    <row r="92" spans="1:16">
      <c r="A92" s="28" t="str">
        <f>"3."&amp;D92&amp;"."&amp;B92</f>
        <v>3.B.DSHNQN.SUP.602</v>
      </c>
      <c r="B92" s="28" t="str">
        <f>TEXT(COUNTIFS($C$4:C92,C92,$D$4:D92,D92,$F$4:F92,F92)+IF(F92="KT",100,IF(F92="KC",200,IF(F92="DI",300,IF(F92="DN",400,IF(F92="NU",500,IF(F92="DH",600,IF(F92="PC",700,0))))))),"000")</f>
        <v>602</v>
      </c>
      <c r="C92" s="28" t="s">
        <v>10</v>
      </c>
      <c r="D92" s="100" t="s">
        <v>186</v>
      </c>
      <c r="E92" s="28" t="s">
        <v>192</v>
      </c>
      <c r="F92" s="88" t="s">
        <v>205</v>
      </c>
      <c r="G92" s="6" t="s">
        <v>169</v>
      </c>
      <c r="H92" s="6" t="s">
        <v>156</v>
      </c>
      <c r="I92" s="82" t="s">
        <v>105</v>
      </c>
      <c r="J92" s="20" t="s">
        <v>216</v>
      </c>
      <c r="K92" s="20"/>
      <c r="L92" s="20"/>
      <c r="M92" s="20"/>
      <c r="N92" s="208">
        <v>46177</v>
      </c>
      <c r="O92" s="208">
        <v>46195</v>
      </c>
      <c r="P92" s="211" t="str">
        <f>J92&amp;", "&amp;K92&amp;", "&amp;L92</f>
        <v xml:space="preserve">Đặng Thái Sơn, , </v>
      </c>
    </row>
    <row r="93" spans="1:16">
      <c r="A93" s="28" t="str">
        <f>"3."&amp;D93&amp;"."&amp;B93</f>
        <v>3.B.DSHNQN.SUP.603</v>
      </c>
      <c r="B93" s="28" t="str">
        <f>TEXT(COUNTIFS($C$4:C93,C93,$D$4:D93,D93,$F$4:F93,F93)+IF(F93="KT",100,IF(F93="KC",200,IF(F93="DI",300,IF(F93="DN",400,IF(F93="NU",500,IF(F93="DH",600,IF(F93="PC",700,0))))))),"000")</f>
        <v>603</v>
      </c>
      <c r="C93" s="28" t="s">
        <v>10</v>
      </c>
      <c r="D93" s="100" t="s">
        <v>186</v>
      </c>
      <c r="E93" s="28" t="s">
        <v>198</v>
      </c>
      <c r="F93" s="88" t="s">
        <v>205</v>
      </c>
      <c r="G93" s="6" t="s">
        <v>169</v>
      </c>
      <c r="H93" s="6" t="s">
        <v>156</v>
      </c>
      <c r="I93" s="82" t="s">
        <v>105</v>
      </c>
      <c r="J93" s="20" t="s">
        <v>216</v>
      </c>
      <c r="K93" s="20"/>
      <c r="L93" s="20"/>
      <c r="M93" s="20"/>
      <c r="N93" s="208">
        <v>46177</v>
      </c>
      <c r="O93" s="208">
        <v>46195</v>
      </c>
      <c r="P93" s="211" t="str">
        <f>J93&amp;", "&amp;K93&amp;", "&amp;L93</f>
        <v xml:space="preserve">Đặng Thái Sơn, , </v>
      </c>
    </row>
    <row r="94" spans="1:16">
      <c r="A94" s="28" t="str">
        <f>"3."&amp;D94&amp;"."&amp;B94</f>
        <v>3.B.DSHNQN.SUP.604</v>
      </c>
      <c r="B94" s="28" t="str">
        <f>TEXT(COUNTIFS($C$4:C94,C94,$D$4:D94,D94,$F$4:F94,F94)+IF(F94="KT",100,IF(F94="KC",200,IF(F94="DI",300,IF(F94="DN",400,IF(F94="NU",500,IF(F94="DH",600,IF(F94="PC",700,0))))))),"000")</f>
        <v>604</v>
      </c>
      <c r="C94" s="28" t="s">
        <v>10</v>
      </c>
      <c r="D94" s="100" t="s">
        <v>186</v>
      </c>
      <c r="E94" s="28" t="s">
        <v>203</v>
      </c>
      <c r="F94" s="88" t="s">
        <v>205</v>
      </c>
      <c r="G94" s="6" t="s">
        <v>169</v>
      </c>
      <c r="H94" s="6" t="s">
        <v>156</v>
      </c>
      <c r="I94" s="82" t="s">
        <v>105</v>
      </c>
      <c r="J94" s="20" t="s">
        <v>216</v>
      </c>
      <c r="K94" s="20"/>
      <c r="L94" s="20"/>
      <c r="M94" s="20"/>
      <c r="N94" s="208">
        <v>46177</v>
      </c>
      <c r="O94" s="208">
        <v>46195</v>
      </c>
      <c r="P94" s="211" t="str">
        <f>J94&amp;", "&amp;K94&amp;", "&amp;L94</f>
        <v xml:space="preserve">Đặng Thái Sơn, , </v>
      </c>
    </row>
    <row r="95" spans="1:16">
      <c r="A95" s="28" t="str">
        <f>"3."&amp;D95&amp;"."&amp;B95</f>
        <v>3.B.DSHNQN.SUP.605</v>
      </c>
      <c r="B95" s="28" t="str">
        <f>TEXT(COUNTIFS($C$4:C95,C95,$D$4:D95,D95,$F$4:F95,F95)+IF(F95="KT",100,IF(F95="KC",200,IF(F95="DI",300,IF(F95="DN",400,IF(F95="NU",500,IF(F95="DH",600,IF(F95="PC",700,0))))))),"000")</f>
        <v>605</v>
      </c>
      <c r="C95" s="28" t="s">
        <v>10</v>
      </c>
      <c r="D95" s="100" t="s">
        <v>186</v>
      </c>
      <c r="E95" s="28" t="s">
        <v>208</v>
      </c>
      <c r="F95" s="88" t="s">
        <v>205</v>
      </c>
      <c r="G95" s="6" t="s">
        <v>169</v>
      </c>
      <c r="H95" s="6" t="s">
        <v>156</v>
      </c>
      <c r="I95" s="82" t="s">
        <v>105</v>
      </c>
      <c r="J95" s="20" t="s">
        <v>216</v>
      </c>
      <c r="K95" s="20"/>
      <c r="L95" s="20"/>
      <c r="M95" s="20"/>
      <c r="N95" s="208">
        <v>46177</v>
      </c>
      <c r="O95" s="208">
        <v>46195</v>
      </c>
      <c r="P95" s="211" t="str">
        <f>J95&amp;", "&amp;K95&amp;", "&amp;L95</f>
        <v xml:space="preserve">Đặng Thái Sơn, , </v>
      </c>
    </row>
    <row r="96" spans="1:16">
      <c r="A96" s="28" t="str">
        <f>"3."&amp;D96&amp;"."&amp;B96</f>
        <v>3.B.DSHNQN.SUP.606</v>
      </c>
      <c r="B96" s="28" t="str">
        <f>TEXT(COUNTIFS($C$4:C96,C96,$D$4:D96,D96,$F$4:F96,F96)+IF(F96="KT",100,IF(F96="KC",200,IF(F96="DI",300,IF(F96="DN",400,IF(F96="NU",500,IF(F96="DH",600,IF(F96="PC",700,0))))))),"000")</f>
        <v>606</v>
      </c>
      <c r="C96" s="28" t="s">
        <v>10</v>
      </c>
      <c r="D96" s="100" t="s">
        <v>186</v>
      </c>
      <c r="E96" s="28" t="s">
        <v>213</v>
      </c>
      <c r="F96" s="88" t="s">
        <v>205</v>
      </c>
      <c r="G96" s="6" t="s">
        <v>169</v>
      </c>
      <c r="H96" s="6" t="s">
        <v>156</v>
      </c>
      <c r="I96" s="82" t="s">
        <v>105</v>
      </c>
      <c r="J96" s="20" t="s">
        <v>216</v>
      </c>
      <c r="K96" s="20"/>
      <c r="L96" s="20"/>
      <c r="M96" s="20"/>
      <c r="N96" s="208">
        <v>46177</v>
      </c>
      <c r="O96" s="208">
        <v>46195</v>
      </c>
      <c r="P96" s="211" t="str">
        <f>J96&amp;", "&amp;K96&amp;", "&amp;L96</f>
        <v xml:space="preserve">Đặng Thái Sơn, , </v>
      </c>
    </row>
    <row r="97" spans="1:16">
      <c r="A97" s="28" t="str">
        <f>"3."&amp;D97&amp;"."&amp;B97</f>
        <v>3.B.DSHNQN.SUP.607</v>
      </c>
      <c r="B97" s="28" t="str">
        <f>TEXT(COUNTIFS($C$4:C97,C97,$D$4:D97,D97,$F$4:F97,F97)+IF(F97="KT",100,IF(F97="KC",200,IF(F97="DI",300,IF(F97="DN",400,IF(F97="NU",500,IF(F97="DH",600,IF(F97="PC",700,0))))))),"000")</f>
        <v>607</v>
      </c>
      <c r="C97" s="28" t="s">
        <v>10</v>
      </c>
      <c r="D97" s="100" t="s">
        <v>186</v>
      </c>
      <c r="E97" s="28" t="s">
        <v>218</v>
      </c>
      <c r="F97" s="88" t="s">
        <v>205</v>
      </c>
      <c r="G97" s="6" t="s">
        <v>169</v>
      </c>
      <c r="H97" s="6" t="s">
        <v>156</v>
      </c>
      <c r="I97" s="82" t="s">
        <v>105</v>
      </c>
      <c r="J97" s="20" t="s">
        <v>216</v>
      </c>
      <c r="K97" s="20"/>
      <c r="L97" s="20"/>
      <c r="M97" s="20"/>
      <c r="N97" s="208">
        <v>46177</v>
      </c>
      <c r="O97" s="208">
        <v>46195</v>
      </c>
      <c r="P97" s="211" t="str">
        <f>J97&amp;", "&amp;K97&amp;", "&amp;L97</f>
        <v xml:space="preserve">Đặng Thái Sơn, , </v>
      </c>
    </row>
    <row r="98" spans="1:16">
      <c r="A98" s="28" t="str">
        <f>"3."&amp;D98&amp;"."&amp;B98</f>
        <v>3.B.DSHNQN.SUP.608</v>
      </c>
      <c r="B98" s="28" t="str">
        <f>TEXT(COUNTIFS($C$4:C98,C98,$D$4:D98,D98,$F$4:F98,F98)+IF(F98="KT",100,IF(F98="KC",200,IF(F98="DI",300,IF(F98="DN",400,IF(F98="NU",500,IF(F98="DH",600,IF(F98="PC",700,0))))))),"000")</f>
        <v>608</v>
      </c>
      <c r="C98" s="28" t="s">
        <v>10</v>
      </c>
      <c r="D98" s="100" t="s">
        <v>186</v>
      </c>
      <c r="E98" s="28" t="s">
        <v>222</v>
      </c>
      <c r="F98" s="88" t="s">
        <v>205</v>
      </c>
      <c r="G98" s="6" t="s">
        <v>169</v>
      </c>
      <c r="H98" s="6" t="s">
        <v>156</v>
      </c>
      <c r="I98" s="82" t="s">
        <v>105</v>
      </c>
      <c r="J98" s="20" t="s">
        <v>216</v>
      </c>
      <c r="K98" s="20"/>
      <c r="L98" s="20"/>
      <c r="M98" s="20"/>
      <c r="N98" s="208">
        <v>46177</v>
      </c>
      <c r="O98" s="208">
        <v>46195</v>
      </c>
      <c r="P98" s="211" t="str">
        <f>J98&amp;", "&amp;K98&amp;", "&amp;L98</f>
        <v xml:space="preserve">Đặng Thái Sơn, , </v>
      </c>
    </row>
    <row r="99" spans="1:16">
      <c r="A99" s="28" t="str">
        <f>"3."&amp;D99&amp;"."&amp;B99</f>
        <v>3.B.DSHNQN.SUP.701</v>
      </c>
      <c r="B99" s="28" t="str">
        <f>TEXT(COUNTIFS($C$4:C99,C99,$D$4:D99,D99,$F$4:F99,F99)+IF(F99="KT",100,IF(F99="KC",200,IF(F99="DI",300,IF(F99="DN",400,IF(F99="NU",500,IF(F99="DH",600,IF(F99="PC",700,0))))))),"000")</f>
        <v>701</v>
      </c>
      <c r="C99" s="28" t="s">
        <v>10</v>
      </c>
      <c r="D99" s="100" t="s">
        <v>186</v>
      </c>
      <c r="E99" s="28" t="s">
        <v>187</v>
      </c>
      <c r="F99" s="88" t="s">
        <v>200</v>
      </c>
      <c r="G99" s="6" t="s">
        <v>169</v>
      </c>
      <c r="H99" s="6" t="s">
        <v>156</v>
      </c>
      <c r="I99" s="82" t="s">
        <v>105</v>
      </c>
      <c r="J99" s="20" t="s">
        <v>201</v>
      </c>
      <c r="K99" s="20"/>
      <c r="L99" s="20"/>
      <c r="M99" s="20"/>
      <c r="N99" s="208">
        <v>46177</v>
      </c>
      <c r="O99" s="208">
        <v>46195</v>
      </c>
      <c r="P99" s="211" t="str">
        <f>J99&amp;", "&amp;K99&amp;", "&amp;L99</f>
        <v xml:space="preserve">Ngô Tuấn Vũ, , </v>
      </c>
    </row>
    <row r="100" spans="1:16">
      <c r="A100" s="28" t="str">
        <f>"3."&amp;D100&amp;"."&amp;B100</f>
        <v>3.B.DSHNQN.SUP.702</v>
      </c>
      <c r="B100" s="28" t="str">
        <f>TEXT(COUNTIFS($C$4:C100,C100,$D$4:D100,D100,$F$4:F100,F100)+IF(F100="KT",100,IF(F100="KC",200,IF(F100="DI",300,IF(F100="DN",400,IF(F100="NU",500,IF(F100="DH",600,IF(F100="PC",700,0))))))),"000")</f>
        <v>702</v>
      </c>
      <c r="C100" s="28" t="s">
        <v>10</v>
      </c>
      <c r="D100" s="100" t="s">
        <v>186</v>
      </c>
      <c r="E100" s="28" t="s">
        <v>192</v>
      </c>
      <c r="F100" s="88" t="s">
        <v>200</v>
      </c>
      <c r="G100" s="6" t="s">
        <v>169</v>
      </c>
      <c r="H100" s="6" t="s">
        <v>156</v>
      </c>
      <c r="I100" s="82" t="s">
        <v>105</v>
      </c>
      <c r="J100" s="20" t="s">
        <v>201</v>
      </c>
      <c r="K100" s="20"/>
      <c r="L100" s="20"/>
      <c r="M100" s="20"/>
      <c r="N100" s="208">
        <v>46177</v>
      </c>
      <c r="O100" s="208">
        <v>46195</v>
      </c>
      <c r="P100" s="211" t="str">
        <f>J100&amp;", "&amp;K100&amp;", "&amp;L100</f>
        <v xml:space="preserve">Ngô Tuấn Vũ, , </v>
      </c>
    </row>
    <row r="101" spans="1:16">
      <c r="A101" s="28" t="str">
        <f>"3."&amp;D101&amp;"."&amp;B101</f>
        <v>3.B.DSHNQN.SUP.703</v>
      </c>
      <c r="B101" s="28" t="str">
        <f>TEXT(COUNTIFS($C$4:C101,C101,$D$4:D101,D101,$F$4:F101,F101)+IF(F101="KT",100,IF(F101="KC",200,IF(F101="DI",300,IF(F101="DN",400,IF(F101="NU",500,IF(F101="DH",600,IF(F101="PC",700,0))))))),"000")</f>
        <v>703</v>
      </c>
      <c r="C101" s="28" t="s">
        <v>10</v>
      </c>
      <c r="D101" s="100" t="s">
        <v>186</v>
      </c>
      <c r="E101" s="28" t="s">
        <v>198</v>
      </c>
      <c r="F101" s="88" t="s">
        <v>200</v>
      </c>
      <c r="G101" s="6" t="s">
        <v>169</v>
      </c>
      <c r="H101" s="6" t="s">
        <v>156</v>
      </c>
      <c r="I101" s="82" t="s">
        <v>105</v>
      </c>
      <c r="J101" s="20" t="s">
        <v>201</v>
      </c>
      <c r="K101" s="20"/>
      <c r="L101" s="20"/>
      <c r="M101" s="20"/>
      <c r="N101" s="208">
        <v>46177</v>
      </c>
      <c r="O101" s="208">
        <v>46195</v>
      </c>
      <c r="P101" s="211" t="str">
        <f>J101&amp;", "&amp;K101&amp;", "&amp;L101</f>
        <v xml:space="preserve">Ngô Tuấn Vũ, , </v>
      </c>
    </row>
    <row r="102" spans="1:16">
      <c r="A102" s="28" t="str">
        <f>"3."&amp;D102&amp;"."&amp;B102</f>
        <v>3.B.DSHNQN.SUP.704</v>
      </c>
      <c r="B102" s="28" t="str">
        <f>TEXT(COUNTIFS($C$4:C102,C102,$D$4:D102,D102,$F$4:F102,F102)+IF(F102="KT",100,IF(F102="KC",200,IF(F102="DI",300,IF(F102="DN",400,IF(F102="NU",500,IF(F102="DH",600,IF(F102="PC",700,0))))))),"000")</f>
        <v>704</v>
      </c>
      <c r="C102" s="28" t="s">
        <v>10</v>
      </c>
      <c r="D102" s="100" t="s">
        <v>186</v>
      </c>
      <c r="E102" s="28" t="s">
        <v>203</v>
      </c>
      <c r="F102" s="88" t="s">
        <v>200</v>
      </c>
      <c r="G102" s="6" t="s">
        <v>169</v>
      </c>
      <c r="H102" s="6" t="s">
        <v>156</v>
      </c>
      <c r="I102" s="82" t="s">
        <v>105</v>
      </c>
      <c r="J102" s="20" t="s">
        <v>201</v>
      </c>
      <c r="K102" s="20"/>
      <c r="L102" s="20"/>
      <c r="M102" s="20"/>
      <c r="N102" s="208">
        <v>46177</v>
      </c>
      <c r="O102" s="208">
        <v>46195</v>
      </c>
      <c r="P102" s="211" t="str">
        <f>J102&amp;", "&amp;K102&amp;", "&amp;L102</f>
        <v xml:space="preserve">Ngô Tuấn Vũ, , </v>
      </c>
    </row>
    <row r="103" spans="1:16">
      <c r="A103" s="28" t="str">
        <f>"3."&amp;D103&amp;"."&amp;B103</f>
        <v>3.B.DSHNQN.SUP.705</v>
      </c>
      <c r="B103" s="28" t="str">
        <f>TEXT(COUNTIFS($C$4:C103,C103,$D$4:D103,D103,$F$4:F103,F103)+IF(F103="KT",100,IF(F103="KC",200,IF(F103="DI",300,IF(F103="DN",400,IF(F103="NU",500,IF(F103="DH",600,IF(F103="PC",700,0))))))),"000")</f>
        <v>705</v>
      </c>
      <c r="C103" s="28" t="s">
        <v>10</v>
      </c>
      <c r="D103" s="100" t="s">
        <v>186</v>
      </c>
      <c r="E103" s="28" t="s">
        <v>208</v>
      </c>
      <c r="F103" s="88" t="s">
        <v>200</v>
      </c>
      <c r="G103" s="6" t="s">
        <v>169</v>
      </c>
      <c r="H103" s="6" t="s">
        <v>156</v>
      </c>
      <c r="I103" s="82" t="s">
        <v>105</v>
      </c>
      <c r="J103" s="20" t="s">
        <v>201</v>
      </c>
      <c r="K103" s="20"/>
      <c r="L103" s="20"/>
      <c r="M103" s="20"/>
      <c r="N103" s="208">
        <v>46177</v>
      </c>
      <c r="O103" s="208">
        <v>46195</v>
      </c>
      <c r="P103" s="211" t="str">
        <f>J103&amp;", "&amp;K103&amp;", "&amp;L103</f>
        <v xml:space="preserve">Ngô Tuấn Vũ, , </v>
      </c>
    </row>
    <row r="104" spans="1:16">
      <c r="A104" s="28" t="str">
        <f>"3."&amp;D104&amp;"."&amp;B104</f>
        <v>3.B.DSHNQN.SUP.706</v>
      </c>
      <c r="B104" s="28" t="str">
        <f>TEXT(COUNTIFS($C$4:C104,C104,$D$4:D104,D104,$F$4:F104,F104)+IF(F104="KT",100,IF(F104="KC",200,IF(F104="DI",300,IF(F104="DN",400,IF(F104="NU",500,IF(F104="DH",600,IF(F104="PC",700,0))))))),"000")</f>
        <v>706</v>
      </c>
      <c r="C104" s="28" t="s">
        <v>10</v>
      </c>
      <c r="D104" s="100" t="s">
        <v>186</v>
      </c>
      <c r="E104" s="28" t="s">
        <v>213</v>
      </c>
      <c r="F104" s="88" t="s">
        <v>200</v>
      </c>
      <c r="G104" s="6" t="s">
        <v>169</v>
      </c>
      <c r="H104" s="6" t="s">
        <v>156</v>
      </c>
      <c r="I104" s="82" t="s">
        <v>105</v>
      </c>
      <c r="J104" s="20" t="s">
        <v>201</v>
      </c>
      <c r="K104" s="20"/>
      <c r="L104" s="20"/>
      <c r="M104" s="20"/>
      <c r="N104" s="208">
        <v>46177</v>
      </c>
      <c r="O104" s="208">
        <v>46195</v>
      </c>
      <c r="P104" s="211" t="str">
        <f>J104&amp;", "&amp;K104&amp;", "&amp;L104</f>
        <v xml:space="preserve">Ngô Tuấn Vũ, , </v>
      </c>
    </row>
    <row r="105" spans="1:16">
      <c r="A105" s="28" t="str">
        <f>"3."&amp;D105&amp;"."&amp;B105</f>
        <v>3.B.DSHNQN.SUP.707</v>
      </c>
      <c r="B105" s="28" t="str">
        <f>TEXT(COUNTIFS($C$4:C105,C105,$D$4:D105,D105,$F$4:F105,F105)+IF(F105="KT",100,IF(F105="KC",200,IF(F105="DI",300,IF(F105="DN",400,IF(F105="NU",500,IF(F105="DH",600,IF(F105="PC",700,0))))))),"000")</f>
        <v>707</v>
      </c>
      <c r="C105" s="28" t="s">
        <v>10</v>
      </c>
      <c r="D105" s="100" t="s">
        <v>186</v>
      </c>
      <c r="E105" s="28" t="s">
        <v>218</v>
      </c>
      <c r="F105" s="88" t="s">
        <v>200</v>
      </c>
      <c r="G105" s="6" t="s">
        <v>169</v>
      </c>
      <c r="H105" s="6" t="s">
        <v>156</v>
      </c>
      <c r="I105" s="82" t="s">
        <v>105</v>
      </c>
      <c r="J105" s="20" t="s">
        <v>201</v>
      </c>
      <c r="K105" s="20"/>
      <c r="L105" s="20"/>
      <c r="M105" s="20"/>
      <c r="N105" s="208">
        <v>46177</v>
      </c>
      <c r="O105" s="208">
        <v>46195</v>
      </c>
      <c r="P105" s="211" t="str">
        <f>J105&amp;", "&amp;K105&amp;", "&amp;L105</f>
        <v xml:space="preserve">Ngô Tuấn Vũ, , </v>
      </c>
    </row>
    <row r="106" spans="1:16">
      <c r="A106" s="28" t="str">
        <f>"3."&amp;D106&amp;"."&amp;B106</f>
        <v>3.B.DSHNQN.SUP.708</v>
      </c>
      <c r="B106" s="28" t="str">
        <f>TEXT(COUNTIFS($C$4:C106,C106,$D$4:D106,D106,$F$4:F106,F106)+IF(F106="KT",100,IF(F106="KC",200,IF(F106="DI",300,IF(F106="DN",400,IF(F106="NU",500,IF(F106="DH",600,IF(F106="PC",700,0))))))),"000")</f>
        <v>708</v>
      </c>
      <c r="C106" s="28" t="s">
        <v>10</v>
      </c>
      <c r="D106" s="100" t="s">
        <v>186</v>
      </c>
      <c r="E106" s="28" t="s">
        <v>222</v>
      </c>
      <c r="F106" s="88" t="s">
        <v>200</v>
      </c>
      <c r="G106" s="6" t="s">
        <v>169</v>
      </c>
      <c r="H106" s="6" t="s">
        <v>156</v>
      </c>
      <c r="I106" s="82" t="s">
        <v>105</v>
      </c>
      <c r="J106" s="20" t="s">
        <v>201</v>
      </c>
      <c r="K106" s="20"/>
      <c r="L106" s="20"/>
      <c r="M106" s="20"/>
      <c r="N106" s="208">
        <v>46177</v>
      </c>
      <c r="O106" s="208">
        <v>46195</v>
      </c>
      <c r="P106" s="211" t="str">
        <f>J106&amp;", "&amp;K106&amp;", "&amp;L106</f>
        <v xml:space="preserve">Ngô Tuấn Vũ, , </v>
      </c>
    </row>
    <row r="107" spans="1:16">
      <c r="A107" s="28" t="str">
        <f>"3."&amp;D107&amp;"."&amp;B107</f>
        <v>3.B.HNO.GL.VSC.101</v>
      </c>
      <c r="B107" s="28" t="str">
        <f>TEXT(COUNTIFS($C$4:C107,C107,$D$4:D107,D107,$F$4:F107,F107)+IF(F107="KT",100,IF(F107="KC",200,IF(F107="DI",300,IF(F107="DN",400,IF(F107="NU",500,IF(F107="DH",600,IF(F107="PC",700,0))))))),"000")</f>
        <v>101</v>
      </c>
      <c r="C107" s="28" t="s">
        <v>10</v>
      </c>
      <c r="D107" s="100" t="s">
        <v>226</v>
      </c>
      <c r="E107" s="28" t="s">
        <v>227</v>
      </c>
      <c r="F107" s="88" t="s">
        <v>164</v>
      </c>
      <c r="G107" s="6" t="s">
        <v>23</v>
      </c>
      <c r="H107" s="6" t="s">
        <v>156</v>
      </c>
      <c r="I107" s="82" t="s">
        <v>105</v>
      </c>
      <c r="J107" s="28" t="s">
        <v>36</v>
      </c>
      <c r="K107" s="28"/>
      <c r="L107" s="28"/>
      <c r="M107" s="28"/>
      <c r="N107" s="96">
        <v>46006</v>
      </c>
      <c r="O107" s="96">
        <v>46183</v>
      </c>
      <c r="P107" s="211" t="str">
        <f t="shared" si="0"/>
        <v xml:space="preserve">Trần Văn Toản, , </v>
      </c>
    </row>
    <row r="108" spans="1:16">
      <c r="A108" s="28" t="str">
        <f>"3."&amp;D108&amp;"."&amp;B108</f>
        <v>3.B.HNO.GL.VSC.201</v>
      </c>
      <c r="B108" s="28" t="str">
        <f>TEXT(COUNTIFS($C$4:C108,C108,$D$4:D108,D108,$F$4:F108,F108)+IF(F108="KT",100,IF(F108="KC",200,IF(F108="DI",300,IF(F108="DN",400,IF(F108="NU",500,IF(F108="DH",600,IF(F108="PC",700,0))))))),"000")</f>
        <v>201</v>
      </c>
      <c r="C108" s="28" t="s">
        <v>10</v>
      </c>
      <c r="D108" s="100" t="s">
        <v>226</v>
      </c>
      <c r="E108" s="28" t="s">
        <v>227</v>
      </c>
      <c r="F108" s="88" t="s">
        <v>174</v>
      </c>
      <c r="G108" s="6" t="s">
        <v>23</v>
      </c>
      <c r="H108" s="6" t="s">
        <v>156</v>
      </c>
      <c r="I108" s="82" t="s">
        <v>105</v>
      </c>
      <c r="J108" s="28" t="s">
        <v>36</v>
      </c>
      <c r="K108" s="28"/>
      <c r="L108" s="28"/>
      <c r="M108" s="28"/>
      <c r="N108" s="96">
        <v>46006</v>
      </c>
      <c r="O108" s="96">
        <v>46183</v>
      </c>
      <c r="P108" s="211" t="str">
        <f t="shared" si="0"/>
        <v xml:space="preserve">Trần Văn Toản, , </v>
      </c>
    </row>
    <row r="109" spans="1:16">
      <c r="A109" s="28" t="str">
        <f>"3."&amp;D109&amp;"."&amp;B109</f>
        <v>3.B.HNO.GL.VSC.301</v>
      </c>
      <c r="B109" s="28" t="str">
        <f>TEXT(COUNTIFS($C$4:C109,C109,$D$4:D109,D109,$F$4:F109,F109)+IF(F109="KT",100,IF(F109="KC",200,IF(F109="DI",300,IF(F109="DN",400,IF(F109="NU",500,IF(F109="DH",600,IF(F109="PC",700,0))))))),"000")</f>
        <v>301</v>
      </c>
      <c r="C109" s="28" t="s">
        <v>10</v>
      </c>
      <c r="D109" s="100" t="s">
        <v>226</v>
      </c>
      <c r="E109" s="28" t="s">
        <v>227</v>
      </c>
      <c r="F109" s="87" t="s">
        <v>182</v>
      </c>
      <c r="G109" s="6" t="s">
        <v>23</v>
      </c>
      <c r="H109" s="6" t="s">
        <v>156</v>
      </c>
      <c r="I109" s="82" t="s">
        <v>105</v>
      </c>
      <c r="J109" s="20" t="s">
        <v>206</v>
      </c>
      <c r="K109" s="20"/>
      <c r="L109" s="20"/>
      <c r="M109" s="20"/>
      <c r="N109" s="96">
        <v>46006</v>
      </c>
      <c r="O109" s="96">
        <v>46179</v>
      </c>
      <c r="P109" s="211" t="str">
        <f t="shared" si="0"/>
        <v xml:space="preserve">Nguyễn Văn Hải, , </v>
      </c>
    </row>
    <row r="110" spans="1:16">
      <c r="A110" s="28" t="str">
        <f>"3."&amp;D110&amp;"."&amp;B110</f>
        <v>3.B.HNO.GL.VSC.401</v>
      </c>
      <c r="B110" s="28" t="str">
        <f>TEXT(COUNTIFS($C$4:C110,C110,$D$4:D110,D110,$F$4:F110,F110)+IF(F110="KT",100,IF(F110="KC",200,IF(F110="DI",300,IF(F110="DN",400,IF(F110="NU",500,IF(F110="DH",600,IF(F110="PC",700,0))))))),"000")</f>
        <v>401</v>
      </c>
      <c r="C110" s="28" t="s">
        <v>10</v>
      </c>
      <c r="D110" s="100" t="s">
        <v>226</v>
      </c>
      <c r="E110" s="28" t="s">
        <v>227</v>
      </c>
      <c r="F110" s="87" t="s">
        <v>190</v>
      </c>
      <c r="G110" s="6" t="s">
        <v>23</v>
      </c>
      <c r="H110" s="6" t="s">
        <v>156</v>
      </c>
      <c r="I110" s="82" t="s">
        <v>105</v>
      </c>
      <c r="J110" s="20" t="s">
        <v>206</v>
      </c>
      <c r="K110" s="20"/>
      <c r="L110" s="20"/>
      <c r="M110" s="20"/>
      <c r="N110" s="96">
        <v>46006</v>
      </c>
      <c r="O110" s="96">
        <v>46179</v>
      </c>
      <c r="P110" s="211" t="str">
        <f t="shared" si="0"/>
        <v xml:space="preserve">Nguyễn Văn Hải, , </v>
      </c>
    </row>
    <row r="111" spans="1:16">
      <c r="A111" s="28" t="str">
        <f>"3."&amp;D111&amp;"."&amp;B111</f>
        <v>3.B.HNO.GL.VSC.501</v>
      </c>
      <c r="B111" s="28" t="str">
        <f>TEXT(COUNTIFS($C$4:C111,C111,$D$4:D111,D111,$F$4:F111,F111)+IF(F111="KT",100,IF(F111="KC",200,IF(F111="DI",300,IF(F111="DN",400,IF(F111="NU",500,IF(F111="DH",600,IF(F111="PC",700,0))))))),"000")</f>
        <v>501</v>
      </c>
      <c r="C111" s="28" t="s">
        <v>10</v>
      </c>
      <c r="D111" s="100" t="s">
        <v>226</v>
      </c>
      <c r="E111" s="28" t="s">
        <v>227</v>
      </c>
      <c r="F111" s="87" t="s">
        <v>195</v>
      </c>
      <c r="G111" s="6" t="s">
        <v>23</v>
      </c>
      <c r="H111" s="6" t="s">
        <v>156</v>
      </c>
      <c r="I111" s="82" t="s">
        <v>105</v>
      </c>
      <c r="J111" s="20" t="s">
        <v>206</v>
      </c>
      <c r="K111" s="20"/>
      <c r="L111" s="20"/>
      <c r="M111" s="20"/>
      <c r="N111" s="96">
        <v>46006</v>
      </c>
      <c r="O111" s="96">
        <v>46179</v>
      </c>
      <c r="P111" s="211" t="str">
        <f t="shared" si="0"/>
        <v xml:space="preserve">Nguyễn Văn Hải, , </v>
      </c>
    </row>
    <row r="112" spans="1:16">
      <c r="A112" s="28" t="str">
        <f>"3."&amp;D112&amp;"."&amp;B112</f>
        <v>3.B.HNO.GL.VSC.601</v>
      </c>
      <c r="B112" s="28" t="str">
        <f>TEXT(COUNTIFS($C$4:C112,C112,$D$4:D112,D112,$F$4:F112,F112)+IF(F112="KT",100,IF(F112="KC",200,IF(F112="DI",300,IF(F112="DN",400,IF(F112="NU",500,IF(F112="DH",600,IF(F112="PC",700,0))))))),"000")</f>
        <v>601</v>
      </c>
      <c r="C112" s="28" t="s">
        <v>10</v>
      </c>
      <c r="D112" s="100" t="s">
        <v>226</v>
      </c>
      <c r="E112" s="28" t="s">
        <v>227</v>
      </c>
      <c r="F112" s="87" t="s">
        <v>205</v>
      </c>
      <c r="G112" s="6" t="s">
        <v>23</v>
      </c>
      <c r="H112" s="6" t="s">
        <v>156</v>
      </c>
      <c r="I112" s="82" t="s">
        <v>105</v>
      </c>
      <c r="J112" s="20" t="s">
        <v>206</v>
      </c>
      <c r="K112" s="20"/>
      <c r="L112" s="20"/>
      <c r="M112" s="20"/>
      <c r="N112" s="96">
        <v>46006</v>
      </c>
      <c r="O112" s="96">
        <v>46179</v>
      </c>
      <c r="P112" s="211" t="str">
        <f t="shared" si="0"/>
        <v xml:space="preserve">Nguyễn Văn Hải, , </v>
      </c>
    </row>
    <row r="113" spans="1:16">
      <c r="A113" s="28" t="str">
        <f>"3."&amp;D113&amp;"."&amp;B113</f>
        <v>3.B.HNO.GL.VSC.701</v>
      </c>
      <c r="B113" s="28" t="str">
        <f>TEXT(COUNTIFS($C$4:C113,C113,$D$4:D113,D113,$F$4:F113,F113)+IF(F113="KT",100,IF(F113="KC",200,IF(F113="DI",300,IF(F113="DN",400,IF(F113="NU",500,IF(F113="DH",600,IF(F113="PC",700,0))))))),"000")</f>
        <v>701</v>
      </c>
      <c r="C113" s="28" t="s">
        <v>10</v>
      </c>
      <c r="D113" s="100" t="s">
        <v>226</v>
      </c>
      <c r="E113" s="28" t="s">
        <v>227</v>
      </c>
      <c r="F113" s="87" t="s">
        <v>200</v>
      </c>
      <c r="G113" s="6" t="s">
        <v>23</v>
      </c>
      <c r="H113" s="6" t="s">
        <v>156</v>
      </c>
      <c r="I113" s="82" t="s">
        <v>105</v>
      </c>
      <c r="J113" s="20" t="s">
        <v>206</v>
      </c>
      <c r="K113" s="20"/>
      <c r="L113" s="20"/>
      <c r="M113" s="20"/>
      <c r="N113" s="96">
        <v>46006</v>
      </c>
      <c r="O113" s="96">
        <v>46179</v>
      </c>
      <c r="P113" s="211" t="str">
        <f t="shared" si="0"/>
        <v xml:space="preserve">Nguyễn Văn Hải, , </v>
      </c>
    </row>
    <row r="114" spans="1:16">
      <c r="A114" s="28" t="str">
        <f>"3."&amp;D114&amp;"."&amp;B114</f>
        <v>3.B.HNO.GL.VUNI.101</v>
      </c>
      <c r="B114" s="28" t="str">
        <f>TEXT(COUNTIFS($C$4:C114,C114,$D$4:D114,D114,$F$4:F114,F114)+IF(F114="KT",100,IF(F114="KC",200,IF(F114="DI",300,IF(F114="DN",400,IF(F114="NU",500,IF(F114="DH",600,IF(F114="PC",700,0))))))),"000")</f>
        <v>101</v>
      </c>
      <c r="C114" s="28" t="s">
        <v>10</v>
      </c>
      <c r="D114" s="100" t="s">
        <v>231</v>
      </c>
      <c r="E114" s="28" t="s">
        <v>232</v>
      </c>
      <c r="F114" s="88" t="s">
        <v>164</v>
      </c>
      <c r="G114" s="6" t="s">
        <v>23</v>
      </c>
      <c r="H114" s="6" t="s">
        <v>156</v>
      </c>
      <c r="I114" s="82" t="s">
        <v>105</v>
      </c>
      <c r="J114" s="28" t="s">
        <v>196</v>
      </c>
      <c r="K114" s="28"/>
      <c r="L114" s="28"/>
      <c r="M114" s="28"/>
      <c r="N114" s="96">
        <v>45945</v>
      </c>
      <c r="O114" s="96">
        <v>46188</v>
      </c>
      <c r="P114" s="211" t="str">
        <f t="shared" si="0"/>
        <v xml:space="preserve">Vũ Thị Thêu, , </v>
      </c>
    </row>
    <row r="115" spans="1:16">
      <c r="A115" s="28" t="str">
        <f>"3."&amp;D115&amp;"."&amp;B115</f>
        <v>3.B.HNO.GL.VUNI.201</v>
      </c>
      <c r="B115" s="28" t="str">
        <f>TEXT(COUNTIFS($C$4:C115,C115,$D$4:D115,D115,$F$4:F115,F115)+IF(F115="KT",100,IF(F115="KC",200,IF(F115="DI",300,IF(F115="DN",400,IF(F115="NU",500,IF(F115="DH",600,IF(F115="PC",700,0))))))),"000")</f>
        <v>201</v>
      </c>
      <c r="C115" s="28" t="s">
        <v>10</v>
      </c>
      <c r="D115" s="100" t="s">
        <v>231</v>
      </c>
      <c r="E115" s="28" t="s">
        <v>232</v>
      </c>
      <c r="F115" s="88" t="s">
        <v>174</v>
      </c>
      <c r="G115" s="6" t="s">
        <v>23</v>
      </c>
      <c r="H115" s="6" t="s">
        <v>156</v>
      </c>
      <c r="I115" s="82" t="s">
        <v>105</v>
      </c>
      <c r="J115" s="28" t="s">
        <v>196</v>
      </c>
      <c r="K115" s="28"/>
      <c r="L115" s="28"/>
      <c r="M115" s="28"/>
      <c r="N115" s="96">
        <v>45947</v>
      </c>
      <c r="O115" s="96">
        <v>46188</v>
      </c>
      <c r="P115" s="211" t="str">
        <f t="shared" si="0"/>
        <v xml:space="preserve">Vũ Thị Thêu, , </v>
      </c>
    </row>
    <row r="116" spans="1:16">
      <c r="A116" s="28" t="str">
        <f>"3."&amp;D116&amp;"."&amp;B116</f>
        <v>3.B.HNO.GL.VUNI.301</v>
      </c>
      <c r="B116" s="28" t="str">
        <f>TEXT(COUNTIFS($C$4:C116,C116,$D$4:D116,D116,$F$4:F116,F116)+IF(F116="KT",100,IF(F116="KC",200,IF(F116="DI",300,IF(F116="DN",400,IF(F116="NU",500,IF(F116="DH",600,IF(F116="PC",700,0))))))),"000")</f>
        <v>301</v>
      </c>
      <c r="C116" s="28" t="s">
        <v>10</v>
      </c>
      <c r="D116" s="100" t="s">
        <v>231</v>
      </c>
      <c r="E116" s="28" t="s">
        <v>232</v>
      </c>
      <c r="F116" s="87" t="s">
        <v>182</v>
      </c>
      <c r="G116" s="6" t="s">
        <v>23</v>
      </c>
      <c r="H116" s="6" t="s">
        <v>156</v>
      </c>
      <c r="I116" s="82" t="s">
        <v>105</v>
      </c>
      <c r="J116" s="20" t="s">
        <v>206</v>
      </c>
      <c r="K116" s="20"/>
      <c r="L116" s="20"/>
      <c r="M116" s="20"/>
      <c r="N116" s="96">
        <v>46009</v>
      </c>
      <c r="O116" s="96">
        <v>46179</v>
      </c>
      <c r="P116" s="211" t="str">
        <f t="shared" si="0"/>
        <v xml:space="preserve">Nguyễn Văn Hải, , </v>
      </c>
    </row>
    <row r="117" spans="1:16">
      <c r="A117" s="28" t="str">
        <f>"3."&amp;D117&amp;"."&amp;B117</f>
        <v>3.B.HNO.GL.VUNI.401</v>
      </c>
      <c r="B117" s="28" t="str">
        <f>TEXT(COUNTIFS($C$4:C117,C117,$D$4:D117,D117,$F$4:F117,F117)+IF(F117="KT",100,IF(F117="KC",200,IF(F117="DI",300,IF(F117="DN",400,IF(F117="NU",500,IF(F117="DH",600,IF(F117="PC",700,0))))))),"000")</f>
        <v>401</v>
      </c>
      <c r="C117" s="28" t="s">
        <v>10</v>
      </c>
      <c r="D117" s="100" t="s">
        <v>231</v>
      </c>
      <c r="E117" s="28" t="s">
        <v>232</v>
      </c>
      <c r="F117" s="87" t="s">
        <v>190</v>
      </c>
      <c r="G117" s="6" t="s">
        <v>23</v>
      </c>
      <c r="H117" s="6" t="s">
        <v>156</v>
      </c>
      <c r="I117" s="82" t="s">
        <v>105</v>
      </c>
      <c r="J117" s="20" t="s">
        <v>206</v>
      </c>
      <c r="K117" s="20"/>
      <c r="L117" s="20"/>
      <c r="M117" s="20"/>
      <c r="N117" s="96">
        <v>46009</v>
      </c>
      <c r="O117" s="96">
        <v>46179</v>
      </c>
      <c r="P117" s="211" t="str">
        <f t="shared" si="0"/>
        <v xml:space="preserve">Nguyễn Văn Hải, , </v>
      </c>
    </row>
    <row r="118" spans="1:16">
      <c r="A118" s="28" t="str">
        <f>"3."&amp;D118&amp;"."&amp;B118</f>
        <v>3.B.HNO.GL.VUNI.501</v>
      </c>
      <c r="B118" s="28" t="str">
        <f>TEXT(COUNTIFS($C$4:C118,C118,$D$4:D118,D118,$F$4:F118,F118)+IF(F118="KT",100,IF(F118="KC",200,IF(F118="DI",300,IF(F118="DN",400,IF(F118="NU",500,IF(F118="DH",600,IF(F118="PC",700,0))))))),"000")</f>
        <v>501</v>
      </c>
      <c r="C118" s="28" t="s">
        <v>10</v>
      </c>
      <c r="D118" s="100" t="s">
        <v>231</v>
      </c>
      <c r="E118" s="28" t="s">
        <v>232</v>
      </c>
      <c r="F118" s="87" t="s">
        <v>195</v>
      </c>
      <c r="G118" s="6" t="s">
        <v>23</v>
      </c>
      <c r="H118" s="6" t="s">
        <v>156</v>
      </c>
      <c r="I118" s="82" t="s">
        <v>105</v>
      </c>
      <c r="J118" s="20" t="s">
        <v>206</v>
      </c>
      <c r="K118" s="20"/>
      <c r="L118" s="20"/>
      <c r="M118" s="20"/>
      <c r="N118" s="96">
        <v>46009</v>
      </c>
      <c r="O118" s="96">
        <v>46179</v>
      </c>
      <c r="P118" s="211" t="str">
        <f t="shared" si="0"/>
        <v xml:space="preserve">Nguyễn Văn Hải, , </v>
      </c>
    </row>
    <row r="119" spans="1:16">
      <c r="A119" s="28" t="str">
        <f>"3."&amp;D119&amp;"."&amp;B119</f>
        <v>3.B.HNO.GL.VUNI.601</v>
      </c>
      <c r="B119" s="28" t="str">
        <f>TEXT(COUNTIFS($C$4:C119,C119,$D$4:D119,D119,$F$4:F119,F119)+IF(F119="KT",100,IF(F119="KC",200,IF(F119="DI",300,IF(F119="DN",400,IF(F119="NU",500,IF(F119="DH",600,IF(F119="PC",700,0))))))),"000")</f>
        <v>601</v>
      </c>
      <c r="C119" s="28" t="s">
        <v>10</v>
      </c>
      <c r="D119" s="100" t="s">
        <v>231</v>
      </c>
      <c r="E119" s="28" t="s">
        <v>232</v>
      </c>
      <c r="F119" s="87" t="s">
        <v>205</v>
      </c>
      <c r="G119" s="6" t="s">
        <v>23</v>
      </c>
      <c r="H119" s="6" t="s">
        <v>156</v>
      </c>
      <c r="I119" s="82" t="s">
        <v>105</v>
      </c>
      <c r="J119" s="20" t="s">
        <v>206</v>
      </c>
      <c r="K119" s="20"/>
      <c r="L119" s="20"/>
      <c r="M119" s="20"/>
      <c r="N119" s="96">
        <v>46009</v>
      </c>
      <c r="O119" s="96">
        <v>46179</v>
      </c>
      <c r="P119" s="211" t="str">
        <f t="shared" si="0"/>
        <v xml:space="preserve">Nguyễn Văn Hải, , </v>
      </c>
    </row>
    <row r="120" spans="1:16">
      <c r="A120" s="28" t="str">
        <f>"3."&amp;D120&amp;"."&amp;B120</f>
        <v>3.B.HNO.GL.VUNI.701</v>
      </c>
      <c r="B120" s="28" t="str">
        <f>TEXT(COUNTIFS($C$4:C120,C120,$D$4:D120,D120,$F$4:F120,F120)+IF(F120="KT",100,IF(F120="KC",200,IF(F120="DI",300,IF(F120="DN",400,IF(F120="NU",500,IF(F120="DH",600,IF(F120="PC",700,0))))))),"000")</f>
        <v>701</v>
      </c>
      <c r="C120" s="28" t="s">
        <v>10</v>
      </c>
      <c r="D120" s="100" t="s">
        <v>231</v>
      </c>
      <c r="E120" s="28" t="s">
        <v>232</v>
      </c>
      <c r="F120" s="87" t="s">
        <v>200</v>
      </c>
      <c r="G120" s="6" t="s">
        <v>23</v>
      </c>
      <c r="H120" s="6" t="s">
        <v>156</v>
      </c>
      <c r="I120" s="82" t="s">
        <v>105</v>
      </c>
      <c r="J120" s="20" t="s">
        <v>206</v>
      </c>
      <c r="K120" s="20"/>
      <c r="L120" s="20"/>
      <c r="M120" s="20"/>
      <c r="N120" s="96">
        <v>46009</v>
      </c>
      <c r="O120" s="96">
        <v>46179</v>
      </c>
      <c r="P120" s="211" t="str">
        <f t="shared" si="0"/>
        <v xml:space="preserve">Nguyễn Văn Hải, , </v>
      </c>
    </row>
    <row r="121" spans="1:16">
      <c r="A121" s="28" t="str">
        <f>"3."&amp;D121&amp;"."&amp;B121</f>
        <v>3.B.HNO.GL.VUNI.102</v>
      </c>
      <c r="B121" s="28" t="str">
        <f>TEXT(COUNTIFS($C$4:C121,C121,$D$4:D121,D121,$F$4:F121,F121)+IF(F121="KT",100,IF(F121="KC",200,IF(F121="DI",300,IF(F121="DN",400,IF(F121="NU",500,IF(F121="DH",600,IF(F121="PC",700,0))))))),"000")</f>
        <v>102</v>
      </c>
      <c r="C121" s="28" t="s">
        <v>10</v>
      </c>
      <c r="D121" s="100" t="s">
        <v>231</v>
      </c>
      <c r="E121" s="28" t="s">
        <v>236</v>
      </c>
      <c r="F121" s="88" t="s">
        <v>164</v>
      </c>
      <c r="G121" s="6" t="s">
        <v>23</v>
      </c>
      <c r="H121" s="6" t="s">
        <v>156</v>
      </c>
      <c r="I121" s="82" t="s">
        <v>105</v>
      </c>
      <c r="J121" s="28" t="s">
        <v>196</v>
      </c>
      <c r="K121" s="28"/>
      <c r="L121" s="28"/>
      <c r="M121" s="28"/>
      <c r="N121" s="96">
        <v>45945</v>
      </c>
      <c r="O121" s="96">
        <v>46188</v>
      </c>
      <c r="P121" s="211" t="str">
        <f t="shared" si="0"/>
        <v xml:space="preserve">Vũ Thị Thêu, , </v>
      </c>
    </row>
    <row r="122" spans="1:16">
      <c r="A122" s="28" t="str">
        <f>"3."&amp;D122&amp;"."&amp;B122</f>
        <v>3.B.HNO.GL.VUNI.202</v>
      </c>
      <c r="B122" s="28" t="str">
        <f>TEXT(COUNTIFS($C$4:C122,C122,$D$4:D122,D122,$F$4:F122,F122)+IF(F122="KT",100,IF(F122="KC",200,IF(F122="DI",300,IF(F122="DN",400,IF(F122="NU",500,IF(F122="DH",600,IF(F122="PC",700,0))))))),"000")</f>
        <v>202</v>
      </c>
      <c r="C122" s="28" t="s">
        <v>10</v>
      </c>
      <c r="D122" s="100" t="s">
        <v>231</v>
      </c>
      <c r="E122" s="28" t="s">
        <v>236</v>
      </c>
      <c r="F122" s="88" t="s">
        <v>174</v>
      </c>
      <c r="G122" s="6" t="s">
        <v>23</v>
      </c>
      <c r="H122" s="6" t="s">
        <v>156</v>
      </c>
      <c r="I122" s="82" t="s">
        <v>105</v>
      </c>
      <c r="J122" s="28" t="s">
        <v>196</v>
      </c>
      <c r="K122" s="28"/>
      <c r="L122" s="28"/>
      <c r="M122" s="28"/>
      <c r="N122" s="96">
        <v>45947</v>
      </c>
      <c r="O122" s="96">
        <v>46188</v>
      </c>
      <c r="P122" s="211" t="str">
        <f t="shared" si="0"/>
        <v xml:space="preserve">Vũ Thị Thêu, , </v>
      </c>
    </row>
    <row r="123" spans="1:16">
      <c r="A123" s="28" t="str">
        <f>"3."&amp;D123&amp;"."&amp;B123</f>
        <v>3.B.HNO.GL.VUNI.302</v>
      </c>
      <c r="B123" s="28" t="str">
        <f>TEXT(COUNTIFS($C$4:C123,C123,$D$4:D123,D123,$F$4:F123,F123)+IF(F123="KT",100,IF(F123="KC",200,IF(F123="DI",300,IF(F123="DN",400,IF(F123="NU",500,IF(F123="DH",600,IF(F123="PC",700,0))))))),"000")</f>
        <v>302</v>
      </c>
      <c r="C123" s="28" t="s">
        <v>10</v>
      </c>
      <c r="D123" s="100" t="s">
        <v>231</v>
      </c>
      <c r="E123" s="28" t="s">
        <v>236</v>
      </c>
      <c r="F123" s="87" t="s">
        <v>182</v>
      </c>
      <c r="G123" s="6" t="s">
        <v>23</v>
      </c>
      <c r="H123" s="6" t="s">
        <v>156</v>
      </c>
      <c r="I123" s="82" t="s">
        <v>105</v>
      </c>
      <c r="J123" s="20" t="s">
        <v>206</v>
      </c>
      <c r="K123" s="20"/>
      <c r="L123" s="20"/>
      <c r="M123" s="20"/>
      <c r="N123" s="96">
        <v>46009</v>
      </c>
      <c r="O123" s="96">
        <v>46179</v>
      </c>
      <c r="P123" s="211" t="str">
        <f t="shared" si="0"/>
        <v xml:space="preserve">Nguyễn Văn Hải, , </v>
      </c>
    </row>
    <row r="124" spans="1:16">
      <c r="A124" s="28" t="str">
        <f>"3."&amp;D124&amp;"."&amp;B124</f>
        <v>3.B.HNO.GL.VUNI.402</v>
      </c>
      <c r="B124" s="28" t="str">
        <f>TEXT(COUNTIFS($C$4:C124,C124,$D$4:D124,D124,$F$4:F124,F124)+IF(F124="KT",100,IF(F124="KC",200,IF(F124="DI",300,IF(F124="DN",400,IF(F124="NU",500,IF(F124="DH",600,IF(F124="PC",700,0))))))),"000")</f>
        <v>402</v>
      </c>
      <c r="C124" s="28" t="s">
        <v>10</v>
      </c>
      <c r="D124" s="100" t="s">
        <v>231</v>
      </c>
      <c r="E124" s="28" t="s">
        <v>236</v>
      </c>
      <c r="F124" s="87" t="s">
        <v>190</v>
      </c>
      <c r="G124" s="6" t="s">
        <v>23</v>
      </c>
      <c r="H124" s="6" t="s">
        <v>156</v>
      </c>
      <c r="I124" s="82" t="s">
        <v>105</v>
      </c>
      <c r="J124" s="20" t="s">
        <v>206</v>
      </c>
      <c r="K124" s="20"/>
      <c r="L124" s="20"/>
      <c r="M124" s="20"/>
      <c r="N124" s="96">
        <v>46009</v>
      </c>
      <c r="O124" s="96">
        <v>46179</v>
      </c>
      <c r="P124" s="211" t="str">
        <f t="shared" si="0"/>
        <v xml:space="preserve">Nguyễn Văn Hải, , </v>
      </c>
    </row>
    <row r="125" spans="1:16">
      <c r="A125" s="28" t="str">
        <f>"3."&amp;D125&amp;"."&amp;B125</f>
        <v>3.B.HNO.GL.VUNI.502</v>
      </c>
      <c r="B125" s="28" t="str">
        <f>TEXT(COUNTIFS($C$4:C125,C125,$D$4:D125,D125,$F$4:F125,F125)+IF(F125="KT",100,IF(F125="KC",200,IF(F125="DI",300,IF(F125="DN",400,IF(F125="NU",500,IF(F125="DH",600,IF(F125="PC",700,0))))))),"000")</f>
        <v>502</v>
      </c>
      <c r="C125" s="28" t="s">
        <v>10</v>
      </c>
      <c r="D125" s="100" t="s">
        <v>231</v>
      </c>
      <c r="E125" s="28" t="s">
        <v>236</v>
      </c>
      <c r="F125" s="87" t="s">
        <v>195</v>
      </c>
      <c r="G125" s="6" t="s">
        <v>23</v>
      </c>
      <c r="H125" s="6" t="s">
        <v>156</v>
      </c>
      <c r="I125" s="82" t="s">
        <v>105</v>
      </c>
      <c r="J125" s="20" t="s">
        <v>206</v>
      </c>
      <c r="K125" s="20"/>
      <c r="L125" s="20"/>
      <c r="M125" s="20"/>
      <c r="N125" s="96">
        <v>46009</v>
      </c>
      <c r="O125" s="96">
        <v>46179</v>
      </c>
      <c r="P125" s="211" t="str">
        <f t="shared" ref="P125:P189" si="6">J125&amp;", "&amp;K125&amp;", "&amp;L125</f>
        <v xml:space="preserve">Nguyễn Văn Hải, , </v>
      </c>
    </row>
    <row r="126" spans="1:16">
      <c r="A126" s="28" t="str">
        <f>"3."&amp;D126&amp;"."&amp;B126</f>
        <v>3.B.HNO.GL.VUNI.602</v>
      </c>
      <c r="B126" s="28" t="str">
        <f>TEXT(COUNTIFS($C$4:C126,C126,$D$4:D126,D126,$F$4:F126,F126)+IF(F126="KT",100,IF(F126="KC",200,IF(F126="DI",300,IF(F126="DN",400,IF(F126="NU",500,IF(F126="DH",600,IF(F126="PC",700,0))))))),"000")</f>
        <v>602</v>
      </c>
      <c r="C126" s="28" t="s">
        <v>10</v>
      </c>
      <c r="D126" s="100" t="s">
        <v>231</v>
      </c>
      <c r="E126" s="28" t="s">
        <v>236</v>
      </c>
      <c r="F126" s="87" t="s">
        <v>205</v>
      </c>
      <c r="G126" s="6" t="s">
        <v>23</v>
      </c>
      <c r="H126" s="6" t="s">
        <v>156</v>
      </c>
      <c r="I126" s="82" t="s">
        <v>105</v>
      </c>
      <c r="J126" s="20" t="s">
        <v>206</v>
      </c>
      <c r="K126" s="20"/>
      <c r="L126" s="20"/>
      <c r="M126" s="20"/>
      <c r="N126" s="96">
        <v>46009</v>
      </c>
      <c r="O126" s="96">
        <v>46179</v>
      </c>
      <c r="P126" s="211" t="str">
        <f t="shared" si="6"/>
        <v xml:space="preserve">Nguyễn Văn Hải, , </v>
      </c>
    </row>
    <row r="127" spans="1:16">
      <c r="A127" s="28" t="str">
        <f>"3."&amp;D127&amp;"."&amp;B127</f>
        <v>3.B.HNO.GL.VUNI.702</v>
      </c>
      <c r="B127" s="28" t="str">
        <f>TEXT(COUNTIFS($C$4:C127,C127,$D$4:D127,D127,$F$4:F127,F127)+IF(F127="KT",100,IF(F127="KC",200,IF(F127="DI",300,IF(F127="DN",400,IF(F127="NU",500,IF(F127="DH",600,IF(F127="PC",700,0))))))),"000")</f>
        <v>702</v>
      </c>
      <c r="C127" s="28" t="s">
        <v>10</v>
      </c>
      <c r="D127" s="100" t="s">
        <v>231</v>
      </c>
      <c r="E127" s="28" t="s">
        <v>236</v>
      </c>
      <c r="F127" s="87" t="s">
        <v>200</v>
      </c>
      <c r="G127" s="6" t="s">
        <v>23</v>
      </c>
      <c r="H127" s="6" t="s">
        <v>156</v>
      </c>
      <c r="I127" s="82" t="s">
        <v>105</v>
      </c>
      <c r="J127" s="20" t="s">
        <v>206</v>
      </c>
      <c r="K127" s="20"/>
      <c r="L127" s="20"/>
      <c r="M127" s="20"/>
      <c r="N127" s="96">
        <v>46009</v>
      </c>
      <c r="O127" s="96">
        <v>46179</v>
      </c>
      <c r="P127" s="211" t="str">
        <f t="shared" si="6"/>
        <v xml:space="preserve">Nguyễn Văn Hải, , </v>
      </c>
    </row>
    <row r="128" spans="1:16">
      <c r="A128" s="28" t="str">
        <f>"3."&amp;D128&amp;"."&amp;B128</f>
        <v>3.B.HNO.GL.VUNI.103</v>
      </c>
      <c r="B128" s="28" t="str">
        <f>TEXT(COUNTIFS($C$4:C128,C128,$D$4:D128,D128,$F$4:F128,F128)+IF(F128="KT",100,IF(F128="KC",200,IF(F128="DI",300,IF(F128="DN",400,IF(F128="NU",500,IF(F128="DH",600,IF(F128="PC",700,0))))))),"000")</f>
        <v>103</v>
      </c>
      <c r="C128" s="28" t="s">
        <v>10</v>
      </c>
      <c r="D128" s="100" t="s">
        <v>231</v>
      </c>
      <c r="E128" s="28" t="s">
        <v>240</v>
      </c>
      <c r="F128" s="88" t="s">
        <v>164</v>
      </c>
      <c r="G128" s="6" t="s">
        <v>23</v>
      </c>
      <c r="H128" s="6" t="s">
        <v>156</v>
      </c>
      <c r="I128" s="82" t="s">
        <v>105</v>
      </c>
      <c r="J128" s="28" t="s">
        <v>196</v>
      </c>
      <c r="K128" s="28"/>
      <c r="L128" s="28"/>
      <c r="M128" s="28"/>
      <c r="N128" s="96">
        <v>45945</v>
      </c>
      <c r="O128" s="96">
        <v>46188</v>
      </c>
      <c r="P128" s="211" t="str">
        <f t="shared" si="6"/>
        <v xml:space="preserve">Vũ Thị Thêu, , </v>
      </c>
    </row>
    <row r="129" spans="1:16">
      <c r="A129" s="28" t="str">
        <f>"3."&amp;D129&amp;"."&amp;B129</f>
        <v>3.B.HNO.GL.VUNI.203</v>
      </c>
      <c r="B129" s="28" t="str">
        <f>TEXT(COUNTIFS($C$4:C129,C129,$D$4:D129,D129,$F$4:F129,F129)+IF(F129="KT",100,IF(F129="KC",200,IF(F129="DI",300,IF(F129="DN",400,IF(F129="NU",500,IF(F129="DH",600,IF(F129="PC",700,0))))))),"000")</f>
        <v>203</v>
      </c>
      <c r="C129" s="28" t="s">
        <v>10</v>
      </c>
      <c r="D129" s="100" t="s">
        <v>231</v>
      </c>
      <c r="E129" s="28" t="s">
        <v>240</v>
      </c>
      <c r="F129" s="88" t="s">
        <v>174</v>
      </c>
      <c r="G129" s="6" t="s">
        <v>23</v>
      </c>
      <c r="H129" s="6" t="s">
        <v>156</v>
      </c>
      <c r="I129" s="82" t="s">
        <v>105</v>
      </c>
      <c r="J129" s="28" t="s">
        <v>196</v>
      </c>
      <c r="K129" s="28"/>
      <c r="L129" s="28"/>
      <c r="M129" s="28"/>
      <c r="N129" s="96">
        <v>45947</v>
      </c>
      <c r="O129" s="96">
        <v>46188</v>
      </c>
      <c r="P129" s="211" t="str">
        <f t="shared" si="6"/>
        <v xml:space="preserve">Vũ Thị Thêu, , </v>
      </c>
    </row>
    <row r="130" spans="1:16">
      <c r="A130" s="28" t="str">
        <f>"3."&amp;D130&amp;"."&amp;B130</f>
        <v>3.B.HNO.GL.VUNI.303</v>
      </c>
      <c r="B130" s="28" t="str">
        <f>TEXT(COUNTIFS($C$4:C130,C130,$D$4:D130,D130,$F$4:F130,F130)+IF(F130="KT",100,IF(F130="KC",200,IF(F130="DI",300,IF(F130="DN",400,IF(F130="NU",500,IF(F130="DH",600,IF(F130="PC",700,0))))))),"000")</f>
        <v>303</v>
      </c>
      <c r="C130" s="28" t="s">
        <v>10</v>
      </c>
      <c r="D130" s="100" t="s">
        <v>231</v>
      </c>
      <c r="E130" s="28" t="s">
        <v>240</v>
      </c>
      <c r="F130" s="87" t="s">
        <v>182</v>
      </c>
      <c r="G130" s="6" t="s">
        <v>23</v>
      </c>
      <c r="H130" s="6" t="s">
        <v>156</v>
      </c>
      <c r="I130" s="82" t="s">
        <v>105</v>
      </c>
      <c r="J130" s="20" t="s">
        <v>206</v>
      </c>
      <c r="K130" s="20"/>
      <c r="L130" s="20"/>
      <c r="M130" s="20"/>
      <c r="N130" s="96">
        <v>46009</v>
      </c>
      <c r="O130" s="96">
        <v>46179</v>
      </c>
      <c r="P130" s="211" t="str">
        <f t="shared" si="6"/>
        <v xml:space="preserve">Nguyễn Văn Hải, , </v>
      </c>
    </row>
    <row r="131" spans="1:16">
      <c r="A131" s="28" t="str">
        <f>"3."&amp;D131&amp;"."&amp;B131</f>
        <v>3.B.HNO.GL.VUNI.403</v>
      </c>
      <c r="B131" s="28" t="str">
        <f>TEXT(COUNTIFS($C$4:C131,C131,$D$4:D131,D131,$F$4:F131,F131)+IF(F131="KT",100,IF(F131="KC",200,IF(F131="DI",300,IF(F131="DN",400,IF(F131="NU",500,IF(F131="DH",600,IF(F131="PC",700,0))))))),"000")</f>
        <v>403</v>
      </c>
      <c r="C131" s="28" t="s">
        <v>10</v>
      </c>
      <c r="D131" s="100" t="s">
        <v>231</v>
      </c>
      <c r="E131" s="28" t="s">
        <v>240</v>
      </c>
      <c r="F131" s="87" t="s">
        <v>190</v>
      </c>
      <c r="G131" s="6" t="s">
        <v>23</v>
      </c>
      <c r="H131" s="6" t="s">
        <v>156</v>
      </c>
      <c r="I131" s="82" t="s">
        <v>105</v>
      </c>
      <c r="J131" s="20" t="s">
        <v>206</v>
      </c>
      <c r="K131" s="20"/>
      <c r="L131" s="20"/>
      <c r="M131" s="20"/>
      <c r="N131" s="96">
        <v>46009</v>
      </c>
      <c r="O131" s="96">
        <v>46179</v>
      </c>
      <c r="P131" s="211" t="str">
        <f t="shared" si="6"/>
        <v xml:space="preserve">Nguyễn Văn Hải, , </v>
      </c>
    </row>
    <row r="132" spans="1:16">
      <c r="A132" s="28" t="str">
        <f>"3."&amp;D132&amp;"."&amp;B132</f>
        <v>3.B.HNO.GL.VUNI.503</v>
      </c>
      <c r="B132" s="28" t="str">
        <f>TEXT(COUNTIFS($C$4:C132,C132,$D$4:D132,D132,$F$4:F132,F132)+IF(F132="KT",100,IF(F132="KC",200,IF(F132="DI",300,IF(F132="DN",400,IF(F132="NU",500,IF(F132="DH",600,IF(F132="PC",700,0))))))),"000")</f>
        <v>503</v>
      </c>
      <c r="C132" s="28" t="s">
        <v>10</v>
      </c>
      <c r="D132" s="100" t="s">
        <v>231</v>
      </c>
      <c r="E132" s="28" t="s">
        <v>240</v>
      </c>
      <c r="F132" s="87" t="s">
        <v>195</v>
      </c>
      <c r="G132" s="6" t="s">
        <v>23</v>
      </c>
      <c r="H132" s="6" t="s">
        <v>156</v>
      </c>
      <c r="I132" s="82" t="s">
        <v>105</v>
      </c>
      <c r="J132" s="20" t="s">
        <v>206</v>
      </c>
      <c r="K132" s="20"/>
      <c r="L132" s="20"/>
      <c r="M132" s="20"/>
      <c r="N132" s="96">
        <v>46009</v>
      </c>
      <c r="O132" s="96">
        <v>46179</v>
      </c>
      <c r="P132" s="211" t="str">
        <f t="shared" si="6"/>
        <v xml:space="preserve">Nguyễn Văn Hải, , </v>
      </c>
    </row>
    <row r="133" spans="1:16">
      <c r="A133" s="28" t="str">
        <f>"3."&amp;D133&amp;"."&amp;B133</f>
        <v>3.B.HNO.GL.VUNI.603</v>
      </c>
      <c r="B133" s="28" t="str">
        <f>TEXT(COUNTIFS($C$4:C133,C133,$D$4:D133,D133,$F$4:F133,F133)+IF(F133="KT",100,IF(F133="KC",200,IF(F133="DI",300,IF(F133="DN",400,IF(F133="NU",500,IF(F133="DH",600,IF(F133="PC",700,0))))))),"000")</f>
        <v>603</v>
      </c>
      <c r="C133" s="28" t="s">
        <v>10</v>
      </c>
      <c r="D133" s="100" t="s">
        <v>231</v>
      </c>
      <c r="E133" s="28" t="s">
        <v>240</v>
      </c>
      <c r="F133" s="87" t="s">
        <v>205</v>
      </c>
      <c r="G133" s="6" t="s">
        <v>23</v>
      </c>
      <c r="H133" s="6" t="s">
        <v>156</v>
      </c>
      <c r="I133" s="82" t="s">
        <v>105</v>
      </c>
      <c r="J133" s="20" t="s">
        <v>206</v>
      </c>
      <c r="K133" s="20"/>
      <c r="L133" s="20"/>
      <c r="M133" s="20"/>
      <c r="N133" s="96">
        <v>46009</v>
      </c>
      <c r="O133" s="96">
        <v>46179</v>
      </c>
      <c r="P133" s="211" t="str">
        <f t="shared" si="6"/>
        <v xml:space="preserve">Nguyễn Văn Hải, , </v>
      </c>
    </row>
    <row r="134" spans="1:16">
      <c r="A134" s="28" t="str">
        <f>"3."&amp;D134&amp;"."&amp;B134</f>
        <v>3.B.HNO.GL.VUNI.703</v>
      </c>
      <c r="B134" s="28" t="str">
        <f>TEXT(COUNTIFS($C$4:C134,C134,$D$4:D134,D134,$F$4:F134,F134)+IF(F134="KT",100,IF(F134="KC",200,IF(F134="DI",300,IF(F134="DN",400,IF(F134="NU",500,IF(F134="DH",600,IF(F134="PC",700,0))))))),"000")</f>
        <v>703</v>
      </c>
      <c r="C134" s="28" t="s">
        <v>10</v>
      </c>
      <c r="D134" s="100" t="s">
        <v>231</v>
      </c>
      <c r="E134" s="28" t="s">
        <v>240</v>
      </c>
      <c r="F134" s="87" t="s">
        <v>200</v>
      </c>
      <c r="G134" s="6" t="s">
        <v>23</v>
      </c>
      <c r="H134" s="6" t="s">
        <v>156</v>
      </c>
      <c r="I134" s="82" t="s">
        <v>105</v>
      </c>
      <c r="J134" s="20" t="s">
        <v>206</v>
      </c>
      <c r="K134" s="20"/>
      <c r="L134" s="20"/>
      <c r="M134" s="20"/>
      <c r="N134" s="96">
        <v>46009</v>
      </c>
      <c r="O134" s="96">
        <v>46179</v>
      </c>
      <c r="P134" s="211" t="str">
        <f t="shared" si="6"/>
        <v xml:space="preserve">Nguyễn Văn Hải, , </v>
      </c>
    </row>
    <row r="135" spans="1:16">
      <c r="A135" s="28" t="str">
        <f>"3."&amp;D135&amp;"."&amp;B135</f>
        <v>3.B.HNO.GL.VUNI.104</v>
      </c>
      <c r="B135" s="28" t="str">
        <f>TEXT(COUNTIFS($C$4:C135,C135,$D$4:D135,D135,$F$4:F135,F135)+IF(F135="KT",100,IF(F135="KC",200,IF(F135="DI",300,IF(F135="DN",400,IF(F135="NU",500,IF(F135="DH",600,IF(F135="PC",700,0))))))),"000")</f>
        <v>104</v>
      </c>
      <c r="C135" s="28" t="s">
        <v>10</v>
      </c>
      <c r="D135" s="100" t="s">
        <v>231</v>
      </c>
      <c r="E135" s="28" t="s">
        <v>245</v>
      </c>
      <c r="F135" s="88" t="s">
        <v>164</v>
      </c>
      <c r="G135" s="6" t="s">
        <v>23</v>
      </c>
      <c r="H135" s="6" t="s">
        <v>156</v>
      </c>
      <c r="I135" s="82" t="s">
        <v>105</v>
      </c>
      <c r="J135" s="28" t="s">
        <v>196</v>
      </c>
      <c r="K135" s="28"/>
      <c r="L135" s="28"/>
      <c r="M135" s="28"/>
      <c r="N135" s="96">
        <v>45906</v>
      </c>
      <c r="O135" s="96">
        <v>46186</v>
      </c>
      <c r="P135" s="211" t="str">
        <f t="shared" si="6"/>
        <v xml:space="preserve">Vũ Thị Thêu, , </v>
      </c>
    </row>
    <row r="136" spans="1:16">
      <c r="A136" s="28" t="str">
        <f>"3."&amp;D136&amp;"."&amp;B136</f>
        <v>3.B.HNO.GL.VUNI.204</v>
      </c>
      <c r="B136" s="28" t="str">
        <f>TEXT(COUNTIFS($C$4:C136,C136,$D$4:D136,D136,$F$4:F136,F136)+IF(F136="KT",100,IF(F136="KC",200,IF(F136="DI",300,IF(F136="DN",400,IF(F136="NU",500,IF(F136="DH",600,IF(F136="PC",700,0))))))),"000")</f>
        <v>204</v>
      </c>
      <c r="C136" s="28" t="s">
        <v>10</v>
      </c>
      <c r="D136" s="100" t="s">
        <v>231</v>
      </c>
      <c r="E136" s="28" t="s">
        <v>245</v>
      </c>
      <c r="F136" s="88" t="s">
        <v>174</v>
      </c>
      <c r="G136" s="6" t="s">
        <v>23</v>
      </c>
      <c r="H136" s="6" t="s">
        <v>156</v>
      </c>
      <c r="I136" s="82" t="s">
        <v>105</v>
      </c>
      <c r="J136" s="28" t="s">
        <v>196</v>
      </c>
      <c r="K136" s="28"/>
      <c r="L136" s="28"/>
      <c r="M136" s="28"/>
      <c r="N136" s="96">
        <v>45918</v>
      </c>
      <c r="O136" s="96">
        <v>46186</v>
      </c>
      <c r="P136" s="211" t="str">
        <f t="shared" si="6"/>
        <v xml:space="preserve">Vũ Thị Thêu, , </v>
      </c>
    </row>
    <row r="137" spans="1:16">
      <c r="A137" s="28" t="str">
        <f>"3."&amp;D137&amp;"."&amp;B137</f>
        <v>3.B.HNO.GL.VUNI.105</v>
      </c>
      <c r="B137" s="28" t="str">
        <f>TEXT(COUNTIFS($C$4:C137,C137,$D$4:D137,D137,$F$4:F137,F137)+IF(F137="KT",100,IF(F137="KC",200,IF(F137="DI",300,IF(F137="DN",400,IF(F137="NU",500,IF(F137="DH",600,IF(F137="PC",700,0))))))),"000")</f>
        <v>105</v>
      </c>
      <c r="C137" s="28" t="s">
        <v>10</v>
      </c>
      <c r="D137" s="100" t="s">
        <v>231</v>
      </c>
      <c r="E137" s="28" t="s">
        <v>249</v>
      </c>
      <c r="F137" s="88" t="s">
        <v>164</v>
      </c>
      <c r="G137" s="6" t="s">
        <v>23</v>
      </c>
      <c r="H137" s="6" t="s">
        <v>156</v>
      </c>
      <c r="I137" s="82" t="s">
        <v>105</v>
      </c>
      <c r="J137" s="28" t="s">
        <v>196</v>
      </c>
      <c r="K137" s="28"/>
      <c r="L137" s="28"/>
      <c r="M137" s="28"/>
      <c r="N137" s="96">
        <v>45906</v>
      </c>
      <c r="O137" s="96">
        <v>46186</v>
      </c>
      <c r="P137" s="211" t="str">
        <f t="shared" si="6"/>
        <v xml:space="preserve">Vũ Thị Thêu, , </v>
      </c>
    </row>
    <row r="138" spans="1:16">
      <c r="A138" s="28" t="str">
        <f>"3."&amp;D138&amp;"."&amp;B138</f>
        <v>3.B.HNO.GL.VUNI.205</v>
      </c>
      <c r="B138" s="28" t="str">
        <f>TEXT(COUNTIFS($C$4:C138,C138,$D$4:D138,D138,$F$4:F138,F138)+IF(F138="KT",100,IF(F138="KC",200,IF(F138="DI",300,IF(F138="DN",400,IF(F138="NU",500,IF(F138="DH",600,IF(F138="PC",700,0))))))),"000")</f>
        <v>205</v>
      </c>
      <c r="C138" s="28" t="s">
        <v>10</v>
      </c>
      <c r="D138" s="100" t="s">
        <v>231</v>
      </c>
      <c r="E138" s="28" t="s">
        <v>249</v>
      </c>
      <c r="F138" s="88" t="s">
        <v>174</v>
      </c>
      <c r="G138" s="6" t="s">
        <v>23</v>
      </c>
      <c r="H138" s="6" t="s">
        <v>156</v>
      </c>
      <c r="I138" s="82" t="s">
        <v>105</v>
      </c>
      <c r="J138" s="28" t="s">
        <v>196</v>
      </c>
      <c r="K138" s="28"/>
      <c r="L138" s="28"/>
      <c r="M138" s="28"/>
      <c r="N138" s="96">
        <v>45918</v>
      </c>
      <c r="O138" s="96">
        <v>46186</v>
      </c>
      <c r="P138" s="211" t="str">
        <f t="shared" si="6"/>
        <v xml:space="preserve">Vũ Thị Thêu, , </v>
      </c>
    </row>
    <row r="139" spans="1:16">
      <c r="A139" s="28" t="str">
        <f>"3."&amp;D139&amp;"."&amp;B139</f>
        <v>3.B.HNO.TMDM.VSC.101</v>
      </c>
      <c r="B139" s="28" t="str">
        <f>TEXT(COUNTIFS($C$4:C139,C139,$D$4:D139,D139,$F$4:F139,F139)+IF(F139="KT",100,IF(F139="KC",200,IF(F139="DI",300,IF(F139="DN",400,IF(F139="NU",500,IF(F139="DH",600,IF(F139="PC",700,0))))))),"000")</f>
        <v>101</v>
      </c>
      <c r="C139" s="28" t="s">
        <v>10</v>
      </c>
      <c r="D139" s="100" t="s">
        <v>253</v>
      </c>
      <c r="E139" s="28" t="s">
        <v>254</v>
      </c>
      <c r="F139" s="88" t="s">
        <v>164</v>
      </c>
      <c r="G139" s="6" t="s">
        <v>23</v>
      </c>
      <c r="H139" s="6" t="s">
        <v>156</v>
      </c>
      <c r="I139" s="82" t="s">
        <v>105</v>
      </c>
      <c r="J139" s="28" t="s">
        <v>34</v>
      </c>
      <c r="K139" s="28"/>
      <c r="L139" s="28"/>
      <c r="M139" s="28"/>
      <c r="N139" s="96">
        <v>46066</v>
      </c>
      <c r="O139" s="96">
        <v>46171</v>
      </c>
      <c r="P139" s="211" t="str">
        <f t="shared" si="6"/>
        <v xml:space="preserve">Trần Văn Diện, , </v>
      </c>
    </row>
    <row r="140" spans="1:16">
      <c r="A140" s="28" t="str">
        <f>"3."&amp;D140&amp;"."&amp;B140</f>
        <v>3.B.HNO.TMDM.VSC.201</v>
      </c>
      <c r="B140" s="28" t="str">
        <f>TEXT(COUNTIFS($C$4:C140,C140,$D$4:D140,D140,$F$4:F140,F140)+IF(F140="KT",100,IF(F140="KC",200,IF(F140="DI",300,IF(F140="DN",400,IF(F140="NU",500,IF(F140="DH",600,IF(F140="PC",700,0))))))),"000")</f>
        <v>201</v>
      </c>
      <c r="C140" s="28" t="s">
        <v>10</v>
      </c>
      <c r="D140" s="100" t="s">
        <v>253</v>
      </c>
      <c r="E140" s="28" t="s">
        <v>254</v>
      </c>
      <c r="F140" s="88" t="s">
        <v>174</v>
      </c>
      <c r="G140" s="6" t="s">
        <v>23</v>
      </c>
      <c r="H140" s="6" t="s">
        <v>156</v>
      </c>
      <c r="I140" s="82" t="s">
        <v>105</v>
      </c>
      <c r="J140" s="28" t="s">
        <v>34</v>
      </c>
      <c r="K140" s="28"/>
      <c r="L140" s="28"/>
      <c r="M140" s="28"/>
      <c r="N140" s="96">
        <v>46087</v>
      </c>
      <c r="O140" s="96">
        <v>46171</v>
      </c>
      <c r="P140" s="211" t="str">
        <f t="shared" si="6"/>
        <v xml:space="preserve">Trần Văn Diện, , </v>
      </c>
    </row>
    <row r="141" spans="1:16">
      <c r="A141" s="28" t="str">
        <f>"3."&amp;D141&amp;"."&amp;B141</f>
        <v>3.B.HNO.TMDM.VSC.301</v>
      </c>
      <c r="B141" s="28" t="str">
        <f>TEXT(COUNTIFS($C$4:C141,C141,$D$4:D141,D141,$F$4:F141,F141)+IF(F141="KT",100,IF(F141="KC",200,IF(F141="DI",300,IF(F141="DN",400,IF(F141="NU",500,IF(F141="DH",600,IF(F141="PC",700,0))))))),"000")</f>
        <v>301</v>
      </c>
      <c r="C141" s="28" t="s">
        <v>10</v>
      </c>
      <c r="D141" s="100" t="s">
        <v>253</v>
      </c>
      <c r="E141" s="28" t="s">
        <v>254</v>
      </c>
      <c r="F141" s="87" t="s">
        <v>182</v>
      </c>
      <c r="G141" s="6" t="s">
        <v>23</v>
      </c>
      <c r="H141" s="6" t="s">
        <v>156</v>
      </c>
      <c r="I141" s="82" t="s">
        <v>105</v>
      </c>
      <c r="J141" s="20" t="s">
        <v>206</v>
      </c>
      <c r="K141" s="20"/>
      <c r="L141" s="20"/>
      <c r="M141" s="20"/>
      <c r="N141" s="96">
        <v>46087</v>
      </c>
      <c r="O141" s="96">
        <v>46179</v>
      </c>
      <c r="P141" s="211" t="str">
        <f t="shared" si="6"/>
        <v xml:space="preserve">Nguyễn Văn Hải, , </v>
      </c>
    </row>
    <row r="142" spans="1:16">
      <c r="A142" s="28" t="str">
        <f>"3."&amp;D142&amp;"."&amp;B142</f>
        <v>3.B.HNO.TMDM.VSC.401</v>
      </c>
      <c r="B142" s="28" t="str">
        <f>TEXT(COUNTIFS($C$4:C142,C142,$D$4:D142,D142,$F$4:F142,F142)+IF(F142="KT",100,IF(F142="KC",200,IF(F142="DI",300,IF(F142="DN",400,IF(F142="NU",500,IF(F142="DH",600,IF(F142="PC",700,0))))))),"000")</f>
        <v>401</v>
      </c>
      <c r="C142" s="28" t="s">
        <v>10</v>
      </c>
      <c r="D142" s="100" t="s">
        <v>253</v>
      </c>
      <c r="E142" s="28" t="s">
        <v>254</v>
      </c>
      <c r="F142" s="87" t="s">
        <v>190</v>
      </c>
      <c r="G142" s="6" t="s">
        <v>23</v>
      </c>
      <c r="H142" s="6" t="s">
        <v>156</v>
      </c>
      <c r="I142" s="82" t="s">
        <v>105</v>
      </c>
      <c r="J142" s="20" t="s">
        <v>206</v>
      </c>
      <c r="K142" s="20"/>
      <c r="L142" s="20"/>
      <c r="M142" s="20"/>
      <c r="N142" s="96">
        <v>46087</v>
      </c>
      <c r="O142" s="96">
        <v>46179</v>
      </c>
      <c r="P142" s="211" t="str">
        <f t="shared" si="6"/>
        <v xml:space="preserve">Nguyễn Văn Hải, , </v>
      </c>
    </row>
    <row r="143" spans="1:16">
      <c r="A143" s="28" t="str">
        <f>"3."&amp;D143&amp;"."&amp;B143</f>
        <v>3.B.HNO.TMDM.VSC.501</v>
      </c>
      <c r="B143" s="28" t="str">
        <f>TEXT(COUNTIFS($C$4:C143,C143,$D$4:D143,D143,$F$4:F143,F143)+IF(F143="KT",100,IF(F143="KC",200,IF(F143="DI",300,IF(F143="DN",400,IF(F143="NU",500,IF(F143="DH",600,IF(F143="PC",700,0))))))),"000")</f>
        <v>501</v>
      </c>
      <c r="C143" s="28" t="s">
        <v>10</v>
      </c>
      <c r="D143" s="100" t="s">
        <v>253</v>
      </c>
      <c r="E143" s="28" t="s">
        <v>254</v>
      </c>
      <c r="F143" s="87" t="s">
        <v>195</v>
      </c>
      <c r="G143" s="6" t="s">
        <v>23</v>
      </c>
      <c r="H143" s="6" t="s">
        <v>156</v>
      </c>
      <c r="I143" s="82" t="s">
        <v>105</v>
      </c>
      <c r="J143" s="20" t="s">
        <v>206</v>
      </c>
      <c r="K143" s="20"/>
      <c r="L143" s="20"/>
      <c r="M143" s="20"/>
      <c r="N143" s="96">
        <v>46087</v>
      </c>
      <c r="O143" s="96">
        <v>46179</v>
      </c>
      <c r="P143" s="211" t="str">
        <f t="shared" si="6"/>
        <v xml:space="preserve">Nguyễn Văn Hải, , </v>
      </c>
    </row>
    <row r="144" spans="1:16">
      <c r="A144" s="28" t="str">
        <f>"3."&amp;D144&amp;"."&amp;B144</f>
        <v>3.B.HNO.TMDM.VSC.601</v>
      </c>
      <c r="B144" s="28" t="str">
        <f>TEXT(COUNTIFS($C$4:C144,C144,$D$4:D144,D144,$F$4:F144,F144)+IF(F144="KT",100,IF(F144="KC",200,IF(F144="DI",300,IF(F144="DN",400,IF(F144="NU",500,IF(F144="DH",600,IF(F144="PC",700,0))))))),"000")</f>
        <v>601</v>
      </c>
      <c r="C144" s="28" t="s">
        <v>10</v>
      </c>
      <c r="D144" s="100" t="s">
        <v>253</v>
      </c>
      <c r="E144" s="28" t="s">
        <v>254</v>
      </c>
      <c r="F144" s="87" t="s">
        <v>205</v>
      </c>
      <c r="G144" s="6" t="s">
        <v>23</v>
      </c>
      <c r="H144" s="6" t="s">
        <v>156</v>
      </c>
      <c r="I144" s="82" t="s">
        <v>105</v>
      </c>
      <c r="J144" s="20" t="s">
        <v>206</v>
      </c>
      <c r="K144" s="20"/>
      <c r="L144" s="20"/>
      <c r="M144" s="20"/>
      <c r="N144" s="96">
        <v>46087</v>
      </c>
      <c r="O144" s="96">
        <v>46179</v>
      </c>
      <c r="P144" s="211" t="str">
        <f t="shared" si="6"/>
        <v xml:space="preserve">Nguyễn Văn Hải, , </v>
      </c>
    </row>
    <row r="145" spans="1:16">
      <c r="A145" s="28" t="str">
        <f>"3."&amp;D145&amp;"."&amp;B145</f>
        <v>3.B.HNO.TMDM.VSC.701</v>
      </c>
      <c r="B145" s="28" t="str">
        <f>TEXT(COUNTIFS($C$4:C145,C145,$D$4:D145,D145,$F$4:F145,F145)+IF(F145="KT",100,IF(F145="KC",200,IF(F145="DI",300,IF(F145="DN",400,IF(F145="NU",500,IF(F145="DH",600,IF(F145="PC",700,0))))))),"000")</f>
        <v>701</v>
      </c>
      <c r="C145" s="28" t="s">
        <v>10</v>
      </c>
      <c r="D145" s="100" t="s">
        <v>253</v>
      </c>
      <c r="E145" s="28" t="s">
        <v>254</v>
      </c>
      <c r="F145" s="87" t="s">
        <v>200</v>
      </c>
      <c r="G145" s="6" t="s">
        <v>23</v>
      </c>
      <c r="H145" s="6" t="s">
        <v>156</v>
      </c>
      <c r="I145" s="82" t="s">
        <v>105</v>
      </c>
      <c r="J145" s="20" t="s">
        <v>206</v>
      </c>
      <c r="K145" s="20"/>
      <c r="L145" s="20"/>
      <c r="M145" s="20"/>
      <c r="N145" s="96">
        <v>46087</v>
      </c>
      <c r="O145" s="96">
        <v>46179</v>
      </c>
      <c r="P145" s="211" t="str">
        <f t="shared" si="6"/>
        <v xml:space="preserve">Nguyễn Văn Hải, , </v>
      </c>
    </row>
    <row r="146" spans="1:16">
      <c r="A146" s="28" t="str">
        <f>"3."&amp;D146&amp;"."&amp;B146</f>
        <v>3.B.HNO.VHOHN.KS.101</v>
      </c>
      <c r="B146" s="28" t="str">
        <f>TEXT(COUNTIFS($C$4:C146,C146,$D$4:D146,D146,$F$4:F146,F146)+IF(F146="KT",100,IF(F146="KC",200,IF(F146="DI",300,IF(F146="DN",400,IF(F146="NU",500,IF(F146="DH",600,IF(F146="PC",700,0))))))),"000")</f>
        <v>101</v>
      </c>
      <c r="C146" s="28" t="s">
        <v>10</v>
      </c>
      <c r="D146" s="100" t="s">
        <v>263</v>
      </c>
      <c r="E146" s="28" t="s">
        <v>264</v>
      </c>
      <c r="F146" s="88" t="s">
        <v>164</v>
      </c>
      <c r="G146" s="6" t="s">
        <v>18</v>
      </c>
      <c r="H146" s="6" t="s">
        <v>156</v>
      </c>
      <c r="I146" s="82" t="s">
        <v>105</v>
      </c>
      <c r="J146" s="28" t="s">
        <v>31</v>
      </c>
      <c r="K146" s="28"/>
      <c r="L146" s="28"/>
      <c r="M146" s="28"/>
      <c r="N146" s="96">
        <v>46177</v>
      </c>
      <c r="O146" s="96">
        <v>46177</v>
      </c>
      <c r="P146" s="211" t="str">
        <f t="shared" si="6"/>
        <v xml:space="preserve">Lý Huy Thành, , </v>
      </c>
    </row>
    <row r="147" spans="1:16">
      <c r="A147" s="28" t="str">
        <f>"3."&amp;D147&amp;"."&amp;B147</f>
        <v>3.B.HNO.VHOHN.KS.102</v>
      </c>
      <c r="B147" s="28" t="str">
        <f>TEXT(COUNTIFS($C$4:C147,C147,$D$4:D147,D147,$F$4:F147,F147)+IF(F147="KT",100,IF(F147="KC",200,IF(F147="DI",300,IF(F147="DN",400,IF(F147="NU",500,IF(F147="DH",600,IF(F147="PC",700,0))))))),"000")</f>
        <v>102</v>
      </c>
      <c r="C147" s="28" t="s">
        <v>10</v>
      </c>
      <c r="D147" s="100" t="s">
        <v>263</v>
      </c>
      <c r="E147" s="28" t="s">
        <v>264</v>
      </c>
      <c r="F147" s="88" t="s">
        <v>164</v>
      </c>
      <c r="G147" s="6" t="s">
        <v>23</v>
      </c>
      <c r="H147" s="6" t="s">
        <v>156</v>
      </c>
      <c r="I147" s="82" t="s">
        <v>105</v>
      </c>
      <c r="J147" s="28" t="s">
        <v>31</v>
      </c>
      <c r="K147" s="28"/>
      <c r="L147" s="28"/>
      <c r="M147" s="28"/>
      <c r="N147" s="96">
        <v>46177</v>
      </c>
      <c r="O147" s="96">
        <v>46305</v>
      </c>
      <c r="P147" s="211" t="str">
        <f>J147&amp;", "&amp;K147&amp;", "&amp;L147</f>
        <v xml:space="preserve">Lý Huy Thành, , </v>
      </c>
    </row>
    <row r="148" spans="1:16">
      <c r="A148" s="28" t="str">
        <f>"3."&amp;D148&amp;"."&amp;B148</f>
        <v>3.B.HNO.VHOHN.KS.201</v>
      </c>
      <c r="B148" s="28" t="str">
        <f>TEXT(COUNTIFS($C$4:C148,C148,$D$4:D148,D148,$F$4:F148,F148)+IF(F148="KT",100,IF(F148="KC",200,IF(F148="DI",300,IF(F148="DN",400,IF(F148="NU",500,IF(F148="DH",600,IF(F148="PC",700,0))))))),"000")</f>
        <v>201</v>
      </c>
      <c r="C148" s="28" t="s">
        <v>10</v>
      </c>
      <c r="D148" s="100" t="s">
        <v>263</v>
      </c>
      <c r="E148" s="28" t="s">
        <v>264</v>
      </c>
      <c r="F148" s="88" t="s">
        <v>174</v>
      </c>
      <c r="G148" s="6" t="s">
        <v>18</v>
      </c>
      <c r="H148" s="6" t="s">
        <v>156</v>
      </c>
      <c r="I148" s="82" t="s">
        <v>105</v>
      </c>
      <c r="J148" s="28" t="s">
        <v>31</v>
      </c>
      <c r="K148" s="28"/>
      <c r="L148" s="28"/>
      <c r="M148" s="28"/>
      <c r="N148" s="96">
        <v>46177</v>
      </c>
      <c r="O148" s="96">
        <v>46177</v>
      </c>
      <c r="P148" s="211" t="str">
        <f t="shared" si="6"/>
        <v xml:space="preserve">Lý Huy Thành, , </v>
      </c>
    </row>
    <row r="149" spans="1:16">
      <c r="A149" s="28" t="str">
        <f>"3."&amp;D149&amp;"."&amp;B149</f>
        <v>3.B.HNO.VHOHN.KS.202</v>
      </c>
      <c r="B149" s="28" t="str">
        <f>TEXT(COUNTIFS($C$4:C149,C149,$D$4:D149,D149,$F$4:F149,F149)+IF(F149="KT",100,IF(F149="KC",200,IF(F149="DI",300,IF(F149="DN",400,IF(F149="NU",500,IF(F149="DH",600,IF(F149="PC",700,0))))))),"000")</f>
        <v>202</v>
      </c>
      <c r="C149" s="28" t="s">
        <v>10</v>
      </c>
      <c r="D149" s="100" t="s">
        <v>263</v>
      </c>
      <c r="E149" s="28" t="s">
        <v>264</v>
      </c>
      <c r="F149" s="88" t="s">
        <v>174</v>
      </c>
      <c r="G149" s="6" t="s">
        <v>23</v>
      </c>
      <c r="H149" s="6" t="s">
        <v>156</v>
      </c>
      <c r="I149" s="82" t="s">
        <v>105</v>
      </c>
      <c r="J149" s="28" t="s">
        <v>31</v>
      </c>
      <c r="K149" s="28"/>
      <c r="L149" s="28"/>
      <c r="M149" s="28"/>
      <c r="N149" s="96">
        <v>46177</v>
      </c>
      <c r="O149" s="96">
        <v>46305</v>
      </c>
      <c r="P149" s="211" t="str">
        <f>J149&amp;", "&amp;K149&amp;", "&amp;L149</f>
        <v xml:space="preserve">Lý Huy Thành, , </v>
      </c>
    </row>
    <row r="150" spans="1:16">
      <c r="A150" s="28" t="str">
        <f>"3."&amp;D150&amp;"."&amp;B150</f>
        <v>3.B.HNO.VHOHN.KS.301</v>
      </c>
      <c r="B150" s="28" t="str">
        <f>TEXT(COUNTIFS($C$4:C150,C150,$D$4:D150,D150,$F$4:F150,F150)+IF(F150="KT",100,IF(F150="KC",200,IF(F150="DI",300,IF(F150="DN",400,IF(F150="NU",500,IF(F150="DH",600,IF(F150="PC",700,0))))))),"000")</f>
        <v>301</v>
      </c>
      <c r="C150" s="28" t="s">
        <v>10</v>
      </c>
      <c r="D150" s="100" t="s">
        <v>263</v>
      </c>
      <c r="E150" s="28" t="s">
        <v>264</v>
      </c>
      <c r="F150" s="87" t="s">
        <v>182</v>
      </c>
      <c r="G150" s="6" t="s">
        <v>23</v>
      </c>
      <c r="H150" s="6" t="s">
        <v>156</v>
      </c>
      <c r="I150" s="82" t="s">
        <v>105</v>
      </c>
      <c r="J150" s="20" t="s">
        <v>201</v>
      </c>
      <c r="K150" s="20"/>
      <c r="L150" s="20"/>
      <c r="M150" s="20"/>
      <c r="N150" s="96">
        <v>46177</v>
      </c>
      <c r="O150" s="96">
        <v>46305</v>
      </c>
      <c r="P150" s="211" t="str">
        <f t="shared" si="6"/>
        <v xml:space="preserve">Ngô Tuấn Vũ, , </v>
      </c>
    </row>
    <row r="151" spans="1:16">
      <c r="A151" s="28" t="str">
        <f>"3."&amp;D151&amp;"."&amp;B151</f>
        <v>3.B.HNO.VHOHN.KS.401</v>
      </c>
      <c r="B151" s="28" t="str">
        <f>TEXT(COUNTIFS($C$4:C151,C151,$D$4:D151,D151,$F$4:F151,F151)+IF(F151="KT",100,IF(F151="KC",200,IF(F151="DI",300,IF(F151="DN",400,IF(F151="NU",500,IF(F151="DH",600,IF(F151="PC",700,0))))))),"000")</f>
        <v>401</v>
      </c>
      <c r="C151" s="28" t="s">
        <v>10</v>
      </c>
      <c r="D151" s="100" t="s">
        <v>263</v>
      </c>
      <c r="E151" s="28" t="s">
        <v>264</v>
      </c>
      <c r="F151" s="87" t="s">
        <v>190</v>
      </c>
      <c r="G151" s="6" t="s">
        <v>23</v>
      </c>
      <c r="H151" s="6" t="s">
        <v>156</v>
      </c>
      <c r="I151" s="82" t="s">
        <v>105</v>
      </c>
      <c r="J151" s="20" t="s">
        <v>201</v>
      </c>
      <c r="K151" s="20"/>
      <c r="L151" s="20"/>
      <c r="M151" s="20"/>
      <c r="N151" s="96">
        <v>46177</v>
      </c>
      <c r="O151" s="96">
        <v>46305</v>
      </c>
      <c r="P151" s="211" t="str">
        <f t="shared" si="6"/>
        <v xml:space="preserve">Ngô Tuấn Vũ, , </v>
      </c>
    </row>
    <row r="152" spans="1:16">
      <c r="A152" s="28" t="str">
        <f>"3."&amp;D152&amp;"."&amp;B152</f>
        <v>3.B.HNO.VHOHN.KS.501</v>
      </c>
      <c r="B152" s="28" t="str">
        <f>TEXT(COUNTIFS($C$4:C152,C152,$D$4:D152,D152,$F$4:F152,F152)+IF(F152="KT",100,IF(F152="KC",200,IF(F152="DI",300,IF(F152="DN",400,IF(F152="NU",500,IF(F152="DH",600,IF(F152="PC",700,0))))))),"000")</f>
        <v>501</v>
      </c>
      <c r="C152" s="28" t="s">
        <v>10</v>
      </c>
      <c r="D152" s="100" t="s">
        <v>263</v>
      </c>
      <c r="E152" s="28" t="s">
        <v>264</v>
      </c>
      <c r="F152" s="87" t="s">
        <v>195</v>
      </c>
      <c r="G152" s="6" t="s">
        <v>23</v>
      </c>
      <c r="H152" s="6" t="s">
        <v>156</v>
      </c>
      <c r="I152" s="82" t="s">
        <v>105</v>
      </c>
      <c r="J152" s="20" t="s">
        <v>201</v>
      </c>
      <c r="K152" s="20"/>
      <c r="L152" s="20"/>
      <c r="M152" s="20"/>
      <c r="N152" s="96">
        <v>46177</v>
      </c>
      <c r="O152" s="96">
        <v>46305</v>
      </c>
      <c r="P152" s="211" t="str">
        <f t="shared" si="6"/>
        <v xml:space="preserve">Ngô Tuấn Vũ, , </v>
      </c>
    </row>
    <row r="153" spans="1:16">
      <c r="A153" s="28" t="str">
        <f>"3."&amp;D153&amp;"."&amp;B153</f>
        <v>3.B.HNO.VHOHN.KS.601</v>
      </c>
      <c r="B153" s="28" t="str">
        <f>TEXT(COUNTIFS($C$4:C153,C153,$D$4:D153,D153,$F$4:F153,F153)+IF(F153="KT",100,IF(F153="KC",200,IF(F153="DI",300,IF(F153="DN",400,IF(F153="NU",500,IF(F153="DH",600,IF(F153="PC",700,0))))))),"000")</f>
        <v>601</v>
      </c>
      <c r="C153" s="28" t="s">
        <v>10</v>
      </c>
      <c r="D153" s="100" t="s">
        <v>263</v>
      </c>
      <c r="E153" s="28" t="s">
        <v>264</v>
      </c>
      <c r="F153" s="87" t="s">
        <v>205</v>
      </c>
      <c r="G153" s="6" t="s">
        <v>23</v>
      </c>
      <c r="H153" s="6" t="s">
        <v>156</v>
      </c>
      <c r="I153" s="82" t="s">
        <v>105</v>
      </c>
      <c r="J153" s="20" t="s">
        <v>201</v>
      </c>
      <c r="K153" s="20"/>
      <c r="L153" s="20"/>
      <c r="M153" s="20"/>
      <c r="N153" s="96">
        <v>46177</v>
      </c>
      <c r="O153" s="96">
        <v>46305</v>
      </c>
      <c r="P153" s="211" t="str">
        <f t="shared" si="6"/>
        <v xml:space="preserve">Ngô Tuấn Vũ, , </v>
      </c>
    </row>
    <row r="154" spans="1:16">
      <c r="A154" s="28" t="str">
        <f>"3."&amp;D154&amp;"."&amp;B154</f>
        <v>3.B.HNO.VHOHN.KS.701</v>
      </c>
      <c r="B154" s="28" t="str">
        <f>TEXT(COUNTIFS($C$4:C154,C154,$D$4:D154,D154,$F$4:F154,F154)+IF(F154="KT",100,IF(F154="KC",200,IF(F154="DI",300,IF(F154="DN",400,IF(F154="NU",500,IF(F154="DH",600,IF(F154="PC",700,0))))))),"000")</f>
        <v>701</v>
      </c>
      <c r="C154" s="28" t="s">
        <v>10</v>
      </c>
      <c r="D154" s="100" t="s">
        <v>263</v>
      </c>
      <c r="E154" s="28" t="s">
        <v>264</v>
      </c>
      <c r="F154" s="87" t="s">
        <v>200</v>
      </c>
      <c r="G154" s="6" t="s">
        <v>23</v>
      </c>
      <c r="H154" s="6" t="s">
        <v>156</v>
      </c>
      <c r="I154" s="82" t="s">
        <v>105</v>
      </c>
      <c r="J154" s="20" t="s">
        <v>201</v>
      </c>
      <c r="K154" s="20"/>
      <c r="L154" s="20"/>
      <c r="M154" s="20"/>
      <c r="N154" s="96">
        <v>46177</v>
      </c>
      <c r="O154" s="96">
        <v>46305</v>
      </c>
      <c r="P154" s="211" t="str">
        <f t="shared" si="6"/>
        <v xml:space="preserve">Ngô Tuấn Vũ, , </v>
      </c>
    </row>
    <row r="155" spans="1:16">
      <c r="A155" s="28" t="str">
        <f>"3."&amp;D155&amp;"."&amp;B155</f>
        <v>3.B.HNO.VHOHN.SVD.101</v>
      </c>
      <c r="B155" s="28" t="str">
        <f>TEXT(COUNTIFS($C$4:C155,C155,$D$4:D155,D155,$F$4:F155,F155)+IF(F155="KT",100,IF(F155="KC",200,IF(F155="DI",300,IF(F155="DN",400,IF(F155="NU",500,IF(F155="DH",600,IF(F155="PC",700,0))))))),"000")</f>
        <v>101</v>
      </c>
      <c r="C155" s="28" t="s">
        <v>10</v>
      </c>
      <c r="D155" s="100" t="s">
        <v>269</v>
      </c>
      <c r="E155" s="28" t="s">
        <v>270</v>
      </c>
      <c r="F155" s="88" t="s">
        <v>164</v>
      </c>
      <c r="G155" s="20" t="s">
        <v>23</v>
      </c>
      <c r="H155" s="20" t="s">
        <v>156</v>
      </c>
      <c r="I155" s="28" t="s">
        <v>105</v>
      </c>
      <c r="J155" s="28" t="s">
        <v>32</v>
      </c>
      <c r="K155" s="28" t="s">
        <v>35</v>
      </c>
      <c r="L155" s="28"/>
      <c r="M155" s="28"/>
      <c r="N155" s="96">
        <v>46053</v>
      </c>
      <c r="O155" s="96">
        <v>46191</v>
      </c>
      <c r="P155" s="211" t="str">
        <f t="shared" si="6"/>
        <v xml:space="preserve">Nguyễn Hải Nam, Đặng Minh Quang, </v>
      </c>
    </row>
    <row r="156" spans="1:16">
      <c r="A156" s="28" t="str">
        <f>"3."&amp;D156&amp;"."&amp;B156</f>
        <v>3.B.HNO.VHOHN.SVD.201</v>
      </c>
      <c r="B156" s="28" t="str">
        <f>TEXT(COUNTIFS($C$4:C156,C156,$D$4:D156,D156,$F$4:F156,F156)+IF(F156="KT",100,IF(F156="KC",200,IF(F156="DI",300,IF(F156="DN",400,IF(F156="NU",500,IF(F156="DH",600,IF(F156="PC",700,0))))))),"000")</f>
        <v>201</v>
      </c>
      <c r="C156" s="28" t="s">
        <v>10</v>
      </c>
      <c r="D156" s="100" t="s">
        <v>269</v>
      </c>
      <c r="E156" s="28" t="s">
        <v>270</v>
      </c>
      <c r="F156" s="88" t="s">
        <v>174</v>
      </c>
      <c r="G156" s="6" t="s">
        <v>23</v>
      </c>
      <c r="H156" s="6" t="s">
        <v>156</v>
      </c>
      <c r="I156" s="82" t="s">
        <v>105</v>
      </c>
      <c r="J156" s="28" t="s">
        <v>32</v>
      </c>
      <c r="K156" s="28" t="s">
        <v>35</v>
      </c>
      <c r="L156" s="28"/>
      <c r="M156" s="28"/>
      <c r="N156" s="96">
        <v>46053</v>
      </c>
      <c r="O156" s="96">
        <v>46191</v>
      </c>
      <c r="P156" s="211" t="str">
        <f t="shared" si="6"/>
        <v xml:space="preserve">Nguyễn Hải Nam, Đặng Minh Quang, </v>
      </c>
    </row>
    <row r="157" spans="1:16">
      <c r="A157" s="28" t="str">
        <f>"3."&amp;D157&amp;"."&amp;B157</f>
        <v>3.B.HNO.VHOHN.SVD.301</v>
      </c>
      <c r="B157" s="28" t="str">
        <f>TEXT(COUNTIFS($C$4:C157,C157,$D$4:D157,D157,$F$4:F157,F157)+IF(F157="KT",100,IF(F157="KC",200,IF(F157="DI",300,IF(F157="DN",400,IF(F157="NU",500,IF(F157="DH",600,IF(F157="PC",700,0))))))),"000")</f>
        <v>301</v>
      </c>
      <c r="C157" s="28" t="s">
        <v>10</v>
      </c>
      <c r="D157" s="100" t="s">
        <v>269</v>
      </c>
      <c r="E157" s="28" t="s">
        <v>270</v>
      </c>
      <c r="F157" s="87" t="s">
        <v>182</v>
      </c>
      <c r="G157" s="6" t="s">
        <v>23</v>
      </c>
      <c r="H157" s="6" t="s">
        <v>156</v>
      </c>
      <c r="I157" s="82" t="s">
        <v>105</v>
      </c>
      <c r="J157" s="20" t="s">
        <v>206</v>
      </c>
      <c r="K157" s="20"/>
      <c r="L157" s="20"/>
      <c r="M157" s="20"/>
      <c r="N157" s="96">
        <v>46053</v>
      </c>
      <c r="O157" s="96">
        <v>46191</v>
      </c>
      <c r="P157" s="211" t="str">
        <f t="shared" si="6"/>
        <v xml:space="preserve">Nguyễn Văn Hải, , </v>
      </c>
    </row>
    <row r="158" spans="1:16">
      <c r="A158" s="28" t="str">
        <f>"3."&amp;D158&amp;"."&amp;B158</f>
        <v>3.B.HNO.VHOHN.SVD.401</v>
      </c>
      <c r="B158" s="28" t="str">
        <f>TEXT(COUNTIFS($C$4:C158,C158,$D$4:D158,D158,$F$4:F158,F158)+IF(F158="KT",100,IF(F158="KC",200,IF(F158="DI",300,IF(F158="DN",400,IF(F158="NU",500,IF(F158="DH",600,IF(F158="PC",700,0))))))),"000")</f>
        <v>401</v>
      </c>
      <c r="C158" s="28" t="s">
        <v>10</v>
      </c>
      <c r="D158" s="100" t="s">
        <v>269</v>
      </c>
      <c r="E158" s="28" t="s">
        <v>270</v>
      </c>
      <c r="F158" s="87" t="s">
        <v>190</v>
      </c>
      <c r="G158" s="6" t="s">
        <v>23</v>
      </c>
      <c r="H158" s="6" t="s">
        <v>156</v>
      </c>
      <c r="I158" s="82" t="s">
        <v>105</v>
      </c>
      <c r="J158" s="20" t="s">
        <v>206</v>
      </c>
      <c r="K158" s="20"/>
      <c r="L158" s="20"/>
      <c r="M158" s="20"/>
      <c r="N158" s="96">
        <v>46053</v>
      </c>
      <c r="O158" s="96">
        <v>46191</v>
      </c>
      <c r="P158" s="211" t="str">
        <f t="shared" si="6"/>
        <v xml:space="preserve">Nguyễn Văn Hải, , </v>
      </c>
    </row>
    <row r="159" spans="1:16">
      <c r="A159" s="28" t="str">
        <f>"3."&amp;D159&amp;"."&amp;B159</f>
        <v>3.B.HNO.VHOHN.SVD.501</v>
      </c>
      <c r="B159" s="28" t="str">
        <f>TEXT(COUNTIFS($C$4:C159,C159,$D$4:D159,D159,$F$4:F159,F159)+IF(F159="KT",100,IF(F159="KC",200,IF(F159="DI",300,IF(F159="DN",400,IF(F159="NU",500,IF(F159="DH",600,IF(F159="PC",700,0))))))),"000")</f>
        <v>501</v>
      </c>
      <c r="C159" s="28" t="s">
        <v>10</v>
      </c>
      <c r="D159" s="100" t="s">
        <v>269</v>
      </c>
      <c r="E159" s="28" t="s">
        <v>270</v>
      </c>
      <c r="F159" s="87" t="s">
        <v>195</v>
      </c>
      <c r="G159" s="6" t="s">
        <v>23</v>
      </c>
      <c r="H159" s="6" t="s">
        <v>156</v>
      </c>
      <c r="I159" s="82" t="s">
        <v>105</v>
      </c>
      <c r="J159" s="20" t="s">
        <v>206</v>
      </c>
      <c r="K159" s="20"/>
      <c r="L159" s="20"/>
      <c r="M159" s="20"/>
      <c r="N159" s="96">
        <v>46053</v>
      </c>
      <c r="O159" s="96">
        <v>46191</v>
      </c>
      <c r="P159" s="211" t="str">
        <f t="shared" si="6"/>
        <v xml:space="preserve">Nguyễn Văn Hải, , </v>
      </c>
    </row>
    <row r="160" spans="1:16">
      <c r="A160" s="28" t="str">
        <f>"3."&amp;D160&amp;"."&amp;B160</f>
        <v>3.B.HNO.VHOHN.SVD.601</v>
      </c>
      <c r="B160" s="28" t="str">
        <f>TEXT(COUNTIFS($C$4:C160,C160,$D$4:D160,D160,$F$4:F160,F160)+IF(F160="KT",100,IF(F160="KC",200,IF(F160="DI",300,IF(F160="DN",400,IF(F160="NU",500,IF(F160="DH",600,IF(F160="PC",700,0))))))),"000")</f>
        <v>601</v>
      </c>
      <c r="C160" s="28" t="s">
        <v>10</v>
      </c>
      <c r="D160" s="100" t="s">
        <v>269</v>
      </c>
      <c r="E160" s="28" t="s">
        <v>270</v>
      </c>
      <c r="F160" s="87" t="s">
        <v>205</v>
      </c>
      <c r="G160" s="6" t="s">
        <v>23</v>
      </c>
      <c r="H160" s="6" t="s">
        <v>156</v>
      </c>
      <c r="I160" s="82" t="s">
        <v>105</v>
      </c>
      <c r="J160" s="20" t="s">
        <v>206</v>
      </c>
      <c r="K160" s="20"/>
      <c r="L160" s="20"/>
      <c r="M160" s="20"/>
      <c r="N160" s="96">
        <v>46053</v>
      </c>
      <c r="O160" s="96">
        <v>46191</v>
      </c>
      <c r="P160" s="211" t="str">
        <f t="shared" si="6"/>
        <v xml:space="preserve">Nguyễn Văn Hải, , </v>
      </c>
    </row>
    <row r="161" spans="1:16">
      <c r="A161" s="28" t="str">
        <f>"3."&amp;D161&amp;"."&amp;B161</f>
        <v>3.B.HNO.VHOHN.SVD.701</v>
      </c>
      <c r="B161" s="28" t="str">
        <f>TEXT(COUNTIFS($C$4:C161,C161,$D$4:D161,D161,$F$4:F161,F161)+IF(F161="KT",100,IF(F161="KC",200,IF(F161="DI",300,IF(F161="DN",400,IF(F161="NU",500,IF(F161="DH",600,IF(F161="PC",700,0))))))),"000")</f>
        <v>701</v>
      </c>
      <c r="C161" s="28" t="s">
        <v>10</v>
      </c>
      <c r="D161" s="100" t="s">
        <v>269</v>
      </c>
      <c r="E161" s="28" t="s">
        <v>270</v>
      </c>
      <c r="F161" s="87" t="s">
        <v>200</v>
      </c>
      <c r="G161" s="6" t="s">
        <v>23</v>
      </c>
      <c r="H161" s="6" t="s">
        <v>156</v>
      </c>
      <c r="I161" s="82" t="s">
        <v>105</v>
      </c>
      <c r="J161" s="20" t="s">
        <v>206</v>
      </c>
      <c r="K161" s="20"/>
      <c r="L161" s="20"/>
      <c r="M161" s="20"/>
      <c r="N161" s="96">
        <v>46053</v>
      </c>
      <c r="O161" s="96">
        <v>46191</v>
      </c>
      <c r="P161" s="211" t="str">
        <f t="shared" si="6"/>
        <v xml:space="preserve">Nguyễn Văn Hải, , </v>
      </c>
    </row>
    <row r="162" spans="1:16">
      <c r="A162" s="28" t="str">
        <f>"3."&amp;D162&amp;"."&amp;B162</f>
        <v>3.B.HPH.VYHP.VSC.101</v>
      </c>
      <c r="B162" s="28" t="str">
        <f>TEXT(COUNTIFS($C$4:C162,C162,$D$4:D162,D162,$F$4:F162,F162)+IF(F162="KT",100,IF(F162="KC",200,IF(F162="DI",300,IF(F162="DN",400,IF(F162="NU",500,IF(F162="DH",600,IF(F162="PC",700,0))))))),"000")</f>
        <v>101</v>
      </c>
      <c r="C162" s="28" t="s">
        <v>10</v>
      </c>
      <c r="D162" s="100" t="s">
        <v>273</v>
      </c>
      <c r="E162" s="28" t="s">
        <v>274</v>
      </c>
      <c r="F162" s="88" t="s">
        <v>164</v>
      </c>
      <c r="G162" s="6" t="s">
        <v>23</v>
      </c>
      <c r="H162" s="20" t="s">
        <v>156</v>
      </c>
      <c r="I162" s="82" t="s">
        <v>105</v>
      </c>
      <c r="J162" s="28" t="s">
        <v>36</v>
      </c>
      <c r="K162" s="28"/>
      <c r="L162" s="28"/>
      <c r="M162" s="28"/>
      <c r="N162" s="96">
        <v>45978</v>
      </c>
      <c r="O162" s="96">
        <v>46183</v>
      </c>
      <c r="P162" s="211" t="str">
        <f t="shared" si="6"/>
        <v xml:space="preserve">Trần Văn Toản, , </v>
      </c>
    </row>
    <row r="163" spans="1:16">
      <c r="A163" s="28" t="str">
        <f>"3."&amp;D163&amp;"."&amp;B163</f>
        <v>3.B.HPH.VYHP.VSC.201</v>
      </c>
      <c r="B163" s="28" t="str">
        <f>TEXT(COUNTIFS($C$4:C163,C163,$D$4:D163,D163,$F$4:F163,F163)+IF(F163="KT",100,IF(F163="KC",200,IF(F163="DI",300,IF(F163="DN",400,IF(F163="NU",500,IF(F163="DH",600,IF(F163="PC",700,0))))))),"000")</f>
        <v>201</v>
      </c>
      <c r="C163" s="28" t="s">
        <v>10</v>
      </c>
      <c r="D163" s="100" t="s">
        <v>273</v>
      </c>
      <c r="E163" s="28" t="s">
        <v>274</v>
      </c>
      <c r="F163" s="88" t="s">
        <v>174</v>
      </c>
      <c r="G163" s="6" t="s">
        <v>23</v>
      </c>
      <c r="H163" s="20" t="s">
        <v>156</v>
      </c>
      <c r="I163" s="82" t="s">
        <v>105</v>
      </c>
      <c r="J163" s="28" t="s">
        <v>36</v>
      </c>
      <c r="K163" s="28"/>
      <c r="L163" s="28"/>
      <c r="M163" s="28"/>
      <c r="N163" s="96">
        <v>45978</v>
      </c>
      <c r="O163" s="96">
        <v>46183</v>
      </c>
      <c r="P163" s="211" t="str">
        <f t="shared" si="6"/>
        <v xml:space="preserve">Trần Văn Toản, , </v>
      </c>
    </row>
    <row r="164" spans="1:16">
      <c r="A164" s="28" t="str">
        <f>"3."&amp;D164&amp;"."&amp;B164</f>
        <v>3.B.HYE.NOXHHY.CT.101</v>
      </c>
      <c r="B164" s="28" t="str">
        <f>TEXT(COUNTIFS($C$4:C164,C164,$D$4:D164,D164,$F$4:F164,F164)+IF(F164="KT",100,IF(F164="KC",200,IF(F164="DI",300,IF(F164="DN",400,IF(F164="NU",500,IF(F164="DH",600,IF(F164="PC",700,0))))))),"000")</f>
        <v>101</v>
      </c>
      <c r="C164" s="28" t="s">
        <v>10</v>
      </c>
      <c r="D164" s="100" t="s">
        <v>277</v>
      </c>
      <c r="E164" s="28" t="s">
        <v>278</v>
      </c>
      <c r="F164" s="88" t="s">
        <v>164</v>
      </c>
      <c r="G164" s="6" t="s">
        <v>23</v>
      </c>
      <c r="H164" s="20" t="s">
        <v>156</v>
      </c>
      <c r="I164" s="82" t="s">
        <v>105</v>
      </c>
      <c r="J164" s="28" t="s">
        <v>33</v>
      </c>
      <c r="K164" s="28"/>
      <c r="L164" s="28"/>
      <c r="M164" s="28"/>
      <c r="N164" s="96">
        <v>46115</v>
      </c>
      <c r="O164" s="96">
        <v>46211</v>
      </c>
      <c r="P164" s="211" t="str">
        <f t="shared" si="6"/>
        <v xml:space="preserve">Đỗ Minh Ngọc, , </v>
      </c>
    </row>
    <row r="165" spans="1:16">
      <c r="A165" s="28" t="str">
        <f>"3."&amp;D165&amp;"."&amp;B165</f>
        <v>3.B.HYE.NOXHHY.CT.201</v>
      </c>
      <c r="B165" s="28" t="str">
        <f>TEXT(COUNTIFS($C$4:C165,C165,$D$4:D165,D165,$F$4:F165,F165)+IF(F165="KT",100,IF(F165="KC",200,IF(F165="DI",300,IF(F165="DN",400,IF(F165="NU",500,IF(F165="DH",600,IF(F165="PC",700,0))))))),"000")</f>
        <v>201</v>
      </c>
      <c r="C165" s="28" t="s">
        <v>10</v>
      </c>
      <c r="D165" s="100" t="s">
        <v>277</v>
      </c>
      <c r="E165" s="28" t="s">
        <v>278</v>
      </c>
      <c r="F165" s="88" t="s">
        <v>174</v>
      </c>
      <c r="G165" s="6" t="s">
        <v>23</v>
      </c>
      <c r="H165" s="20" t="s">
        <v>156</v>
      </c>
      <c r="I165" s="82" t="s">
        <v>105</v>
      </c>
      <c r="J165" s="28" t="s">
        <v>33</v>
      </c>
      <c r="K165" s="28"/>
      <c r="L165" s="28"/>
      <c r="M165" s="28"/>
      <c r="N165" s="96">
        <v>46135</v>
      </c>
      <c r="O165" s="96">
        <v>46211</v>
      </c>
      <c r="P165" s="211" t="str">
        <f t="shared" si="6"/>
        <v xml:space="preserve">Đỗ Minh Ngọc, , </v>
      </c>
    </row>
    <row r="166" spans="1:16">
      <c r="A166" s="28" t="str">
        <f>"3."&amp;D166&amp;"."&amp;B166</f>
        <v>3.B.HYE.NOXHHY.CT.301</v>
      </c>
      <c r="B166" s="28" t="str">
        <f>TEXT(COUNTIFS($C$4:C166,C166,$D$4:D166,D166,$F$4:F166,F166)+IF(F166="KT",100,IF(F166="KC",200,IF(F166="DI",300,IF(F166="DN",400,IF(F166="NU",500,IF(F166="DH",600,IF(F166="PC",700,0))))))),"000")</f>
        <v>301</v>
      </c>
      <c r="C166" s="28" t="s">
        <v>10</v>
      </c>
      <c r="D166" s="100" t="s">
        <v>277</v>
      </c>
      <c r="E166" s="28" t="s">
        <v>278</v>
      </c>
      <c r="F166" s="87" t="s">
        <v>182</v>
      </c>
      <c r="G166" s="6" t="s">
        <v>23</v>
      </c>
      <c r="H166" s="6" t="s">
        <v>156</v>
      </c>
      <c r="I166" s="82" t="s">
        <v>105</v>
      </c>
      <c r="J166" s="20" t="s">
        <v>216</v>
      </c>
      <c r="K166" s="20"/>
      <c r="L166" s="20"/>
      <c r="M166" s="20"/>
      <c r="N166" s="96">
        <v>46135</v>
      </c>
      <c r="O166" s="96">
        <v>46186</v>
      </c>
      <c r="P166" s="211" t="str">
        <f t="shared" si="6"/>
        <v xml:space="preserve">Đặng Thái Sơn, , </v>
      </c>
    </row>
    <row r="167" spans="1:16">
      <c r="A167" s="28" t="str">
        <f>"3."&amp;D167&amp;"."&amp;B167</f>
        <v>3.B.HYE.NOXHHY.CT.401</v>
      </c>
      <c r="B167" s="28" t="str">
        <f>TEXT(COUNTIFS($C$4:C167,C167,$D$4:D167,D167,$F$4:F167,F167)+IF(F167="KT",100,IF(F167="KC",200,IF(F167="DI",300,IF(F167="DN",400,IF(F167="NU",500,IF(F167="DH",600,IF(F167="PC",700,0))))))),"000")</f>
        <v>401</v>
      </c>
      <c r="C167" s="28" t="s">
        <v>10</v>
      </c>
      <c r="D167" s="100" t="s">
        <v>277</v>
      </c>
      <c r="E167" s="28" t="s">
        <v>278</v>
      </c>
      <c r="F167" s="87" t="s">
        <v>190</v>
      </c>
      <c r="G167" s="6" t="s">
        <v>23</v>
      </c>
      <c r="H167" s="6" t="s">
        <v>156</v>
      </c>
      <c r="I167" s="82" t="s">
        <v>105</v>
      </c>
      <c r="J167" s="20" t="s">
        <v>216</v>
      </c>
      <c r="K167" s="20"/>
      <c r="L167" s="20"/>
      <c r="M167" s="20"/>
      <c r="N167" s="96">
        <v>46135</v>
      </c>
      <c r="O167" s="96">
        <v>46186</v>
      </c>
      <c r="P167" s="211" t="str">
        <f t="shared" si="6"/>
        <v xml:space="preserve">Đặng Thái Sơn, , </v>
      </c>
    </row>
    <row r="168" spans="1:16">
      <c r="A168" s="28" t="str">
        <f>"3."&amp;D168&amp;"."&amp;B168</f>
        <v>3.B.HYE.NOXHHY.CT.501</v>
      </c>
      <c r="B168" s="28" t="str">
        <f>TEXT(COUNTIFS($C$4:C168,C168,$D$4:D168,D168,$F$4:F168,F168)+IF(F168="KT",100,IF(F168="KC",200,IF(F168="DI",300,IF(F168="DN",400,IF(F168="NU",500,IF(F168="DH",600,IF(F168="PC",700,0))))))),"000")</f>
        <v>501</v>
      </c>
      <c r="C168" s="28" t="s">
        <v>10</v>
      </c>
      <c r="D168" s="100" t="s">
        <v>277</v>
      </c>
      <c r="E168" s="28" t="s">
        <v>278</v>
      </c>
      <c r="F168" s="87" t="s">
        <v>195</v>
      </c>
      <c r="G168" s="6" t="s">
        <v>23</v>
      </c>
      <c r="H168" s="6" t="s">
        <v>156</v>
      </c>
      <c r="I168" s="82" t="s">
        <v>105</v>
      </c>
      <c r="J168" s="20" t="s">
        <v>216</v>
      </c>
      <c r="K168" s="20"/>
      <c r="L168" s="20"/>
      <c r="M168" s="20"/>
      <c r="N168" s="96">
        <v>46135</v>
      </c>
      <c r="O168" s="96">
        <v>46187</v>
      </c>
      <c r="P168" s="211" t="str">
        <f t="shared" si="6"/>
        <v xml:space="preserve">Đặng Thái Sơn, , </v>
      </c>
    </row>
    <row r="169" spans="1:16">
      <c r="A169" s="28" t="str">
        <f>"3."&amp;D169&amp;"."&amp;B169</f>
        <v>3.B.HYE.NOXHHY.CT.601</v>
      </c>
      <c r="B169" s="28" t="str">
        <f>TEXT(COUNTIFS($C$4:C169,C169,$D$4:D169,D169,$F$4:F169,F169)+IF(F169="KT",100,IF(F169="KC",200,IF(F169="DI",300,IF(F169="DN",400,IF(F169="NU",500,IF(F169="DH",600,IF(F169="PC",700,0))))))),"000")</f>
        <v>601</v>
      </c>
      <c r="C169" s="28" t="s">
        <v>10</v>
      </c>
      <c r="D169" s="100" t="s">
        <v>277</v>
      </c>
      <c r="E169" s="28" t="s">
        <v>278</v>
      </c>
      <c r="F169" s="87" t="s">
        <v>205</v>
      </c>
      <c r="G169" s="6" t="s">
        <v>23</v>
      </c>
      <c r="H169" s="6" t="s">
        <v>156</v>
      </c>
      <c r="I169" s="82" t="s">
        <v>105</v>
      </c>
      <c r="J169" s="20" t="s">
        <v>216</v>
      </c>
      <c r="K169" s="20"/>
      <c r="L169" s="20"/>
      <c r="M169" s="20"/>
      <c r="N169" s="96">
        <v>46135</v>
      </c>
      <c r="O169" s="96">
        <v>46186</v>
      </c>
      <c r="P169" s="211" t="str">
        <f t="shared" si="6"/>
        <v xml:space="preserve">Đặng Thái Sơn, , </v>
      </c>
    </row>
    <row r="170" spans="1:16">
      <c r="A170" s="28" t="str">
        <f>"3."&amp;D170&amp;"."&amp;B170</f>
        <v>3.B.HYE.NOXHHY.CT.701</v>
      </c>
      <c r="B170" s="28" t="str">
        <f>TEXT(COUNTIFS($C$4:C170,C170,$D$4:D170,D170,$F$4:F170,F170)+IF(F170="KT",100,IF(F170="KC",200,IF(F170="DI",300,IF(F170="DN",400,IF(F170="NU",500,IF(F170="DH",600,IF(F170="PC",700,0))))))),"000")</f>
        <v>701</v>
      </c>
      <c r="C170" s="28" t="s">
        <v>10</v>
      </c>
      <c r="D170" s="100" t="s">
        <v>277</v>
      </c>
      <c r="E170" s="28" t="s">
        <v>278</v>
      </c>
      <c r="F170" s="87" t="s">
        <v>200</v>
      </c>
      <c r="G170" s="6" t="s">
        <v>23</v>
      </c>
      <c r="H170" s="6" t="s">
        <v>156</v>
      </c>
      <c r="I170" s="82" t="s">
        <v>105</v>
      </c>
      <c r="J170" s="20" t="s">
        <v>216</v>
      </c>
      <c r="K170" s="20"/>
      <c r="L170" s="20"/>
      <c r="M170" s="20"/>
      <c r="N170" s="96">
        <v>46135</v>
      </c>
      <c r="O170" s="96">
        <v>46186</v>
      </c>
      <c r="P170" s="211" t="str">
        <f t="shared" si="6"/>
        <v xml:space="preserve">Đặng Thái Sơn, , </v>
      </c>
    </row>
    <row r="171" spans="1:16">
      <c r="A171" s="28" t="str">
        <f>"3."&amp;D171&amp;"."&amp;B171</f>
        <v>3.B.HYE.NOXHHY.CT.102</v>
      </c>
      <c r="B171" s="28" t="str">
        <f>TEXT(COUNTIFS($C$4:C171,C171,$D$4:D171,D171,$F$4:F171,F171)+IF(F171="KT",100,IF(F171="KC",200,IF(F171="DI",300,IF(F171="DN",400,IF(F171="NU",500,IF(F171="DH",600,IF(F171="PC",700,0))))))),"000")</f>
        <v>102</v>
      </c>
      <c r="C171" s="28" t="s">
        <v>10</v>
      </c>
      <c r="D171" s="100" t="s">
        <v>277</v>
      </c>
      <c r="E171" s="28" t="s">
        <v>281</v>
      </c>
      <c r="F171" s="88" t="s">
        <v>164</v>
      </c>
      <c r="G171" s="6" t="s">
        <v>23</v>
      </c>
      <c r="H171" s="20" t="s">
        <v>156</v>
      </c>
      <c r="I171" s="82" t="s">
        <v>105</v>
      </c>
      <c r="J171" s="28" t="s">
        <v>33</v>
      </c>
      <c r="K171" s="28"/>
      <c r="L171" s="28"/>
      <c r="M171" s="12"/>
      <c r="N171" s="97">
        <v>46092</v>
      </c>
      <c r="O171" s="97">
        <v>46197</v>
      </c>
      <c r="P171" s="211" t="str">
        <f t="shared" si="6"/>
        <v xml:space="preserve">Đỗ Minh Ngọc, , </v>
      </c>
    </row>
    <row r="172" spans="1:16">
      <c r="A172" s="28" t="str">
        <f>"3."&amp;D172&amp;"."&amp;B172</f>
        <v>3.B.HYE.NOXHHY.CT.202</v>
      </c>
      <c r="B172" s="28" t="str">
        <f>TEXT(COUNTIFS($C$4:C172,C172,$D$4:D172,D172,$F$4:F172,F172)+IF(F172="KT",100,IF(F172="KC",200,IF(F172="DI",300,IF(F172="DN",400,IF(F172="NU",500,IF(F172="DH",600,IF(F172="PC",700,0))))))),"000")</f>
        <v>202</v>
      </c>
      <c r="C172" s="28" t="s">
        <v>10</v>
      </c>
      <c r="D172" s="100" t="s">
        <v>277</v>
      </c>
      <c r="E172" s="28" t="s">
        <v>281</v>
      </c>
      <c r="F172" s="88" t="s">
        <v>174</v>
      </c>
      <c r="G172" s="6" t="s">
        <v>23</v>
      </c>
      <c r="H172" s="20" t="s">
        <v>156</v>
      </c>
      <c r="I172" s="82" t="s">
        <v>105</v>
      </c>
      <c r="J172" s="28" t="s">
        <v>33</v>
      </c>
      <c r="K172" s="28"/>
      <c r="L172" s="28"/>
      <c r="M172" s="28"/>
      <c r="N172" s="96">
        <v>46133</v>
      </c>
      <c r="O172" s="96">
        <v>46197</v>
      </c>
      <c r="P172" s="211" t="str">
        <f t="shared" si="6"/>
        <v xml:space="preserve">Đỗ Minh Ngọc, , </v>
      </c>
    </row>
    <row r="173" spans="1:16">
      <c r="A173" s="28" t="str">
        <f>"3."&amp;D173&amp;"."&amp;B173</f>
        <v>3.B.HYE.NOXHHY.CT.302</v>
      </c>
      <c r="B173" s="28" t="str">
        <f>TEXT(COUNTIFS($C$4:C173,C173,$D$4:D173,D173,$F$4:F173,F173)+IF(F173="KT",100,IF(F173="KC",200,IF(F173="DI",300,IF(F173="DN",400,IF(F173="NU",500,IF(F173="DH",600,IF(F173="PC",700,0))))))),"000")</f>
        <v>302</v>
      </c>
      <c r="C173" s="28" t="s">
        <v>10</v>
      </c>
      <c r="D173" s="100" t="s">
        <v>277</v>
      </c>
      <c r="E173" s="28" t="s">
        <v>281</v>
      </c>
      <c r="F173" s="87" t="s">
        <v>182</v>
      </c>
      <c r="G173" s="6" t="s">
        <v>23</v>
      </c>
      <c r="H173" s="6" t="s">
        <v>156</v>
      </c>
      <c r="I173" s="82" t="s">
        <v>105</v>
      </c>
      <c r="J173" s="20" t="s">
        <v>201</v>
      </c>
      <c r="K173" s="20"/>
      <c r="L173" s="20"/>
      <c r="M173" s="20"/>
      <c r="N173" s="96">
        <v>46116</v>
      </c>
      <c r="O173" s="96">
        <v>46197</v>
      </c>
      <c r="P173" s="211" t="str">
        <f t="shared" si="6"/>
        <v xml:space="preserve">Ngô Tuấn Vũ, , </v>
      </c>
    </row>
    <row r="174" spans="1:16">
      <c r="A174" s="28" t="str">
        <f>"3."&amp;D174&amp;"."&amp;B174</f>
        <v>3.B.HYE.NOXHHY.CT.402</v>
      </c>
      <c r="B174" s="28" t="str">
        <f>TEXT(COUNTIFS($C$4:C174,C174,$D$4:D174,D174,$F$4:F174,F174)+IF(F174="KT",100,IF(F174="KC",200,IF(F174="DI",300,IF(F174="DN",400,IF(F174="NU",500,IF(F174="DH",600,IF(F174="PC",700,0))))))),"000")</f>
        <v>402</v>
      </c>
      <c r="C174" s="28" t="s">
        <v>10</v>
      </c>
      <c r="D174" s="100" t="s">
        <v>277</v>
      </c>
      <c r="E174" s="28" t="s">
        <v>281</v>
      </c>
      <c r="F174" s="87" t="s">
        <v>190</v>
      </c>
      <c r="G174" s="6" t="s">
        <v>23</v>
      </c>
      <c r="H174" s="6" t="s">
        <v>156</v>
      </c>
      <c r="I174" s="82" t="s">
        <v>105</v>
      </c>
      <c r="J174" s="20" t="s">
        <v>201</v>
      </c>
      <c r="K174" s="20"/>
      <c r="L174" s="20"/>
      <c r="M174" s="20"/>
      <c r="N174" s="96">
        <v>46116</v>
      </c>
      <c r="O174" s="96">
        <v>46197</v>
      </c>
      <c r="P174" s="211" t="str">
        <f t="shared" si="6"/>
        <v xml:space="preserve">Ngô Tuấn Vũ, , </v>
      </c>
    </row>
    <row r="175" spans="1:16">
      <c r="A175" s="28" t="str">
        <f>"3."&amp;D175&amp;"."&amp;B175</f>
        <v>3.B.HYE.NOXHHY.CT.502</v>
      </c>
      <c r="B175" s="28" t="str">
        <f>TEXT(COUNTIFS($C$4:C175,C175,$D$4:D175,D175,$F$4:F175,F175)+IF(F175="KT",100,IF(F175="KC",200,IF(F175="DI",300,IF(F175="DN",400,IF(F175="NU",500,IF(F175="DH",600,IF(F175="PC",700,0))))))),"000")</f>
        <v>502</v>
      </c>
      <c r="C175" s="28" t="s">
        <v>10</v>
      </c>
      <c r="D175" s="100" t="s">
        <v>277</v>
      </c>
      <c r="E175" s="28" t="s">
        <v>281</v>
      </c>
      <c r="F175" s="87" t="s">
        <v>195</v>
      </c>
      <c r="G175" s="6" t="s">
        <v>23</v>
      </c>
      <c r="H175" s="6" t="s">
        <v>156</v>
      </c>
      <c r="I175" s="82" t="s">
        <v>105</v>
      </c>
      <c r="J175" s="20" t="s">
        <v>201</v>
      </c>
      <c r="K175" s="20"/>
      <c r="L175" s="20"/>
      <c r="M175" s="20"/>
      <c r="N175" s="96">
        <v>46116</v>
      </c>
      <c r="O175" s="96">
        <v>46197</v>
      </c>
      <c r="P175" s="211" t="str">
        <f t="shared" si="6"/>
        <v xml:space="preserve">Ngô Tuấn Vũ, , </v>
      </c>
    </row>
    <row r="176" spans="1:16">
      <c r="A176" s="28" t="str">
        <f>"3."&amp;D176&amp;"."&amp;B176</f>
        <v>3.B.HYE.NOXHHY.CT.602</v>
      </c>
      <c r="B176" s="28" t="str">
        <f>TEXT(COUNTIFS($C$4:C176,C176,$D$4:D176,D176,$F$4:F176,F176)+IF(F176="KT",100,IF(F176="KC",200,IF(F176="DI",300,IF(F176="DN",400,IF(F176="NU",500,IF(F176="DH",600,IF(F176="PC",700,0))))))),"000")</f>
        <v>602</v>
      </c>
      <c r="C176" s="28" t="s">
        <v>10</v>
      </c>
      <c r="D176" s="100" t="s">
        <v>277</v>
      </c>
      <c r="E176" s="28" t="s">
        <v>281</v>
      </c>
      <c r="F176" s="87" t="s">
        <v>205</v>
      </c>
      <c r="G176" s="6" t="s">
        <v>23</v>
      </c>
      <c r="H176" s="6" t="s">
        <v>156</v>
      </c>
      <c r="I176" s="82" t="s">
        <v>105</v>
      </c>
      <c r="J176" s="20" t="s">
        <v>201</v>
      </c>
      <c r="K176" s="20"/>
      <c r="L176" s="20"/>
      <c r="M176" s="20"/>
      <c r="N176" s="96">
        <v>46116</v>
      </c>
      <c r="O176" s="96">
        <v>46197</v>
      </c>
      <c r="P176" s="211" t="str">
        <f t="shared" si="6"/>
        <v xml:space="preserve">Ngô Tuấn Vũ, , </v>
      </c>
    </row>
    <row r="177" spans="1:16">
      <c r="A177" s="28" t="str">
        <f>"3."&amp;D177&amp;"."&amp;B177</f>
        <v>3.B.HYE.NOXHHY.CT.702</v>
      </c>
      <c r="B177" s="28" t="str">
        <f>TEXT(COUNTIFS($C$4:C177,C177,$D$4:D177,D177,$F$4:F177,F177)+IF(F177="KT",100,IF(F177="KC",200,IF(F177="DI",300,IF(F177="DN",400,IF(F177="NU",500,IF(F177="DH",600,IF(F177="PC",700,0))))))),"000")</f>
        <v>702</v>
      </c>
      <c r="C177" s="28" t="s">
        <v>10</v>
      </c>
      <c r="D177" s="100" t="s">
        <v>277</v>
      </c>
      <c r="E177" s="28" t="s">
        <v>281</v>
      </c>
      <c r="F177" s="87" t="s">
        <v>200</v>
      </c>
      <c r="G177" s="6" t="s">
        <v>23</v>
      </c>
      <c r="H177" s="6" t="s">
        <v>156</v>
      </c>
      <c r="I177" s="82" t="s">
        <v>105</v>
      </c>
      <c r="J177" s="20" t="s">
        <v>201</v>
      </c>
      <c r="K177" s="20"/>
      <c r="L177" s="20"/>
      <c r="M177" s="20"/>
      <c r="N177" s="96">
        <v>46116</v>
      </c>
      <c r="O177" s="96">
        <v>46197</v>
      </c>
      <c r="P177" s="211" t="str">
        <f t="shared" si="6"/>
        <v xml:space="preserve">Ngô Tuấn Vũ, , </v>
      </c>
    </row>
    <row r="178" spans="1:16">
      <c r="A178" s="28" t="str">
        <f>"3."&amp;D178&amp;"."&amp;B178</f>
        <v>3.B.HYE.NOXHHY.CT.103</v>
      </c>
      <c r="B178" s="28" t="str">
        <f>TEXT(COUNTIFS($C$4:C178,C178,$D$4:D178,D178,$F$4:F178,F178)+IF(F178="KT",100,IF(F178="KC",200,IF(F178="DI",300,IF(F178="DN",400,IF(F178="NU",500,IF(F178="DH",600,IF(F178="PC",700,0))))))),"000")</f>
        <v>103</v>
      </c>
      <c r="C178" s="28" t="s">
        <v>10</v>
      </c>
      <c r="D178" s="100" t="s">
        <v>277</v>
      </c>
      <c r="E178" s="28" t="s">
        <v>284</v>
      </c>
      <c r="F178" s="88" t="s">
        <v>164</v>
      </c>
      <c r="G178" s="6" t="s">
        <v>23</v>
      </c>
      <c r="H178" s="20" t="s">
        <v>156</v>
      </c>
      <c r="I178" s="82" t="s">
        <v>105</v>
      </c>
      <c r="J178" s="28" t="s">
        <v>196</v>
      </c>
      <c r="K178" s="28"/>
      <c r="L178" s="28"/>
      <c r="M178" s="28"/>
      <c r="N178" s="96">
        <v>46115</v>
      </c>
      <c r="O178" s="96">
        <v>46177</v>
      </c>
      <c r="P178" s="211" t="str">
        <f t="shared" si="6"/>
        <v xml:space="preserve">Vũ Thị Thêu, , </v>
      </c>
    </row>
    <row r="179" spans="1:16">
      <c r="A179" s="28" t="str">
        <f>"3."&amp;D179&amp;"."&amp;B179</f>
        <v>3.B.HYE.NOXHHY.CT.203</v>
      </c>
      <c r="B179" s="28" t="str">
        <f>TEXT(COUNTIFS($C$4:C179,C179,$D$4:D179,D179,$F$4:F179,F179)+IF(F179="KT",100,IF(F179="KC",200,IF(F179="DI",300,IF(F179="DN",400,IF(F179="NU",500,IF(F179="DH",600,IF(F179="PC",700,0))))))),"000")</f>
        <v>203</v>
      </c>
      <c r="C179" s="28" t="s">
        <v>10</v>
      </c>
      <c r="D179" s="100" t="s">
        <v>277</v>
      </c>
      <c r="E179" s="28" t="s">
        <v>284</v>
      </c>
      <c r="F179" s="88" t="s">
        <v>174</v>
      </c>
      <c r="G179" s="6" t="s">
        <v>23</v>
      </c>
      <c r="H179" s="20" t="s">
        <v>156</v>
      </c>
      <c r="I179" s="82" t="s">
        <v>105</v>
      </c>
      <c r="J179" s="28" t="s">
        <v>196</v>
      </c>
      <c r="K179" s="28"/>
      <c r="L179" s="28"/>
      <c r="M179" s="28"/>
      <c r="N179" s="96">
        <v>46135</v>
      </c>
      <c r="O179" s="96">
        <v>46211</v>
      </c>
      <c r="P179" s="211" t="str">
        <f t="shared" si="6"/>
        <v xml:space="preserve">Vũ Thị Thêu, , </v>
      </c>
    </row>
    <row r="180" spans="1:16">
      <c r="A180" s="28" t="str">
        <f>"3."&amp;D180&amp;"."&amp;B180</f>
        <v>3.B.HYE.NOXHHY.CT.303</v>
      </c>
      <c r="B180" s="28" t="str">
        <f>TEXT(COUNTIFS($C$4:C180,C180,$D$4:D180,D180,$F$4:F180,F180)+IF(F180="KT",100,IF(F180="KC",200,IF(F180="DI",300,IF(F180="DN",400,IF(F180="NU",500,IF(F180="DH",600,IF(F180="PC",700,0))))))),"000")</f>
        <v>303</v>
      </c>
      <c r="C180" s="28" t="s">
        <v>10</v>
      </c>
      <c r="D180" s="100" t="s">
        <v>277</v>
      </c>
      <c r="E180" s="28" t="s">
        <v>284</v>
      </c>
      <c r="F180" s="87" t="s">
        <v>182</v>
      </c>
      <c r="G180" s="6" t="s">
        <v>23</v>
      </c>
      <c r="H180" s="6" t="s">
        <v>156</v>
      </c>
      <c r="I180" s="82" t="s">
        <v>105</v>
      </c>
      <c r="J180" s="20" t="s">
        <v>206</v>
      </c>
      <c r="K180" s="20"/>
      <c r="L180" s="20"/>
      <c r="M180" s="20"/>
      <c r="N180" s="96">
        <v>46166</v>
      </c>
      <c r="O180" s="96">
        <v>46186</v>
      </c>
      <c r="P180" s="211" t="str">
        <f t="shared" si="6"/>
        <v xml:space="preserve">Nguyễn Văn Hải, , </v>
      </c>
    </row>
    <row r="181" spans="1:16">
      <c r="A181" s="28" t="str">
        <f>"3."&amp;D181&amp;"."&amp;B181</f>
        <v>3.B.HYE.NOXHHY.CT.403</v>
      </c>
      <c r="B181" s="28" t="str">
        <f>TEXT(COUNTIFS($C$4:C181,C181,$D$4:D181,D181,$F$4:F181,F181)+IF(F181="KT",100,IF(F181="KC",200,IF(F181="DI",300,IF(F181="DN",400,IF(F181="NU",500,IF(F181="DH",600,IF(F181="PC",700,0))))))),"000")</f>
        <v>403</v>
      </c>
      <c r="C181" s="28" t="s">
        <v>10</v>
      </c>
      <c r="D181" s="100" t="s">
        <v>277</v>
      </c>
      <c r="E181" s="28" t="s">
        <v>284</v>
      </c>
      <c r="F181" s="87" t="s">
        <v>190</v>
      </c>
      <c r="G181" s="6" t="s">
        <v>23</v>
      </c>
      <c r="H181" s="6" t="s">
        <v>156</v>
      </c>
      <c r="I181" s="82" t="s">
        <v>105</v>
      </c>
      <c r="J181" s="20" t="s">
        <v>206</v>
      </c>
      <c r="K181" s="20"/>
      <c r="L181" s="20"/>
      <c r="M181" s="20"/>
      <c r="N181" s="96">
        <v>46166</v>
      </c>
      <c r="O181" s="96">
        <v>46186</v>
      </c>
      <c r="P181" s="211" t="str">
        <f t="shared" si="6"/>
        <v xml:space="preserve">Nguyễn Văn Hải, , </v>
      </c>
    </row>
    <row r="182" spans="1:16">
      <c r="A182" s="28" t="str">
        <f>"3."&amp;D182&amp;"."&amp;B182</f>
        <v>3.B.HYE.NOXHHY.CT.503</v>
      </c>
      <c r="B182" s="28" t="str">
        <f>TEXT(COUNTIFS($C$4:C182,C182,$D$4:D182,D182,$F$4:F182,F182)+IF(F182="KT",100,IF(F182="KC",200,IF(F182="DI",300,IF(F182="DN",400,IF(F182="NU",500,IF(F182="DH",600,IF(F182="PC",700,0))))))),"000")</f>
        <v>503</v>
      </c>
      <c r="C182" s="28" t="s">
        <v>10</v>
      </c>
      <c r="D182" s="100" t="s">
        <v>277</v>
      </c>
      <c r="E182" s="28" t="s">
        <v>284</v>
      </c>
      <c r="F182" s="87" t="s">
        <v>195</v>
      </c>
      <c r="G182" s="6" t="s">
        <v>23</v>
      </c>
      <c r="H182" s="6" t="s">
        <v>156</v>
      </c>
      <c r="I182" s="82" t="s">
        <v>105</v>
      </c>
      <c r="J182" s="20" t="s">
        <v>206</v>
      </c>
      <c r="K182" s="20"/>
      <c r="L182" s="20"/>
      <c r="M182" s="20"/>
      <c r="N182" s="96">
        <v>46166</v>
      </c>
      <c r="O182" s="96">
        <v>46186</v>
      </c>
      <c r="P182" s="211" t="str">
        <f t="shared" si="6"/>
        <v xml:space="preserve">Nguyễn Văn Hải, , </v>
      </c>
    </row>
    <row r="183" spans="1:16">
      <c r="A183" s="28" t="str">
        <f>"3."&amp;D183&amp;"."&amp;B183</f>
        <v>3.B.HYE.NOXHHY.CT.603</v>
      </c>
      <c r="B183" s="28" t="str">
        <f>TEXT(COUNTIFS($C$4:C183,C183,$D$4:D183,D183,$F$4:F183,F183)+IF(F183="KT",100,IF(F183="KC",200,IF(F183="DI",300,IF(F183="DN",400,IF(F183="NU",500,IF(F183="DH",600,IF(F183="PC",700,0))))))),"000")</f>
        <v>603</v>
      </c>
      <c r="C183" s="28" t="s">
        <v>10</v>
      </c>
      <c r="D183" s="100" t="s">
        <v>277</v>
      </c>
      <c r="E183" s="28" t="s">
        <v>284</v>
      </c>
      <c r="F183" s="87" t="s">
        <v>205</v>
      </c>
      <c r="G183" s="6" t="s">
        <v>23</v>
      </c>
      <c r="H183" s="6" t="s">
        <v>156</v>
      </c>
      <c r="I183" s="82" t="s">
        <v>105</v>
      </c>
      <c r="J183" s="20" t="s">
        <v>206</v>
      </c>
      <c r="K183" s="20"/>
      <c r="L183" s="20"/>
      <c r="M183" s="20"/>
      <c r="N183" s="96">
        <v>46166</v>
      </c>
      <c r="O183" s="96">
        <v>46186</v>
      </c>
      <c r="P183" s="211" t="str">
        <f t="shared" si="6"/>
        <v xml:space="preserve">Nguyễn Văn Hải, , </v>
      </c>
    </row>
    <row r="184" spans="1:16">
      <c r="A184" s="28" t="str">
        <f>"3."&amp;D184&amp;"."&amp;B184</f>
        <v>3.B.HYE.NOXHHY.CT.703</v>
      </c>
      <c r="B184" s="28" t="str">
        <f>TEXT(COUNTIFS($C$4:C184,C184,$D$4:D184,D184,$F$4:F184,F184)+IF(F184="KT",100,IF(F184="KC",200,IF(F184="DI",300,IF(F184="DN",400,IF(F184="NU",500,IF(F184="DH",600,IF(F184="PC",700,0))))))),"000")</f>
        <v>703</v>
      </c>
      <c r="C184" s="28" t="s">
        <v>10</v>
      </c>
      <c r="D184" s="100" t="s">
        <v>277</v>
      </c>
      <c r="E184" s="28" t="s">
        <v>284</v>
      </c>
      <c r="F184" s="87" t="s">
        <v>200</v>
      </c>
      <c r="G184" s="6" t="s">
        <v>23</v>
      </c>
      <c r="H184" s="6" t="s">
        <v>156</v>
      </c>
      <c r="I184" s="82" t="s">
        <v>105</v>
      </c>
      <c r="J184" s="20" t="s">
        <v>206</v>
      </c>
      <c r="K184" s="20"/>
      <c r="L184" s="20"/>
      <c r="M184" s="20"/>
      <c r="N184" s="96">
        <v>46166</v>
      </c>
      <c r="O184" s="96">
        <v>46186</v>
      </c>
      <c r="P184" s="211" t="str">
        <f t="shared" si="6"/>
        <v xml:space="preserve">Nguyễn Văn Hải, , </v>
      </c>
    </row>
    <row r="185" spans="1:16">
      <c r="A185" s="28" t="str">
        <f>"3."&amp;D185&amp;"."&amp;B185</f>
        <v>3.B.HYE.NOXHHY.CT.104</v>
      </c>
      <c r="B185" s="28" t="str">
        <f>TEXT(COUNTIFS($C$4:C185,C185,$D$4:D185,D185,$F$4:F185,F185)+IF(F185="KT",100,IF(F185="KC",200,IF(F185="DI",300,IF(F185="DN",400,IF(F185="NU",500,IF(F185="DH",600,IF(F185="PC",700,0))))))),"000")</f>
        <v>104</v>
      </c>
      <c r="C185" s="28" t="s">
        <v>10</v>
      </c>
      <c r="D185" s="100" t="s">
        <v>277</v>
      </c>
      <c r="E185" s="28" t="s">
        <v>287</v>
      </c>
      <c r="F185" s="88" t="s">
        <v>164</v>
      </c>
      <c r="G185" s="6" t="s">
        <v>23</v>
      </c>
      <c r="H185" s="20" t="s">
        <v>156</v>
      </c>
      <c r="I185" s="82" t="s">
        <v>105</v>
      </c>
      <c r="J185" s="28" t="s">
        <v>196</v>
      </c>
      <c r="K185" s="28"/>
      <c r="L185" s="28"/>
      <c r="M185" s="28"/>
      <c r="N185" s="96">
        <v>46053</v>
      </c>
      <c r="O185" s="96">
        <v>46174</v>
      </c>
      <c r="P185" s="211" t="str">
        <f t="shared" si="6"/>
        <v xml:space="preserve">Vũ Thị Thêu, , </v>
      </c>
    </row>
    <row r="186" spans="1:16">
      <c r="A186" s="28" t="str">
        <f>"3."&amp;D186&amp;"."&amp;B186</f>
        <v>3.B.HYE.NOXHHY.CT.204</v>
      </c>
      <c r="B186" s="28" t="str">
        <f>TEXT(COUNTIFS($C$4:C186,C186,$D$4:D186,D186,$F$4:F186,F186)+IF(F186="KT",100,IF(F186="KC",200,IF(F186="DI",300,IF(F186="DN",400,IF(F186="NU",500,IF(F186="DH",600,IF(F186="PC",700,0))))))),"000")</f>
        <v>204</v>
      </c>
      <c r="C186" s="28" t="s">
        <v>10</v>
      </c>
      <c r="D186" s="100" t="s">
        <v>277</v>
      </c>
      <c r="E186" s="28" t="s">
        <v>287</v>
      </c>
      <c r="F186" s="88" t="s">
        <v>174</v>
      </c>
      <c r="G186" s="6" t="s">
        <v>23</v>
      </c>
      <c r="H186" s="20" t="s">
        <v>156</v>
      </c>
      <c r="I186" s="82" t="s">
        <v>105</v>
      </c>
      <c r="J186" s="28" t="s">
        <v>196</v>
      </c>
      <c r="K186" s="28"/>
      <c r="L186" s="28"/>
      <c r="M186" s="12"/>
      <c r="N186" s="97">
        <v>46063</v>
      </c>
      <c r="O186" s="97">
        <v>46174</v>
      </c>
      <c r="P186" s="211" t="str">
        <f t="shared" si="6"/>
        <v xml:space="preserve">Vũ Thị Thêu, , </v>
      </c>
    </row>
    <row r="187" spans="1:16">
      <c r="A187" s="28" t="str">
        <f>"3."&amp;D187&amp;"."&amp;B187</f>
        <v>3.B.HYE.NOXHHY.CT.304</v>
      </c>
      <c r="B187" s="28" t="str">
        <f>TEXT(COUNTIFS($C$4:C187,C187,$D$4:D187,D187,$F$4:F187,F187)+IF(F187="KT",100,IF(F187="KC",200,IF(F187="DI",300,IF(F187="DN",400,IF(F187="NU",500,IF(F187="DH",600,IF(F187="PC",700,0))))))),"000")</f>
        <v>304</v>
      </c>
      <c r="C187" s="28" t="s">
        <v>10</v>
      </c>
      <c r="D187" s="100" t="s">
        <v>277</v>
      </c>
      <c r="E187" s="28" t="s">
        <v>287</v>
      </c>
      <c r="F187" s="87" t="s">
        <v>182</v>
      </c>
      <c r="G187" s="6" t="s">
        <v>23</v>
      </c>
      <c r="H187" s="6" t="s">
        <v>156</v>
      </c>
      <c r="I187" s="82" t="s">
        <v>105</v>
      </c>
      <c r="J187" s="20" t="s">
        <v>220</v>
      </c>
      <c r="K187" s="20"/>
      <c r="L187" s="20"/>
      <c r="M187" s="20"/>
      <c r="N187" s="96">
        <v>46063</v>
      </c>
      <c r="O187" s="96">
        <v>46174</v>
      </c>
      <c r="P187" s="211" t="str">
        <f t="shared" si="6"/>
        <v xml:space="preserve">Phan Trường Giang, , </v>
      </c>
    </row>
    <row r="188" spans="1:16">
      <c r="A188" s="28" t="str">
        <f>"3."&amp;D188&amp;"."&amp;B188</f>
        <v>3.B.HYE.NOXHHY.CT.404</v>
      </c>
      <c r="B188" s="28" t="str">
        <f>TEXT(COUNTIFS($C$4:C188,C188,$D$4:D188,D188,$F$4:F188,F188)+IF(F188="KT",100,IF(F188="KC",200,IF(F188="DI",300,IF(F188="DN",400,IF(F188="NU",500,IF(F188="DH",600,IF(F188="PC",700,0))))))),"000")</f>
        <v>404</v>
      </c>
      <c r="C188" s="28" t="s">
        <v>10</v>
      </c>
      <c r="D188" s="100" t="s">
        <v>277</v>
      </c>
      <c r="E188" s="28" t="s">
        <v>287</v>
      </c>
      <c r="F188" s="87" t="s">
        <v>190</v>
      </c>
      <c r="G188" s="6" t="s">
        <v>23</v>
      </c>
      <c r="H188" s="6" t="s">
        <v>156</v>
      </c>
      <c r="I188" s="82" t="s">
        <v>105</v>
      </c>
      <c r="J188" s="20" t="s">
        <v>220</v>
      </c>
      <c r="K188" s="20"/>
      <c r="L188" s="20"/>
      <c r="M188" s="20"/>
      <c r="N188" s="96">
        <v>46063</v>
      </c>
      <c r="O188" s="96">
        <v>46174</v>
      </c>
      <c r="P188" s="211" t="str">
        <f t="shared" si="6"/>
        <v xml:space="preserve">Phan Trường Giang, , </v>
      </c>
    </row>
    <row r="189" spans="1:16">
      <c r="A189" s="28" t="str">
        <f>"3."&amp;D189&amp;"."&amp;B189</f>
        <v>3.B.HYE.NOXHHY.CT.504</v>
      </c>
      <c r="B189" s="28" t="str">
        <f>TEXT(COUNTIFS($C$4:C189,C189,$D$4:D189,D189,$F$4:F189,F189)+IF(F189="KT",100,IF(F189="KC",200,IF(F189="DI",300,IF(F189="DN",400,IF(F189="NU",500,IF(F189="DH",600,IF(F189="PC",700,0))))))),"000")</f>
        <v>504</v>
      </c>
      <c r="C189" s="28" t="s">
        <v>10</v>
      </c>
      <c r="D189" s="100" t="s">
        <v>277</v>
      </c>
      <c r="E189" s="28" t="s">
        <v>287</v>
      </c>
      <c r="F189" s="87" t="s">
        <v>195</v>
      </c>
      <c r="G189" s="6" t="s">
        <v>23</v>
      </c>
      <c r="H189" s="6" t="s">
        <v>156</v>
      </c>
      <c r="I189" s="82" t="s">
        <v>105</v>
      </c>
      <c r="J189" s="20" t="s">
        <v>220</v>
      </c>
      <c r="K189" s="20"/>
      <c r="L189" s="20"/>
      <c r="M189" s="20"/>
      <c r="N189" s="96">
        <v>46063</v>
      </c>
      <c r="O189" s="96">
        <v>46174</v>
      </c>
      <c r="P189" s="211" t="str">
        <f t="shared" si="6"/>
        <v xml:space="preserve">Phan Trường Giang, , </v>
      </c>
    </row>
    <row r="190" spans="1:16">
      <c r="A190" s="28" t="str">
        <f>"3."&amp;D190&amp;"."&amp;B190</f>
        <v>3.B.HYE.NOXHHY.CT.604</v>
      </c>
      <c r="B190" s="28" t="str">
        <f>TEXT(COUNTIFS($C$4:C190,C190,$D$4:D190,D190,$F$4:F190,F190)+IF(F190="KT",100,IF(F190="KC",200,IF(F190="DI",300,IF(F190="DN",400,IF(F190="NU",500,IF(F190="DH",600,IF(F190="PC",700,0))))))),"000")</f>
        <v>604</v>
      </c>
      <c r="C190" s="28" t="s">
        <v>10</v>
      </c>
      <c r="D190" s="100" t="s">
        <v>277</v>
      </c>
      <c r="E190" s="28" t="s">
        <v>287</v>
      </c>
      <c r="F190" s="87" t="s">
        <v>205</v>
      </c>
      <c r="G190" s="6" t="s">
        <v>23</v>
      </c>
      <c r="H190" s="6" t="s">
        <v>156</v>
      </c>
      <c r="I190" s="82" t="s">
        <v>105</v>
      </c>
      <c r="J190" s="20" t="s">
        <v>220</v>
      </c>
      <c r="K190" s="20"/>
      <c r="L190" s="20"/>
      <c r="M190" s="20"/>
      <c r="N190" s="96">
        <v>46063</v>
      </c>
      <c r="O190" s="96">
        <v>46174</v>
      </c>
      <c r="P190" s="211" t="str">
        <f t="shared" ref="P190:P284" si="7">J190&amp;", "&amp;K190&amp;", "&amp;L190</f>
        <v xml:space="preserve">Phan Trường Giang, , </v>
      </c>
    </row>
    <row r="191" spans="1:16">
      <c r="A191" s="28" t="str">
        <f>"3."&amp;D191&amp;"."&amp;B191</f>
        <v>3.B.HYE.NOXHHY.CT.704</v>
      </c>
      <c r="B191" s="28" t="str">
        <f>TEXT(COUNTIFS($C$4:C191,C191,$D$4:D191,D191,$F$4:F191,F191)+IF(F191="KT",100,IF(F191="KC",200,IF(F191="DI",300,IF(F191="DN",400,IF(F191="NU",500,IF(F191="DH",600,IF(F191="PC",700,0))))))),"000")</f>
        <v>704</v>
      </c>
      <c r="C191" s="28" t="s">
        <v>10</v>
      </c>
      <c r="D191" s="100" t="s">
        <v>277</v>
      </c>
      <c r="E191" s="28" t="s">
        <v>287</v>
      </c>
      <c r="F191" s="87" t="s">
        <v>200</v>
      </c>
      <c r="G191" s="6" t="s">
        <v>23</v>
      </c>
      <c r="H191" s="6" t="s">
        <v>156</v>
      </c>
      <c r="I191" s="82" t="s">
        <v>105</v>
      </c>
      <c r="J191" s="20" t="s">
        <v>220</v>
      </c>
      <c r="K191" s="20"/>
      <c r="L191" s="20"/>
      <c r="M191" s="20"/>
      <c r="N191" s="96">
        <v>46063</v>
      </c>
      <c r="O191" s="96">
        <v>46174</v>
      </c>
      <c r="P191" s="211" t="str">
        <f t="shared" si="7"/>
        <v xml:space="preserve">Phan Trường Giang, , </v>
      </c>
    </row>
    <row r="192" spans="1:16">
      <c r="A192" s="28" t="str">
        <f>"3."&amp;D192&amp;"."&amp;B192</f>
        <v>3.B.HYE.NOXHPH.NX.101</v>
      </c>
      <c r="B192" s="28" t="str">
        <f>TEXT(COUNTIFS($C$4:C192,C192,$D$4:D192,D192,$F$4:F192,F192)+IF(F192="KT",100,IF(F192="KC",200,IF(F192="DI",300,IF(F192="DN",400,IF(F192="NU",500,IF(F192="DH",600,IF(F192="PC",700,0))))))),"000")</f>
        <v>101</v>
      </c>
      <c r="C192" s="28" t="s">
        <v>10</v>
      </c>
      <c r="D192" s="100" t="s">
        <v>290</v>
      </c>
      <c r="E192" s="28" t="s">
        <v>291</v>
      </c>
      <c r="F192" s="88" t="s">
        <v>164</v>
      </c>
      <c r="G192" s="6" t="s">
        <v>23</v>
      </c>
      <c r="H192" s="6" t="s">
        <v>156</v>
      </c>
      <c r="I192" s="82" t="s">
        <v>105</v>
      </c>
      <c r="J192" s="28" t="s">
        <v>32</v>
      </c>
      <c r="K192" s="28"/>
      <c r="L192" s="28"/>
      <c r="M192" s="28"/>
      <c r="N192" s="96">
        <v>46163</v>
      </c>
      <c r="O192" s="96">
        <v>46211</v>
      </c>
      <c r="P192" s="211" t="str">
        <f t="shared" si="7"/>
        <v xml:space="preserve">Nguyễn Hải Nam, , </v>
      </c>
    </row>
    <row r="193" spans="1:16">
      <c r="A193" s="28" t="str">
        <f>"3."&amp;D193&amp;"."&amp;B193</f>
        <v>3.B.HYE.NOXHPH.NX.201</v>
      </c>
      <c r="B193" s="28" t="str">
        <f>TEXT(COUNTIFS($C$4:C193,C193,$D$4:D193,D193,$F$4:F193,F193)+IF(F193="KT",100,IF(F193="KC",200,IF(F193="DI",300,IF(F193="DN",400,IF(F193="NU",500,IF(F193="DH",600,IF(F193="PC",700,0))))))),"000")</f>
        <v>201</v>
      </c>
      <c r="C193" s="28" t="s">
        <v>10</v>
      </c>
      <c r="D193" s="100" t="s">
        <v>290</v>
      </c>
      <c r="E193" s="28" t="s">
        <v>291</v>
      </c>
      <c r="F193" s="88" t="s">
        <v>174</v>
      </c>
      <c r="G193" s="6" t="s">
        <v>23</v>
      </c>
      <c r="H193" s="6" t="s">
        <v>156</v>
      </c>
      <c r="I193" s="82" t="s">
        <v>105</v>
      </c>
      <c r="J193" s="28" t="s">
        <v>32</v>
      </c>
      <c r="K193" s="28"/>
      <c r="L193" s="28"/>
      <c r="M193" s="28"/>
      <c r="N193" s="96">
        <v>46163</v>
      </c>
      <c r="O193" s="96">
        <v>46211</v>
      </c>
      <c r="P193" s="211" t="str">
        <f t="shared" si="7"/>
        <v xml:space="preserve">Nguyễn Hải Nam, , </v>
      </c>
    </row>
    <row r="194" spans="1:16">
      <c r="A194" s="28" t="str">
        <f>"3."&amp;D194&amp;"."&amp;B194</f>
        <v>3.B.HYE.NOXHPH.NX.102</v>
      </c>
      <c r="B194" s="28" t="str">
        <f>TEXT(COUNTIFS($C$4:C194,C194,$D$4:D194,D194,$F$4:F194,F194)+IF(F194="KT",100,IF(F194="KC",200,IF(F194="DI",300,IF(F194="DN",400,IF(F194="NU",500,IF(F194="DH",600,IF(F194="PC",700,0))))))),"000")</f>
        <v>102</v>
      </c>
      <c r="C194" s="28" t="s">
        <v>10</v>
      </c>
      <c r="D194" s="100" t="s">
        <v>290</v>
      </c>
      <c r="E194" s="28" t="s">
        <v>293</v>
      </c>
      <c r="F194" s="88" t="s">
        <v>164</v>
      </c>
      <c r="G194" s="6" t="s">
        <v>23</v>
      </c>
      <c r="H194" s="20" t="s">
        <v>156</v>
      </c>
      <c r="I194" s="82" t="s">
        <v>105</v>
      </c>
      <c r="J194" s="28" t="s">
        <v>35</v>
      </c>
      <c r="K194" s="28"/>
      <c r="L194" s="28"/>
      <c r="M194" s="28"/>
      <c r="N194" s="96">
        <v>46117</v>
      </c>
      <c r="O194" s="96">
        <v>46174</v>
      </c>
      <c r="P194" s="211" t="str">
        <f t="shared" si="7"/>
        <v xml:space="preserve">Đặng Minh Quang, , </v>
      </c>
    </row>
    <row r="195" spans="1:16">
      <c r="A195" s="28" t="str">
        <f>"3."&amp;D195&amp;"."&amp;B195</f>
        <v>3.B.HYE.NOXHPH.NX.103</v>
      </c>
      <c r="B195" s="28" t="str">
        <f>TEXT(COUNTIFS($C$4:C195,C195,$D$4:D195,D195,$F$4:F195,F195)+IF(F195="KT",100,IF(F195="KC",200,IF(F195="DI",300,IF(F195="DN",400,IF(F195="NU",500,IF(F195="DH",600,IF(F195="PC",700,0))))))),"000")</f>
        <v>103</v>
      </c>
      <c r="C195" s="28" t="s">
        <v>10</v>
      </c>
      <c r="D195" s="100" t="s">
        <v>290</v>
      </c>
      <c r="E195" s="28" t="s">
        <v>293</v>
      </c>
      <c r="F195" s="88" t="s">
        <v>164</v>
      </c>
      <c r="G195" s="6" t="s">
        <v>169</v>
      </c>
      <c r="H195" s="20" t="s">
        <v>156</v>
      </c>
      <c r="I195" s="82" t="s">
        <v>105</v>
      </c>
      <c r="J195" s="28" t="s">
        <v>35</v>
      </c>
      <c r="K195" s="28"/>
      <c r="L195" s="28"/>
      <c r="M195" s="28"/>
      <c r="N195" s="96">
        <v>46174</v>
      </c>
      <c r="O195" s="96">
        <v>46186</v>
      </c>
      <c r="P195" s="211" t="str">
        <f t="shared" si="7"/>
        <v xml:space="preserve">Đặng Minh Quang, , </v>
      </c>
    </row>
    <row r="196" spans="1:16">
      <c r="A196" s="28" t="str">
        <f>"3."&amp;D196&amp;"."&amp;B196</f>
        <v>3.B.HYE.NOXHPH.NX.202</v>
      </c>
      <c r="B196" s="28" t="str">
        <f>TEXT(COUNTIFS($C$4:C196,C196,$D$4:D196,D196,$F$4:F196,F196)+IF(F196="KT",100,IF(F196="KC",200,IF(F196="DI",300,IF(F196="DN",400,IF(F196="NU",500,IF(F196="DH",600,IF(F196="PC",700,0))))))),"000")</f>
        <v>202</v>
      </c>
      <c r="C196" s="28" t="s">
        <v>10</v>
      </c>
      <c r="D196" s="100" t="s">
        <v>290</v>
      </c>
      <c r="E196" s="28" t="s">
        <v>293</v>
      </c>
      <c r="F196" s="88" t="s">
        <v>174</v>
      </c>
      <c r="G196" s="6" t="s">
        <v>23</v>
      </c>
      <c r="H196" s="20" t="s">
        <v>156</v>
      </c>
      <c r="I196" s="82" t="s">
        <v>105</v>
      </c>
      <c r="J196" s="28" t="s">
        <v>35</v>
      </c>
      <c r="K196" s="28"/>
      <c r="L196" s="28"/>
      <c r="M196" s="28"/>
      <c r="N196" s="96">
        <v>46117</v>
      </c>
      <c r="O196" s="96">
        <v>46174</v>
      </c>
      <c r="P196" s="211" t="str">
        <f t="shared" si="7"/>
        <v xml:space="preserve">Đặng Minh Quang, , </v>
      </c>
    </row>
    <row r="197" spans="1:16">
      <c r="A197" s="28" t="str">
        <f>"3."&amp;D197&amp;"."&amp;B197</f>
        <v>3.B.HYE.NOXHPH.NX.301</v>
      </c>
      <c r="B197" s="28" t="str">
        <f>TEXT(COUNTIFS($C$4:C197,C197,$D$4:D197,D197,$F$4:F197,F197)+IF(F197="KT",100,IF(F197="KC",200,IF(F197="DI",300,IF(F197="DN",400,IF(F197="NU",500,IF(F197="DH",600,IF(F197="PC",700,0))))))),"000")</f>
        <v>301</v>
      </c>
      <c r="C197" s="28" t="s">
        <v>10</v>
      </c>
      <c r="D197" s="100" t="s">
        <v>290</v>
      </c>
      <c r="E197" s="28" t="s">
        <v>293</v>
      </c>
      <c r="F197" s="88" t="s">
        <v>182</v>
      </c>
      <c r="G197" s="6" t="s">
        <v>23</v>
      </c>
      <c r="H197" s="20" t="s">
        <v>156</v>
      </c>
      <c r="I197" s="82" t="s">
        <v>105</v>
      </c>
      <c r="J197" s="28" t="s">
        <v>201</v>
      </c>
      <c r="K197" s="28"/>
      <c r="L197" s="28"/>
      <c r="M197" s="28"/>
      <c r="N197" s="96">
        <v>46117</v>
      </c>
      <c r="O197" s="96">
        <v>46174</v>
      </c>
    </row>
    <row r="198" spans="1:16">
      <c r="A198" s="28" t="str">
        <f>"3."&amp;D198&amp;"."&amp;B198</f>
        <v>3.B.HYE.NOXHPH.NX.302</v>
      </c>
      <c r="B198" s="28" t="str">
        <f>TEXT(COUNTIFS($C$4:C198,C198,$D$4:D198,D198,$F$4:F198,F198)+IF(F198="KT",100,IF(F198="KC",200,IF(F198="DI",300,IF(F198="DN",400,IF(F198="NU",500,IF(F198="DH",600,IF(F198="PC",700,0))))))),"000")</f>
        <v>302</v>
      </c>
      <c r="C198" s="28" t="s">
        <v>10</v>
      </c>
      <c r="D198" s="100" t="s">
        <v>290</v>
      </c>
      <c r="E198" s="28" t="s">
        <v>293</v>
      </c>
      <c r="F198" s="88" t="s">
        <v>182</v>
      </c>
      <c r="G198" s="6" t="s">
        <v>23</v>
      </c>
      <c r="H198" s="20" t="s">
        <v>156</v>
      </c>
      <c r="I198" s="82" t="s">
        <v>105</v>
      </c>
      <c r="J198" s="28" t="s">
        <v>201</v>
      </c>
      <c r="K198" s="28"/>
      <c r="L198" s="28"/>
      <c r="M198" s="28"/>
      <c r="N198" s="96">
        <v>46117</v>
      </c>
      <c r="O198" s="96">
        <v>46174</v>
      </c>
    </row>
    <row r="199" spans="1:16">
      <c r="A199" s="28" t="str">
        <f>"3."&amp;D199&amp;"."&amp;B199</f>
        <v>3.B.HYE.NOXHPH.NX.303</v>
      </c>
      <c r="B199" s="28" t="str">
        <f>TEXT(COUNTIFS($C$4:C199,C199,$D$4:D199,D199,$F$4:F199,F199)+IF(F199="KT",100,IF(F199="KC",200,IF(F199="DI",300,IF(F199="DN",400,IF(F199="NU",500,IF(F199="DH",600,IF(F199="PC",700,0))))))),"000")</f>
        <v>303</v>
      </c>
      <c r="C199" s="28" t="s">
        <v>10</v>
      </c>
      <c r="D199" s="100" t="s">
        <v>290</v>
      </c>
      <c r="E199" s="28" t="s">
        <v>293</v>
      </c>
      <c r="F199" s="88" t="s">
        <v>182</v>
      </c>
      <c r="G199" s="6" t="s">
        <v>23</v>
      </c>
      <c r="H199" s="20" t="s">
        <v>156</v>
      </c>
      <c r="I199" s="82" t="s">
        <v>105</v>
      </c>
      <c r="J199" s="28" t="s">
        <v>201</v>
      </c>
      <c r="K199" s="28"/>
      <c r="L199" s="28"/>
      <c r="M199" s="28"/>
      <c r="N199" s="96">
        <v>46117</v>
      </c>
      <c r="O199" s="96">
        <v>46174</v>
      </c>
    </row>
    <row r="200" spans="1:16">
      <c r="A200" s="28" t="str">
        <f>"3."&amp;D200&amp;"."&amp;B200</f>
        <v>3.B.HYE.NOXHPH.NX.304</v>
      </c>
      <c r="B200" s="28" t="str">
        <f>TEXT(COUNTIFS($C$4:C200,C200,$D$4:D200,D200,$F$4:F200,F200)+IF(F200="KT",100,IF(F200="KC",200,IF(F200="DI",300,IF(F200="DN",400,IF(F200="NU",500,IF(F200="DH",600,IF(F200="PC",700,0))))))),"000")</f>
        <v>304</v>
      </c>
      <c r="C200" s="28" t="s">
        <v>10</v>
      </c>
      <c r="D200" s="100" t="s">
        <v>290</v>
      </c>
      <c r="E200" s="28" t="s">
        <v>293</v>
      </c>
      <c r="F200" s="88" t="s">
        <v>182</v>
      </c>
      <c r="G200" s="6" t="s">
        <v>23</v>
      </c>
      <c r="H200" s="20" t="s">
        <v>156</v>
      </c>
      <c r="I200" s="82" t="s">
        <v>105</v>
      </c>
      <c r="J200" s="28" t="s">
        <v>201</v>
      </c>
      <c r="K200" s="28"/>
      <c r="L200" s="28"/>
      <c r="M200" s="28"/>
      <c r="N200" s="96">
        <v>46117</v>
      </c>
      <c r="O200" s="96">
        <v>46174</v>
      </c>
    </row>
    <row r="201" spans="1:16">
      <c r="A201" s="28" t="str">
        <f>"3."&amp;D201&amp;"."&amp;B201</f>
        <v>3.B.HYE.NOXHPH.NX.305</v>
      </c>
      <c r="B201" s="28" t="str">
        <f>TEXT(COUNTIFS($C$4:C201,C201,$D$4:D201,D201,$F$4:F201,F201)+IF(F201="KT",100,IF(F201="KC",200,IF(F201="DI",300,IF(F201="DN",400,IF(F201="NU",500,IF(F201="DH",600,IF(F201="PC",700,0))))))),"000")</f>
        <v>305</v>
      </c>
      <c r="C201" s="28" t="s">
        <v>10</v>
      </c>
      <c r="D201" s="100" t="s">
        <v>290</v>
      </c>
      <c r="E201" s="28" t="s">
        <v>293</v>
      </c>
      <c r="F201" s="88" t="s">
        <v>182</v>
      </c>
      <c r="G201" s="6" t="s">
        <v>23</v>
      </c>
      <c r="H201" s="20" t="s">
        <v>156</v>
      </c>
      <c r="I201" s="82" t="s">
        <v>105</v>
      </c>
      <c r="J201" s="28" t="s">
        <v>201</v>
      </c>
      <c r="K201" s="28"/>
      <c r="L201" s="28"/>
      <c r="M201" s="28"/>
      <c r="N201" s="96">
        <v>46117</v>
      </c>
      <c r="O201" s="96">
        <v>46174</v>
      </c>
    </row>
    <row r="202" spans="1:16">
      <c r="A202" s="28" t="str">
        <f>"3."&amp;D202&amp;"."&amp;B202</f>
        <v>3.B.HYE.PVF.101</v>
      </c>
      <c r="B202" s="28" t="str">
        <f>TEXT(COUNTIFS($C$4:C202,C202,$D$4:D202,D202,$F$4:F202,F202)+IF(F202="KT",100,IF(F202="KC",200,IF(F202="DI",300,IF(F202="DN",400,IF(F202="NU",500,IF(F202="DH",600,IF(F202="PC",700,0))))))),"000")</f>
        <v>101</v>
      </c>
      <c r="C202" s="28" t="s">
        <v>10</v>
      </c>
      <c r="D202" s="100" t="s">
        <v>295</v>
      </c>
      <c r="E202" s="28" t="s">
        <v>296</v>
      </c>
      <c r="F202" s="88" t="s">
        <v>164</v>
      </c>
      <c r="G202" s="6" t="s">
        <v>23</v>
      </c>
      <c r="H202" s="20" t="s">
        <v>156</v>
      </c>
      <c r="I202" s="82" t="s">
        <v>105</v>
      </c>
      <c r="J202" s="28" t="s">
        <v>33</v>
      </c>
      <c r="K202" s="28"/>
      <c r="L202" s="28"/>
      <c r="M202" s="28"/>
      <c r="N202" s="96">
        <v>46007</v>
      </c>
      <c r="O202" s="96">
        <v>46178</v>
      </c>
      <c r="P202" s="211" t="str">
        <f t="shared" si="7"/>
        <v xml:space="preserve">Đỗ Minh Ngọc, , </v>
      </c>
    </row>
    <row r="203" spans="1:16">
      <c r="A203" s="28" t="str">
        <f>"3."&amp;D203&amp;"."&amp;B203</f>
        <v>3.B.HYE.PVF.102</v>
      </c>
      <c r="B203" s="28" t="str">
        <f>TEXT(COUNTIFS($C$4:C203,C203,$D$4:D203,D203,$F$4:F203,F203)+IF(F203="KT",100,IF(F203="KC",200,IF(F203="DI",300,IF(F203="DN",400,IF(F203="NU",500,IF(F203="DH",600,IF(F203="PC",700,0))))))),"000")</f>
        <v>102</v>
      </c>
      <c r="C203" s="28" t="s">
        <v>10</v>
      </c>
      <c r="D203" s="100" t="s">
        <v>295</v>
      </c>
      <c r="E203" s="28" t="s">
        <v>296</v>
      </c>
      <c r="F203" s="88" t="s">
        <v>164</v>
      </c>
      <c r="G203" s="6" t="s">
        <v>28</v>
      </c>
      <c r="H203" s="20" t="s">
        <v>156</v>
      </c>
      <c r="I203" s="82" t="s">
        <v>105</v>
      </c>
      <c r="J203" s="28" t="s">
        <v>31</v>
      </c>
      <c r="K203" s="28"/>
      <c r="L203" s="28"/>
      <c r="M203" s="28"/>
      <c r="N203" s="96">
        <v>46156</v>
      </c>
      <c r="O203" s="96">
        <v>46157</v>
      </c>
      <c r="P203" s="211" t="str">
        <f t="shared" si="7"/>
        <v xml:space="preserve">Lý Huy Thành, , </v>
      </c>
    </row>
    <row r="204" spans="1:16">
      <c r="A204" s="28" t="str">
        <f>"3."&amp;D204&amp;"."&amp;B204</f>
        <v>3.B.HYE.PVF.201</v>
      </c>
      <c r="B204" s="28" t="str">
        <f>TEXT(COUNTIFS($C$4:C204,C204,$D$4:D204,D204,$F$4:F204,F204)+IF(F204="KT",100,IF(F204="KC",200,IF(F204="DI",300,IF(F204="DN",400,IF(F204="NU",500,IF(F204="DH",600,IF(F204="PC",700,0))))))),"000")</f>
        <v>201</v>
      </c>
      <c r="C204" s="28" t="s">
        <v>10</v>
      </c>
      <c r="D204" s="100" t="s">
        <v>295</v>
      </c>
      <c r="E204" s="28" t="s">
        <v>296</v>
      </c>
      <c r="F204" s="88" t="s">
        <v>174</v>
      </c>
      <c r="G204" s="6" t="s">
        <v>23</v>
      </c>
      <c r="H204" s="20" t="s">
        <v>156</v>
      </c>
      <c r="I204" s="82" t="s">
        <v>105</v>
      </c>
      <c r="J204" s="28" t="s">
        <v>33</v>
      </c>
      <c r="K204" s="28"/>
      <c r="L204" s="28"/>
      <c r="M204" s="28"/>
      <c r="N204" s="96">
        <v>46014</v>
      </c>
      <c r="O204" s="96">
        <v>46178</v>
      </c>
      <c r="P204" s="211" t="str">
        <f t="shared" si="7"/>
        <v xml:space="preserve">Đỗ Minh Ngọc, , </v>
      </c>
    </row>
    <row r="205" spans="1:16">
      <c r="A205" s="28" t="str">
        <f>"3."&amp;D205&amp;"."&amp;B205</f>
        <v>3.B.HYE.PVF.202</v>
      </c>
      <c r="B205" s="28" t="str">
        <f>TEXT(COUNTIFS($C$4:C205,C205,$D$4:D205,D205,$F$4:F205,F205)+IF(F205="KT",100,IF(F205="KC",200,IF(F205="DI",300,IF(F205="DN",400,IF(F205="NU",500,IF(F205="DH",600,IF(F205="PC",700,0))))))),"000")</f>
        <v>202</v>
      </c>
      <c r="C205" s="28" t="s">
        <v>10</v>
      </c>
      <c r="D205" s="100" t="s">
        <v>295</v>
      </c>
      <c r="E205" s="28" t="s">
        <v>296</v>
      </c>
      <c r="F205" s="88" t="s">
        <v>174</v>
      </c>
      <c r="G205" s="6" t="s">
        <v>28</v>
      </c>
      <c r="H205" s="20" t="s">
        <v>156</v>
      </c>
      <c r="I205" s="82" t="s">
        <v>105</v>
      </c>
      <c r="J205" s="28" t="s">
        <v>32</v>
      </c>
      <c r="K205" s="28"/>
      <c r="L205" s="28"/>
      <c r="M205" s="28"/>
      <c r="N205" s="96">
        <v>46156</v>
      </c>
      <c r="O205" s="96">
        <v>46157</v>
      </c>
      <c r="P205" s="211" t="str">
        <f t="shared" si="7"/>
        <v xml:space="preserve">Nguyễn Hải Nam, , </v>
      </c>
    </row>
    <row r="206" spans="1:16">
      <c r="A206" s="28" t="str">
        <f>"3."&amp;D206&amp;"."&amp;B206</f>
        <v>3.B.HYE.PVF.301</v>
      </c>
      <c r="B206" s="28" t="str">
        <f>TEXT(COUNTIFS($C$4:C206,C206,$D$4:D206,D206,$F$4:F206,F206)+IF(F206="KT",100,IF(F206="KC",200,IF(F206="DI",300,IF(F206="DN",400,IF(F206="NU",500,IF(F206="DH",600,IF(F206="PC",700,0))))))),"000")</f>
        <v>301</v>
      </c>
      <c r="C206" s="28" t="s">
        <v>10</v>
      </c>
      <c r="D206" s="100" t="s">
        <v>295</v>
      </c>
      <c r="E206" s="28" t="s">
        <v>296</v>
      </c>
      <c r="F206" s="87" t="s">
        <v>182</v>
      </c>
      <c r="G206" s="6" t="s">
        <v>23</v>
      </c>
      <c r="H206" s="6" t="s">
        <v>156</v>
      </c>
      <c r="I206" s="82" t="s">
        <v>105</v>
      </c>
      <c r="J206" s="20" t="s">
        <v>220</v>
      </c>
      <c r="K206" s="20"/>
      <c r="L206" s="20"/>
      <c r="M206" s="20"/>
      <c r="N206" s="96">
        <v>46013</v>
      </c>
      <c r="O206" s="96">
        <v>46157</v>
      </c>
      <c r="P206" s="211" t="str">
        <f t="shared" si="7"/>
        <v xml:space="preserve">Phan Trường Giang, , </v>
      </c>
    </row>
    <row r="207" spans="1:16">
      <c r="A207" s="28" t="str">
        <f>"3."&amp;D207&amp;"."&amp;B207</f>
        <v>3.B.HYE.PVF.401</v>
      </c>
      <c r="B207" s="28" t="str">
        <f>TEXT(COUNTIFS($C$4:C207,C207,$D$4:D207,D207,$F$4:F207,F207)+IF(F207="KT",100,IF(F207="KC",200,IF(F207="DI",300,IF(F207="DN",400,IF(F207="NU",500,IF(F207="DH",600,IF(F207="PC",700,0))))))),"000")</f>
        <v>401</v>
      </c>
      <c r="C207" s="28" t="s">
        <v>10</v>
      </c>
      <c r="D207" s="100" t="s">
        <v>295</v>
      </c>
      <c r="E207" s="28" t="s">
        <v>296</v>
      </c>
      <c r="F207" s="87" t="s">
        <v>190</v>
      </c>
      <c r="G207" s="6" t="s">
        <v>23</v>
      </c>
      <c r="H207" s="6" t="s">
        <v>156</v>
      </c>
      <c r="I207" s="82" t="s">
        <v>105</v>
      </c>
      <c r="J207" s="20" t="s">
        <v>220</v>
      </c>
      <c r="K207" s="20"/>
      <c r="L207" s="20"/>
      <c r="M207" s="20"/>
      <c r="N207" s="96">
        <v>46013</v>
      </c>
      <c r="O207" s="96">
        <v>46157</v>
      </c>
      <c r="P207" s="211" t="str">
        <f t="shared" si="7"/>
        <v xml:space="preserve">Phan Trường Giang, , </v>
      </c>
    </row>
    <row r="208" spans="1:16">
      <c r="A208" s="28" t="str">
        <f>"3."&amp;D208&amp;"."&amp;B208</f>
        <v>3.B.HYE.PVF.501</v>
      </c>
      <c r="B208" s="28" t="str">
        <f>TEXT(COUNTIFS($C$4:C208,C208,$D$4:D208,D208,$F$4:F208,F208)+IF(F208="KT",100,IF(F208="KC",200,IF(F208="DI",300,IF(F208="DN",400,IF(F208="NU",500,IF(F208="DH",600,IF(F208="PC",700,0))))))),"000")</f>
        <v>501</v>
      </c>
      <c r="C208" s="28" t="s">
        <v>10</v>
      </c>
      <c r="D208" s="100" t="s">
        <v>295</v>
      </c>
      <c r="E208" s="28" t="s">
        <v>296</v>
      </c>
      <c r="F208" s="87" t="s">
        <v>195</v>
      </c>
      <c r="G208" s="6" t="s">
        <v>23</v>
      </c>
      <c r="H208" s="6" t="s">
        <v>156</v>
      </c>
      <c r="I208" s="82" t="s">
        <v>105</v>
      </c>
      <c r="J208" s="20" t="s">
        <v>220</v>
      </c>
      <c r="K208" s="20"/>
      <c r="L208" s="20"/>
      <c r="M208" s="20"/>
      <c r="N208" s="96">
        <v>46013</v>
      </c>
      <c r="O208" s="96">
        <v>46157</v>
      </c>
      <c r="P208" s="211" t="str">
        <f t="shared" si="7"/>
        <v xml:space="preserve">Phan Trường Giang, , </v>
      </c>
    </row>
    <row r="209" spans="1:16">
      <c r="A209" s="28" t="str">
        <f>"3."&amp;D209&amp;"."&amp;B209</f>
        <v>3.B.HYE.PVF.601</v>
      </c>
      <c r="B209" s="28" t="str">
        <f>TEXT(COUNTIFS($C$4:C209,C209,$D$4:D209,D209,$F$4:F209,F209)+IF(F209="KT",100,IF(F209="KC",200,IF(F209="DI",300,IF(F209="DN",400,IF(F209="NU",500,IF(F209="DH",600,IF(F209="PC",700,0))))))),"000")</f>
        <v>601</v>
      </c>
      <c r="C209" s="28" t="s">
        <v>10</v>
      </c>
      <c r="D209" s="100" t="s">
        <v>295</v>
      </c>
      <c r="E209" s="28" t="s">
        <v>296</v>
      </c>
      <c r="F209" s="87" t="s">
        <v>205</v>
      </c>
      <c r="G209" s="6" t="s">
        <v>23</v>
      </c>
      <c r="H209" s="6" t="s">
        <v>156</v>
      </c>
      <c r="I209" s="82" t="s">
        <v>105</v>
      </c>
      <c r="J209" s="20" t="s">
        <v>220</v>
      </c>
      <c r="K209" s="20"/>
      <c r="L209" s="20"/>
      <c r="M209" s="20"/>
      <c r="N209" s="96">
        <v>46013</v>
      </c>
      <c r="O209" s="96">
        <v>46157</v>
      </c>
      <c r="P209" s="211" t="str">
        <f t="shared" si="7"/>
        <v xml:space="preserve">Phan Trường Giang, , </v>
      </c>
    </row>
    <row r="210" spans="1:16">
      <c r="A210" s="28" t="str">
        <f>"3."&amp;D210&amp;"."&amp;B210</f>
        <v>3.B.HYE.PVF.701</v>
      </c>
      <c r="B210" s="28" t="str">
        <f>TEXT(COUNTIFS($C$4:C210,C210,$D$4:D210,D210,$F$4:F210,F210)+IF(F210="KT",100,IF(F210="KC",200,IF(F210="DI",300,IF(F210="DN",400,IF(F210="NU",500,IF(F210="DH",600,IF(F210="PC",700,0))))))),"000")</f>
        <v>701</v>
      </c>
      <c r="C210" s="28" t="s">
        <v>10</v>
      </c>
      <c r="D210" s="100" t="s">
        <v>295</v>
      </c>
      <c r="E210" s="28" t="s">
        <v>296</v>
      </c>
      <c r="F210" s="87" t="s">
        <v>200</v>
      </c>
      <c r="G210" s="6" t="s">
        <v>23</v>
      </c>
      <c r="H210" s="6" t="s">
        <v>156</v>
      </c>
      <c r="I210" s="82" t="s">
        <v>105</v>
      </c>
      <c r="J210" s="20" t="s">
        <v>220</v>
      </c>
      <c r="K210" s="20"/>
      <c r="L210" s="20"/>
      <c r="M210" s="20"/>
      <c r="N210" s="96">
        <v>46013</v>
      </c>
      <c r="O210" s="96">
        <v>46157</v>
      </c>
      <c r="P210" s="211" t="str">
        <f t="shared" si="7"/>
        <v xml:space="preserve">Phan Trường Giang, , </v>
      </c>
    </row>
    <row r="211" spans="1:16">
      <c r="A211" s="28" t="str">
        <f>"3."&amp;D211&amp;"."&amp;B211</f>
        <v>3.B.HYE.PVF.103</v>
      </c>
      <c r="B211" s="28" t="str">
        <f>TEXT(COUNTIFS($C$4:C211,C211,$D$4:D211,D211,$F$4:F211,F211)+IF(F211="KT",100,IF(F211="KC",200,IF(F211="DI",300,IF(F211="DN",400,IF(F211="NU",500,IF(F211="DH",600,IF(F211="PC",700,0))))))),"000")</f>
        <v>103</v>
      </c>
      <c r="C211" s="28" t="s">
        <v>10</v>
      </c>
      <c r="D211" s="100" t="s">
        <v>295</v>
      </c>
      <c r="E211" s="28" t="s">
        <v>298</v>
      </c>
      <c r="F211" s="88" t="s">
        <v>164</v>
      </c>
      <c r="G211" s="6" t="s">
        <v>23</v>
      </c>
      <c r="H211" s="20" t="s">
        <v>156</v>
      </c>
      <c r="I211" s="82" t="s">
        <v>105</v>
      </c>
      <c r="J211" s="28" t="s">
        <v>34</v>
      </c>
      <c r="K211" s="28" t="s">
        <v>36</v>
      </c>
      <c r="L211" s="28"/>
      <c r="M211" s="28"/>
      <c r="N211" s="96">
        <v>45959</v>
      </c>
      <c r="O211" s="96">
        <v>46175</v>
      </c>
      <c r="P211" s="211" t="str">
        <f t="shared" si="7"/>
        <v xml:space="preserve">Trần Văn Diện, Trần Văn Toản, </v>
      </c>
    </row>
    <row r="212" spans="1:16">
      <c r="A212" s="28" t="str">
        <f>"3."&amp;D212&amp;"."&amp;B212</f>
        <v>3.B.HYE.PVF.203</v>
      </c>
      <c r="B212" s="28" t="str">
        <f>TEXT(COUNTIFS($C$4:C212,C212,$D$4:D212,D212,$F$4:F212,F212)+IF(F212="KT",100,IF(F212="KC",200,IF(F212="DI",300,IF(F212="DN",400,IF(F212="NU",500,IF(F212="DH",600,IF(F212="PC",700,0))))))),"000")</f>
        <v>203</v>
      </c>
      <c r="C212" s="28" t="s">
        <v>10</v>
      </c>
      <c r="D212" s="100" t="s">
        <v>295</v>
      </c>
      <c r="E212" s="28" t="s">
        <v>298</v>
      </c>
      <c r="F212" s="88" t="s">
        <v>174</v>
      </c>
      <c r="G212" s="6" t="s">
        <v>23</v>
      </c>
      <c r="H212" s="20" t="s">
        <v>156</v>
      </c>
      <c r="I212" s="82" t="s">
        <v>105</v>
      </c>
      <c r="J212" s="28" t="s">
        <v>34</v>
      </c>
      <c r="K212" s="28" t="s">
        <v>36</v>
      </c>
      <c r="L212" s="28"/>
      <c r="M212" s="12"/>
      <c r="N212" s="97">
        <v>45961</v>
      </c>
      <c r="O212" s="97">
        <v>46175</v>
      </c>
      <c r="P212" s="211" t="str">
        <f t="shared" si="7"/>
        <v xml:space="preserve">Trần Văn Diện, Trần Văn Toản, </v>
      </c>
    </row>
    <row r="213" spans="1:16">
      <c r="A213" s="28" t="str">
        <f>"3."&amp;D213&amp;"."&amp;B213</f>
        <v>3.B.HYE.PVF.204</v>
      </c>
      <c r="B213" s="28" t="str">
        <f>TEXT(COUNTIFS($C$4:C213,C213,$D$4:D213,D213,$F$4:F213,F213)+IF(F213="KT",100,IF(F213="KC",200,IF(F213="DI",300,IF(F213="DN",400,IF(F213="NU",500,IF(F213="DH",600,IF(F213="PC",700,0))))))),"000")</f>
        <v>204</v>
      </c>
      <c r="C213" s="28" t="s">
        <v>10</v>
      </c>
      <c r="D213" s="100" t="s">
        <v>295</v>
      </c>
      <c r="E213" s="28" t="s">
        <v>298</v>
      </c>
      <c r="F213" s="88" t="s">
        <v>174</v>
      </c>
      <c r="G213" s="6" t="s">
        <v>28</v>
      </c>
      <c r="H213" s="20" t="s">
        <v>156</v>
      </c>
      <c r="I213" s="82" t="s">
        <v>105</v>
      </c>
      <c r="J213" s="28" t="s">
        <v>34</v>
      </c>
      <c r="K213" s="28" t="s">
        <v>36</v>
      </c>
      <c r="L213" s="28"/>
      <c r="M213" s="12"/>
      <c r="N213" s="97">
        <v>46174</v>
      </c>
      <c r="O213" s="97">
        <v>46175</v>
      </c>
      <c r="P213" s="211" t="str">
        <f t="shared" si="7"/>
        <v xml:space="preserve">Trần Văn Diện, Trần Văn Toản, </v>
      </c>
    </row>
    <row r="214" spans="1:16">
      <c r="A214" s="28" t="str">
        <f>"3."&amp;D214&amp;"."&amp;B214</f>
        <v>3.B.HYE.PVF.302</v>
      </c>
      <c r="B214" s="28" t="str">
        <f>TEXT(COUNTIFS($C$4:C214,C214,$D$4:D214,D214,$F$4:F214,F214)+IF(F214="KT",100,IF(F214="KC",200,IF(F214="DI",300,IF(F214="DN",400,IF(F214="NU",500,IF(F214="DH",600,IF(F214="PC",700,0))))))),"000")</f>
        <v>302</v>
      </c>
      <c r="C214" s="28" t="s">
        <v>10</v>
      </c>
      <c r="D214" s="100" t="s">
        <v>295</v>
      </c>
      <c r="E214" s="28" t="s">
        <v>298</v>
      </c>
      <c r="F214" s="87" t="s">
        <v>182</v>
      </c>
      <c r="G214" s="82" t="s">
        <v>23</v>
      </c>
      <c r="H214" s="6" t="s">
        <v>156</v>
      </c>
      <c r="I214" s="82" t="s">
        <v>105</v>
      </c>
      <c r="J214" s="20" t="s">
        <v>216</v>
      </c>
      <c r="K214" s="20"/>
      <c r="L214" s="20"/>
      <c r="M214" s="20"/>
      <c r="N214" s="96">
        <v>46175</v>
      </c>
      <c r="O214" s="96">
        <v>46179</v>
      </c>
      <c r="P214" s="211" t="str">
        <f t="shared" ref="P214:P217" si="8">J214&amp;", "&amp;K214&amp;", "&amp;L214</f>
        <v xml:space="preserve">Đặng Thái Sơn, , </v>
      </c>
    </row>
    <row r="215" spans="1:16">
      <c r="A215" s="28" t="str">
        <f>"3."&amp;D215&amp;"."&amp;B215</f>
        <v>3.B.HYE.PVF.402</v>
      </c>
      <c r="B215" s="28" t="str">
        <f>TEXT(COUNTIFS($C$4:C215,C215,$D$4:D215,D215,$F$4:F215,F215)+IF(F215="KT",100,IF(F215="KC",200,IF(F215="DI",300,IF(F215="DN",400,IF(F215="NU",500,IF(F215="DH",600,IF(F215="PC",700,0))))))),"000")</f>
        <v>402</v>
      </c>
      <c r="C215" s="28" t="s">
        <v>10</v>
      </c>
      <c r="D215" s="100" t="s">
        <v>295</v>
      </c>
      <c r="E215" s="28" t="s">
        <v>298</v>
      </c>
      <c r="F215" s="87" t="s">
        <v>190</v>
      </c>
      <c r="G215" s="82" t="s">
        <v>23</v>
      </c>
      <c r="H215" s="6" t="s">
        <v>156</v>
      </c>
      <c r="I215" s="82" t="s">
        <v>105</v>
      </c>
      <c r="J215" s="20" t="s">
        <v>216</v>
      </c>
      <c r="K215" s="20"/>
      <c r="L215" s="20"/>
      <c r="M215" s="20"/>
      <c r="N215" s="96">
        <v>46175</v>
      </c>
      <c r="O215" s="96">
        <v>46179</v>
      </c>
      <c r="P215" s="211" t="str">
        <f t="shared" si="8"/>
        <v xml:space="preserve">Đặng Thái Sơn, , </v>
      </c>
    </row>
    <row r="216" spans="1:16">
      <c r="A216" s="28" t="str">
        <f>"3."&amp;D216&amp;"."&amp;B216</f>
        <v>3.B.HYE.PVF.502</v>
      </c>
      <c r="B216" s="28" t="str">
        <f>TEXT(COUNTIFS($C$4:C216,C216,$D$4:D216,D216,$F$4:F216,F216)+IF(F216="KT",100,IF(F216="KC",200,IF(F216="DI",300,IF(F216="DN",400,IF(F216="NU",500,IF(F216="DH",600,IF(F216="PC",700,0))))))),"000")</f>
        <v>502</v>
      </c>
      <c r="C216" s="28" t="s">
        <v>10</v>
      </c>
      <c r="D216" s="100" t="s">
        <v>295</v>
      </c>
      <c r="E216" s="28" t="s">
        <v>298</v>
      </c>
      <c r="F216" s="87" t="s">
        <v>195</v>
      </c>
      <c r="G216" s="82" t="s">
        <v>23</v>
      </c>
      <c r="H216" s="6" t="s">
        <v>156</v>
      </c>
      <c r="I216" s="82" t="s">
        <v>105</v>
      </c>
      <c r="J216" s="20" t="s">
        <v>216</v>
      </c>
      <c r="K216" s="20"/>
      <c r="L216" s="20"/>
      <c r="M216" s="20"/>
      <c r="N216" s="96">
        <v>46175</v>
      </c>
      <c r="O216" s="96">
        <v>46179</v>
      </c>
      <c r="P216" s="211" t="str">
        <f t="shared" si="8"/>
        <v xml:space="preserve">Đặng Thái Sơn, , </v>
      </c>
    </row>
    <row r="217" spans="1:16">
      <c r="A217" s="28" t="str">
        <f>"3."&amp;D217&amp;"."&amp;B217</f>
        <v>3.B.HYE.PVF.602</v>
      </c>
      <c r="B217" s="28" t="str">
        <f>TEXT(COUNTIFS($C$4:C217,C217,$D$4:D217,D217,$F$4:F217,F217)+IF(F217="KT",100,IF(F217="KC",200,IF(F217="DI",300,IF(F217="DN",400,IF(F217="NU",500,IF(F217="DH",600,IF(F217="PC",700,0))))))),"000")</f>
        <v>602</v>
      </c>
      <c r="C217" s="28" t="s">
        <v>10</v>
      </c>
      <c r="D217" s="100" t="s">
        <v>295</v>
      </c>
      <c r="E217" s="28" t="s">
        <v>298</v>
      </c>
      <c r="F217" s="87" t="s">
        <v>205</v>
      </c>
      <c r="G217" s="82" t="s">
        <v>23</v>
      </c>
      <c r="H217" s="6" t="s">
        <v>156</v>
      </c>
      <c r="I217" s="82" t="s">
        <v>105</v>
      </c>
      <c r="J217" s="20" t="s">
        <v>216</v>
      </c>
      <c r="K217" s="20"/>
      <c r="L217" s="20"/>
      <c r="M217" s="20"/>
      <c r="N217" s="96">
        <v>46175</v>
      </c>
      <c r="O217" s="96">
        <v>46179</v>
      </c>
      <c r="P217" s="211" t="str">
        <f t="shared" si="8"/>
        <v xml:space="preserve">Đặng Thái Sơn, , </v>
      </c>
    </row>
    <row r="218" spans="1:16">
      <c r="A218" s="28" t="str">
        <f>"3."&amp;D218&amp;"."&amp;B218</f>
        <v>3.B.HYE.PVF.702</v>
      </c>
      <c r="B218" s="28" t="str">
        <f>TEXT(COUNTIFS($C$4:C218,C218,$D$4:D218,D218,$F$4:F218,F218)+IF(F218="KT",100,IF(F218="KC",200,IF(F218="DI",300,IF(F218="DN",400,IF(F218="NU",500,IF(F218="DH",600,IF(F218="PC",700,0))))))),"000")</f>
        <v>702</v>
      </c>
      <c r="C218" s="28" t="s">
        <v>10</v>
      </c>
      <c r="D218" s="100" t="s">
        <v>295</v>
      </c>
      <c r="E218" s="28" t="s">
        <v>298</v>
      </c>
      <c r="F218" s="87" t="s">
        <v>200</v>
      </c>
      <c r="G218" s="82" t="s">
        <v>23</v>
      </c>
      <c r="H218" s="6" t="s">
        <v>156</v>
      </c>
      <c r="I218" s="82" t="s">
        <v>105</v>
      </c>
      <c r="J218" s="20" t="s">
        <v>216</v>
      </c>
      <c r="K218" s="20"/>
      <c r="L218" s="20"/>
      <c r="M218" s="20"/>
      <c r="N218" s="96">
        <v>46175</v>
      </c>
      <c r="O218" s="96">
        <v>46179</v>
      </c>
      <c r="P218" s="211" t="str">
        <f t="shared" ref="P218" si="9">J218&amp;", "&amp;K218&amp;", "&amp;L218</f>
        <v xml:space="preserve">Đặng Thái Sơn, , </v>
      </c>
    </row>
    <row r="219" spans="1:16">
      <c r="A219" s="28" t="str">
        <f>"3."&amp;D219&amp;"."&amp;B219</f>
        <v>3.B.HYE.PVF.503</v>
      </c>
      <c r="B219" s="28" t="str">
        <f>TEXT(COUNTIFS($C$4:C219,C219,$D$4:D219,D219,$F$4:F219,F219)+IF(F219="KT",100,IF(F219="KC",200,IF(F219="DI",300,IF(F219="DN",400,IF(F219="NU",500,IF(F219="DH",600,IF(F219="PC",700,0))))))),"000")</f>
        <v>503</v>
      </c>
      <c r="C219" s="28" t="s">
        <v>10</v>
      </c>
      <c r="D219" s="100" t="s">
        <v>295</v>
      </c>
      <c r="E219" s="28" t="s">
        <v>298</v>
      </c>
      <c r="F219" s="88" t="s">
        <v>195</v>
      </c>
      <c r="G219" s="6" t="s">
        <v>169</v>
      </c>
      <c r="H219" s="82" t="s">
        <v>156</v>
      </c>
      <c r="I219" s="82" t="s">
        <v>122</v>
      </c>
      <c r="J219" s="20" t="s">
        <v>206</v>
      </c>
      <c r="K219" s="20"/>
      <c r="L219" s="20"/>
      <c r="M219" s="20"/>
      <c r="N219" s="96">
        <v>46174</v>
      </c>
      <c r="O219" s="96">
        <v>46178</v>
      </c>
      <c r="P219" s="211" t="str">
        <f t="shared" si="7"/>
        <v xml:space="preserve">Nguyễn Văn Hải, , </v>
      </c>
    </row>
    <row r="220" spans="1:16">
      <c r="A220" s="28" t="str">
        <f>"3."&amp;D220&amp;"."&amp;B220</f>
        <v>3.B.HYE.PVF.603</v>
      </c>
      <c r="B220" s="28" t="str">
        <f>TEXT(COUNTIFS($C$4:C220,C220,$D$4:D220,D220,$F$4:F220,F220)+IF(F220="KT",100,IF(F220="KC",200,IF(F220="DI",300,IF(F220="DN",400,IF(F220="NU",500,IF(F220="DH",600,IF(F220="PC",700,0))))))),"000")</f>
        <v>603</v>
      </c>
      <c r="C220" s="28" t="s">
        <v>10</v>
      </c>
      <c r="D220" s="100" t="s">
        <v>295</v>
      </c>
      <c r="E220" s="28" t="s">
        <v>298</v>
      </c>
      <c r="F220" s="88" t="s">
        <v>205</v>
      </c>
      <c r="G220" s="6" t="s">
        <v>169</v>
      </c>
      <c r="H220" s="82" t="s">
        <v>156</v>
      </c>
      <c r="I220" s="82" t="s">
        <v>105</v>
      </c>
      <c r="J220" s="20" t="s">
        <v>216</v>
      </c>
      <c r="K220" s="20"/>
      <c r="L220" s="20"/>
      <c r="M220" s="20"/>
      <c r="N220" s="96">
        <v>46167</v>
      </c>
      <c r="O220" s="96">
        <v>46176</v>
      </c>
      <c r="P220" s="211" t="str">
        <f t="shared" si="7"/>
        <v xml:space="preserve">Đặng Thái Sơn, , </v>
      </c>
    </row>
    <row r="221" spans="1:16">
      <c r="A221" s="28" t="str">
        <f>"3."&amp;D221&amp;"."&amp;B221</f>
        <v>3.B.QNI.HLX.CT.101</v>
      </c>
      <c r="B221" s="28" t="str">
        <f>TEXT(COUNTIFS($C$4:C221,C221,$D$4:D221,D221,$F$4:F221,F221)+IF(F221="KT",100,IF(F221="KC",200,IF(F221="DI",300,IF(F221="DN",400,IF(F221="NU",500,IF(F221="DH",600,IF(F221="PC",700,0))))))),"000")</f>
        <v>101</v>
      </c>
      <c r="C221" s="28" t="s">
        <v>10</v>
      </c>
      <c r="D221" s="100" t="s">
        <v>300</v>
      </c>
      <c r="E221" s="28" t="s">
        <v>301</v>
      </c>
      <c r="F221" s="88" t="s">
        <v>164</v>
      </c>
      <c r="G221" s="6" t="s">
        <v>169</v>
      </c>
      <c r="H221" s="6" t="s">
        <v>121</v>
      </c>
      <c r="I221" s="82" t="s">
        <v>105</v>
      </c>
      <c r="J221" s="20" t="s">
        <v>32</v>
      </c>
      <c r="K221" s="20"/>
      <c r="L221" s="20"/>
      <c r="M221" s="20"/>
      <c r="N221" s="96">
        <v>46163</v>
      </c>
      <c r="O221" s="96">
        <v>46165</v>
      </c>
      <c r="P221" s="211" t="str">
        <f t="shared" si="7"/>
        <v xml:space="preserve">Nguyễn Hải Nam, , </v>
      </c>
    </row>
    <row r="222" spans="1:16">
      <c r="A222" s="28" t="str">
        <f>"3."&amp;D222&amp;"."&amp;B222</f>
        <v>3.B.QNI.HLX.CT.201</v>
      </c>
      <c r="B222" s="28" t="str">
        <f>TEXT(COUNTIFS($C$4:C222,C222,$D$4:D222,D222,$F$4:F222,F222)+IF(F222="KT",100,IF(F222="KC",200,IF(F222="DI",300,IF(F222="DN",400,IF(F222="NU",500,IF(F222="DH",600,IF(F222="PC",700,0))))))),"000")</f>
        <v>201</v>
      </c>
      <c r="C222" s="28" t="s">
        <v>10</v>
      </c>
      <c r="D222" s="100" t="s">
        <v>300</v>
      </c>
      <c r="E222" s="28" t="s">
        <v>301</v>
      </c>
      <c r="F222" s="88" t="s">
        <v>174</v>
      </c>
      <c r="G222" s="6" t="s">
        <v>169</v>
      </c>
      <c r="H222" s="6" t="s">
        <v>121</v>
      </c>
      <c r="I222" s="82" t="s">
        <v>105</v>
      </c>
      <c r="J222" s="20" t="s">
        <v>32</v>
      </c>
      <c r="K222" s="20"/>
      <c r="L222" s="20"/>
      <c r="M222" s="20"/>
      <c r="N222" s="96">
        <v>46163</v>
      </c>
      <c r="O222" s="96">
        <v>46165</v>
      </c>
      <c r="P222" s="211" t="str">
        <f t="shared" si="7"/>
        <v xml:space="preserve">Nguyễn Hải Nam, , </v>
      </c>
    </row>
    <row r="223" spans="1:16">
      <c r="A223" s="28" t="str">
        <f>"3."&amp;D223&amp;"."&amp;B223</f>
        <v>3.B.QNI.HLX.CT.102</v>
      </c>
      <c r="B223" s="28" t="str">
        <f>TEXT(COUNTIFS($C$4:C223,C223,$D$4:D223,D223,$F$4:F223,F223)+IF(F223="KT",100,IF(F223="KC",200,IF(F223="DI",300,IF(F223="DN",400,IF(F223="NU",500,IF(F223="DH",600,IF(F223="PC",700,0))))))),"000")</f>
        <v>102</v>
      </c>
      <c r="C223" s="28" t="s">
        <v>10</v>
      </c>
      <c r="D223" s="100" t="s">
        <v>300</v>
      </c>
      <c r="E223" s="28" t="s">
        <v>303</v>
      </c>
      <c r="F223" s="88" t="s">
        <v>164</v>
      </c>
      <c r="G223" s="6" t="s">
        <v>169</v>
      </c>
      <c r="H223" s="6" t="s">
        <v>121</v>
      </c>
      <c r="I223" s="82" t="s">
        <v>105</v>
      </c>
      <c r="J223" s="20" t="s">
        <v>35</v>
      </c>
      <c r="K223" s="20"/>
      <c r="L223" s="20"/>
      <c r="M223" s="20"/>
      <c r="N223" s="96">
        <v>46163</v>
      </c>
      <c r="O223" s="96">
        <v>46165</v>
      </c>
      <c r="P223" s="211" t="str">
        <f t="shared" si="7"/>
        <v xml:space="preserve">Đặng Minh Quang, , </v>
      </c>
    </row>
    <row r="224" spans="1:16">
      <c r="A224" s="28" t="str">
        <f>"3."&amp;D224&amp;"."&amp;B224</f>
        <v>3.B.QNI.HLX.CT.202</v>
      </c>
      <c r="B224" s="28" t="str">
        <f>TEXT(COUNTIFS($C$4:C224,C224,$D$4:D224,D224,$F$4:F224,F224)+IF(F224="KT",100,IF(F224="KC",200,IF(F224="DI",300,IF(F224="DN",400,IF(F224="NU",500,IF(F224="DH",600,IF(F224="PC",700,0))))))),"000")</f>
        <v>202</v>
      </c>
      <c r="C224" s="28" t="s">
        <v>10</v>
      </c>
      <c r="D224" s="100" t="s">
        <v>300</v>
      </c>
      <c r="E224" s="28" t="s">
        <v>303</v>
      </c>
      <c r="F224" s="88" t="s">
        <v>174</v>
      </c>
      <c r="G224" s="6" t="s">
        <v>169</v>
      </c>
      <c r="H224" s="6" t="s">
        <v>121</v>
      </c>
      <c r="I224" s="82" t="s">
        <v>105</v>
      </c>
      <c r="J224" s="20" t="s">
        <v>35</v>
      </c>
      <c r="K224" s="20"/>
      <c r="L224" s="20"/>
      <c r="M224" s="20"/>
      <c r="N224" s="96">
        <v>46163</v>
      </c>
      <c r="O224" s="96">
        <v>46165</v>
      </c>
      <c r="P224" s="211" t="str">
        <f t="shared" si="7"/>
        <v xml:space="preserve">Đặng Minh Quang, , </v>
      </c>
    </row>
    <row r="225" spans="1:16">
      <c r="A225" s="28" t="str">
        <f>"3."&amp;D225&amp;"."&amp;B225</f>
        <v>3.B.QNI.HLX.CT.103</v>
      </c>
      <c r="B225" s="28" t="str">
        <f>TEXT(COUNTIFS($C$4:C225,C225,$D$4:D225,D225,$F$4:F225,F225)+IF(F225="KT",100,IF(F225="KC",200,IF(F225="DI",300,IF(F225="DN",400,IF(F225="NU",500,IF(F225="DH",600,IF(F225="PC",700,0))))))),"000")</f>
        <v>103</v>
      </c>
      <c r="C225" s="28" t="s">
        <v>10</v>
      </c>
      <c r="D225" s="100" t="s">
        <v>300</v>
      </c>
      <c r="E225" s="28" t="s">
        <v>305</v>
      </c>
      <c r="F225" s="88" t="s">
        <v>164</v>
      </c>
      <c r="G225" s="6" t="s">
        <v>169</v>
      </c>
      <c r="H225" s="6" t="s">
        <v>121</v>
      </c>
      <c r="I225" s="82" t="s">
        <v>105</v>
      </c>
      <c r="J225" s="20" t="s">
        <v>33</v>
      </c>
      <c r="K225" s="20"/>
      <c r="L225" s="20"/>
      <c r="M225" s="20"/>
      <c r="N225" s="96">
        <v>46163</v>
      </c>
      <c r="O225" s="96">
        <v>46165</v>
      </c>
      <c r="P225" s="211" t="str">
        <f t="shared" si="7"/>
        <v xml:space="preserve">Đỗ Minh Ngọc, , </v>
      </c>
    </row>
    <row r="226" spans="1:16">
      <c r="A226" s="28" t="str">
        <f>"3."&amp;D226&amp;"."&amp;B226</f>
        <v>3.B.QNI.HLX.CT.203</v>
      </c>
      <c r="B226" s="28" t="str">
        <f>TEXT(COUNTIFS($C$4:C226,C226,$D$4:D226,D226,$F$4:F226,F226)+IF(F226="KT",100,IF(F226="KC",200,IF(F226="DI",300,IF(F226="DN",400,IF(F226="NU",500,IF(F226="DH",600,IF(F226="PC",700,0))))))),"000")</f>
        <v>203</v>
      </c>
      <c r="C226" s="28" t="s">
        <v>10</v>
      </c>
      <c r="D226" s="100" t="s">
        <v>300</v>
      </c>
      <c r="E226" s="28" t="s">
        <v>305</v>
      </c>
      <c r="F226" s="88" t="s">
        <v>174</v>
      </c>
      <c r="G226" s="6" t="s">
        <v>169</v>
      </c>
      <c r="H226" s="6" t="s">
        <v>121</v>
      </c>
      <c r="I226" s="82" t="s">
        <v>105</v>
      </c>
      <c r="J226" s="20" t="s">
        <v>33</v>
      </c>
      <c r="K226" s="20"/>
      <c r="L226" s="20"/>
      <c r="M226" s="20"/>
      <c r="N226" s="96">
        <v>46163</v>
      </c>
      <c r="O226" s="96">
        <v>46165</v>
      </c>
      <c r="P226" s="211" t="str">
        <f t="shared" si="7"/>
        <v xml:space="preserve">Đỗ Minh Ngọc, , </v>
      </c>
    </row>
    <row r="227" spans="1:16">
      <c r="A227" s="28" t="str">
        <f>"3."&amp;D227&amp;"."&amp;B227</f>
        <v>3.B.QNI.HLX.CT.104</v>
      </c>
      <c r="B227" s="28" t="str">
        <f>TEXT(COUNTIFS($C$4:C227,C227,$D$4:D227,D227,$F$4:F227,F227)+IF(F227="KT",100,IF(F227="KC",200,IF(F227="DI",300,IF(F227="DN",400,IF(F227="NU",500,IF(F227="DH",600,IF(F227="PC",700,0))))))),"000")</f>
        <v>104</v>
      </c>
      <c r="C227" s="28" t="s">
        <v>10</v>
      </c>
      <c r="D227" s="100" t="s">
        <v>300</v>
      </c>
      <c r="E227" s="28" t="s">
        <v>307</v>
      </c>
      <c r="F227" s="88" t="s">
        <v>164</v>
      </c>
      <c r="G227" s="6" t="s">
        <v>169</v>
      </c>
      <c r="H227" s="6" t="s">
        <v>121</v>
      </c>
      <c r="I227" s="82" t="s">
        <v>105</v>
      </c>
      <c r="J227" s="20" t="s">
        <v>34</v>
      </c>
      <c r="K227" s="20"/>
      <c r="L227" s="20"/>
      <c r="M227" s="20"/>
      <c r="N227" s="96">
        <v>46163</v>
      </c>
      <c r="O227" s="96">
        <v>46165</v>
      </c>
      <c r="P227" s="211" t="str">
        <f t="shared" si="7"/>
        <v xml:space="preserve">Trần Văn Diện, , </v>
      </c>
    </row>
    <row r="228" spans="1:16">
      <c r="A228" s="28" t="str">
        <f>"3."&amp;D228&amp;"."&amp;B228</f>
        <v>3.B.QNI.HLX.CT.204</v>
      </c>
      <c r="B228" s="28" t="str">
        <f>TEXT(COUNTIFS($C$4:C228,C228,$D$4:D228,D228,$F$4:F228,F228)+IF(F228="KT",100,IF(F228="KC",200,IF(F228="DI",300,IF(F228="DN",400,IF(F228="NU",500,IF(F228="DH",600,IF(F228="PC",700,0))))))),"000")</f>
        <v>204</v>
      </c>
      <c r="C228" s="28" t="s">
        <v>10</v>
      </c>
      <c r="D228" s="100" t="s">
        <v>300</v>
      </c>
      <c r="E228" s="28" t="s">
        <v>307</v>
      </c>
      <c r="F228" s="88" t="s">
        <v>174</v>
      </c>
      <c r="G228" s="6" t="s">
        <v>169</v>
      </c>
      <c r="H228" s="6" t="s">
        <v>121</v>
      </c>
      <c r="I228" s="82" t="s">
        <v>105</v>
      </c>
      <c r="J228" s="20" t="s">
        <v>34</v>
      </c>
      <c r="K228" s="20"/>
      <c r="L228" s="20"/>
      <c r="M228" s="20"/>
      <c r="N228" s="96">
        <v>46163</v>
      </c>
      <c r="O228" s="96">
        <v>46165</v>
      </c>
      <c r="P228" s="211" t="str">
        <f t="shared" si="7"/>
        <v xml:space="preserve">Trần Văn Diện, , </v>
      </c>
    </row>
    <row r="229" spans="1:16">
      <c r="A229" s="28" t="str">
        <f>"3."&amp;D229&amp;"."&amp;B229</f>
        <v>3.B.QNI.HLX.CT.105</v>
      </c>
      <c r="B229" s="28" t="str">
        <f>TEXT(COUNTIFS($C$4:C229,C229,$D$4:D229,D229,$F$4:F229,F229)+IF(F229="KT",100,IF(F229="KC",200,IF(F229="DI",300,IF(F229="DN",400,IF(F229="NU",500,IF(F229="DH",600,IF(F229="PC",700,0))))))),"000")</f>
        <v>105</v>
      </c>
      <c r="C229" s="28" t="s">
        <v>10</v>
      </c>
      <c r="D229" s="100" t="s">
        <v>300</v>
      </c>
      <c r="E229" s="28" t="s">
        <v>309</v>
      </c>
      <c r="F229" s="88" t="s">
        <v>164</v>
      </c>
      <c r="G229" s="6" t="s">
        <v>169</v>
      </c>
      <c r="H229" s="6" t="s">
        <v>121</v>
      </c>
      <c r="I229" s="82" t="s">
        <v>105</v>
      </c>
      <c r="J229" s="20" t="s">
        <v>196</v>
      </c>
      <c r="K229" s="20"/>
      <c r="L229" s="20"/>
      <c r="M229" s="20"/>
      <c r="N229" s="96">
        <v>46163</v>
      </c>
      <c r="O229" s="96">
        <v>46165</v>
      </c>
      <c r="P229" s="211" t="str">
        <f t="shared" si="7"/>
        <v xml:space="preserve">Vũ Thị Thêu, , </v>
      </c>
    </row>
    <row r="230" spans="1:16">
      <c r="A230" s="28" t="str">
        <f>"3."&amp;D230&amp;"."&amp;B230</f>
        <v>3.B.QNI.HLX.CT.205</v>
      </c>
      <c r="B230" s="28" t="str">
        <f>TEXT(COUNTIFS($C$4:C230,C230,$D$4:D230,D230,$F$4:F230,F230)+IF(F230="KT",100,IF(F230="KC",200,IF(F230="DI",300,IF(F230="DN",400,IF(F230="NU",500,IF(F230="DH",600,IF(F230="PC",700,0))))))),"000")</f>
        <v>205</v>
      </c>
      <c r="C230" s="28" t="s">
        <v>10</v>
      </c>
      <c r="D230" s="100" t="s">
        <v>300</v>
      </c>
      <c r="E230" s="28" t="s">
        <v>309</v>
      </c>
      <c r="F230" s="88" t="s">
        <v>174</v>
      </c>
      <c r="G230" s="6" t="s">
        <v>169</v>
      </c>
      <c r="H230" s="6" t="s">
        <v>121</v>
      </c>
      <c r="I230" s="82" t="s">
        <v>105</v>
      </c>
      <c r="J230" s="20" t="s">
        <v>196</v>
      </c>
      <c r="K230" s="20"/>
      <c r="L230" s="20"/>
      <c r="M230" s="20"/>
      <c r="N230" s="96">
        <v>46163</v>
      </c>
      <c r="O230" s="96">
        <v>46165</v>
      </c>
      <c r="P230" s="211" t="str">
        <f t="shared" si="7"/>
        <v xml:space="preserve">Vũ Thị Thêu, , </v>
      </c>
    </row>
    <row r="231" spans="1:16">
      <c r="A231" s="28" t="str">
        <f>"3."&amp;D231&amp;"."&amp;B231</f>
        <v>3.B.QNI.HLX.CT.106</v>
      </c>
      <c r="B231" s="28" t="str">
        <f>TEXT(COUNTIFS($C$4:C231,C231,$D$4:D231,D231,$F$4:F231,F231)+IF(F231="KT",100,IF(F231="KC",200,IF(F231="DI",300,IF(F231="DN",400,IF(F231="NU",500,IF(F231="DH",600,IF(F231="PC",700,0))))))),"000")</f>
        <v>106</v>
      </c>
      <c r="C231" s="28" t="s">
        <v>10</v>
      </c>
      <c r="D231" s="100" t="s">
        <v>300</v>
      </c>
      <c r="E231" s="28" t="s">
        <v>311</v>
      </c>
      <c r="F231" s="88" t="s">
        <v>164</v>
      </c>
      <c r="G231" s="6" t="s">
        <v>169</v>
      </c>
      <c r="H231" s="6" t="s">
        <v>121</v>
      </c>
      <c r="I231" s="82" t="s">
        <v>105</v>
      </c>
      <c r="J231" s="20" t="s">
        <v>36</v>
      </c>
      <c r="K231" s="20"/>
      <c r="L231" s="20"/>
      <c r="M231" s="20"/>
      <c r="N231" s="96">
        <v>46163</v>
      </c>
      <c r="O231" s="96">
        <v>46165</v>
      </c>
      <c r="P231" s="211" t="str">
        <f t="shared" si="7"/>
        <v xml:space="preserve">Trần Văn Toản, , </v>
      </c>
    </row>
    <row r="232" spans="1:16">
      <c r="A232" s="28" t="str">
        <f>"3."&amp;D232&amp;"."&amp;B232</f>
        <v>3.B.QNI.HLX.CT.206</v>
      </c>
      <c r="B232" s="28" t="str">
        <f>TEXT(COUNTIFS($C$4:C232,C232,$D$4:D232,D232,$F$4:F232,F232)+IF(F232="KT",100,IF(F232="KC",200,IF(F232="DI",300,IF(F232="DN",400,IF(F232="NU",500,IF(F232="DH",600,IF(F232="PC",700,0))))))),"000")</f>
        <v>206</v>
      </c>
      <c r="C232" s="28" t="s">
        <v>10</v>
      </c>
      <c r="D232" s="100" t="s">
        <v>300</v>
      </c>
      <c r="E232" s="28" t="s">
        <v>311</v>
      </c>
      <c r="F232" s="88" t="s">
        <v>174</v>
      </c>
      <c r="G232" s="6" t="s">
        <v>169</v>
      </c>
      <c r="H232" s="6" t="s">
        <v>121</v>
      </c>
      <c r="I232" s="82" t="s">
        <v>105</v>
      </c>
      <c r="J232" s="20" t="s">
        <v>36</v>
      </c>
      <c r="K232" s="20"/>
      <c r="L232" s="20"/>
      <c r="M232" s="20"/>
      <c r="N232" s="96">
        <v>46163</v>
      </c>
      <c r="O232" s="96">
        <v>46165</v>
      </c>
      <c r="P232" s="211" t="str">
        <f t="shared" si="7"/>
        <v xml:space="preserve">Trần Văn Toản, , </v>
      </c>
    </row>
    <row r="233" spans="1:16">
      <c r="A233" s="28" t="str">
        <f>"3."&amp;D233&amp;"."&amp;B233</f>
        <v>3.B.QNI.HLX.CT.107</v>
      </c>
      <c r="B233" s="28" t="str">
        <f>TEXT(COUNTIFS($C$4:C233,C233,$D$4:D233,D233,$F$4:F233,F233)+IF(F233="KT",100,IF(F233="KC",200,IF(F233="DI",300,IF(F233="DN",400,IF(F233="NU",500,IF(F233="DH",600,IF(F233="PC",700,0))))))),"000")</f>
        <v>107</v>
      </c>
      <c r="C233" s="28" t="s">
        <v>10</v>
      </c>
      <c r="D233" s="100" t="s">
        <v>300</v>
      </c>
      <c r="E233" s="28" t="s">
        <v>313</v>
      </c>
      <c r="F233" s="88" t="s">
        <v>164</v>
      </c>
      <c r="G233" s="6" t="s">
        <v>169</v>
      </c>
      <c r="H233" s="6" t="s">
        <v>121</v>
      </c>
      <c r="I233" s="82" t="s">
        <v>105</v>
      </c>
      <c r="J233" s="20" t="s">
        <v>33</v>
      </c>
      <c r="K233" s="20"/>
      <c r="L233" s="20"/>
      <c r="M233" s="20"/>
      <c r="N233" s="96">
        <v>46163</v>
      </c>
      <c r="O233" s="96">
        <v>46165</v>
      </c>
      <c r="P233" s="211" t="str">
        <f t="shared" si="7"/>
        <v xml:space="preserve">Đỗ Minh Ngọc, , </v>
      </c>
    </row>
    <row r="234" spans="1:16">
      <c r="A234" s="28" t="str">
        <f>"3."&amp;D234&amp;"."&amp;B234</f>
        <v>3.B.QNI.HLX.CT.207</v>
      </c>
      <c r="B234" s="28" t="str">
        <f>TEXT(COUNTIFS($C$4:C234,C234,$D$4:D234,D234,$F$4:F234,F234)+IF(F234="KT",100,IF(F234="KC",200,IF(F234="DI",300,IF(F234="DN",400,IF(F234="NU",500,IF(F234="DH",600,IF(F234="PC",700,0))))))),"000")</f>
        <v>207</v>
      </c>
      <c r="C234" s="28" t="s">
        <v>10</v>
      </c>
      <c r="D234" s="100" t="s">
        <v>300</v>
      </c>
      <c r="E234" s="28" t="s">
        <v>313</v>
      </c>
      <c r="F234" s="88" t="s">
        <v>174</v>
      </c>
      <c r="G234" s="6" t="s">
        <v>169</v>
      </c>
      <c r="H234" s="6" t="s">
        <v>121</v>
      </c>
      <c r="I234" s="82" t="s">
        <v>105</v>
      </c>
      <c r="J234" s="20" t="s">
        <v>267</v>
      </c>
      <c r="K234" s="20"/>
      <c r="L234" s="20"/>
      <c r="M234" s="20"/>
      <c r="N234" s="96">
        <v>46163</v>
      </c>
      <c r="O234" s="96">
        <v>46165</v>
      </c>
      <c r="P234" s="211" t="str">
        <f t="shared" si="7"/>
        <v xml:space="preserve">Nguyễn Thanh Phương, , </v>
      </c>
    </row>
    <row r="235" spans="1:16">
      <c r="A235" s="28" t="str">
        <f>"3."&amp;D235&amp;"."&amp;B235</f>
        <v>3.B.QNI.HLXHL.VMM.101</v>
      </c>
      <c r="B235" s="28" t="str">
        <f>TEXT(COUNTIFS($C$4:C235,C235,$D$4:D235,D235,$F$4:F235,F235)+IF(F235="KT",100,IF(F235="KC",200,IF(F235="DI",300,IF(F235="DN",400,IF(F235="NU",500,IF(F235="DH",600,IF(F235="PC",700,0))))))),"000")</f>
        <v>101</v>
      </c>
      <c r="C235" s="28" t="s">
        <v>10</v>
      </c>
      <c r="D235" s="140" t="s">
        <v>315</v>
      </c>
      <c r="E235" s="28" t="s">
        <v>316</v>
      </c>
      <c r="F235" s="88" t="s">
        <v>164</v>
      </c>
      <c r="G235" s="6" t="s">
        <v>23</v>
      </c>
      <c r="H235" s="20" t="s">
        <v>156</v>
      </c>
      <c r="I235" s="82" t="s">
        <v>105</v>
      </c>
      <c r="J235" s="20" t="s">
        <v>31</v>
      </c>
      <c r="K235" s="20"/>
      <c r="L235" s="20"/>
      <c r="M235" s="20"/>
      <c r="N235" s="208"/>
      <c r="O235" s="208"/>
      <c r="P235" s="211" t="str">
        <f t="shared" si="7"/>
        <v xml:space="preserve">Lý Huy Thành, , </v>
      </c>
    </row>
    <row r="236" spans="1:16">
      <c r="A236" s="28" t="str">
        <f>"3."&amp;D236&amp;"."&amp;B236</f>
        <v>3.B.QNI.HLXHL.VMM.201</v>
      </c>
      <c r="B236" s="28" t="str">
        <f>TEXT(COUNTIFS($C$4:C236,C236,$D$4:D236,D236,$F$4:F236,F236)+IF(F236="KT",100,IF(F236="KC",200,IF(F236="DI",300,IF(F236="DN",400,IF(F236="NU",500,IF(F236="DH",600,IF(F236="PC",700,0))))))),"000")</f>
        <v>201</v>
      </c>
      <c r="C236" s="28" t="s">
        <v>10</v>
      </c>
      <c r="D236" s="140" t="s">
        <v>315</v>
      </c>
      <c r="E236" s="28" t="s">
        <v>316</v>
      </c>
      <c r="F236" s="88" t="s">
        <v>174</v>
      </c>
      <c r="G236" s="6" t="s">
        <v>23</v>
      </c>
      <c r="H236" s="20" t="s">
        <v>156</v>
      </c>
      <c r="I236" s="82" t="s">
        <v>105</v>
      </c>
      <c r="J236" s="20" t="s">
        <v>31</v>
      </c>
      <c r="K236" s="20"/>
      <c r="L236" s="20"/>
      <c r="M236" s="20"/>
      <c r="N236" s="208"/>
      <c r="O236" s="208"/>
      <c r="P236" s="211" t="str">
        <f t="shared" si="7"/>
        <v xml:space="preserve">Lý Huy Thành, , </v>
      </c>
    </row>
    <row r="237" spans="1:16">
      <c r="A237" s="28" t="str">
        <f>"3."&amp;D237&amp;"."&amp;B237</f>
        <v>3.B.QNI.HLXHL.VMM.301</v>
      </c>
      <c r="B237" s="28" t="str">
        <f>TEXT(COUNTIFS($C$4:C237,C237,$D$4:D237,D237,$F$4:F237,F237)+IF(F237="KT",100,IF(F237="KC",200,IF(F237="DI",300,IF(F237="DN",400,IF(F237="NU",500,IF(F237="DH",600,IF(F237="PC",700,0))))))),"000")</f>
        <v>301</v>
      </c>
      <c r="C237" s="28" t="s">
        <v>10</v>
      </c>
      <c r="D237" s="140" t="s">
        <v>315</v>
      </c>
      <c r="E237" s="28" t="s">
        <v>316</v>
      </c>
      <c r="F237" s="87" t="s">
        <v>182</v>
      </c>
      <c r="G237" s="6" t="s">
        <v>23</v>
      </c>
      <c r="H237" s="6" t="s">
        <v>156</v>
      </c>
      <c r="I237" s="82" t="s">
        <v>105</v>
      </c>
      <c r="J237" s="20" t="s">
        <v>201</v>
      </c>
      <c r="K237" s="20"/>
      <c r="L237" s="20"/>
      <c r="M237" s="20"/>
      <c r="N237" s="96">
        <v>46248</v>
      </c>
      <c r="O237" s="96">
        <v>46369</v>
      </c>
      <c r="P237" s="211" t="str">
        <f t="shared" si="7"/>
        <v xml:space="preserve">Ngô Tuấn Vũ, , </v>
      </c>
    </row>
    <row r="238" spans="1:16">
      <c r="A238" s="28" t="str">
        <f>"3."&amp;D238&amp;"."&amp;B238</f>
        <v>3.B.QNI.HLXHL.VMM.401</v>
      </c>
      <c r="B238" s="28" t="str">
        <f>TEXT(COUNTIFS($C$4:C238,C238,$D$4:D238,D238,$F$4:F238,F238)+IF(F238="KT",100,IF(F238="KC",200,IF(F238="DI",300,IF(F238="DN",400,IF(F238="NU",500,IF(F238="DH",600,IF(F238="PC",700,0))))))),"000")</f>
        <v>401</v>
      </c>
      <c r="C238" s="28" t="s">
        <v>10</v>
      </c>
      <c r="D238" s="140" t="s">
        <v>315</v>
      </c>
      <c r="E238" s="28" t="s">
        <v>316</v>
      </c>
      <c r="F238" s="87" t="s">
        <v>190</v>
      </c>
      <c r="G238" s="6" t="s">
        <v>23</v>
      </c>
      <c r="H238" s="6" t="s">
        <v>156</v>
      </c>
      <c r="I238" s="82" t="s">
        <v>105</v>
      </c>
      <c r="J238" s="20" t="s">
        <v>201</v>
      </c>
      <c r="K238" s="20"/>
      <c r="L238" s="20"/>
      <c r="M238" s="20"/>
      <c r="N238" s="96">
        <v>46248</v>
      </c>
      <c r="O238" s="96">
        <v>46369</v>
      </c>
      <c r="P238" s="211" t="str">
        <f t="shared" ref="P238:P241" si="10">J238&amp;", "&amp;K238&amp;", "&amp;L238</f>
        <v xml:space="preserve">Ngô Tuấn Vũ, , </v>
      </c>
    </row>
    <row r="239" spans="1:16">
      <c r="A239" s="28" t="str">
        <f>"3."&amp;D239&amp;"."&amp;B239</f>
        <v>3.B.QNI.HLXHL.VMM.501</v>
      </c>
      <c r="B239" s="28" t="str">
        <f>TEXT(COUNTIFS($C$4:C239,C239,$D$4:D239,D239,$F$4:F239,F239)+IF(F239="KT",100,IF(F239="KC",200,IF(F239="DI",300,IF(F239="DN",400,IF(F239="NU",500,IF(F239="DH",600,IF(F239="PC",700,0))))))),"000")</f>
        <v>501</v>
      </c>
      <c r="C239" s="28" t="s">
        <v>10</v>
      </c>
      <c r="D239" s="140" t="s">
        <v>315</v>
      </c>
      <c r="E239" s="28" t="s">
        <v>316</v>
      </c>
      <c r="F239" s="87" t="s">
        <v>195</v>
      </c>
      <c r="G239" s="6" t="s">
        <v>23</v>
      </c>
      <c r="H239" s="6" t="s">
        <v>156</v>
      </c>
      <c r="I239" s="82" t="s">
        <v>105</v>
      </c>
      <c r="J239" s="20" t="s">
        <v>201</v>
      </c>
      <c r="K239" s="20"/>
      <c r="L239" s="20"/>
      <c r="M239" s="20"/>
      <c r="N239" s="96">
        <v>46248</v>
      </c>
      <c r="O239" s="96">
        <v>46369</v>
      </c>
      <c r="P239" s="211" t="str">
        <f t="shared" si="10"/>
        <v xml:space="preserve">Ngô Tuấn Vũ, , </v>
      </c>
    </row>
    <row r="240" spans="1:16">
      <c r="A240" s="28" t="str">
        <f>"3."&amp;D240&amp;"."&amp;B240</f>
        <v>3.B.QNI.HLXHL.VMM.601</v>
      </c>
      <c r="B240" s="28" t="str">
        <f>TEXT(COUNTIFS($C$4:C240,C240,$D$4:D240,D240,$F$4:F240,F240)+IF(F240="KT",100,IF(F240="KC",200,IF(F240="DI",300,IF(F240="DN",400,IF(F240="NU",500,IF(F240="DH",600,IF(F240="PC",700,0))))))),"000")</f>
        <v>601</v>
      </c>
      <c r="C240" s="28" t="s">
        <v>10</v>
      </c>
      <c r="D240" s="140" t="s">
        <v>315</v>
      </c>
      <c r="E240" s="28" t="s">
        <v>316</v>
      </c>
      <c r="F240" s="87" t="s">
        <v>205</v>
      </c>
      <c r="G240" s="6" t="s">
        <v>23</v>
      </c>
      <c r="H240" s="6" t="s">
        <v>156</v>
      </c>
      <c r="I240" s="82" t="s">
        <v>105</v>
      </c>
      <c r="J240" s="20" t="s">
        <v>201</v>
      </c>
      <c r="K240" s="20"/>
      <c r="L240" s="20"/>
      <c r="M240" s="20"/>
      <c r="N240" s="96">
        <v>46248</v>
      </c>
      <c r="O240" s="96">
        <v>46369</v>
      </c>
      <c r="P240" s="211" t="str">
        <f t="shared" si="10"/>
        <v xml:space="preserve">Ngô Tuấn Vũ, , </v>
      </c>
    </row>
    <row r="241" spans="1:16">
      <c r="A241" s="28" t="str">
        <f>"3."&amp;D241&amp;"."&amp;B241</f>
        <v>3.B.QNI.HLXHL.VMM.701</v>
      </c>
      <c r="B241" s="28" t="str">
        <f>TEXT(COUNTIFS($C$4:C241,C241,$D$4:D241,D241,$F$4:F241,F241)+IF(F241="KT",100,IF(F241="KC",200,IF(F241="DI",300,IF(F241="DN",400,IF(F241="NU",500,IF(F241="DH",600,IF(F241="PC",700,0))))))),"000")</f>
        <v>701</v>
      </c>
      <c r="C241" s="28" t="s">
        <v>10</v>
      </c>
      <c r="D241" s="140" t="s">
        <v>315</v>
      </c>
      <c r="E241" s="28" t="s">
        <v>316</v>
      </c>
      <c r="F241" s="87" t="s">
        <v>200</v>
      </c>
      <c r="G241" s="6" t="s">
        <v>23</v>
      </c>
      <c r="H241" s="6" t="s">
        <v>156</v>
      </c>
      <c r="I241" s="82" t="s">
        <v>105</v>
      </c>
      <c r="J241" s="20" t="s">
        <v>201</v>
      </c>
      <c r="K241" s="20"/>
      <c r="L241" s="20"/>
      <c r="M241" s="20"/>
      <c r="N241" s="96">
        <v>46248</v>
      </c>
      <c r="O241" s="96">
        <v>46369</v>
      </c>
      <c r="P241" s="211" t="str">
        <f t="shared" si="10"/>
        <v xml:space="preserve">Ngô Tuấn Vũ, , </v>
      </c>
    </row>
    <row r="242" spans="1:16">
      <c r="A242" s="28" t="str">
        <f>"3."&amp;D242&amp;"."&amp;B242</f>
        <v>3.B.QNI.HLXHL.VP.101</v>
      </c>
      <c r="B242" s="28" t="str">
        <f>TEXT(COUNTIFS($C$4:C242,C242,$D$4:D242,D242,$F$4:F242,F242)+IF(F242="KT",100,IF(F242="KC",200,IF(F242="DI",300,IF(F242="DN",400,IF(F242="NU",500,IF(F242="DH",600,IF(F242="PC",700,0))))))),"000")</f>
        <v>101</v>
      </c>
      <c r="C242" s="28" t="s">
        <v>10</v>
      </c>
      <c r="D242" s="100" t="s">
        <v>318</v>
      </c>
      <c r="E242" s="28" t="s">
        <v>319</v>
      </c>
      <c r="F242" s="88" t="s">
        <v>164</v>
      </c>
      <c r="G242" s="6" t="s">
        <v>23</v>
      </c>
      <c r="H242" s="20" t="s">
        <v>156</v>
      </c>
      <c r="I242" s="82" t="s">
        <v>105</v>
      </c>
      <c r="J242" s="28" t="s">
        <v>31</v>
      </c>
      <c r="K242" s="28"/>
      <c r="L242" s="28"/>
      <c r="M242" s="28"/>
      <c r="N242" s="208"/>
      <c r="O242" s="208"/>
      <c r="P242" s="211" t="str">
        <f t="shared" si="7"/>
        <v xml:space="preserve">Lý Huy Thành, , </v>
      </c>
    </row>
    <row r="243" spans="1:16">
      <c r="A243" s="28" t="str">
        <f>"3."&amp;D243&amp;"."&amp;B243</f>
        <v>3.B.QNI.HLXHL.VP.201</v>
      </c>
      <c r="B243" s="28" t="str">
        <f>TEXT(COUNTIFS($C$4:C243,C243,$D$4:D243,D243,$F$4:F243,F243)+IF(F243="KT",100,IF(F243="KC",200,IF(F243="DI",300,IF(F243="DN",400,IF(F243="NU",500,IF(F243="DH",600,IF(F243="PC",700,0))))))),"000")</f>
        <v>201</v>
      </c>
      <c r="C243" s="28" t="s">
        <v>10</v>
      </c>
      <c r="D243" s="100" t="s">
        <v>318</v>
      </c>
      <c r="E243" s="28" t="s">
        <v>319</v>
      </c>
      <c r="F243" s="88" t="s">
        <v>174</v>
      </c>
      <c r="G243" s="6" t="s">
        <v>23</v>
      </c>
      <c r="H243" s="20" t="s">
        <v>156</v>
      </c>
      <c r="I243" s="82" t="s">
        <v>105</v>
      </c>
      <c r="J243" s="28" t="s">
        <v>31</v>
      </c>
      <c r="K243" s="28"/>
      <c r="L243" s="28"/>
      <c r="M243" s="28"/>
      <c r="N243" s="208"/>
      <c r="O243" s="208"/>
      <c r="P243" s="211" t="str">
        <f t="shared" si="7"/>
        <v xml:space="preserve">Lý Huy Thành, , </v>
      </c>
    </row>
    <row r="244" spans="1:16">
      <c r="A244" s="28" t="str">
        <f>"3."&amp;D244&amp;"."&amp;B244</f>
        <v>3.B.QNI.HLXHL.VP.301</v>
      </c>
      <c r="B244" s="28" t="str">
        <f>TEXT(COUNTIFS($C$4:C244,C244,$D$4:D244,D244,$F$4:F244,F244)+IF(F244="KT",100,IF(F244="KC",200,IF(F244="DI",300,IF(F244="DN",400,IF(F244="NU",500,IF(F244="DH",600,IF(F244="PC",700,0))))))),"000")</f>
        <v>301</v>
      </c>
      <c r="C244" s="28" t="s">
        <v>10</v>
      </c>
      <c r="D244" s="100" t="s">
        <v>318</v>
      </c>
      <c r="E244" s="28" t="s">
        <v>319</v>
      </c>
      <c r="F244" s="87" t="s">
        <v>182</v>
      </c>
      <c r="G244" s="6" t="s">
        <v>23</v>
      </c>
      <c r="H244" s="6" t="s">
        <v>156</v>
      </c>
      <c r="I244" s="82" t="s">
        <v>105</v>
      </c>
      <c r="J244" s="20" t="s">
        <v>201</v>
      </c>
      <c r="K244" s="20"/>
      <c r="L244" s="20"/>
      <c r="M244" s="20"/>
      <c r="N244" s="96">
        <v>46218</v>
      </c>
      <c r="O244" s="96">
        <v>46248</v>
      </c>
      <c r="P244" s="211" t="str">
        <f t="shared" ref="P244:P247" si="11">J244&amp;", "&amp;K244&amp;", "&amp;L244</f>
        <v xml:space="preserve">Ngô Tuấn Vũ, , </v>
      </c>
    </row>
    <row r="245" spans="1:16">
      <c r="A245" s="28" t="str">
        <f>"3."&amp;D245&amp;"."&amp;B245</f>
        <v>3.B.QNI.HLXHL.VP.401</v>
      </c>
      <c r="B245" s="28" t="str">
        <f>TEXT(COUNTIFS($C$4:C245,C245,$D$4:D245,D245,$F$4:F245,F245)+IF(F245="KT",100,IF(F245="KC",200,IF(F245="DI",300,IF(F245="DN",400,IF(F245="NU",500,IF(F245="DH",600,IF(F245="PC",700,0))))))),"000")</f>
        <v>401</v>
      </c>
      <c r="C245" s="28" t="s">
        <v>10</v>
      </c>
      <c r="D245" s="100" t="s">
        <v>318</v>
      </c>
      <c r="E245" s="28" t="s">
        <v>319</v>
      </c>
      <c r="F245" s="87" t="s">
        <v>190</v>
      </c>
      <c r="G245" s="6" t="s">
        <v>23</v>
      </c>
      <c r="H245" s="6" t="s">
        <v>156</v>
      </c>
      <c r="I245" s="82" t="s">
        <v>105</v>
      </c>
      <c r="J245" s="20" t="s">
        <v>201</v>
      </c>
      <c r="K245" s="20"/>
      <c r="L245" s="20"/>
      <c r="M245" s="20"/>
      <c r="N245" s="96">
        <v>46218</v>
      </c>
      <c r="O245" s="96">
        <v>46248</v>
      </c>
      <c r="P245" s="211" t="str">
        <f t="shared" si="11"/>
        <v xml:space="preserve">Ngô Tuấn Vũ, , </v>
      </c>
    </row>
    <row r="246" spans="1:16">
      <c r="A246" s="28" t="str">
        <f>"3."&amp;D246&amp;"."&amp;B246</f>
        <v>3.B.QNI.HLXHL.VP.501</v>
      </c>
      <c r="B246" s="28" t="str">
        <f>TEXT(COUNTIFS($C$4:C246,C246,$D$4:D246,D246,$F$4:F246,F246)+IF(F246="KT",100,IF(F246="KC",200,IF(F246="DI",300,IF(F246="DN",400,IF(F246="NU",500,IF(F246="DH",600,IF(F246="PC",700,0))))))),"000")</f>
        <v>501</v>
      </c>
      <c r="C246" s="28" t="s">
        <v>10</v>
      </c>
      <c r="D246" s="100" t="s">
        <v>318</v>
      </c>
      <c r="E246" s="28" t="s">
        <v>319</v>
      </c>
      <c r="F246" s="87" t="s">
        <v>195</v>
      </c>
      <c r="G246" s="6" t="s">
        <v>23</v>
      </c>
      <c r="H246" s="6" t="s">
        <v>156</v>
      </c>
      <c r="I246" s="82" t="s">
        <v>105</v>
      </c>
      <c r="J246" s="20" t="s">
        <v>201</v>
      </c>
      <c r="K246" s="20"/>
      <c r="L246" s="20"/>
      <c r="M246" s="20"/>
      <c r="N246" s="96">
        <v>46218</v>
      </c>
      <c r="O246" s="96">
        <v>46248</v>
      </c>
      <c r="P246" s="211" t="str">
        <f t="shared" si="11"/>
        <v xml:space="preserve">Ngô Tuấn Vũ, , </v>
      </c>
    </row>
    <row r="247" spans="1:16">
      <c r="A247" s="28" t="str">
        <f>"3."&amp;D247&amp;"."&amp;B247</f>
        <v>3.B.QNI.HLXHL.VP.601</v>
      </c>
      <c r="B247" s="28" t="str">
        <f>TEXT(COUNTIFS($C$4:C247,C247,$D$4:D247,D247,$F$4:F247,F247)+IF(F247="KT",100,IF(F247="KC",200,IF(F247="DI",300,IF(F247="DN",400,IF(F247="NU",500,IF(F247="DH",600,IF(F247="PC",700,0))))))),"000")</f>
        <v>601</v>
      </c>
      <c r="C247" s="28" t="s">
        <v>10</v>
      </c>
      <c r="D247" s="100" t="s">
        <v>318</v>
      </c>
      <c r="E247" s="28" t="s">
        <v>319</v>
      </c>
      <c r="F247" s="87" t="s">
        <v>205</v>
      </c>
      <c r="G247" s="6" t="s">
        <v>23</v>
      </c>
      <c r="H247" s="6" t="s">
        <v>156</v>
      </c>
      <c r="I247" s="82" t="s">
        <v>105</v>
      </c>
      <c r="J247" s="20" t="s">
        <v>201</v>
      </c>
      <c r="K247" s="20"/>
      <c r="L247" s="20"/>
      <c r="M247" s="20"/>
      <c r="N247" s="96">
        <v>46218</v>
      </c>
      <c r="O247" s="96">
        <v>46248</v>
      </c>
      <c r="P247" s="211" t="str">
        <f t="shared" si="11"/>
        <v xml:space="preserve">Ngô Tuấn Vũ, , </v>
      </c>
    </row>
    <row r="248" spans="1:16">
      <c r="A248" s="28" t="str">
        <f>"3."&amp;D248&amp;"."&amp;B248</f>
        <v>3.B.QNI.HLXHL.VP.701</v>
      </c>
      <c r="B248" s="28" t="str">
        <f>TEXT(COUNTIFS($C$4:C248,C248,$D$4:D248,D248,$F$4:F248,F248)+IF(F248="KT",100,IF(F248="KC",200,IF(F248="DI",300,IF(F248="DN",400,IF(F248="NU",500,IF(F248="DH",600,IF(F248="PC",700,0))))))),"000")</f>
        <v>701</v>
      </c>
      <c r="C248" s="28" t="s">
        <v>10</v>
      </c>
      <c r="D248" s="100" t="s">
        <v>318</v>
      </c>
      <c r="E248" s="28" t="s">
        <v>319</v>
      </c>
      <c r="F248" s="87" t="s">
        <v>200</v>
      </c>
      <c r="G248" s="6" t="s">
        <v>23</v>
      </c>
      <c r="H248" s="6" t="s">
        <v>156</v>
      </c>
      <c r="I248" s="82" t="s">
        <v>105</v>
      </c>
      <c r="J248" s="20" t="s">
        <v>201</v>
      </c>
      <c r="K248" s="20"/>
      <c r="L248" s="20"/>
      <c r="M248" s="20"/>
      <c r="N248" s="96">
        <v>46218</v>
      </c>
      <c r="O248" s="96">
        <v>46248</v>
      </c>
      <c r="P248" s="211" t="str">
        <f t="shared" si="7"/>
        <v xml:space="preserve">Ngô Tuấn Vũ, , </v>
      </c>
    </row>
    <row r="249" spans="1:16">
      <c r="A249" s="28" t="str">
        <f>"3."&amp;D249&amp;"."&amp;B249</f>
        <v>3.B.QNI.HLXHL.VSC.101</v>
      </c>
      <c r="B249" s="28" t="str">
        <f>TEXT(COUNTIFS($C$4:C249,C249,$D$4:D249,D249,$F$4:F249,F249)+IF(F249="KT",100,IF(F249="KC",200,IF(F249="DI",300,IF(F249="DN",400,IF(F249="NU",500,IF(F249="DH",600,IF(F249="PC",700,0))))))),"000")</f>
        <v>101</v>
      </c>
      <c r="C249" s="28" t="s">
        <v>10</v>
      </c>
      <c r="D249" s="100" t="s">
        <v>321</v>
      </c>
      <c r="E249" s="28" t="s">
        <v>322</v>
      </c>
      <c r="F249" s="88" t="s">
        <v>164</v>
      </c>
      <c r="G249" s="6" t="s">
        <v>23</v>
      </c>
      <c r="H249" s="20" t="s">
        <v>156</v>
      </c>
      <c r="I249" s="82" t="s">
        <v>105</v>
      </c>
      <c r="J249" s="28" t="s">
        <v>196</v>
      </c>
      <c r="K249" s="28"/>
      <c r="L249" s="28"/>
      <c r="M249" s="28"/>
      <c r="N249" s="96">
        <v>46063</v>
      </c>
      <c r="O249" s="96">
        <v>46227</v>
      </c>
      <c r="P249" s="211" t="str">
        <f t="shared" si="7"/>
        <v xml:space="preserve">Vũ Thị Thêu, , </v>
      </c>
    </row>
    <row r="250" spans="1:16">
      <c r="A250" s="28" t="str">
        <f>"3."&amp;D250&amp;"."&amp;B250</f>
        <v>3.B.QNI.HLXHL.VSC.201</v>
      </c>
      <c r="B250" s="28" t="str">
        <f>TEXT(COUNTIFS($C$4:C250,C250,$D$4:D250,D250,$F$4:F250,F250)+IF(F250="KT",100,IF(F250="KC",200,IF(F250="DI",300,IF(F250="DN",400,IF(F250="NU",500,IF(F250="DH",600,IF(F250="PC",700,0))))))),"000")</f>
        <v>201</v>
      </c>
      <c r="C250" s="28" t="s">
        <v>10</v>
      </c>
      <c r="D250" s="100" t="s">
        <v>321</v>
      </c>
      <c r="E250" s="28" t="s">
        <v>322</v>
      </c>
      <c r="F250" s="88" t="s">
        <v>174</v>
      </c>
      <c r="G250" s="6" t="s">
        <v>23</v>
      </c>
      <c r="H250" s="20" t="s">
        <v>156</v>
      </c>
      <c r="I250" s="82" t="s">
        <v>105</v>
      </c>
      <c r="J250" s="28" t="s">
        <v>196</v>
      </c>
      <c r="K250" s="28"/>
      <c r="L250" s="28"/>
      <c r="M250" s="28"/>
      <c r="N250" s="96">
        <v>46063</v>
      </c>
      <c r="O250" s="96">
        <v>46262</v>
      </c>
      <c r="P250" s="211" t="str">
        <f t="shared" si="7"/>
        <v xml:space="preserve">Vũ Thị Thêu, , </v>
      </c>
    </row>
    <row r="251" spans="1:16">
      <c r="A251" s="28" t="str">
        <f>"3."&amp;D251&amp;"."&amp;B251</f>
        <v>3.B.QNI.HLXHL.VSC.301</v>
      </c>
      <c r="B251" s="28" t="str">
        <f>TEXT(COUNTIFS($C$4:C251,C251,$D$4:D251,D251,$F$4:F251,F251)+IF(F251="KT",100,IF(F251="KC",200,IF(F251="DI",300,IF(F251="DN",400,IF(F251="NU",500,IF(F251="DH",600,IF(F251="PC",700,0))))))),"000")</f>
        <v>301</v>
      </c>
      <c r="C251" s="28" t="s">
        <v>10</v>
      </c>
      <c r="D251" s="100" t="s">
        <v>321</v>
      </c>
      <c r="E251" s="28" t="s">
        <v>322</v>
      </c>
      <c r="F251" s="87" t="s">
        <v>182</v>
      </c>
      <c r="G251" s="6" t="s">
        <v>23</v>
      </c>
      <c r="H251" s="6" t="s">
        <v>156</v>
      </c>
      <c r="I251" s="82" t="s">
        <v>105</v>
      </c>
      <c r="J251" s="20" t="s">
        <v>220</v>
      </c>
      <c r="K251" s="20"/>
      <c r="L251" s="20"/>
      <c r="M251" s="20"/>
      <c r="N251" s="96">
        <v>46063</v>
      </c>
      <c r="O251" s="96">
        <v>46203</v>
      </c>
      <c r="P251" s="211" t="str">
        <f t="shared" ref="P251:P254" si="12">J251&amp;", "&amp;K251&amp;", "&amp;L251</f>
        <v xml:space="preserve">Phan Trường Giang, , </v>
      </c>
    </row>
    <row r="252" spans="1:16">
      <c r="A252" s="28" t="str">
        <f>"3."&amp;D252&amp;"."&amp;B252</f>
        <v>3.B.QNI.HLXHL.VSC.401</v>
      </c>
      <c r="B252" s="28" t="str">
        <f>TEXT(COUNTIFS($C$4:C252,C252,$D$4:D252,D252,$F$4:F252,F252)+IF(F252="KT",100,IF(F252="KC",200,IF(F252="DI",300,IF(F252="DN",400,IF(F252="NU",500,IF(F252="DH",600,IF(F252="PC",700,0))))))),"000")</f>
        <v>401</v>
      </c>
      <c r="C252" s="28" t="s">
        <v>10</v>
      </c>
      <c r="D252" s="100" t="s">
        <v>321</v>
      </c>
      <c r="E252" s="28" t="s">
        <v>322</v>
      </c>
      <c r="F252" s="87" t="s">
        <v>190</v>
      </c>
      <c r="G252" s="6" t="s">
        <v>23</v>
      </c>
      <c r="H252" s="6" t="s">
        <v>156</v>
      </c>
      <c r="I252" s="82" t="s">
        <v>105</v>
      </c>
      <c r="J252" s="20" t="s">
        <v>220</v>
      </c>
      <c r="K252" s="20"/>
      <c r="L252" s="20"/>
      <c r="M252" s="20"/>
      <c r="N252" s="96">
        <v>46063</v>
      </c>
      <c r="O252" s="96">
        <v>46203</v>
      </c>
      <c r="P252" s="211" t="str">
        <f t="shared" si="12"/>
        <v xml:space="preserve">Phan Trường Giang, , </v>
      </c>
    </row>
    <row r="253" spans="1:16">
      <c r="A253" s="28" t="str">
        <f>"3."&amp;D253&amp;"."&amp;B253</f>
        <v>3.B.QNI.HLXHL.VSC.501</v>
      </c>
      <c r="B253" s="28" t="str">
        <f>TEXT(COUNTIFS($C$4:C253,C253,$D$4:D253,D253,$F$4:F253,F253)+IF(F253="KT",100,IF(F253="KC",200,IF(F253="DI",300,IF(F253="DN",400,IF(F253="NU",500,IF(F253="DH",600,IF(F253="PC",700,0))))))),"000")</f>
        <v>501</v>
      </c>
      <c r="C253" s="28" t="s">
        <v>10</v>
      </c>
      <c r="D253" s="100" t="s">
        <v>321</v>
      </c>
      <c r="E253" s="28" t="s">
        <v>322</v>
      </c>
      <c r="F253" s="87" t="s">
        <v>195</v>
      </c>
      <c r="G253" s="6" t="s">
        <v>23</v>
      </c>
      <c r="H253" s="6" t="s">
        <v>156</v>
      </c>
      <c r="I253" s="82" t="s">
        <v>105</v>
      </c>
      <c r="J253" s="20" t="s">
        <v>220</v>
      </c>
      <c r="K253" s="20"/>
      <c r="L253" s="20"/>
      <c r="M253" s="20"/>
      <c r="N253" s="96">
        <v>46063</v>
      </c>
      <c r="O253" s="96">
        <v>46203</v>
      </c>
      <c r="P253" s="211" t="str">
        <f t="shared" si="12"/>
        <v xml:space="preserve">Phan Trường Giang, , </v>
      </c>
    </row>
    <row r="254" spans="1:16">
      <c r="A254" s="28" t="str">
        <f>"3."&amp;D254&amp;"."&amp;B254</f>
        <v>3.B.QNI.HLXHL.VSC.601</v>
      </c>
      <c r="B254" s="28" t="str">
        <f>TEXT(COUNTIFS($C$4:C254,C254,$D$4:D254,D254,$F$4:F254,F254)+IF(F254="KT",100,IF(F254="KC",200,IF(F254="DI",300,IF(F254="DN",400,IF(F254="NU",500,IF(F254="DH",600,IF(F254="PC",700,0))))))),"000")</f>
        <v>601</v>
      </c>
      <c r="C254" s="28" t="s">
        <v>10</v>
      </c>
      <c r="D254" s="100" t="s">
        <v>321</v>
      </c>
      <c r="E254" s="28" t="s">
        <v>322</v>
      </c>
      <c r="F254" s="87" t="s">
        <v>205</v>
      </c>
      <c r="G254" s="6" t="s">
        <v>23</v>
      </c>
      <c r="H254" s="6" t="s">
        <v>156</v>
      </c>
      <c r="I254" s="82" t="s">
        <v>105</v>
      </c>
      <c r="J254" s="20" t="s">
        <v>220</v>
      </c>
      <c r="K254" s="20"/>
      <c r="L254" s="20"/>
      <c r="M254" s="20"/>
      <c r="N254" s="96">
        <v>46063</v>
      </c>
      <c r="O254" s="96">
        <v>46203</v>
      </c>
      <c r="P254" s="211" t="str">
        <f t="shared" si="12"/>
        <v xml:space="preserve">Phan Trường Giang, , </v>
      </c>
    </row>
    <row r="255" spans="1:16">
      <c r="A255" s="28" t="str">
        <f>"3."&amp;D255&amp;"."&amp;B255</f>
        <v>3.B.QNI.HLXHL.VSC.701</v>
      </c>
      <c r="B255" s="28" t="str">
        <f>TEXT(COUNTIFS($C$4:C255,C255,$D$4:D255,D255,$F$4:F255,F255)+IF(F255="KT",100,IF(F255="KC",200,IF(F255="DI",300,IF(F255="DN",400,IF(F255="NU",500,IF(F255="DH",600,IF(F255="PC",700,0))))))),"000")</f>
        <v>701</v>
      </c>
      <c r="C255" s="28" t="s">
        <v>10</v>
      </c>
      <c r="D255" s="100" t="s">
        <v>321</v>
      </c>
      <c r="E255" s="28" t="s">
        <v>322</v>
      </c>
      <c r="F255" s="87" t="s">
        <v>200</v>
      </c>
      <c r="G255" s="6" t="s">
        <v>23</v>
      </c>
      <c r="H255" s="6" t="s">
        <v>156</v>
      </c>
      <c r="I255" s="82" t="s">
        <v>105</v>
      </c>
      <c r="J255" s="20" t="s">
        <v>220</v>
      </c>
      <c r="K255" s="20"/>
      <c r="L255" s="20"/>
      <c r="M255" s="20"/>
      <c r="N255" s="96">
        <v>46063</v>
      </c>
      <c r="O255" s="96">
        <v>46203</v>
      </c>
      <c r="P255" s="211" t="str">
        <f t="shared" si="7"/>
        <v xml:space="preserve">Phan Trường Giang, , </v>
      </c>
    </row>
    <row r="256" spans="1:16">
      <c r="A256" s="28" t="str">
        <f>"3."&amp;D256&amp;"."&amp;B256</f>
        <v>3.B.QNI.HLXHL.VSC.102</v>
      </c>
      <c r="B256" s="28" t="str">
        <f>TEXT(COUNTIFS($C$4:C256,C256,$D$4:D256,D256,$F$4:F256,F256)+IF(F256="KT",100,IF(F256="KC",200,IF(F256="DI",300,IF(F256="DN",400,IF(F256="NU",500,IF(F256="DH",600,IF(F256="PC",700,0))))))),"000")</f>
        <v>102</v>
      </c>
      <c r="C256" s="28" t="s">
        <v>10</v>
      </c>
      <c r="D256" s="100" t="s">
        <v>321</v>
      </c>
      <c r="E256" s="28" t="s">
        <v>324</v>
      </c>
      <c r="F256" s="88" t="s">
        <v>164</v>
      </c>
      <c r="G256" s="6" t="s">
        <v>23</v>
      </c>
      <c r="H256" s="6" t="s">
        <v>156</v>
      </c>
      <c r="I256" s="82" t="s">
        <v>105</v>
      </c>
      <c r="J256" s="28" t="s">
        <v>32</v>
      </c>
      <c r="K256" s="28"/>
      <c r="L256" s="28"/>
      <c r="M256" s="28"/>
      <c r="N256" s="96">
        <v>46063</v>
      </c>
      <c r="O256" s="96">
        <v>46203</v>
      </c>
      <c r="P256" s="211" t="str">
        <f t="shared" si="7"/>
        <v xml:space="preserve">Nguyễn Hải Nam, , </v>
      </c>
    </row>
    <row r="257" spans="1:16">
      <c r="A257" s="28" t="str">
        <f>"3."&amp;D257&amp;"."&amp;B257</f>
        <v>3.B.QNI.HLXHL.VSC.202</v>
      </c>
      <c r="B257" s="28" t="str">
        <f>TEXT(COUNTIFS($C$4:C257,C257,$D$4:D257,D257,$F$4:F257,F257)+IF(F257="KT",100,IF(F257="KC",200,IF(F257="DI",300,IF(F257="DN",400,IF(F257="NU",500,IF(F257="DH",600,IF(F257="PC",700,0))))))),"000")</f>
        <v>202</v>
      </c>
      <c r="C257" s="28" t="s">
        <v>10</v>
      </c>
      <c r="D257" s="100" t="s">
        <v>321</v>
      </c>
      <c r="E257" s="28" t="s">
        <v>324</v>
      </c>
      <c r="F257" s="88" t="s">
        <v>174</v>
      </c>
      <c r="G257" s="6" t="s">
        <v>23</v>
      </c>
      <c r="H257" s="6" t="s">
        <v>156</v>
      </c>
      <c r="I257" s="82" t="s">
        <v>105</v>
      </c>
      <c r="J257" s="28" t="s">
        <v>32</v>
      </c>
      <c r="K257" s="28"/>
      <c r="L257" s="28"/>
      <c r="M257" s="28"/>
      <c r="N257" s="96">
        <v>46063</v>
      </c>
      <c r="O257" s="96">
        <v>46203</v>
      </c>
      <c r="P257" s="211" t="str">
        <f t="shared" si="7"/>
        <v xml:space="preserve">Nguyễn Hải Nam, , </v>
      </c>
    </row>
    <row r="258" spans="1:16">
      <c r="A258" s="28" t="str">
        <f>"3."&amp;D258&amp;"."&amp;B258</f>
        <v>3.B.QNI.HLXHL.VSC.302</v>
      </c>
      <c r="B258" s="28" t="str">
        <f>TEXT(COUNTIFS($C$4:C258,C258,$D$4:D258,D258,$F$4:F258,F258)+IF(F258="KT",100,IF(F258="KC",200,IF(F258="DI",300,IF(F258="DN",400,IF(F258="NU",500,IF(F258="DH",600,IF(F258="PC",700,0))))))),"000")</f>
        <v>302</v>
      </c>
      <c r="C258" s="28" t="s">
        <v>10</v>
      </c>
      <c r="D258" s="100" t="s">
        <v>321</v>
      </c>
      <c r="E258" s="28" t="s">
        <v>324</v>
      </c>
      <c r="F258" s="87" t="s">
        <v>182</v>
      </c>
      <c r="G258" s="6" t="s">
        <v>23</v>
      </c>
      <c r="H258" s="6" t="s">
        <v>156</v>
      </c>
      <c r="I258" s="82" t="s">
        <v>105</v>
      </c>
      <c r="J258" s="20" t="s">
        <v>220</v>
      </c>
      <c r="K258" s="20"/>
      <c r="L258" s="20"/>
      <c r="M258" s="20"/>
      <c r="N258" s="96">
        <v>46063</v>
      </c>
      <c r="O258" s="96">
        <v>46203</v>
      </c>
      <c r="P258" s="211" t="str">
        <f t="shared" ref="P258:P260" si="13">J258&amp;", "&amp;K258&amp;", "&amp;L258</f>
        <v xml:space="preserve">Phan Trường Giang, , </v>
      </c>
    </row>
    <row r="259" spans="1:16">
      <c r="A259" s="28" t="str">
        <f>"3."&amp;D259&amp;"."&amp;B259</f>
        <v>3.B.QNI.HLXHL.VSC.402</v>
      </c>
      <c r="B259" s="28" t="str">
        <f>TEXT(COUNTIFS($C$4:C259,C259,$D$4:D259,D259,$F$4:F259,F259)+IF(F259="KT",100,IF(F259="KC",200,IF(F259="DI",300,IF(F259="DN",400,IF(F259="NU",500,IF(F259="DH",600,IF(F259="PC",700,0))))))),"000")</f>
        <v>402</v>
      </c>
      <c r="C259" s="28" t="s">
        <v>10</v>
      </c>
      <c r="D259" s="100" t="s">
        <v>321</v>
      </c>
      <c r="E259" s="28" t="s">
        <v>324</v>
      </c>
      <c r="F259" s="87" t="s">
        <v>190</v>
      </c>
      <c r="G259" s="6" t="s">
        <v>23</v>
      </c>
      <c r="H259" s="6" t="s">
        <v>156</v>
      </c>
      <c r="I259" s="82" t="s">
        <v>105</v>
      </c>
      <c r="J259" s="20" t="s">
        <v>220</v>
      </c>
      <c r="K259" s="20"/>
      <c r="L259" s="20"/>
      <c r="M259" s="20"/>
      <c r="N259" s="96">
        <v>46063</v>
      </c>
      <c r="O259" s="96">
        <v>46203</v>
      </c>
      <c r="P259" s="211" t="str">
        <f t="shared" si="13"/>
        <v xml:space="preserve">Phan Trường Giang, , </v>
      </c>
    </row>
    <row r="260" spans="1:16">
      <c r="A260" s="28" t="str">
        <f>"3."&amp;D260&amp;"."&amp;B260</f>
        <v>3.B.QNI.HLXHL.VSC.502</v>
      </c>
      <c r="B260" s="28" t="str">
        <f>TEXT(COUNTIFS($C$4:C260,C260,$D$4:D260,D260,$F$4:F260,F260)+IF(F260="KT",100,IF(F260="KC",200,IF(F260="DI",300,IF(F260="DN",400,IF(F260="NU",500,IF(F260="DH",600,IF(F260="PC",700,0))))))),"000")</f>
        <v>502</v>
      </c>
      <c r="C260" s="28" t="s">
        <v>10</v>
      </c>
      <c r="D260" s="100" t="s">
        <v>321</v>
      </c>
      <c r="E260" s="28" t="s">
        <v>324</v>
      </c>
      <c r="F260" s="87" t="s">
        <v>195</v>
      </c>
      <c r="G260" s="6" t="s">
        <v>23</v>
      </c>
      <c r="H260" s="6" t="s">
        <v>156</v>
      </c>
      <c r="I260" s="82" t="s">
        <v>105</v>
      </c>
      <c r="J260" s="20" t="s">
        <v>220</v>
      </c>
      <c r="K260" s="20"/>
      <c r="L260" s="20"/>
      <c r="M260" s="20"/>
      <c r="N260" s="96">
        <v>46063</v>
      </c>
      <c r="O260" s="96">
        <v>46203</v>
      </c>
      <c r="P260" s="211" t="str">
        <f t="shared" si="13"/>
        <v xml:space="preserve">Phan Trường Giang, , </v>
      </c>
    </row>
    <row r="261" spans="1:16">
      <c r="A261" s="28" t="str">
        <f>"3."&amp;D261&amp;"."&amp;B261</f>
        <v>3.B.QNI.HLXHL.VSC.602</v>
      </c>
      <c r="B261" s="28" t="str">
        <f>TEXT(COUNTIFS($C$4:C261,C261,$D$4:D261,D261,$F$4:F261,F261)+IF(F261="KT",100,IF(F261="KC",200,IF(F261="DI",300,IF(F261="DN",400,IF(F261="NU",500,IF(F261="DH",600,IF(F261="PC",700,0))))))),"000")</f>
        <v>602</v>
      </c>
      <c r="C261" s="28" t="s">
        <v>10</v>
      </c>
      <c r="D261" s="100" t="s">
        <v>321</v>
      </c>
      <c r="E261" s="28" t="s">
        <v>324</v>
      </c>
      <c r="F261" s="87" t="s">
        <v>205</v>
      </c>
      <c r="G261" s="6" t="s">
        <v>23</v>
      </c>
      <c r="H261" s="6" t="s">
        <v>156</v>
      </c>
      <c r="I261" s="82" t="s">
        <v>105</v>
      </c>
      <c r="J261" s="20" t="s">
        <v>220</v>
      </c>
      <c r="K261" s="20"/>
      <c r="L261" s="20"/>
      <c r="M261" s="20"/>
      <c r="N261" s="96">
        <v>46063</v>
      </c>
      <c r="O261" s="96">
        <v>46203</v>
      </c>
      <c r="P261" s="211" t="str">
        <f t="shared" si="7"/>
        <v xml:space="preserve">Phan Trường Giang, , </v>
      </c>
    </row>
    <row r="262" spans="1:16">
      <c r="A262" s="28" t="str">
        <f>"3."&amp;D262&amp;"."&amp;B262</f>
        <v>3.B.QNI.HLXHL.VSC.702</v>
      </c>
      <c r="B262" s="28" t="str">
        <f>TEXT(COUNTIFS($C$4:C262,C262,$D$4:D262,D262,$F$4:F262,F262)+IF(F262="KT",100,IF(F262="KC",200,IF(F262="DI",300,IF(F262="DN",400,IF(F262="NU",500,IF(F262="DH",600,IF(F262="PC",700,0))))))),"000")</f>
        <v>702</v>
      </c>
      <c r="C262" s="28" t="s">
        <v>10</v>
      </c>
      <c r="D262" s="100" t="s">
        <v>321</v>
      </c>
      <c r="E262" s="28" t="s">
        <v>324</v>
      </c>
      <c r="F262" s="87" t="s">
        <v>200</v>
      </c>
      <c r="G262" s="6" t="s">
        <v>23</v>
      </c>
      <c r="H262" s="6" t="s">
        <v>156</v>
      </c>
      <c r="I262" s="82" t="s">
        <v>105</v>
      </c>
      <c r="J262" s="20" t="s">
        <v>220</v>
      </c>
      <c r="K262" s="20"/>
      <c r="L262" s="20"/>
      <c r="M262" s="20"/>
      <c r="N262" s="96">
        <v>46063</v>
      </c>
      <c r="O262" s="96">
        <v>46203</v>
      </c>
      <c r="P262" s="211" t="str">
        <f t="shared" ref="P262" si="14">J262&amp;", "&amp;K262&amp;", "&amp;L262</f>
        <v xml:space="preserve">Phan Trường Giang, , </v>
      </c>
    </row>
    <row r="263" spans="1:16">
      <c r="A263" s="28" t="str">
        <f>"3."&amp;D263&amp;"."&amp;B263</f>
        <v>3.B.QNI.HLXQY.NH.101</v>
      </c>
      <c r="B263" s="28" t="str">
        <f>TEXT(COUNTIFS($C$4:C263,C263,$D$4:D263,D263,$F$4:F263,F263)+IF(F263="KT",100,IF(F263="KC",200,IF(F263="DI",300,IF(F263="DN",400,IF(F263="NU",500,IF(F263="DH",600,IF(F263="PC",700,0))))))),"000")</f>
        <v>101</v>
      </c>
      <c r="C263" s="28" t="s">
        <v>10</v>
      </c>
      <c r="D263" s="100" t="s">
        <v>326</v>
      </c>
      <c r="E263" s="28" t="s">
        <v>327</v>
      </c>
      <c r="F263" s="88" t="s">
        <v>164</v>
      </c>
      <c r="G263" s="6" t="s">
        <v>23</v>
      </c>
      <c r="H263" s="20" t="s">
        <v>156</v>
      </c>
      <c r="I263" s="82" t="s">
        <v>105</v>
      </c>
      <c r="J263" s="28" t="s">
        <v>34</v>
      </c>
      <c r="K263" s="28"/>
      <c r="L263" s="28"/>
      <c r="M263" s="28"/>
      <c r="N263" s="96">
        <v>46169</v>
      </c>
      <c r="O263" s="96">
        <v>46276</v>
      </c>
      <c r="P263" s="211" t="str">
        <f t="shared" si="7"/>
        <v xml:space="preserve">Trần Văn Diện, , </v>
      </c>
    </row>
    <row r="264" spans="1:16">
      <c r="A264" s="28" t="str">
        <f>"3."&amp;D264&amp;"."&amp;B264</f>
        <v>3.B.QNI.HLXQY.NH.201</v>
      </c>
      <c r="B264" s="28" t="str">
        <f>TEXT(COUNTIFS($C$4:C264,C264,$D$4:D264,D264,$F$4:F264,F264)+IF(F264="KT",100,IF(F264="KC",200,IF(F264="DI",300,IF(F264="DN",400,IF(F264="NU",500,IF(F264="DH",600,IF(F264="PC",700,0))))))),"000")</f>
        <v>201</v>
      </c>
      <c r="C264" s="28" t="s">
        <v>10</v>
      </c>
      <c r="D264" s="100" t="s">
        <v>326</v>
      </c>
      <c r="E264" s="28" t="s">
        <v>327</v>
      </c>
      <c r="F264" s="88" t="s">
        <v>174</v>
      </c>
      <c r="G264" s="6" t="s">
        <v>23</v>
      </c>
      <c r="H264" s="20" t="s">
        <v>156</v>
      </c>
      <c r="I264" s="82" t="s">
        <v>105</v>
      </c>
      <c r="J264" s="28" t="s">
        <v>34</v>
      </c>
      <c r="K264" s="28"/>
      <c r="L264" s="28"/>
      <c r="M264" s="28"/>
      <c r="N264" s="96">
        <v>46169</v>
      </c>
      <c r="O264" s="96">
        <v>46276</v>
      </c>
      <c r="P264" s="211" t="str">
        <f t="shared" si="7"/>
        <v xml:space="preserve">Trần Văn Diện, , </v>
      </c>
    </row>
    <row r="265" spans="1:16">
      <c r="A265" s="28" t="str">
        <f>"3."&amp;D265&amp;"."&amp;B265</f>
        <v>3.B.QNI.HLXQY.NH.301</v>
      </c>
      <c r="B265" s="28" t="str">
        <f>TEXT(COUNTIFS($C$4:C265,C265,$D$4:D265,D265,$F$4:F265,F265)+IF(F265="KT",100,IF(F265="KC",200,IF(F265="DI",300,IF(F265="DN",400,IF(F265="NU",500,IF(F265="DH",600,IF(F265="PC",700,0))))))),"000")</f>
        <v>301</v>
      </c>
      <c r="C265" s="28" t="s">
        <v>10</v>
      </c>
      <c r="D265" s="100" t="s">
        <v>326</v>
      </c>
      <c r="E265" s="28" t="s">
        <v>327</v>
      </c>
      <c r="F265" s="87" t="s">
        <v>182</v>
      </c>
      <c r="G265" s="6" t="s">
        <v>23</v>
      </c>
      <c r="H265" s="6" t="s">
        <v>156</v>
      </c>
      <c r="I265" s="82" t="s">
        <v>105</v>
      </c>
      <c r="J265" s="20" t="s">
        <v>216</v>
      </c>
      <c r="K265" s="20"/>
      <c r="L265" s="20"/>
      <c r="M265" s="20"/>
      <c r="N265" s="96">
        <v>46186</v>
      </c>
      <c r="O265" s="96">
        <v>46265</v>
      </c>
      <c r="P265" s="211" t="str">
        <f t="shared" ref="P265:P267" si="15">J265&amp;", "&amp;K265&amp;", "&amp;L265</f>
        <v xml:space="preserve">Đặng Thái Sơn, , </v>
      </c>
    </row>
    <row r="266" spans="1:16">
      <c r="A266" s="28" t="str">
        <f>"3."&amp;D266&amp;"."&amp;B266</f>
        <v>3.B.QNI.HLXQY.NH.401</v>
      </c>
      <c r="B266" s="28" t="str">
        <f>TEXT(COUNTIFS($C$4:C266,C266,$D$4:D266,D266,$F$4:F266,F266)+IF(F266="KT",100,IF(F266="KC",200,IF(F266="DI",300,IF(F266="DN",400,IF(F266="NU",500,IF(F266="DH",600,IF(F266="PC",700,0))))))),"000")</f>
        <v>401</v>
      </c>
      <c r="C266" s="28" t="s">
        <v>10</v>
      </c>
      <c r="D266" s="100" t="s">
        <v>326</v>
      </c>
      <c r="E266" s="28" t="s">
        <v>327</v>
      </c>
      <c r="F266" s="87" t="s">
        <v>190</v>
      </c>
      <c r="G266" s="6" t="s">
        <v>23</v>
      </c>
      <c r="H266" s="6" t="s">
        <v>156</v>
      </c>
      <c r="I266" s="82" t="s">
        <v>105</v>
      </c>
      <c r="J266" s="20" t="s">
        <v>216</v>
      </c>
      <c r="K266" s="20"/>
      <c r="L266" s="20"/>
      <c r="M266" s="20"/>
      <c r="N266" s="96">
        <v>46186</v>
      </c>
      <c r="O266" s="96">
        <v>46265</v>
      </c>
      <c r="P266" s="211" t="str">
        <f t="shared" si="15"/>
        <v xml:space="preserve">Đặng Thái Sơn, , </v>
      </c>
    </row>
    <row r="267" spans="1:16">
      <c r="A267" s="28" t="str">
        <f>"3."&amp;D267&amp;"."&amp;B267</f>
        <v>3.B.QNI.HLXQY.NH.501</v>
      </c>
      <c r="B267" s="28" t="str">
        <f>TEXT(COUNTIFS($C$4:C267,C267,$D$4:D267,D267,$F$4:F267,F267)+IF(F267="KT",100,IF(F267="KC",200,IF(F267="DI",300,IF(F267="DN",400,IF(F267="NU",500,IF(F267="DH",600,IF(F267="PC",700,0))))))),"000")</f>
        <v>501</v>
      </c>
      <c r="C267" s="28" t="s">
        <v>10</v>
      </c>
      <c r="D267" s="100" t="s">
        <v>326</v>
      </c>
      <c r="E267" s="28" t="s">
        <v>327</v>
      </c>
      <c r="F267" s="87" t="s">
        <v>195</v>
      </c>
      <c r="G267" s="6" t="s">
        <v>23</v>
      </c>
      <c r="H267" s="6" t="s">
        <v>156</v>
      </c>
      <c r="I267" s="82" t="s">
        <v>105</v>
      </c>
      <c r="J267" s="20" t="s">
        <v>216</v>
      </c>
      <c r="K267" s="20"/>
      <c r="L267" s="20"/>
      <c r="M267" s="20"/>
      <c r="N267" s="96">
        <v>46186</v>
      </c>
      <c r="O267" s="96">
        <v>46265</v>
      </c>
      <c r="P267" s="211" t="str">
        <f t="shared" si="15"/>
        <v xml:space="preserve">Đặng Thái Sơn, , </v>
      </c>
    </row>
    <row r="268" spans="1:16">
      <c r="A268" s="28" t="str">
        <f>"3."&amp;D268&amp;"."&amp;B268</f>
        <v>3.B.QNI.HLXQY.NH.601</v>
      </c>
      <c r="B268" s="28" t="str">
        <f>TEXT(COUNTIFS($C$4:C268,C268,$D$4:D268,D268,$F$4:F268,F268)+IF(F268="KT",100,IF(F268="KC",200,IF(F268="DI",300,IF(F268="DN",400,IF(F268="NU",500,IF(F268="DH",600,IF(F268="PC",700,0))))))),"000")</f>
        <v>601</v>
      </c>
      <c r="C268" s="28" t="s">
        <v>10</v>
      </c>
      <c r="D268" s="100" t="s">
        <v>326</v>
      </c>
      <c r="E268" s="28" t="s">
        <v>327</v>
      </c>
      <c r="F268" s="87" t="s">
        <v>205</v>
      </c>
      <c r="G268" s="6" t="s">
        <v>23</v>
      </c>
      <c r="H268" s="6" t="s">
        <v>156</v>
      </c>
      <c r="I268" s="82" t="s">
        <v>105</v>
      </c>
      <c r="J268" s="20" t="s">
        <v>216</v>
      </c>
      <c r="K268" s="20"/>
      <c r="L268" s="20"/>
      <c r="M268" s="20"/>
      <c r="N268" s="96">
        <v>46186</v>
      </c>
      <c r="O268" s="96">
        <v>46265</v>
      </c>
      <c r="P268" s="211" t="str">
        <f t="shared" si="7"/>
        <v xml:space="preserve">Đặng Thái Sơn, , </v>
      </c>
    </row>
    <row r="269" spans="1:16">
      <c r="A269" s="28" t="str">
        <f>"3."&amp;D269&amp;"."&amp;B269</f>
        <v>3.B.QNI.HLXQY.NH.701</v>
      </c>
      <c r="B269" s="28" t="str">
        <f>TEXT(COUNTIFS($C$4:C269,C269,$D$4:D269,D269,$F$4:F269,F269)+IF(F269="KT",100,IF(F269="KC",200,IF(F269="DI",300,IF(F269="DN",400,IF(F269="NU",500,IF(F269="DH",600,IF(F269="PC",700,0))))))),"000")</f>
        <v>701</v>
      </c>
      <c r="C269" s="28" t="s">
        <v>10</v>
      </c>
      <c r="D269" s="100" t="s">
        <v>326</v>
      </c>
      <c r="E269" s="28" t="s">
        <v>327</v>
      </c>
      <c r="F269" s="87" t="s">
        <v>200</v>
      </c>
      <c r="G269" s="6" t="s">
        <v>23</v>
      </c>
      <c r="H269" s="6" t="s">
        <v>156</v>
      </c>
      <c r="I269" s="82" t="s">
        <v>105</v>
      </c>
      <c r="J269" s="20" t="s">
        <v>216</v>
      </c>
      <c r="K269" s="20"/>
      <c r="L269" s="20"/>
      <c r="M269" s="20"/>
      <c r="N269" s="96">
        <v>46186</v>
      </c>
      <c r="O269" s="96">
        <v>46265</v>
      </c>
      <c r="P269" s="211" t="str">
        <f t="shared" ref="P269" si="16">J269&amp;", "&amp;K269&amp;", "&amp;L269</f>
        <v xml:space="preserve">Đặng Thái Sơn, , </v>
      </c>
    </row>
    <row r="270" spans="1:16">
      <c r="A270" s="28" t="str">
        <f>"3."&amp;D270&amp;"."&amp;B270</f>
        <v>3.B.TQU.VPTQ.VP.101</v>
      </c>
      <c r="B270" s="28" t="str">
        <f>TEXT(COUNTIFS($C$4:C270,C270,$D$4:D270,D270,$F$4:F270,F270)+IF(F270="KT",100,IF(F270="KC",200,IF(F270="DI",300,IF(F270="DN",400,IF(F270="NU",500,IF(F270="DH",600,IF(F270="PC",700,0))))))),"000")</f>
        <v>101</v>
      </c>
      <c r="C270" s="28" t="s">
        <v>10</v>
      </c>
      <c r="D270" s="100" t="s">
        <v>329</v>
      </c>
      <c r="E270" s="28" t="s">
        <v>330</v>
      </c>
      <c r="F270" s="88" t="s">
        <v>164</v>
      </c>
      <c r="G270" s="82" t="s">
        <v>28</v>
      </c>
      <c r="H270" s="20" t="s">
        <v>156</v>
      </c>
      <c r="I270" s="82" t="s">
        <v>105</v>
      </c>
      <c r="J270" s="20" t="s">
        <v>34</v>
      </c>
      <c r="K270" s="20" t="s">
        <v>31</v>
      </c>
      <c r="L270" s="20"/>
      <c r="M270" s="20"/>
      <c r="N270" s="96">
        <v>46171</v>
      </c>
      <c r="O270" s="96">
        <v>46175</v>
      </c>
      <c r="P270" s="211" t="str">
        <f t="shared" si="7"/>
        <v xml:space="preserve">Trần Văn Diện, Lý Huy Thành, </v>
      </c>
    </row>
    <row r="271" spans="1:16">
      <c r="A271" s="28" t="str">
        <f>"3."&amp;D271&amp;"."&amp;B271</f>
        <v>3.B.TQU.VPTQ.VP.102</v>
      </c>
      <c r="B271" s="28" t="str">
        <f>TEXT(COUNTIFS($C$4:C271,C271,$D$4:D271,D271,$F$4:F271,F271)+IF(F271="KT",100,IF(F271="KC",200,IF(F271="DI",300,IF(F271="DN",400,IF(F271="NU",500,IF(F271="DH",600,IF(F271="PC",700,0))))))),"000")</f>
        <v>102</v>
      </c>
      <c r="C271" s="28" t="s">
        <v>10</v>
      </c>
      <c r="D271" s="100" t="s">
        <v>329</v>
      </c>
      <c r="E271" s="28" t="s">
        <v>330</v>
      </c>
      <c r="F271" s="88" t="s">
        <v>164</v>
      </c>
      <c r="G271" s="82" t="s">
        <v>27</v>
      </c>
      <c r="H271" s="20" t="s">
        <v>156</v>
      </c>
      <c r="I271" s="82" t="s">
        <v>105</v>
      </c>
      <c r="J271" s="20" t="s">
        <v>34</v>
      </c>
      <c r="K271" s="20"/>
      <c r="L271" s="20"/>
      <c r="M271" s="20"/>
      <c r="N271" s="96">
        <v>46171</v>
      </c>
      <c r="O271" s="96">
        <v>46175</v>
      </c>
      <c r="P271" s="211" t="str">
        <f t="shared" ref="P271" si="17">J271&amp;", "&amp;K271&amp;", "&amp;L271</f>
        <v xml:space="preserve">Trần Văn Diện, , </v>
      </c>
    </row>
    <row r="272" spans="1:16">
      <c r="A272" s="28" t="str">
        <f>"3."&amp;D272&amp;"."&amp;B272</f>
        <v>3.B.TQU.VPTQ.VP.201</v>
      </c>
      <c r="B272" s="28" t="str">
        <f>TEXT(COUNTIFS($C$4:C272,C272,$D$4:D272,D272,$F$4:F272,F272)+IF(F272="KT",100,IF(F272="KC",200,IF(F272="DI",300,IF(F272="DN",400,IF(F272="NU",500,IF(F272="DH",600,IF(F272="PC",700,0))))))),"000")</f>
        <v>201</v>
      </c>
      <c r="C272" s="28" t="s">
        <v>10</v>
      </c>
      <c r="D272" s="100" t="s">
        <v>329</v>
      </c>
      <c r="E272" s="28" t="s">
        <v>330</v>
      </c>
      <c r="F272" s="88" t="s">
        <v>174</v>
      </c>
      <c r="G272" s="82" t="s">
        <v>28</v>
      </c>
      <c r="H272" s="20" t="s">
        <v>156</v>
      </c>
      <c r="I272" s="82" t="s">
        <v>105</v>
      </c>
      <c r="J272" s="20" t="s">
        <v>32</v>
      </c>
      <c r="K272" s="20"/>
      <c r="L272" s="20"/>
      <c r="M272" s="20"/>
      <c r="N272" s="96">
        <v>46171</v>
      </c>
      <c r="O272" s="96">
        <v>46175</v>
      </c>
      <c r="P272" s="211" t="str">
        <f t="shared" si="7"/>
        <v xml:space="preserve">Nguyễn Hải Nam, , </v>
      </c>
    </row>
    <row r="273" spans="1:16">
      <c r="A273" s="28" t="str">
        <f>"3."&amp;D273&amp;"."&amp;B273</f>
        <v>3.B.TQU.VPTQ.VP.202</v>
      </c>
      <c r="B273" s="28" t="str">
        <f>TEXT(COUNTIFS($C$4:C273,C273,$D$4:D273,D273,$F$4:F273,F273)+IF(F273="KT",100,IF(F273="KC",200,IF(F273="DI",300,IF(F273="DN",400,IF(F273="NU",500,IF(F273="DH",600,IF(F273="PC",700,0))))))),"000")</f>
        <v>202</v>
      </c>
      <c r="C273" s="28" t="s">
        <v>10</v>
      </c>
      <c r="D273" s="100" t="s">
        <v>329</v>
      </c>
      <c r="E273" s="28" t="s">
        <v>330</v>
      </c>
      <c r="F273" s="88" t="s">
        <v>174</v>
      </c>
      <c r="G273" s="82" t="s">
        <v>27</v>
      </c>
      <c r="H273" s="82" t="s">
        <v>156</v>
      </c>
      <c r="I273" s="82" t="s">
        <v>105</v>
      </c>
      <c r="J273" s="20" t="s">
        <v>32</v>
      </c>
      <c r="K273" s="20"/>
      <c r="L273" s="20"/>
      <c r="M273" s="20"/>
      <c r="N273" s="96">
        <v>46171</v>
      </c>
      <c r="O273" s="96">
        <v>46175</v>
      </c>
      <c r="P273" s="211" t="str">
        <f>J273&amp;", "&amp;K273&amp;", "&amp;L273</f>
        <v xml:space="preserve">Nguyễn Hải Nam, , </v>
      </c>
    </row>
    <row r="274" spans="1:16">
      <c r="A274" s="28" t="str">
        <f>"3."&amp;D274&amp;"."&amp;B274</f>
        <v>3.N.DSHCMCG.DMF.101</v>
      </c>
      <c r="B274" s="28" t="str">
        <f>TEXT(COUNTIFS($C$4:C274,C274,$D$4:D274,D274,$F$4:F274,F274)+IF(F274="KT",100,IF(F274="KC",200,IF(F274="DI",300,IF(F274="DN",400,IF(F274="NU",500,IF(F274="DH",600,IF(F274="PC",700,0))))))),"000")</f>
        <v>101</v>
      </c>
      <c r="C274" s="28" t="s">
        <v>10</v>
      </c>
      <c r="D274" s="100" t="s">
        <v>505</v>
      </c>
      <c r="E274" s="28" t="s">
        <v>506</v>
      </c>
      <c r="F274" s="88" t="s">
        <v>164</v>
      </c>
      <c r="G274" s="82" t="s">
        <v>169</v>
      </c>
      <c r="H274" s="82" t="s">
        <v>156</v>
      </c>
      <c r="I274" s="82" t="s">
        <v>105</v>
      </c>
      <c r="J274" s="20" t="s">
        <v>31</v>
      </c>
      <c r="K274" s="20" t="s">
        <v>33</v>
      </c>
      <c r="L274" s="20"/>
      <c r="M274" s="20"/>
      <c r="N274" s="208"/>
      <c r="O274" s="208"/>
      <c r="P274" s="211" t="str">
        <f t="shared" si="7"/>
        <v xml:space="preserve">Lý Huy Thành, Đỗ Minh Ngọc, </v>
      </c>
    </row>
    <row r="275" spans="1:16">
      <c r="A275" s="28" t="str">
        <f>"3."&amp;D275&amp;"."&amp;B275</f>
        <v>3.N.DSHCMCG.DMF.102</v>
      </c>
      <c r="B275" s="28" t="str">
        <f>TEXT(COUNTIFS($C$4:C275,C275,$D$4:D275,D275,$F$4:F275,F275)+IF(F275="KT",100,IF(F275="KC",200,IF(F275="DI",300,IF(F275="DN",400,IF(F275="NU",500,IF(F275="DH",600,IF(F275="PC",700,0))))))),"000")</f>
        <v>102</v>
      </c>
      <c r="C275" s="28" t="s">
        <v>10</v>
      </c>
      <c r="D275" s="100" t="s">
        <v>505</v>
      </c>
      <c r="E275" s="28" t="s">
        <v>506</v>
      </c>
      <c r="F275" s="88" t="s">
        <v>164</v>
      </c>
      <c r="G275" s="6" t="s">
        <v>23</v>
      </c>
      <c r="H275" s="6" t="s">
        <v>133</v>
      </c>
      <c r="I275" s="82" t="s">
        <v>105</v>
      </c>
      <c r="J275" s="20" t="s">
        <v>31</v>
      </c>
      <c r="K275" s="20"/>
      <c r="L275" s="20"/>
      <c r="M275" s="20"/>
      <c r="N275" s="96">
        <v>46167</v>
      </c>
      <c r="O275" s="96">
        <v>46169</v>
      </c>
      <c r="P275" s="211" t="str">
        <f t="shared" si="7"/>
        <v xml:space="preserve">Lý Huy Thành, , </v>
      </c>
    </row>
    <row r="276" spans="1:16">
      <c r="A276" s="28" t="str">
        <f>"3."&amp;D276&amp;"."&amp;B276</f>
        <v>3.N.DSHCMCG.DMF.201</v>
      </c>
      <c r="B276" s="28" t="str">
        <f>TEXT(COUNTIFS($C$4:C276,C276,$D$4:D276,D276,$F$4:F276,F276)+IF(F276="KT",100,IF(F276="KC",200,IF(F276="DI",300,IF(F276="DN",400,IF(F276="NU",500,IF(F276="DH",600,IF(F276="PC",700,0))))))),"000")</f>
        <v>201</v>
      </c>
      <c r="C276" s="28" t="s">
        <v>10</v>
      </c>
      <c r="D276" s="100" t="s">
        <v>505</v>
      </c>
      <c r="E276" s="28" t="s">
        <v>506</v>
      </c>
      <c r="F276" s="87" t="s">
        <v>174</v>
      </c>
      <c r="G276" s="82" t="s">
        <v>169</v>
      </c>
      <c r="H276" s="82" t="s">
        <v>156</v>
      </c>
      <c r="I276" s="82" t="s">
        <v>105</v>
      </c>
      <c r="J276" s="20" t="s">
        <v>31</v>
      </c>
      <c r="K276" s="20" t="s">
        <v>33</v>
      </c>
      <c r="L276" s="20"/>
      <c r="M276" s="20"/>
      <c r="N276" s="208"/>
      <c r="O276" s="208"/>
      <c r="P276" s="211" t="str">
        <f>J276&amp;", "&amp;K276&amp;", "&amp;L276</f>
        <v xml:space="preserve">Lý Huy Thành, Đỗ Minh Ngọc, </v>
      </c>
    </row>
    <row r="277" spans="1:16">
      <c r="A277" s="28" t="str">
        <f>"3."&amp;D277&amp;"."&amp;B277</f>
        <v>3.N.DSHCMCG.DMF.202</v>
      </c>
      <c r="B277" s="28" t="str">
        <f>TEXT(COUNTIFS($C$4:C277,C277,$D$4:D277,D277,$F$4:F277,F277)+IF(F277="KT",100,IF(F277="KC",200,IF(F277="DI",300,IF(F277="DN",400,IF(F277="NU",500,IF(F277="DH",600,IF(F277="PC",700,0))))))),"000")</f>
        <v>202</v>
      </c>
      <c r="C277" s="28" t="s">
        <v>10</v>
      </c>
      <c r="D277" s="100" t="s">
        <v>505</v>
      </c>
      <c r="E277" s="28" t="s">
        <v>506</v>
      </c>
      <c r="F277" s="87" t="s">
        <v>174</v>
      </c>
      <c r="G277" s="6" t="s">
        <v>23</v>
      </c>
      <c r="H277" s="6" t="s">
        <v>133</v>
      </c>
      <c r="I277" s="82" t="s">
        <v>105</v>
      </c>
      <c r="J277" s="20" t="s">
        <v>31</v>
      </c>
      <c r="K277" s="20"/>
      <c r="L277" s="20"/>
      <c r="M277" s="20"/>
      <c r="N277" s="96">
        <v>46167</v>
      </c>
      <c r="O277" s="96">
        <v>46169</v>
      </c>
      <c r="P277" s="211" t="str">
        <f>J277&amp;", "&amp;K277&amp;", "&amp;L277</f>
        <v xml:space="preserve">Lý Huy Thành, , </v>
      </c>
    </row>
    <row r="278" spans="1:16">
      <c r="A278" s="28" t="str">
        <f>"3."&amp;D278&amp;"."&amp;B278</f>
        <v>3.N.DSHCMCG.DMF.301</v>
      </c>
      <c r="B278" s="28" t="str">
        <f>TEXT(COUNTIFS($C$4:C278,C278,$D$4:D278,D278,$F$4:F278,F278)+IF(F278="KT",100,IF(F278="KC",200,IF(F278="DI",300,IF(F278="DN",400,IF(F278="NU",500,IF(F278="DH",600,IF(F278="PC",700,0))))))),"000")</f>
        <v>301</v>
      </c>
      <c r="C278" s="28" t="s">
        <v>10</v>
      </c>
      <c r="D278" s="100" t="s">
        <v>505</v>
      </c>
      <c r="E278" s="28" t="s">
        <v>506</v>
      </c>
      <c r="F278" s="87" t="s">
        <v>182</v>
      </c>
      <c r="G278" s="6" t="s">
        <v>23</v>
      </c>
      <c r="H278" s="6" t="s">
        <v>133</v>
      </c>
      <c r="I278" s="82" t="s">
        <v>105</v>
      </c>
      <c r="J278" s="20" t="s">
        <v>220</v>
      </c>
      <c r="K278" s="20" t="s">
        <v>201</v>
      </c>
      <c r="L278" s="20"/>
      <c r="M278" s="20"/>
      <c r="N278" s="96">
        <v>46167</v>
      </c>
      <c r="O278" s="96">
        <v>46169</v>
      </c>
      <c r="P278" s="211" t="str">
        <f t="shared" ref="P278:P279" si="18">J278&amp;", "&amp;K278&amp;", "&amp;L278</f>
        <v xml:space="preserve">Phan Trường Giang, Ngô Tuấn Vũ, </v>
      </c>
    </row>
    <row r="279" spans="1:16">
      <c r="A279" s="28" t="str">
        <f>"3."&amp;D279&amp;"."&amp;B279</f>
        <v>3.N.DSHCMCG.DMF.401</v>
      </c>
      <c r="B279" s="28" t="str">
        <f>TEXT(COUNTIFS($C$4:C279,C279,$D$4:D279,D279,$F$4:F279,F279)+IF(F279="KT",100,IF(F279="KC",200,IF(F279="DI",300,IF(F279="DN",400,IF(F279="NU",500,IF(F279="DH",600,IF(F279="PC",700,0))))))),"000")</f>
        <v>401</v>
      </c>
      <c r="C279" s="28" t="s">
        <v>10</v>
      </c>
      <c r="D279" s="100" t="s">
        <v>505</v>
      </c>
      <c r="E279" s="28" t="s">
        <v>506</v>
      </c>
      <c r="F279" s="87" t="s">
        <v>190</v>
      </c>
      <c r="G279" s="6" t="s">
        <v>23</v>
      </c>
      <c r="H279" s="6" t="s">
        <v>133</v>
      </c>
      <c r="I279" s="82" t="s">
        <v>105</v>
      </c>
      <c r="J279" s="20" t="s">
        <v>220</v>
      </c>
      <c r="K279" s="20" t="s">
        <v>201</v>
      </c>
      <c r="L279" s="20"/>
      <c r="M279" s="20"/>
      <c r="N279" s="96">
        <v>46167</v>
      </c>
      <c r="O279" s="96">
        <v>46169</v>
      </c>
      <c r="P279" s="211" t="str">
        <f t="shared" si="18"/>
        <v xml:space="preserve">Phan Trường Giang, Ngô Tuấn Vũ, </v>
      </c>
    </row>
    <row r="280" spans="1:16">
      <c r="A280" s="28" t="str">
        <f>"3."&amp;D280&amp;"."&amp;B280</f>
        <v>3.N.DSHCMCG.DMF.501</v>
      </c>
      <c r="B280" s="28" t="str">
        <f>TEXT(COUNTIFS($C$4:C280,C280,$D$4:D280,D280,$F$4:F280,F280)+IF(F280="KT",100,IF(F280="KC",200,IF(F280="DI",300,IF(F280="DN",400,IF(F280="NU",500,IF(F280="DH",600,IF(F280="PC",700,0))))))),"000")</f>
        <v>501</v>
      </c>
      <c r="C280" s="28" t="s">
        <v>10</v>
      </c>
      <c r="D280" s="100" t="s">
        <v>505</v>
      </c>
      <c r="E280" s="28" t="s">
        <v>506</v>
      </c>
      <c r="F280" s="87" t="s">
        <v>195</v>
      </c>
      <c r="G280" s="6" t="s">
        <v>23</v>
      </c>
      <c r="H280" s="6" t="s">
        <v>133</v>
      </c>
      <c r="I280" s="82" t="s">
        <v>105</v>
      </c>
      <c r="J280" s="20" t="s">
        <v>220</v>
      </c>
      <c r="K280" s="20" t="s">
        <v>201</v>
      </c>
      <c r="L280" s="20"/>
      <c r="M280" s="20"/>
      <c r="N280" s="96">
        <v>46167</v>
      </c>
      <c r="O280" s="96">
        <v>46169</v>
      </c>
      <c r="P280" s="211" t="str">
        <f t="shared" si="7"/>
        <v xml:space="preserve">Phan Trường Giang, Ngô Tuấn Vũ, </v>
      </c>
    </row>
    <row r="281" spans="1:16">
      <c r="A281" s="28" t="str">
        <f>"3."&amp;D281&amp;"."&amp;B281</f>
        <v>3.N.DSHCMCG.DMF.601</v>
      </c>
      <c r="B281" s="28" t="str">
        <f>TEXT(COUNTIFS($C$4:C281,C281,$D$4:D281,D281,$F$4:F281,F281)+IF(F281="KT",100,IF(F281="KC",200,IF(F281="DI",300,IF(F281="DN",400,IF(F281="NU",500,IF(F281="DH",600,IF(F281="PC",700,0))))))),"000")</f>
        <v>601</v>
      </c>
      <c r="C281" s="28" t="s">
        <v>10</v>
      </c>
      <c r="D281" s="100" t="s">
        <v>505</v>
      </c>
      <c r="E281" s="28" t="s">
        <v>506</v>
      </c>
      <c r="F281" s="87" t="s">
        <v>205</v>
      </c>
      <c r="G281" s="6" t="s">
        <v>23</v>
      </c>
      <c r="H281" s="6" t="s">
        <v>133</v>
      </c>
      <c r="I281" s="82" t="s">
        <v>105</v>
      </c>
      <c r="J281" s="20" t="s">
        <v>220</v>
      </c>
      <c r="K281" s="20" t="s">
        <v>201</v>
      </c>
      <c r="L281" s="20"/>
      <c r="M281" s="20"/>
      <c r="N281" s="96">
        <v>46167</v>
      </c>
      <c r="O281" s="96">
        <v>46169</v>
      </c>
      <c r="P281" s="211" t="str">
        <f t="shared" ref="P281" si="19">J281&amp;", "&amp;K281&amp;", "&amp;L281</f>
        <v xml:space="preserve">Phan Trường Giang, Ngô Tuấn Vũ, </v>
      </c>
    </row>
    <row r="282" spans="1:16">
      <c r="A282" s="28" t="str">
        <f>"3."&amp;D282&amp;"."&amp;B282</f>
        <v>3.N.DSHCMCG.DMF.701</v>
      </c>
      <c r="B282" s="28" t="str">
        <f>TEXT(COUNTIFS($C$4:C282,C282,$D$4:D282,D282,$F$4:F282,F282)+IF(F282="KT",100,IF(F282="KC",200,IF(F282="DI",300,IF(F282="DN",400,IF(F282="NU",500,IF(F282="DH",600,IF(F282="PC",700,0))))))),"000")</f>
        <v>701</v>
      </c>
      <c r="C282" s="28" t="s">
        <v>10</v>
      </c>
      <c r="D282" s="100" t="s">
        <v>505</v>
      </c>
      <c r="E282" s="28" t="s">
        <v>506</v>
      </c>
      <c r="F282" s="87" t="s">
        <v>200</v>
      </c>
      <c r="G282" s="6" t="s">
        <v>23</v>
      </c>
      <c r="H282" s="6" t="s">
        <v>133</v>
      </c>
      <c r="I282" s="82" t="s">
        <v>105</v>
      </c>
      <c r="J282" s="20" t="s">
        <v>220</v>
      </c>
      <c r="K282" s="20" t="s">
        <v>201</v>
      </c>
      <c r="L282" s="20"/>
      <c r="M282" s="20"/>
      <c r="N282" s="96">
        <v>46167</v>
      </c>
      <c r="O282" s="96">
        <v>46169</v>
      </c>
      <c r="P282" s="211" t="str">
        <f t="shared" ref="P282" si="20">J282&amp;", "&amp;K282&amp;", "&amp;L282</f>
        <v xml:space="preserve">Phan Trường Giang, Ngô Tuấn Vũ, </v>
      </c>
    </row>
    <row r="283" spans="1:16">
      <c r="A283" s="28" t="str">
        <f>"3."&amp;D283&amp;"."&amp;B283</f>
        <v>3.N.DSHCMCG.STA.101</v>
      </c>
      <c r="B283" s="28" t="str">
        <f>TEXT(COUNTIFS($C$4:C283,C283,$D$4:D283,D283,$F$4:F283,F283)+IF(F283="KT",100,IF(F283="KC",200,IF(F283="DI",300,IF(F283="DN",400,IF(F283="NU",500,IF(F283="DH",600,IF(F283="PC",700,0))))))),"000")</f>
        <v>101</v>
      </c>
      <c r="C283" s="28" t="s">
        <v>10</v>
      </c>
      <c r="D283" s="100" t="s">
        <v>332</v>
      </c>
      <c r="E283" s="28" t="s">
        <v>333</v>
      </c>
      <c r="F283" s="88" t="s">
        <v>164</v>
      </c>
      <c r="G283" s="6" t="s">
        <v>169</v>
      </c>
      <c r="H283" s="6" t="s">
        <v>156</v>
      </c>
      <c r="I283" s="82" t="s">
        <v>105</v>
      </c>
      <c r="J283" s="20" t="s">
        <v>32</v>
      </c>
      <c r="K283" s="20" t="s">
        <v>35</v>
      </c>
      <c r="L283" s="20"/>
      <c r="M283" s="20"/>
      <c r="N283" s="106">
        <v>46221</v>
      </c>
      <c r="O283" s="106">
        <v>46287</v>
      </c>
      <c r="P283" s="211" t="str">
        <f t="shared" si="7"/>
        <v xml:space="preserve">Nguyễn Hải Nam, Đặng Minh Quang, </v>
      </c>
    </row>
    <row r="284" spans="1:16">
      <c r="A284" s="28" t="str">
        <f>"3."&amp;D284&amp;"."&amp;B284</f>
        <v>3.N.DSHCMCG.STA.201</v>
      </c>
      <c r="B284" s="28" t="str">
        <f>TEXT(COUNTIFS($C$4:C284,C284,$D$4:D284,D284,$F$4:F284,F284)+IF(F284="KT",100,IF(F284="KC",200,IF(F284="DI",300,IF(F284="DN",400,IF(F284="NU",500,IF(F284="DH",600,IF(F284="PC",700,0))))))),"000")</f>
        <v>201</v>
      </c>
      <c r="C284" s="28" t="s">
        <v>10</v>
      </c>
      <c r="D284" s="100" t="s">
        <v>332</v>
      </c>
      <c r="E284" s="28" t="s">
        <v>333</v>
      </c>
      <c r="F284" s="88" t="s">
        <v>174</v>
      </c>
      <c r="G284" s="6" t="s">
        <v>23</v>
      </c>
      <c r="H284" s="20" t="s">
        <v>156</v>
      </c>
      <c r="I284" s="82" t="s">
        <v>105</v>
      </c>
      <c r="J284" s="20" t="s">
        <v>32</v>
      </c>
      <c r="K284" s="20" t="s">
        <v>35</v>
      </c>
      <c r="L284" s="20"/>
      <c r="M284" s="20"/>
      <c r="N284" s="106">
        <v>46149</v>
      </c>
      <c r="O284" s="106">
        <v>46317</v>
      </c>
      <c r="P284" s="211" t="str">
        <f t="shared" si="7"/>
        <v xml:space="preserve">Nguyễn Hải Nam, Đặng Minh Quang, </v>
      </c>
    </row>
    <row r="285" spans="1:16">
      <c r="A285" s="28" t="str">
        <f>"3."&amp;D285&amp;"."&amp;B285</f>
        <v>3.N.DSHCMCG.STA.301</v>
      </c>
      <c r="B285" s="28" t="str">
        <f>TEXT(COUNTIFS($C$4:C285,C285,$D$4:D285,D285,$F$4:F285,F285)+IF(F285="KT",100,IF(F285="KC",200,IF(F285="DI",300,IF(F285="DN",400,IF(F285="NU",500,IF(F285="DH",600,IF(F285="PC",700,0))))))),"000")</f>
        <v>301</v>
      </c>
      <c r="C285" s="28" t="s">
        <v>10</v>
      </c>
      <c r="D285" s="100" t="s">
        <v>332</v>
      </c>
      <c r="E285" s="28" t="s">
        <v>333</v>
      </c>
      <c r="F285" s="87" t="s">
        <v>182</v>
      </c>
      <c r="G285" s="6" t="s">
        <v>23</v>
      </c>
      <c r="H285" s="6" t="s">
        <v>133</v>
      </c>
      <c r="I285" s="82" t="s">
        <v>105</v>
      </c>
      <c r="J285" s="20" t="s">
        <v>206</v>
      </c>
      <c r="K285" s="20" t="s">
        <v>201</v>
      </c>
      <c r="L285" s="20"/>
      <c r="M285" s="20"/>
      <c r="N285" s="96">
        <v>46167</v>
      </c>
      <c r="O285" s="96">
        <v>46169</v>
      </c>
      <c r="P285" s="211" t="str">
        <f t="shared" ref="P285:P287" si="21">J285&amp;", "&amp;K285&amp;", "&amp;L285</f>
        <v xml:space="preserve">Nguyễn Văn Hải, Ngô Tuấn Vũ, </v>
      </c>
    </row>
    <row r="286" spans="1:16">
      <c r="A286" s="28" t="str">
        <f>"3."&amp;D286&amp;"."&amp;B286</f>
        <v>3.N.DSHCMCG.STA.401</v>
      </c>
      <c r="B286" s="28" t="str">
        <f>TEXT(COUNTIFS($C$4:C286,C286,$D$4:D286,D286,$F$4:F286,F286)+IF(F286="KT",100,IF(F286="KC",200,IF(F286="DI",300,IF(F286="DN",400,IF(F286="NU",500,IF(F286="DH",600,IF(F286="PC",700,0))))))),"000")</f>
        <v>401</v>
      </c>
      <c r="C286" s="28" t="s">
        <v>10</v>
      </c>
      <c r="D286" s="100" t="s">
        <v>332</v>
      </c>
      <c r="E286" s="28" t="s">
        <v>333</v>
      </c>
      <c r="F286" s="87" t="s">
        <v>190</v>
      </c>
      <c r="G286" s="6" t="s">
        <v>23</v>
      </c>
      <c r="H286" s="6" t="s">
        <v>133</v>
      </c>
      <c r="I286" s="82" t="s">
        <v>105</v>
      </c>
      <c r="J286" s="20" t="s">
        <v>206</v>
      </c>
      <c r="K286" s="20" t="s">
        <v>201</v>
      </c>
      <c r="L286" s="20"/>
      <c r="M286" s="20"/>
      <c r="N286" s="96">
        <v>46167</v>
      </c>
      <c r="O286" s="96">
        <v>46169</v>
      </c>
      <c r="P286" s="211" t="str">
        <f t="shared" si="21"/>
        <v xml:space="preserve">Nguyễn Văn Hải, Ngô Tuấn Vũ, </v>
      </c>
    </row>
    <row r="287" spans="1:16">
      <c r="A287" s="28" t="str">
        <f>"3."&amp;D287&amp;"."&amp;B287</f>
        <v>3.N.DSHCMCG.STA.501</v>
      </c>
      <c r="B287" s="28" t="str">
        <f>TEXT(COUNTIFS($C$4:C287,C287,$D$4:D287,D287,$F$4:F287,F287)+IF(F287="KT",100,IF(F287="KC",200,IF(F287="DI",300,IF(F287="DN",400,IF(F287="NU",500,IF(F287="DH",600,IF(F287="PC",700,0))))))),"000")</f>
        <v>501</v>
      </c>
      <c r="C287" s="28" t="s">
        <v>10</v>
      </c>
      <c r="D287" s="100" t="s">
        <v>332</v>
      </c>
      <c r="E287" s="28" t="s">
        <v>333</v>
      </c>
      <c r="F287" s="87" t="s">
        <v>195</v>
      </c>
      <c r="G287" s="6" t="s">
        <v>23</v>
      </c>
      <c r="H287" s="6" t="s">
        <v>133</v>
      </c>
      <c r="I287" s="82" t="s">
        <v>105</v>
      </c>
      <c r="J287" s="20" t="s">
        <v>206</v>
      </c>
      <c r="K287" s="20" t="s">
        <v>201</v>
      </c>
      <c r="L287" s="20"/>
      <c r="M287" s="20"/>
      <c r="N287" s="96">
        <v>46167</v>
      </c>
      <c r="O287" s="96">
        <v>46169</v>
      </c>
      <c r="P287" s="211" t="str">
        <f t="shared" si="21"/>
        <v xml:space="preserve">Nguyễn Văn Hải, Ngô Tuấn Vũ, </v>
      </c>
    </row>
    <row r="288" spans="1:16">
      <c r="A288" s="28" t="str">
        <f>"3."&amp;D288&amp;"."&amp;B288</f>
        <v>3.N.DSHCMCG.STA.601</v>
      </c>
      <c r="B288" s="28" t="str">
        <f>TEXT(COUNTIFS($C$4:C288,C288,$D$4:D288,D288,$F$4:F288,F288)+IF(F288="KT",100,IF(F288="KC",200,IF(F288="DI",300,IF(F288="DN",400,IF(F288="NU",500,IF(F288="DH",600,IF(F288="PC",700,0))))))),"000")</f>
        <v>601</v>
      </c>
      <c r="C288" s="28" t="s">
        <v>10</v>
      </c>
      <c r="D288" s="100" t="s">
        <v>332</v>
      </c>
      <c r="E288" s="28" t="s">
        <v>333</v>
      </c>
      <c r="F288" s="87" t="s">
        <v>205</v>
      </c>
      <c r="G288" s="6" t="s">
        <v>23</v>
      </c>
      <c r="H288" s="6" t="s">
        <v>133</v>
      </c>
      <c r="I288" s="82" t="s">
        <v>105</v>
      </c>
      <c r="J288" s="20" t="s">
        <v>206</v>
      </c>
      <c r="K288" s="20" t="s">
        <v>201</v>
      </c>
      <c r="L288" s="20"/>
      <c r="M288" s="20"/>
      <c r="N288" s="96">
        <v>46167</v>
      </c>
      <c r="O288" s="96">
        <v>46169</v>
      </c>
      <c r="P288" s="211" t="str">
        <f t="shared" ref="P288:P440" si="22">J288&amp;", "&amp;K288&amp;", "&amp;L288</f>
        <v xml:space="preserve">Nguyễn Văn Hải, Ngô Tuấn Vũ, </v>
      </c>
    </row>
    <row r="289" spans="1:16">
      <c r="A289" s="28" t="str">
        <f>"3."&amp;D289&amp;"."&amp;B289</f>
        <v>3.N.DSHCMCG.STA.701</v>
      </c>
      <c r="B289" s="28" t="str">
        <f>TEXT(COUNTIFS($C$4:C289,C289,$D$4:D289,D289,$F$4:F289,F289)+IF(F289="KT",100,IF(F289="KC",200,IF(F289="DI",300,IF(F289="DN",400,IF(F289="NU",500,IF(F289="DH",600,IF(F289="PC",700,0))))))),"000")</f>
        <v>701</v>
      </c>
      <c r="C289" s="28" t="s">
        <v>10</v>
      </c>
      <c r="D289" s="100" t="s">
        <v>332</v>
      </c>
      <c r="E289" s="28" t="s">
        <v>333</v>
      </c>
      <c r="F289" s="87" t="s">
        <v>200</v>
      </c>
      <c r="G289" s="6" t="s">
        <v>23</v>
      </c>
      <c r="H289" s="6" t="s">
        <v>133</v>
      </c>
      <c r="I289" s="82" t="s">
        <v>105</v>
      </c>
      <c r="J289" s="20" t="s">
        <v>206</v>
      </c>
      <c r="K289" s="20" t="s">
        <v>201</v>
      </c>
      <c r="L289" s="20"/>
      <c r="M289" s="20"/>
      <c r="N289" s="96">
        <v>46167</v>
      </c>
      <c r="O289" s="96">
        <v>46169</v>
      </c>
      <c r="P289" s="211" t="str">
        <f t="shared" ref="P289" si="23">J289&amp;", "&amp;K289&amp;", "&amp;L289</f>
        <v xml:space="preserve">Nguyễn Văn Hải, Ngô Tuấn Vũ, </v>
      </c>
    </row>
    <row r="290" spans="1:16">
      <c r="A290" s="28" t="str">
        <f>"3."&amp;D290&amp;"."&amp;B290</f>
        <v>3.N.DSHCMCG.STA.102</v>
      </c>
      <c r="B290" s="28" t="str">
        <f>TEXT(COUNTIFS($C$4:C290,C290,$D$4:D290,D290,$F$4:F290,F290)+IF(F290="KT",100,IF(F290="KC",200,IF(F290="DI",300,IF(F290="DN",400,IF(F290="NU",500,IF(F290="DH",600,IF(F290="PC",700,0))))))),"000")</f>
        <v>102</v>
      </c>
      <c r="C290" s="28" t="s">
        <v>10</v>
      </c>
      <c r="D290" s="100" t="s">
        <v>332</v>
      </c>
      <c r="E290" s="28" t="s">
        <v>335</v>
      </c>
      <c r="F290" s="88" t="s">
        <v>164</v>
      </c>
      <c r="G290" s="6" t="s">
        <v>169</v>
      </c>
      <c r="H290" s="6" t="s">
        <v>156</v>
      </c>
      <c r="I290" s="82" t="s">
        <v>105</v>
      </c>
      <c r="J290" s="20" t="s">
        <v>36</v>
      </c>
      <c r="K290" s="20" t="s">
        <v>32</v>
      </c>
      <c r="L290" s="20"/>
      <c r="M290" s="20"/>
      <c r="N290" s="96">
        <v>46150</v>
      </c>
      <c r="O290" s="96">
        <v>46240</v>
      </c>
      <c r="P290" s="211" t="str">
        <f t="shared" si="22"/>
        <v xml:space="preserve">Trần Văn Toản, Nguyễn Hải Nam, </v>
      </c>
    </row>
    <row r="291" spans="1:16">
      <c r="A291" s="28" t="str">
        <f>"3."&amp;D291&amp;"."&amp;B291</f>
        <v>3.N.DSHCMCG.STA.202</v>
      </c>
      <c r="B291" s="28" t="str">
        <f>TEXT(COUNTIFS($C$4:C291,C291,$D$4:D291,D291,$F$4:F291,F291)+IF(F291="KT",100,IF(F291="KC",200,IF(F291="DI",300,IF(F291="DN",400,IF(F291="NU",500,IF(F291="DH",600,IF(F291="PC",700,0))))))),"000")</f>
        <v>202</v>
      </c>
      <c r="C291" s="28" t="s">
        <v>10</v>
      </c>
      <c r="D291" s="100" t="s">
        <v>332</v>
      </c>
      <c r="E291" s="28" t="s">
        <v>335</v>
      </c>
      <c r="F291" s="88" t="s">
        <v>174</v>
      </c>
      <c r="G291" s="6" t="s">
        <v>23</v>
      </c>
      <c r="H291" s="20" t="s">
        <v>156</v>
      </c>
      <c r="I291" s="82" t="s">
        <v>105</v>
      </c>
      <c r="J291" s="20" t="s">
        <v>36</v>
      </c>
      <c r="K291" s="20" t="s">
        <v>32</v>
      </c>
      <c r="L291" s="20"/>
      <c r="M291" s="20"/>
      <c r="N291" s="96">
        <v>46175</v>
      </c>
      <c r="O291" s="96">
        <v>46295</v>
      </c>
      <c r="P291" s="211" t="str">
        <f t="shared" si="22"/>
        <v xml:space="preserve">Trần Văn Toản, Nguyễn Hải Nam, </v>
      </c>
    </row>
    <row r="292" spans="1:16">
      <c r="A292" s="28" t="str">
        <f>"3."&amp;D292&amp;"."&amp;B292</f>
        <v>3.N.DSHCMCG.STA.302</v>
      </c>
      <c r="B292" s="28" t="str">
        <f>TEXT(COUNTIFS($C$4:C292,C292,$D$4:D292,D292,$F$4:F292,F292)+IF(F292="KT",100,IF(F292="KC",200,IF(F292="DI",300,IF(F292="DN",400,IF(F292="NU",500,IF(F292="DH",600,IF(F292="PC",700,0))))))),"000")</f>
        <v>302</v>
      </c>
      <c r="C292" s="28" t="s">
        <v>10</v>
      </c>
      <c r="D292" s="100" t="s">
        <v>332</v>
      </c>
      <c r="E292" s="28" t="s">
        <v>335</v>
      </c>
      <c r="F292" s="87" t="s">
        <v>182</v>
      </c>
      <c r="G292" s="6" t="s">
        <v>23</v>
      </c>
      <c r="H292" s="6" t="s">
        <v>133</v>
      </c>
      <c r="I292" s="82" t="s">
        <v>105</v>
      </c>
      <c r="J292" s="20" t="s">
        <v>216</v>
      </c>
      <c r="K292" s="20" t="s">
        <v>201</v>
      </c>
      <c r="L292" s="20"/>
      <c r="M292" s="20"/>
      <c r="N292" s="96">
        <v>46167</v>
      </c>
      <c r="O292" s="96">
        <v>46169</v>
      </c>
      <c r="P292" s="211" t="str">
        <f t="shared" ref="P292" si="24">J292&amp;", "&amp;K292&amp;", "&amp;L292</f>
        <v xml:space="preserve">Đặng Thái Sơn, Ngô Tuấn Vũ, </v>
      </c>
    </row>
    <row r="293" spans="1:16">
      <c r="A293" s="28" t="str">
        <f>"3."&amp;D293&amp;"."&amp;B293</f>
        <v>3.N.DSHCMCG.STA.402</v>
      </c>
      <c r="B293" s="28" t="str">
        <f>TEXT(COUNTIFS($C$4:C293,C293,$D$4:D293,D293,$F$4:F293,F293)+IF(F293="KT",100,IF(F293="KC",200,IF(F293="DI",300,IF(F293="DN",400,IF(F293="NU",500,IF(F293="DH",600,IF(F293="PC",700,0))))))),"000")</f>
        <v>402</v>
      </c>
      <c r="C293" s="28" t="s">
        <v>10</v>
      </c>
      <c r="D293" s="100" t="s">
        <v>332</v>
      </c>
      <c r="E293" s="28" t="s">
        <v>335</v>
      </c>
      <c r="F293" s="87" t="s">
        <v>190</v>
      </c>
      <c r="G293" s="6" t="s">
        <v>23</v>
      </c>
      <c r="H293" s="6" t="s">
        <v>133</v>
      </c>
      <c r="I293" s="82" t="s">
        <v>105</v>
      </c>
      <c r="J293" s="20" t="s">
        <v>216</v>
      </c>
      <c r="K293" s="20" t="s">
        <v>201</v>
      </c>
      <c r="L293" s="20"/>
      <c r="M293" s="20"/>
      <c r="N293" s="96">
        <v>46167</v>
      </c>
      <c r="O293" s="96">
        <v>46169</v>
      </c>
      <c r="P293" s="211" t="str">
        <f t="shared" si="22"/>
        <v xml:space="preserve">Đặng Thái Sơn, Ngô Tuấn Vũ, </v>
      </c>
    </row>
    <row r="294" spans="1:16">
      <c r="A294" s="28" t="str">
        <f>"3."&amp;D294&amp;"."&amp;B294</f>
        <v>3.N.DSHCMCG.STA.502</v>
      </c>
      <c r="B294" s="28" t="str">
        <f>TEXT(COUNTIFS($C$4:C294,C294,$D$4:D294,D294,$F$4:F294,F294)+IF(F294="KT",100,IF(F294="KC",200,IF(F294="DI",300,IF(F294="DN",400,IF(F294="NU",500,IF(F294="DH",600,IF(F294="PC",700,0))))))),"000")</f>
        <v>502</v>
      </c>
      <c r="C294" s="28" t="s">
        <v>10</v>
      </c>
      <c r="D294" s="100" t="s">
        <v>332</v>
      </c>
      <c r="E294" s="28" t="s">
        <v>335</v>
      </c>
      <c r="F294" s="87" t="s">
        <v>195</v>
      </c>
      <c r="G294" s="6" t="s">
        <v>23</v>
      </c>
      <c r="H294" s="6" t="s">
        <v>133</v>
      </c>
      <c r="I294" s="82" t="s">
        <v>105</v>
      </c>
      <c r="J294" s="20" t="s">
        <v>216</v>
      </c>
      <c r="K294" s="20" t="s">
        <v>201</v>
      </c>
      <c r="L294" s="20"/>
      <c r="M294" s="20"/>
      <c r="N294" s="96">
        <v>46167</v>
      </c>
      <c r="O294" s="96">
        <v>46169</v>
      </c>
      <c r="P294" s="211" t="str">
        <f t="shared" si="22"/>
        <v xml:space="preserve">Đặng Thái Sơn, Ngô Tuấn Vũ, </v>
      </c>
    </row>
    <row r="295" spans="1:16">
      <c r="A295" s="28" t="str">
        <f>"3."&amp;D295&amp;"."&amp;B295</f>
        <v>3.N.DSHCMCG.STA.602</v>
      </c>
      <c r="B295" s="28" t="str">
        <f>TEXT(COUNTIFS($C$4:C295,C295,$D$4:D295,D295,$F$4:F295,F295)+IF(F295="KT",100,IF(F295="KC",200,IF(F295="DI",300,IF(F295="DN",400,IF(F295="NU",500,IF(F295="DH",600,IF(F295="PC",700,0))))))),"000")</f>
        <v>602</v>
      </c>
      <c r="C295" s="28" t="s">
        <v>10</v>
      </c>
      <c r="D295" s="100" t="s">
        <v>332</v>
      </c>
      <c r="E295" s="28" t="s">
        <v>335</v>
      </c>
      <c r="F295" s="87" t="s">
        <v>205</v>
      </c>
      <c r="G295" s="6" t="s">
        <v>23</v>
      </c>
      <c r="H295" s="6" t="s">
        <v>133</v>
      </c>
      <c r="I295" s="82" t="s">
        <v>105</v>
      </c>
      <c r="J295" s="20" t="s">
        <v>216</v>
      </c>
      <c r="K295" s="20" t="s">
        <v>201</v>
      </c>
      <c r="L295" s="20"/>
      <c r="M295" s="20"/>
      <c r="N295" s="96">
        <v>46167</v>
      </c>
      <c r="O295" s="96">
        <v>46169</v>
      </c>
      <c r="P295" s="211" t="str">
        <f t="shared" ref="P295" si="25">J295&amp;", "&amp;K295&amp;", "&amp;L295</f>
        <v xml:space="preserve">Đặng Thái Sơn, Ngô Tuấn Vũ, </v>
      </c>
    </row>
    <row r="296" spans="1:16">
      <c r="A296" s="28" t="str">
        <f>"3."&amp;D296&amp;"."&amp;B296</f>
        <v>3.N.DSHCMCG.STA.702</v>
      </c>
      <c r="B296" s="28" t="str">
        <f>TEXT(COUNTIFS($C$4:C296,C296,$D$4:D296,D296,$F$4:F296,F296)+IF(F296="KT",100,IF(F296="KC",200,IF(F296="DI",300,IF(F296="DN",400,IF(F296="NU",500,IF(F296="DH",600,IF(F296="PC",700,0))))))),"000")</f>
        <v>702</v>
      </c>
      <c r="C296" s="28" t="s">
        <v>10</v>
      </c>
      <c r="D296" s="100" t="s">
        <v>332</v>
      </c>
      <c r="E296" s="28" t="s">
        <v>335</v>
      </c>
      <c r="F296" s="87" t="s">
        <v>200</v>
      </c>
      <c r="G296" s="6" t="s">
        <v>23</v>
      </c>
      <c r="H296" s="6" t="s">
        <v>133</v>
      </c>
      <c r="I296" s="82" t="s">
        <v>105</v>
      </c>
      <c r="J296" s="20" t="s">
        <v>216</v>
      </c>
      <c r="K296" s="20" t="s">
        <v>201</v>
      </c>
      <c r="L296" s="20"/>
      <c r="M296" s="20"/>
      <c r="N296" s="96">
        <v>46167</v>
      </c>
      <c r="O296" s="96">
        <v>46169</v>
      </c>
      <c r="P296" s="211" t="str">
        <f t="shared" ref="P296" si="26">J296&amp;", "&amp;K296&amp;", "&amp;L296</f>
        <v xml:space="preserve">Đặng Thái Sơn, Ngô Tuấn Vũ, </v>
      </c>
    </row>
    <row r="297" spans="1:16">
      <c r="A297" s="28" t="str">
        <f>"3."&amp;D297&amp;"."&amp;B297</f>
        <v>3.N.DSHCMCG.SUP.101</v>
      </c>
      <c r="B297" s="28" t="str">
        <f>TEXT(COUNTIFS($C$4:C297,C297,$D$4:D297,D297,$F$4:F297,F297)+IF(F297="KT",100,IF(F297="KC",200,IF(F297="DI",300,IF(F297="DN",400,IF(F297="NU",500,IF(F297="DH",600,IF(F297="PC",700,0))))))),"000")</f>
        <v>101</v>
      </c>
      <c r="C297" s="28" t="s">
        <v>10</v>
      </c>
      <c r="D297" s="100" t="s">
        <v>337</v>
      </c>
      <c r="E297" s="28" t="s">
        <v>187</v>
      </c>
      <c r="F297" s="87" t="s">
        <v>164</v>
      </c>
      <c r="G297" s="6" t="s">
        <v>169</v>
      </c>
      <c r="H297" s="6" t="s">
        <v>156</v>
      </c>
      <c r="I297" s="82" t="s">
        <v>105</v>
      </c>
      <c r="J297" s="20" t="s">
        <v>31</v>
      </c>
      <c r="K297" s="20"/>
      <c r="L297" s="20"/>
      <c r="M297" s="20"/>
      <c r="N297" s="96">
        <v>46175</v>
      </c>
      <c r="O297" s="96">
        <v>46199</v>
      </c>
      <c r="P297" s="211" t="str">
        <f>J297&amp;", "&amp;K297&amp;", "&amp;L297</f>
        <v xml:space="preserve">Lý Huy Thành, , </v>
      </c>
    </row>
    <row r="298" spans="1:16">
      <c r="A298" s="28" t="str">
        <f>"3."&amp;D298&amp;"."&amp;B298</f>
        <v>3.N.DSHCMCG.SUP.102</v>
      </c>
      <c r="B298" s="28" t="str">
        <f>TEXT(COUNTIFS($C$4:C298,C298,$D$4:D298,D298,$F$4:F298,F298)+IF(F298="KT",100,IF(F298="KC",200,IF(F298="DI",300,IF(F298="DN",400,IF(F298="NU",500,IF(F298="DH",600,IF(F298="PC",700,0))))))),"000")</f>
        <v>102</v>
      </c>
      <c r="C298" s="28" t="s">
        <v>10</v>
      </c>
      <c r="D298" s="100" t="s">
        <v>337</v>
      </c>
      <c r="E298" s="28" t="s">
        <v>198</v>
      </c>
      <c r="F298" s="87" t="s">
        <v>164</v>
      </c>
      <c r="G298" s="6" t="s">
        <v>169</v>
      </c>
      <c r="H298" s="6" t="s">
        <v>156</v>
      </c>
      <c r="I298" s="82" t="s">
        <v>105</v>
      </c>
      <c r="J298" s="20" t="s">
        <v>31</v>
      </c>
      <c r="K298" s="20"/>
      <c r="L298" s="20"/>
      <c r="M298" s="20"/>
      <c r="N298" s="96">
        <v>46178</v>
      </c>
      <c r="O298" s="96">
        <v>46199</v>
      </c>
      <c r="P298" s="211" t="str">
        <f>J298&amp;", "&amp;K298&amp;", "&amp;L298</f>
        <v xml:space="preserve">Lý Huy Thành, , </v>
      </c>
    </row>
    <row r="299" spans="1:16">
      <c r="A299" s="28" t="str">
        <f>"3."&amp;D299&amp;"."&amp;B299</f>
        <v>3.N.DSHCMCG.SUP.201</v>
      </c>
      <c r="B299" s="28" t="str">
        <f>TEXT(COUNTIFS($C$4:C299,C299,$D$4:D299,D299,$F$4:F299,F299)+IF(F299="KT",100,IF(F299="KC",200,IF(F299="DI",300,IF(F299="DN",400,IF(F299="NU",500,IF(F299="DH",600,IF(F299="PC",700,0))))))),"000")</f>
        <v>201</v>
      </c>
      <c r="C299" s="28" t="s">
        <v>10</v>
      </c>
      <c r="D299" s="100" t="s">
        <v>337</v>
      </c>
      <c r="E299" s="28" t="s">
        <v>187</v>
      </c>
      <c r="F299" s="87" t="s">
        <v>174</v>
      </c>
      <c r="G299" s="6" t="s">
        <v>169</v>
      </c>
      <c r="H299" s="6" t="s">
        <v>156</v>
      </c>
      <c r="I299" s="82" t="s">
        <v>105</v>
      </c>
      <c r="J299" s="20" t="s">
        <v>31</v>
      </c>
      <c r="K299" s="20"/>
      <c r="L299" s="20"/>
      <c r="M299" s="20"/>
      <c r="N299" s="96">
        <v>46175</v>
      </c>
      <c r="O299" s="96">
        <v>46199</v>
      </c>
      <c r="P299" s="211" t="str">
        <f>J299&amp;", "&amp;K299&amp;", "&amp;L299</f>
        <v xml:space="preserve">Lý Huy Thành, , </v>
      </c>
    </row>
    <row r="300" spans="1:16">
      <c r="A300" s="28" t="str">
        <f>"3."&amp;D300&amp;"."&amp;B300</f>
        <v>3.N.DSHCMCG.SUP.202</v>
      </c>
      <c r="B300" s="28" t="str">
        <f>TEXT(COUNTIFS($C$4:C300,C300,$D$4:D300,D300,$F$4:F300,F300)+IF(F300="KT",100,IF(F300="KC",200,IF(F300="DI",300,IF(F300="DN",400,IF(F300="NU",500,IF(F300="DH",600,IF(F300="PC",700,0))))))),"000")</f>
        <v>202</v>
      </c>
      <c r="C300" s="28" t="s">
        <v>10</v>
      </c>
      <c r="D300" s="100" t="s">
        <v>337</v>
      </c>
      <c r="E300" s="28" t="s">
        <v>198</v>
      </c>
      <c r="F300" s="87" t="s">
        <v>174</v>
      </c>
      <c r="G300" s="6" t="s">
        <v>169</v>
      </c>
      <c r="H300" s="6" t="s">
        <v>156</v>
      </c>
      <c r="I300" s="82" t="s">
        <v>105</v>
      </c>
      <c r="J300" s="20" t="s">
        <v>31</v>
      </c>
      <c r="K300" s="20"/>
      <c r="L300" s="20"/>
      <c r="M300" s="20"/>
      <c r="N300" s="96">
        <v>46178</v>
      </c>
      <c r="O300" s="96">
        <v>46199</v>
      </c>
      <c r="P300" s="211" t="str">
        <f>J300&amp;", "&amp;K300&amp;", "&amp;L300</f>
        <v xml:space="preserve">Lý Huy Thành, , </v>
      </c>
    </row>
    <row r="301" spans="1:16">
      <c r="A301" s="28" t="str">
        <f>"3."&amp;D301&amp;"."&amp;B301</f>
        <v>3.N.DSHCMCG.SUP.301</v>
      </c>
      <c r="B301" s="28" t="str">
        <f>TEXT(COUNTIFS($C$4:C301,C301,$D$4:D301,D301,$F$4:F301,F301)+IF(F301="KT",100,IF(F301="KC",200,IF(F301="DI",300,IF(F301="DN",400,IF(F301="NU",500,IF(F301="DH",600,IF(F301="PC",700,0))))))),"000")</f>
        <v>301</v>
      </c>
      <c r="C301" s="28" t="s">
        <v>10</v>
      </c>
      <c r="D301" s="100" t="s">
        <v>337</v>
      </c>
      <c r="E301" s="28" t="s">
        <v>187</v>
      </c>
      <c r="F301" s="87" t="s">
        <v>182</v>
      </c>
      <c r="G301" s="6" t="s">
        <v>169</v>
      </c>
      <c r="H301" s="6" t="s">
        <v>156</v>
      </c>
      <c r="I301" s="82" t="s">
        <v>105</v>
      </c>
      <c r="J301" s="20" t="s">
        <v>220</v>
      </c>
      <c r="K301" s="20"/>
      <c r="L301" s="20"/>
      <c r="M301" s="20"/>
      <c r="N301" s="96">
        <v>46178</v>
      </c>
      <c r="O301" s="96">
        <v>46199</v>
      </c>
      <c r="P301" s="211" t="str">
        <f>J301&amp;", "&amp;K301&amp;", "&amp;L301</f>
        <v xml:space="preserve">Phan Trường Giang, , </v>
      </c>
    </row>
    <row r="302" spans="1:16">
      <c r="A302" s="28" t="str">
        <f>"3."&amp;D302&amp;"."&amp;B302</f>
        <v>3.N.DSHCMCG.SUP.401</v>
      </c>
      <c r="B302" s="28" t="str">
        <f>TEXT(COUNTIFS($C$4:C302,C302,$D$4:D302,D302,$F$4:F302,F302)+IF(F302="KT",100,IF(F302="KC",200,IF(F302="DI",300,IF(F302="DN",400,IF(F302="NU",500,IF(F302="DH",600,IF(F302="PC",700,0))))))),"000")</f>
        <v>401</v>
      </c>
      <c r="C302" s="28" t="s">
        <v>10</v>
      </c>
      <c r="D302" s="100" t="s">
        <v>337</v>
      </c>
      <c r="E302" s="28" t="s">
        <v>187</v>
      </c>
      <c r="F302" s="87" t="s">
        <v>190</v>
      </c>
      <c r="G302" s="6" t="s">
        <v>169</v>
      </c>
      <c r="H302" s="6" t="s">
        <v>156</v>
      </c>
      <c r="I302" s="82" t="s">
        <v>105</v>
      </c>
      <c r="J302" s="20" t="s">
        <v>220</v>
      </c>
      <c r="K302" s="20"/>
      <c r="L302" s="20"/>
      <c r="M302" s="20"/>
      <c r="N302" s="96">
        <v>46178</v>
      </c>
      <c r="O302" s="96">
        <v>46199</v>
      </c>
    </row>
    <row r="303" spans="1:16">
      <c r="A303" s="28" t="str">
        <f>"3."&amp;D303&amp;"."&amp;B303</f>
        <v>3.N.DSHCMCG.SUP.501</v>
      </c>
      <c r="B303" s="28" t="str">
        <f>TEXT(COUNTIFS($C$4:C303,C303,$D$4:D303,D303,$F$4:F303,F303)+IF(F303="KT",100,IF(F303="KC",200,IF(F303="DI",300,IF(F303="DN",400,IF(F303="NU",500,IF(F303="DH",600,IF(F303="PC",700,0))))))),"000")</f>
        <v>501</v>
      </c>
      <c r="C303" s="28" t="s">
        <v>10</v>
      </c>
      <c r="D303" s="100" t="s">
        <v>337</v>
      </c>
      <c r="E303" s="28" t="s">
        <v>187</v>
      </c>
      <c r="F303" s="87" t="s">
        <v>195</v>
      </c>
      <c r="G303" s="6" t="s">
        <v>169</v>
      </c>
      <c r="H303" s="6" t="s">
        <v>156</v>
      </c>
      <c r="I303" s="82" t="s">
        <v>105</v>
      </c>
      <c r="J303" s="20" t="s">
        <v>206</v>
      </c>
      <c r="K303" s="20"/>
      <c r="L303" s="20"/>
      <c r="M303" s="20"/>
      <c r="N303" s="96">
        <v>46178</v>
      </c>
      <c r="O303" s="96">
        <v>46199</v>
      </c>
    </row>
    <row r="304" spans="1:16">
      <c r="A304" s="28" t="str">
        <f>"3."&amp;D304&amp;"."&amp;B304</f>
        <v>3.N.DSHCMCG.SUP.601</v>
      </c>
      <c r="B304" s="28" t="str">
        <f>TEXT(COUNTIFS($C$4:C304,C304,$D$4:D304,D304,$F$4:F304,F304)+IF(F304="KT",100,IF(F304="KC",200,IF(F304="DI",300,IF(F304="DN",400,IF(F304="NU",500,IF(F304="DH",600,IF(F304="PC",700,0))))))),"000")</f>
        <v>601</v>
      </c>
      <c r="C304" s="28" t="s">
        <v>10</v>
      </c>
      <c r="D304" s="100" t="s">
        <v>337</v>
      </c>
      <c r="E304" s="28" t="s">
        <v>187</v>
      </c>
      <c r="F304" s="87" t="s">
        <v>205</v>
      </c>
      <c r="G304" s="6" t="s">
        <v>169</v>
      </c>
      <c r="H304" s="6" t="s">
        <v>156</v>
      </c>
      <c r="I304" s="82" t="s">
        <v>105</v>
      </c>
      <c r="J304" s="20" t="s">
        <v>216</v>
      </c>
      <c r="K304" s="20"/>
      <c r="L304" s="20"/>
      <c r="M304" s="20"/>
      <c r="N304" s="96">
        <v>46178</v>
      </c>
      <c r="O304" s="96">
        <v>46199</v>
      </c>
    </row>
    <row r="305" spans="1:16">
      <c r="A305" s="28" t="str">
        <f>"3."&amp;D305&amp;"."&amp;B305</f>
        <v>3.N.DSHCMCG.SUP.701</v>
      </c>
      <c r="B305" s="28" t="str">
        <f>TEXT(COUNTIFS($C$4:C305,C305,$D$4:D305,D305,$F$4:F305,F305)+IF(F305="KT",100,IF(F305="KC",200,IF(F305="DI",300,IF(F305="DN",400,IF(F305="NU",500,IF(F305="DH",600,IF(F305="PC",700,0))))))),"000")</f>
        <v>701</v>
      </c>
      <c r="C305" s="28" t="s">
        <v>10</v>
      </c>
      <c r="D305" s="100" t="s">
        <v>337</v>
      </c>
      <c r="E305" s="28" t="s">
        <v>187</v>
      </c>
      <c r="F305" s="87" t="s">
        <v>200</v>
      </c>
      <c r="G305" s="6" t="s">
        <v>169</v>
      </c>
      <c r="H305" s="6" t="s">
        <v>156</v>
      </c>
      <c r="I305" s="82" t="s">
        <v>105</v>
      </c>
      <c r="J305" s="20" t="s">
        <v>201</v>
      </c>
      <c r="K305" s="20"/>
      <c r="L305" s="20"/>
      <c r="M305" s="20"/>
      <c r="N305" s="96">
        <v>46178</v>
      </c>
      <c r="O305" s="96">
        <v>46199</v>
      </c>
    </row>
    <row r="306" spans="1:16">
      <c r="A306" s="28" t="str">
        <f>"3."&amp;D306&amp;"."&amp;B306</f>
        <v>3.N.DSHCMCG.SUP.302</v>
      </c>
      <c r="B306" s="28" t="str">
        <f>TEXT(COUNTIFS($C$4:C306,C306,$D$4:D306,D306,$F$4:F306,F306)+IF(F306="KT",100,IF(F306="KC",200,IF(F306="DI",300,IF(F306="DN",400,IF(F306="NU",500,IF(F306="DH",600,IF(F306="PC",700,0))))))),"000")</f>
        <v>302</v>
      </c>
      <c r="C306" s="28" t="s">
        <v>10</v>
      </c>
      <c r="D306" s="100" t="s">
        <v>337</v>
      </c>
      <c r="E306" s="28" t="s">
        <v>198</v>
      </c>
      <c r="F306" s="87" t="s">
        <v>182</v>
      </c>
      <c r="G306" s="6" t="s">
        <v>169</v>
      </c>
      <c r="H306" s="6" t="s">
        <v>156</v>
      </c>
      <c r="I306" s="82" t="s">
        <v>105</v>
      </c>
      <c r="J306" s="20" t="s">
        <v>220</v>
      </c>
      <c r="K306" s="20"/>
      <c r="L306" s="20"/>
      <c r="M306" s="20"/>
      <c r="N306" s="96">
        <v>46178</v>
      </c>
      <c r="O306" s="96">
        <v>46199</v>
      </c>
      <c r="P306" s="211" t="str">
        <f>J306&amp;", "&amp;K306&amp;", "&amp;L306</f>
        <v xml:space="preserve">Phan Trường Giang, , </v>
      </c>
    </row>
    <row r="307" spans="1:16">
      <c r="A307" s="28" t="str">
        <f>"3."&amp;D307&amp;"."&amp;B307</f>
        <v>3.N.DSHCMCG.SUP.402</v>
      </c>
      <c r="B307" s="28" t="str">
        <f>TEXT(COUNTIFS($C$4:C307,C307,$D$4:D307,D307,$F$4:F307,F307)+IF(F307="KT",100,IF(F307="KC",200,IF(F307="DI",300,IF(F307="DN",400,IF(F307="NU",500,IF(F307="DH",600,IF(F307="PC",700,0))))))),"000")</f>
        <v>402</v>
      </c>
      <c r="C307" s="28" t="s">
        <v>10</v>
      </c>
      <c r="D307" s="100" t="s">
        <v>337</v>
      </c>
      <c r="E307" s="28" t="s">
        <v>198</v>
      </c>
      <c r="F307" s="87" t="s">
        <v>190</v>
      </c>
      <c r="G307" s="6" t="s">
        <v>169</v>
      </c>
      <c r="H307" s="6" t="s">
        <v>156</v>
      </c>
      <c r="I307" s="82" t="s">
        <v>105</v>
      </c>
      <c r="J307" s="20" t="s">
        <v>220</v>
      </c>
      <c r="K307" s="20"/>
      <c r="L307" s="20"/>
      <c r="M307" s="20"/>
      <c r="N307" s="96">
        <v>46178</v>
      </c>
      <c r="O307" s="96">
        <v>46199</v>
      </c>
    </row>
    <row r="308" spans="1:16">
      <c r="A308" s="28" t="str">
        <f>"3."&amp;D308&amp;"."&amp;B308</f>
        <v>3.N.DSHCMCG.SUP.502</v>
      </c>
      <c r="B308" s="28" t="str">
        <f>TEXT(COUNTIFS($C$4:C308,C308,$D$4:D308,D308,$F$4:F308,F308)+IF(F308="KT",100,IF(F308="KC",200,IF(F308="DI",300,IF(F308="DN",400,IF(F308="NU",500,IF(F308="DH",600,IF(F308="PC",700,0))))))),"000")</f>
        <v>502</v>
      </c>
      <c r="C308" s="28" t="s">
        <v>10</v>
      </c>
      <c r="D308" s="100" t="s">
        <v>337</v>
      </c>
      <c r="E308" s="28" t="s">
        <v>198</v>
      </c>
      <c r="F308" s="87" t="s">
        <v>195</v>
      </c>
      <c r="G308" s="6" t="s">
        <v>169</v>
      </c>
      <c r="H308" s="6" t="s">
        <v>156</v>
      </c>
      <c r="I308" s="82" t="s">
        <v>105</v>
      </c>
      <c r="J308" s="20" t="s">
        <v>206</v>
      </c>
      <c r="K308" s="20"/>
      <c r="L308" s="20"/>
      <c r="M308" s="20"/>
      <c r="N308" s="96">
        <v>46178</v>
      </c>
      <c r="O308" s="96">
        <v>46199</v>
      </c>
    </row>
    <row r="309" spans="1:16">
      <c r="A309" s="28" t="str">
        <f>"3."&amp;D309&amp;"."&amp;B309</f>
        <v>3.N.DSHCMCG.SUP.602</v>
      </c>
      <c r="B309" s="28" t="str">
        <f>TEXT(COUNTIFS($C$4:C309,C309,$D$4:D309,D309,$F$4:F309,F309)+IF(F309="KT",100,IF(F309="KC",200,IF(F309="DI",300,IF(F309="DN",400,IF(F309="NU",500,IF(F309="DH",600,IF(F309="PC",700,0))))))),"000")</f>
        <v>602</v>
      </c>
      <c r="C309" s="28" t="s">
        <v>10</v>
      </c>
      <c r="D309" s="100" t="s">
        <v>337</v>
      </c>
      <c r="E309" s="28" t="s">
        <v>198</v>
      </c>
      <c r="F309" s="87" t="s">
        <v>205</v>
      </c>
      <c r="G309" s="6" t="s">
        <v>169</v>
      </c>
      <c r="H309" s="6" t="s">
        <v>156</v>
      </c>
      <c r="I309" s="82" t="s">
        <v>105</v>
      </c>
      <c r="J309" s="20" t="s">
        <v>216</v>
      </c>
      <c r="K309" s="20"/>
      <c r="L309" s="20"/>
      <c r="M309" s="20"/>
      <c r="N309" s="96">
        <v>46178</v>
      </c>
      <c r="O309" s="96">
        <v>46199</v>
      </c>
    </row>
    <row r="310" spans="1:16">
      <c r="A310" s="28" t="str">
        <f>"3."&amp;D310&amp;"."&amp;B310</f>
        <v>3.N.DSHCMCG.SUP.702</v>
      </c>
      <c r="B310" s="28" t="str">
        <f>TEXT(COUNTIFS($C$4:C310,C310,$D$4:D310,D310,$F$4:F310,F310)+IF(F310="KT",100,IF(F310="KC",200,IF(F310="DI",300,IF(F310="DN",400,IF(F310="NU",500,IF(F310="DH",600,IF(F310="PC",700,0))))))),"000")</f>
        <v>702</v>
      </c>
      <c r="C310" s="28" t="s">
        <v>10</v>
      </c>
      <c r="D310" s="100" t="s">
        <v>337</v>
      </c>
      <c r="E310" s="28" t="s">
        <v>198</v>
      </c>
      <c r="F310" s="87" t="s">
        <v>200</v>
      </c>
      <c r="G310" s="6" t="s">
        <v>169</v>
      </c>
      <c r="H310" s="6" t="s">
        <v>156</v>
      </c>
      <c r="I310" s="82" t="s">
        <v>105</v>
      </c>
      <c r="J310" s="20" t="s">
        <v>201</v>
      </c>
      <c r="K310" s="20"/>
      <c r="L310" s="20"/>
      <c r="M310" s="20"/>
      <c r="N310" s="96">
        <v>46178</v>
      </c>
      <c r="O310" s="96">
        <v>46199</v>
      </c>
    </row>
    <row r="311" spans="1:16">
      <c r="A311" s="28" t="str">
        <f>"3."&amp;D311&amp;"."&amp;B311</f>
        <v>3.N.HCM.CGIO.KS.101</v>
      </c>
      <c r="B311" s="28" t="str">
        <f>TEXT(COUNTIFS($C$4:C311,C311,$D$4:D311,D311,$F$4:F311,F311)+IF(F311="KT",100,IF(F311="KC",200,IF(F311="DI",300,IF(F311="DN",400,IF(F311="NU",500,IF(F311="DH",600,IF(F311="PC",700,0))))))),"000")</f>
        <v>101</v>
      </c>
      <c r="C311" s="28" t="s">
        <v>10</v>
      </c>
      <c r="D311" s="141" t="s">
        <v>340</v>
      </c>
      <c r="E311" s="28" t="s">
        <v>341</v>
      </c>
      <c r="F311" s="88" t="s">
        <v>164</v>
      </c>
      <c r="G311" s="6" t="s">
        <v>169</v>
      </c>
      <c r="H311" s="6" t="s">
        <v>156</v>
      </c>
      <c r="I311" s="82" t="s">
        <v>105</v>
      </c>
      <c r="J311" s="19" t="s">
        <v>196</v>
      </c>
      <c r="K311" s="19" t="s">
        <v>33</v>
      </c>
      <c r="L311" s="19" t="s">
        <v>32</v>
      </c>
      <c r="M311" s="19"/>
      <c r="N311" s="96">
        <v>46147</v>
      </c>
      <c r="O311" s="96">
        <v>46258</v>
      </c>
      <c r="P311" s="211" t="str">
        <f t="shared" si="22"/>
        <v>Vũ Thị Thêu, Đỗ Minh Ngọc, Nguyễn Hải Nam</v>
      </c>
    </row>
    <row r="312" spans="1:16">
      <c r="A312" s="28" t="str">
        <f>"3."&amp;D312&amp;"."&amp;B312</f>
        <v>3.N.HCM.CGIO.KS.201</v>
      </c>
      <c r="B312" s="28" t="str">
        <f>TEXT(COUNTIFS($C$4:C312,C312,$D$4:D312,D312,$F$4:F312,F312)+IF(F312="KT",100,IF(F312="KC",200,IF(F312="DI",300,IF(F312="DN",400,IF(F312="NU",500,IF(F312="DH",600,IF(F312="PC",700,0))))))),"000")</f>
        <v>201</v>
      </c>
      <c r="C312" s="28" t="s">
        <v>10</v>
      </c>
      <c r="D312" s="141" t="s">
        <v>340</v>
      </c>
      <c r="E312" s="28" t="s">
        <v>341</v>
      </c>
      <c r="F312" s="88" t="s">
        <v>174</v>
      </c>
      <c r="G312" s="6" t="s">
        <v>169</v>
      </c>
      <c r="H312" s="6" t="s">
        <v>156</v>
      </c>
      <c r="I312" s="82" t="s">
        <v>105</v>
      </c>
      <c r="J312" s="19" t="s">
        <v>196</v>
      </c>
      <c r="K312" s="19" t="s">
        <v>33</v>
      </c>
      <c r="L312" s="19" t="s">
        <v>32</v>
      </c>
      <c r="M312" s="19"/>
      <c r="N312" s="96">
        <v>46057</v>
      </c>
      <c r="O312" s="96">
        <v>46260</v>
      </c>
      <c r="P312" s="211" t="str">
        <f t="shared" si="22"/>
        <v>Vũ Thị Thêu, Đỗ Minh Ngọc, Nguyễn Hải Nam</v>
      </c>
    </row>
    <row r="313" spans="1:16">
      <c r="A313" s="28" t="str">
        <f>"3."&amp;D313&amp;"."&amp;B313</f>
        <v>3.N.HCM.CGIO.KS.301</v>
      </c>
      <c r="B313" s="28" t="str">
        <f>TEXT(COUNTIFS($C$4:C313,C313,$D$4:D313,D313,$F$4:F313,F313)+IF(F313="KT",100,IF(F313="KC",200,IF(F313="DI",300,IF(F313="DN",400,IF(F313="NU",500,IF(F313="DH",600,IF(F313="PC",700,0))))))),"000")</f>
        <v>301</v>
      </c>
      <c r="C313" s="28" t="s">
        <v>10</v>
      </c>
      <c r="D313" s="141" t="s">
        <v>340</v>
      </c>
      <c r="E313" s="28" t="s">
        <v>341</v>
      </c>
      <c r="F313" s="87" t="s">
        <v>182</v>
      </c>
      <c r="G313" s="6" t="s">
        <v>23</v>
      </c>
      <c r="H313" s="6" t="s">
        <v>156</v>
      </c>
      <c r="I313" s="82" t="s">
        <v>105</v>
      </c>
      <c r="J313" s="19" t="s">
        <v>216</v>
      </c>
      <c r="K313" s="19"/>
      <c r="L313" s="19"/>
      <c r="M313" s="19"/>
      <c r="N313" s="96">
        <v>46170</v>
      </c>
      <c r="O313" s="96">
        <v>46221</v>
      </c>
      <c r="P313" s="211" t="str">
        <f t="shared" si="22"/>
        <v xml:space="preserve">Đặng Thái Sơn, , </v>
      </c>
    </row>
    <row r="314" spans="1:16">
      <c r="A314" s="28" t="str">
        <f>"3."&amp;D314&amp;"."&amp;B314</f>
        <v>3.N.HCM.CGIO.KS.401</v>
      </c>
      <c r="B314" s="28" t="str">
        <f>TEXT(COUNTIFS($C$4:C314,C314,$D$4:D314,D314,$F$4:F314,F314)+IF(F314="KT",100,IF(F314="KC",200,IF(F314="DI",300,IF(F314="DN",400,IF(F314="NU",500,IF(F314="DH",600,IF(F314="PC",700,0))))))),"000")</f>
        <v>401</v>
      </c>
      <c r="C314" s="28" t="s">
        <v>10</v>
      </c>
      <c r="D314" s="141" t="s">
        <v>340</v>
      </c>
      <c r="E314" s="28" t="s">
        <v>341</v>
      </c>
      <c r="F314" s="87" t="s">
        <v>190</v>
      </c>
      <c r="G314" s="6" t="s">
        <v>23</v>
      </c>
      <c r="H314" s="6" t="s">
        <v>156</v>
      </c>
      <c r="I314" s="82" t="s">
        <v>105</v>
      </c>
      <c r="J314" s="19" t="s">
        <v>216</v>
      </c>
      <c r="K314" s="19"/>
      <c r="L314" s="19"/>
      <c r="M314" s="19"/>
      <c r="N314" s="96">
        <v>46170</v>
      </c>
      <c r="O314" s="96">
        <v>46221</v>
      </c>
      <c r="P314" s="211" t="str">
        <f t="shared" ref="P314:P317" si="27">J314&amp;", "&amp;K314&amp;", "&amp;L314</f>
        <v xml:space="preserve">Đặng Thái Sơn, , </v>
      </c>
    </row>
    <row r="315" spans="1:16">
      <c r="A315" s="28" t="str">
        <f>"3."&amp;D315&amp;"."&amp;B315</f>
        <v>3.N.HCM.CGIO.KS.501</v>
      </c>
      <c r="B315" s="28" t="str">
        <f>TEXT(COUNTIFS($C$4:C315,C315,$D$4:D315,D315,$F$4:F315,F315)+IF(F315="KT",100,IF(F315="KC",200,IF(F315="DI",300,IF(F315="DN",400,IF(F315="NU",500,IF(F315="DH",600,IF(F315="PC",700,0))))))),"000")</f>
        <v>501</v>
      </c>
      <c r="C315" s="28" t="s">
        <v>10</v>
      </c>
      <c r="D315" s="141" t="s">
        <v>340</v>
      </c>
      <c r="E315" s="28" t="s">
        <v>341</v>
      </c>
      <c r="F315" s="87" t="s">
        <v>195</v>
      </c>
      <c r="G315" s="6" t="s">
        <v>23</v>
      </c>
      <c r="H315" s="6" t="s">
        <v>156</v>
      </c>
      <c r="I315" s="82" t="s">
        <v>105</v>
      </c>
      <c r="J315" s="19" t="s">
        <v>216</v>
      </c>
      <c r="K315" s="19"/>
      <c r="L315" s="19"/>
      <c r="M315" s="19"/>
      <c r="N315" s="96">
        <v>46170</v>
      </c>
      <c r="O315" s="96">
        <v>46221</v>
      </c>
      <c r="P315" s="211" t="str">
        <f t="shared" si="27"/>
        <v xml:space="preserve">Đặng Thái Sơn, , </v>
      </c>
    </row>
    <row r="316" spans="1:16">
      <c r="A316" s="28" t="str">
        <f>"3."&amp;D316&amp;"."&amp;B316</f>
        <v>3.N.HCM.CGIO.KS.601</v>
      </c>
      <c r="B316" s="28" t="str">
        <f>TEXT(COUNTIFS($C$4:C316,C316,$D$4:D316,D316,$F$4:F316,F316)+IF(F316="KT",100,IF(F316="KC",200,IF(F316="DI",300,IF(F316="DN",400,IF(F316="NU",500,IF(F316="DH",600,IF(F316="PC",700,0))))))),"000")</f>
        <v>601</v>
      </c>
      <c r="C316" s="28" t="s">
        <v>10</v>
      </c>
      <c r="D316" s="141" t="s">
        <v>340</v>
      </c>
      <c r="E316" s="28" t="s">
        <v>341</v>
      </c>
      <c r="F316" s="87" t="s">
        <v>205</v>
      </c>
      <c r="G316" s="6" t="s">
        <v>23</v>
      </c>
      <c r="H316" s="6" t="s">
        <v>156</v>
      </c>
      <c r="I316" s="82" t="s">
        <v>105</v>
      </c>
      <c r="J316" s="19" t="s">
        <v>216</v>
      </c>
      <c r="K316" s="19"/>
      <c r="L316" s="19"/>
      <c r="M316" s="19"/>
      <c r="N316" s="96">
        <v>46170</v>
      </c>
      <c r="O316" s="96">
        <v>46221</v>
      </c>
      <c r="P316" s="211" t="str">
        <f t="shared" si="27"/>
        <v xml:space="preserve">Đặng Thái Sơn, , </v>
      </c>
    </row>
    <row r="317" spans="1:16">
      <c r="A317" s="28" t="str">
        <f>"3."&amp;D317&amp;"."&amp;B317</f>
        <v>3.N.HCM.CGIO.KS.701</v>
      </c>
      <c r="B317" s="28" t="str">
        <f>TEXT(COUNTIFS($C$4:C317,C317,$D$4:D317,D317,$F$4:F317,F317)+IF(F317="KT",100,IF(F317="KC",200,IF(F317="DI",300,IF(F317="DN",400,IF(F317="NU",500,IF(F317="DH",600,IF(F317="PC",700,0))))))),"000")</f>
        <v>701</v>
      </c>
      <c r="C317" s="28" t="s">
        <v>10</v>
      </c>
      <c r="D317" s="141" t="s">
        <v>340</v>
      </c>
      <c r="E317" s="28" t="s">
        <v>341</v>
      </c>
      <c r="F317" s="87" t="s">
        <v>200</v>
      </c>
      <c r="G317" s="6" t="s">
        <v>23</v>
      </c>
      <c r="H317" s="6" t="s">
        <v>156</v>
      </c>
      <c r="I317" s="82" t="s">
        <v>105</v>
      </c>
      <c r="J317" s="19" t="s">
        <v>216</v>
      </c>
      <c r="K317" s="19"/>
      <c r="L317" s="19"/>
      <c r="M317" s="19"/>
      <c r="N317" s="96">
        <v>46170</v>
      </c>
      <c r="O317" s="96">
        <v>46221</v>
      </c>
      <c r="P317" s="211" t="str">
        <f t="shared" si="27"/>
        <v xml:space="preserve">Đặng Thái Sơn, , </v>
      </c>
    </row>
    <row r="318" spans="1:16">
      <c r="A318" s="28" t="str">
        <f>"3."&amp;D318&amp;"."&amp;B318</f>
        <v>3.N.HCM.CGIO.KS.102</v>
      </c>
      <c r="B318" s="28" t="str">
        <f>TEXT(COUNTIFS($C$4:C318,C318,$D$4:D318,D318,$F$4:F318,F318)+IF(F318="KT",100,IF(F318="KC",200,IF(F318="DI",300,IF(F318="DN",400,IF(F318="NU",500,IF(F318="DH",600,IF(F318="PC",700,0))))))),"000")</f>
        <v>102</v>
      </c>
      <c r="C318" s="28" t="s">
        <v>10</v>
      </c>
      <c r="D318" s="142" t="s">
        <v>340</v>
      </c>
      <c r="E318" s="33" t="s">
        <v>343</v>
      </c>
      <c r="F318" s="88" t="s">
        <v>164</v>
      </c>
      <c r="G318" s="6" t="s">
        <v>169</v>
      </c>
      <c r="H318" s="6" t="s">
        <v>156</v>
      </c>
      <c r="I318" s="28" t="s">
        <v>105</v>
      </c>
      <c r="J318" s="28" t="s">
        <v>34</v>
      </c>
      <c r="K318" s="28" t="s">
        <v>36</v>
      </c>
      <c r="L318" s="28" t="s">
        <v>35</v>
      </c>
      <c r="M318" s="28"/>
      <c r="N318" s="96">
        <v>46148</v>
      </c>
      <c r="O318" s="96">
        <v>46170</v>
      </c>
      <c r="P318" s="211" t="str">
        <f t="shared" si="22"/>
        <v>Trần Văn Diện, Trần Văn Toản, Đặng Minh Quang</v>
      </c>
    </row>
    <row r="319" spans="1:16">
      <c r="A319" s="28" t="str">
        <f>"3."&amp;D319&amp;"."&amp;B319</f>
        <v>3.N.HCM.CGIO.KS.202</v>
      </c>
      <c r="B319" s="28" t="str">
        <f>TEXT(COUNTIFS($C$4:C319,C319,$D$4:D319,D319,$F$4:F319,F319)+IF(F319="KT",100,IF(F319="KC",200,IF(F319="DI",300,IF(F319="DN",400,IF(F319="NU",500,IF(F319="DH",600,IF(F319="PC",700,0))))))),"000")</f>
        <v>202</v>
      </c>
      <c r="C319" s="28" t="s">
        <v>10</v>
      </c>
      <c r="D319" s="142" t="s">
        <v>340</v>
      </c>
      <c r="E319" s="33" t="s">
        <v>343</v>
      </c>
      <c r="F319" s="88" t="s">
        <v>174</v>
      </c>
      <c r="G319" s="6" t="s">
        <v>169</v>
      </c>
      <c r="H319" s="6" t="s">
        <v>156</v>
      </c>
      <c r="I319" s="28" t="s">
        <v>105</v>
      </c>
      <c r="J319" s="20" t="s">
        <v>34</v>
      </c>
      <c r="K319" s="20" t="s">
        <v>36</v>
      </c>
      <c r="L319" s="20" t="s">
        <v>35</v>
      </c>
      <c r="M319" s="20"/>
      <c r="N319" s="96">
        <v>46174</v>
      </c>
      <c r="O319" s="96">
        <v>46183</v>
      </c>
      <c r="P319" s="211" t="str">
        <f t="shared" si="22"/>
        <v>Trần Văn Diện, Trần Văn Toản, Đặng Minh Quang</v>
      </c>
    </row>
    <row r="320" spans="1:16">
      <c r="A320" s="28" t="str">
        <f>"3."&amp;D320&amp;"."&amp;B320</f>
        <v>3.N.HCM.CGIO.KS.302</v>
      </c>
      <c r="B320" s="28" t="str">
        <f>TEXT(COUNTIFS($C$4:C320,C320,$D$4:D320,D320,$F$4:F320,F320)+IF(F320="KT",100,IF(F320="KC",200,IF(F320="DI",300,IF(F320="DN",400,IF(F320="NU",500,IF(F320="DH",600,IF(F320="PC",700,0))))))),"000")</f>
        <v>302</v>
      </c>
      <c r="C320" s="28" t="s">
        <v>10</v>
      </c>
      <c r="D320" s="139" t="s">
        <v>340</v>
      </c>
      <c r="E320" s="28" t="s">
        <v>343</v>
      </c>
      <c r="F320" s="87" t="s">
        <v>182</v>
      </c>
      <c r="G320" s="6" t="s">
        <v>23</v>
      </c>
      <c r="H320" s="6" t="s">
        <v>156</v>
      </c>
      <c r="I320" s="28" t="s">
        <v>105</v>
      </c>
      <c r="J320" s="20" t="s">
        <v>216</v>
      </c>
      <c r="K320" s="20"/>
      <c r="L320" s="20"/>
      <c r="M320" s="20"/>
      <c r="N320" s="96">
        <v>46162</v>
      </c>
      <c r="O320" s="96">
        <v>46221</v>
      </c>
      <c r="P320" s="211" t="str">
        <f t="shared" si="22"/>
        <v xml:space="preserve">Đặng Thái Sơn, , </v>
      </c>
    </row>
    <row r="321" spans="1:16">
      <c r="A321" s="28" t="str">
        <f>"3."&amp;D321&amp;"."&amp;B321</f>
        <v>3.N.HCM.CGIO.KS.402</v>
      </c>
      <c r="B321" s="28" t="str">
        <f>TEXT(COUNTIFS($C$4:C321,C321,$D$4:D321,D321,$F$4:F321,F321)+IF(F321="KT",100,IF(F321="KC",200,IF(F321="DI",300,IF(F321="DN",400,IF(F321="NU",500,IF(F321="DH",600,IF(F321="PC",700,0))))))),"000")</f>
        <v>402</v>
      </c>
      <c r="C321" s="28" t="s">
        <v>10</v>
      </c>
      <c r="D321" s="139" t="s">
        <v>340</v>
      </c>
      <c r="E321" s="28" t="s">
        <v>343</v>
      </c>
      <c r="F321" s="87" t="s">
        <v>190</v>
      </c>
      <c r="G321" s="6" t="s">
        <v>23</v>
      </c>
      <c r="H321" s="6" t="s">
        <v>156</v>
      </c>
      <c r="I321" s="28" t="s">
        <v>105</v>
      </c>
      <c r="J321" s="20" t="s">
        <v>216</v>
      </c>
      <c r="K321" s="20"/>
      <c r="L321" s="20"/>
      <c r="M321" s="20"/>
      <c r="N321" s="96">
        <v>46162</v>
      </c>
      <c r="O321" s="96">
        <v>46221</v>
      </c>
      <c r="P321" s="211" t="str">
        <f t="shared" ref="P321:P324" si="28">J321&amp;", "&amp;K321&amp;", "&amp;L321</f>
        <v xml:space="preserve">Đặng Thái Sơn, , </v>
      </c>
    </row>
    <row r="322" spans="1:16">
      <c r="A322" s="28" t="str">
        <f>"3."&amp;D322&amp;"."&amp;B322</f>
        <v>3.N.HCM.CGIO.KS.502</v>
      </c>
      <c r="B322" s="28" t="str">
        <f>TEXT(COUNTIFS($C$4:C322,C322,$D$4:D322,D322,$F$4:F322,F322)+IF(F322="KT",100,IF(F322="KC",200,IF(F322="DI",300,IF(F322="DN",400,IF(F322="NU",500,IF(F322="DH",600,IF(F322="PC",700,0))))))),"000")</f>
        <v>502</v>
      </c>
      <c r="C322" s="28" t="s">
        <v>10</v>
      </c>
      <c r="D322" s="139" t="s">
        <v>340</v>
      </c>
      <c r="E322" s="28" t="s">
        <v>343</v>
      </c>
      <c r="F322" s="87" t="s">
        <v>195</v>
      </c>
      <c r="G322" s="6" t="s">
        <v>23</v>
      </c>
      <c r="H322" s="6" t="s">
        <v>156</v>
      </c>
      <c r="I322" s="28" t="s">
        <v>105</v>
      </c>
      <c r="J322" s="20" t="s">
        <v>216</v>
      </c>
      <c r="K322" s="20"/>
      <c r="L322" s="20"/>
      <c r="M322" s="20"/>
      <c r="N322" s="96">
        <v>46162</v>
      </c>
      <c r="O322" s="96">
        <v>46221</v>
      </c>
      <c r="P322" s="211" t="str">
        <f t="shared" si="28"/>
        <v xml:space="preserve">Đặng Thái Sơn, , </v>
      </c>
    </row>
    <row r="323" spans="1:16">
      <c r="A323" s="28" t="str">
        <f>"3."&amp;D323&amp;"."&amp;B323</f>
        <v>3.N.HCM.CGIO.KS.602</v>
      </c>
      <c r="B323" s="28" t="str">
        <f>TEXT(COUNTIFS($C$4:C323,C323,$D$4:D323,D323,$F$4:F323,F323)+IF(F323="KT",100,IF(F323="KC",200,IF(F323="DI",300,IF(F323="DN",400,IF(F323="NU",500,IF(F323="DH",600,IF(F323="PC",700,0))))))),"000")</f>
        <v>602</v>
      </c>
      <c r="C323" s="28" t="s">
        <v>10</v>
      </c>
      <c r="D323" s="139" t="s">
        <v>340</v>
      </c>
      <c r="E323" s="28" t="s">
        <v>343</v>
      </c>
      <c r="F323" s="87" t="s">
        <v>205</v>
      </c>
      <c r="G323" s="6" t="s">
        <v>23</v>
      </c>
      <c r="H323" s="6" t="s">
        <v>156</v>
      </c>
      <c r="I323" s="28" t="s">
        <v>105</v>
      </c>
      <c r="J323" s="20" t="s">
        <v>216</v>
      </c>
      <c r="K323" s="20"/>
      <c r="L323" s="20"/>
      <c r="M323" s="20"/>
      <c r="N323" s="96">
        <v>46162</v>
      </c>
      <c r="O323" s="96">
        <v>46221</v>
      </c>
      <c r="P323" s="211" t="str">
        <f t="shared" si="28"/>
        <v xml:space="preserve">Đặng Thái Sơn, , </v>
      </c>
    </row>
    <row r="324" spans="1:16">
      <c r="A324" s="28" t="str">
        <f>"3."&amp;D324&amp;"."&amp;B324</f>
        <v>3.N.HCM.CGIO.KS.702</v>
      </c>
      <c r="B324" s="28" t="str">
        <f>TEXT(COUNTIFS($C$4:C324,C324,$D$4:D324,D324,$F$4:F324,F324)+IF(F324="KT",100,IF(F324="KC",200,IF(F324="DI",300,IF(F324="DN",400,IF(F324="NU",500,IF(F324="DH",600,IF(F324="PC",700,0))))))),"000")</f>
        <v>702</v>
      </c>
      <c r="C324" s="28" t="s">
        <v>10</v>
      </c>
      <c r="D324" s="139" t="s">
        <v>340</v>
      </c>
      <c r="E324" s="28" t="s">
        <v>343</v>
      </c>
      <c r="F324" s="87" t="s">
        <v>200</v>
      </c>
      <c r="G324" s="6" t="s">
        <v>23</v>
      </c>
      <c r="H324" s="6" t="s">
        <v>156</v>
      </c>
      <c r="I324" s="28" t="s">
        <v>105</v>
      </c>
      <c r="J324" s="20" t="s">
        <v>216</v>
      </c>
      <c r="K324" s="20"/>
      <c r="L324" s="20"/>
      <c r="M324" s="20"/>
      <c r="N324" s="96">
        <v>46162</v>
      </c>
      <c r="O324" s="96">
        <v>46221</v>
      </c>
      <c r="P324" s="211" t="str">
        <f t="shared" si="28"/>
        <v xml:space="preserve">Đặng Thái Sơn, , </v>
      </c>
    </row>
    <row r="325" spans="1:16">
      <c r="A325" s="28" t="str">
        <f>"3."&amp;D325&amp;"."&amp;B325</f>
        <v>3.N.HCM.CGIO.KS.103</v>
      </c>
      <c r="B325" s="28" t="str">
        <f>TEXT(COUNTIFS($C$4:C325,C325,$D$4:D325,D325,$F$4:F325,F325)+IF(F325="KT",100,IF(F325="KC",200,IF(F325="DI",300,IF(F325="DN",400,IF(F325="NU",500,IF(F325="DH",600,IF(F325="PC",700,0))))))),"000")</f>
        <v>103</v>
      </c>
      <c r="C325" s="28" t="s">
        <v>10</v>
      </c>
      <c r="D325" s="100" t="s">
        <v>340</v>
      </c>
      <c r="E325" s="28" t="s">
        <v>345</v>
      </c>
      <c r="F325" s="88" t="s">
        <v>164</v>
      </c>
      <c r="G325" s="6" t="s">
        <v>169</v>
      </c>
      <c r="H325" s="6" t="s">
        <v>156</v>
      </c>
      <c r="I325" s="82" t="s">
        <v>105</v>
      </c>
      <c r="J325" s="28" t="s">
        <v>196</v>
      </c>
      <c r="K325" s="28" t="s">
        <v>33</v>
      </c>
      <c r="L325" s="28" t="s">
        <v>32</v>
      </c>
      <c r="M325" s="28"/>
      <c r="N325" s="96">
        <v>46125</v>
      </c>
      <c r="O325" s="96">
        <v>46243</v>
      </c>
      <c r="P325" s="211" t="str">
        <f t="shared" si="22"/>
        <v>Vũ Thị Thêu, Đỗ Minh Ngọc, Nguyễn Hải Nam</v>
      </c>
    </row>
    <row r="326" spans="1:16">
      <c r="A326" s="28" t="str">
        <f>"3."&amp;D326&amp;"."&amp;B326</f>
        <v>3.N.HCM.CGIO.KS.203</v>
      </c>
      <c r="B326" s="28" t="str">
        <f>TEXT(COUNTIFS($C$4:C326,C326,$D$4:D326,D326,$F$4:F326,F326)+IF(F326="KT",100,IF(F326="KC",200,IF(F326="DI",300,IF(F326="DN",400,IF(F326="NU",500,IF(F326="DH",600,IF(F326="PC",700,0))))))),"000")</f>
        <v>203</v>
      </c>
      <c r="C326" s="28" t="s">
        <v>10</v>
      </c>
      <c r="D326" s="100" t="s">
        <v>340</v>
      </c>
      <c r="E326" s="28" t="s">
        <v>345</v>
      </c>
      <c r="F326" s="88" t="s">
        <v>174</v>
      </c>
      <c r="G326" s="6" t="s">
        <v>169</v>
      </c>
      <c r="H326" s="6" t="s">
        <v>156</v>
      </c>
      <c r="I326" s="82" t="s">
        <v>105</v>
      </c>
      <c r="J326" s="28" t="s">
        <v>196</v>
      </c>
      <c r="K326" s="28" t="s">
        <v>33</v>
      </c>
      <c r="L326" s="28" t="s">
        <v>32</v>
      </c>
      <c r="M326" s="28"/>
      <c r="N326" s="96"/>
      <c r="O326" s="96">
        <v>46254</v>
      </c>
      <c r="P326" s="211" t="str">
        <f t="shared" si="22"/>
        <v>Vũ Thị Thêu, Đỗ Minh Ngọc, Nguyễn Hải Nam</v>
      </c>
    </row>
    <row r="327" spans="1:16">
      <c r="A327" s="28" t="str">
        <f>"3."&amp;D327&amp;"."&amp;B327</f>
        <v>3.N.HCM.CGIO.KS.303</v>
      </c>
      <c r="B327" s="28" t="str">
        <f>TEXT(COUNTIFS($C$4:C327,C327,$D$4:D327,D327,$F$4:F327,F327)+IF(F327="KT",100,IF(F327="KC",200,IF(F327="DI",300,IF(F327="DN",400,IF(F327="NU",500,IF(F327="DH",600,IF(F327="PC",700,0))))))),"000")</f>
        <v>303</v>
      </c>
      <c r="C327" s="28" t="s">
        <v>10</v>
      </c>
      <c r="D327" s="100" t="s">
        <v>340</v>
      </c>
      <c r="E327" s="28" t="s">
        <v>345</v>
      </c>
      <c r="F327" s="87" t="s">
        <v>182</v>
      </c>
      <c r="G327" s="6" t="s">
        <v>23</v>
      </c>
      <c r="H327" s="6" t="s">
        <v>156</v>
      </c>
      <c r="I327" s="82" t="s">
        <v>105</v>
      </c>
      <c r="J327" s="20" t="s">
        <v>201</v>
      </c>
      <c r="K327" s="20"/>
      <c r="L327" s="20"/>
      <c r="M327" s="20"/>
      <c r="N327" s="96">
        <v>46150</v>
      </c>
      <c r="O327" s="96">
        <v>46205</v>
      </c>
      <c r="P327" s="211" t="str">
        <f t="shared" si="22"/>
        <v xml:space="preserve">Ngô Tuấn Vũ, , </v>
      </c>
    </row>
    <row r="328" spans="1:16">
      <c r="A328" s="28" t="str">
        <f>"3."&amp;D328&amp;"."&amp;B328</f>
        <v>3.N.HCM.CGIO.KS.403</v>
      </c>
      <c r="B328" s="28" t="str">
        <f>TEXT(COUNTIFS($C$4:C328,C328,$D$4:D328,D328,$F$4:F328,F328)+IF(F328="KT",100,IF(F328="KC",200,IF(F328="DI",300,IF(F328="DN",400,IF(F328="NU",500,IF(F328="DH",600,IF(F328="PC",700,0))))))),"000")</f>
        <v>403</v>
      </c>
      <c r="C328" s="28" t="s">
        <v>10</v>
      </c>
      <c r="D328" s="100" t="s">
        <v>340</v>
      </c>
      <c r="E328" s="28" t="s">
        <v>345</v>
      </c>
      <c r="F328" s="87" t="s">
        <v>190</v>
      </c>
      <c r="G328" s="6" t="s">
        <v>23</v>
      </c>
      <c r="H328" s="6" t="s">
        <v>156</v>
      </c>
      <c r="I328" s="82" t="s">
        <v>105</v>
      </c>
      <c r="J328" s="20" t="s">
        <v>201</v>
      </c>
      <c r="K328" s="20"/>
      <c r="L328" s="20"/>
      <c r="M328" s="20"/>
      <c r="N328" s="96">
        <v>46150</v>
      </c>
      <c r="O328" s="96">
        <v>46205</v>
      </c>
      <c r="P328" s="211" t="str">
        <f t="shared" si="22"/>
        <v xml:space="preserve">Ngô Tuấn Vũ, , </v>
      </c>
    </row>
    <row r="329" spans="1:16">
      <c r="A329" s="28" t="str">
        <f>"3."&amp;D329&amp;"."&amp;B329</f>
        <v>3.N.HCM.CGIO.KS.503</v>
      </c>
      <c r="B329" s="28" t="str">
        <f>TEXT(COUNTIFS($C$4:C329,C329,$D$4:D329,D329,$F$4:F329,F329)+IF(F329="KT",100,IF(F329="KC",200,IF(F329="DI",300,IF(F329="DN",400,IF(F329="NU",500,IF(F329="DH",600,IF(F329="PC",700,0))))))),"000")</f>
        <v>503</v>
      </c>
      <c r="C329" s="28" t="s">
        <v>10</v>
      </c>
      <c r="D329" s="100" t="s">
        <v>340</v>
      </c>
      <c r="E329" s="28" t="s">
        <v>345</v>
      </c>
      <c r="F329" s="87" t="s">
        <v>195</v>
      </c>
      <c r="G329" s="6" t="s">
        <v>23</v>
      </c>
      <c r="H329" s="6" t="s">
        <v>156</v>
      </c>
      <c r="I329" s="82" t="s">
        <v>105</v>
      </c>
      <c r="J329" s="20" t="s">
        <v>201</v>
      </c>
      <c r="K329" s="20"/>
      <c r="L329" s="20"/>
      <c r="M329" s="20"/>
      <c r="N329" s="96">
        <v>46150</v>
      </c>
      <c r="O329" s="96">
        <v>46205</v>
      </c>
      <c r="P329" s="211" t="str">
        <f t="shared" ref="P329" si="29">J329&amp;", "&amp;K329&amp;", "&amp;L329</f>
        <v xml:space="preserve">Ngô Tuấn Vũ, , </v>
      </c>
    </row>
    <row r="330" spans="1:16">
      <c r="A330" s="28" t="str">
        <f>"3."&amp;D330&amp;"."&amp;B330</f>
        <v>3.N.HCM.CGIO.KS.603</v>
      </c>
      <c r="B330" s="28" t="str">
        <f>TEXT(COUNTIFS($C$4:C330,C330,$D$4:D330,D330,$F$4:F330,F330)+IF(F330="KT",100,IF(F330="KC",200,IF(F330="DI",300,IF(F330="DN",400,IF(F330="NU",500,IF(F330="DH",600,IF(F330="PC",700,0))))))),"000")</f>
        <v>603</v>
      </c>
      <c r="C330" s="28" t="s">
        <v>10</v>
      </c>
      <c r="D330" s="100" t="s">
        <v>340</v>
      </c>
      <c r="E330" s="28" t="s">
        <v>345</v>
      </c>
      <c r="F330" s="87" t="s">
        <v>205</v>
      </c>
      <c r="G330" s="6" t="s">
        <v>23</v>
      </c>
      <c r="H330" s="6" t="s">
        <v>156</v>
      </c>
      <c r="I330" s="82" t="s">
        <v>105</v>
      </c>
      <c r="J330" s="20" t="s">
        <v>201</v>
      </c>
      <c r="K330" s="20"/>
      <c r="L330" s="20"/>
      <c r="M330" s="20"/>
      <c r="N330" s="96">
        <v>46150</v>
      </c>
      <c r="O330" s="96">
        <v>46205</v>
      </c>
      <c r="P330" s="211" t="str">
        <f t="shared" ref="P330" si="30">J330&amp;", "&amp;K330&amp;", "&amp;L330</f>
        <v xml:space="preserve">Ngô Tuấn Vũ, , </v>
      </c>
    </row>
    <row r="331" spans="1:16">
      <c r="A331" s="28" t="str">
        <f>"3."&amp;D331&amp;"."&amp;B331</f>
        <v>3.N.HCM.CGIO.KS.703</v>
      </c>
      <c r="B331" s="28" t="str">
        <f>TEXT(COUNTIFS($C$4:C331,C331,$D$4:D331,D331,$F$4:F331,F331)+IF(F331="KT",100,IF(F331="KC",200,IF(F331="DI",300,IF(F331="DN",400,IF(F331="NU",500,IF(F331="DH",600,IF(F331="PC",700,0))))))),"000")</f>
        <v>703</v>
      </c>
      <c r="C331" s="28" t="s">
        <v>10</v>
      </c>
      <c r="D331" s="100" t="s">
        <v>340</v>
      </c>
      <c r="E331" s="28" t="s">
        <v>345</v>
      </c>
      <c r="F331" s="87" t="s">
        <v>200</v>
      </c>
      <c r="G331" s="6" t="s">
        <v>23</v>
      </c>
      <c r="H331" s="6" t="s">
        <v>156</v>
      </c>
      <c r="I331" s="82" t="s">
        <v>105</v>
      </c>
      <c r="J331" s="20" t="s">
        <v>201</v>
      </c>
      <c r="K331" s="20"/>
      <c r="L331" s="20"/>
      <c r="M331" s="20"/>
      <c r="N331" s="96">
        <v>46150</v>
      </c>
      <c r="O331" s="96">
        <v>46205</v>
      </c>
      <c r="P331" s="211" t="str">
        <f t="shared" si="22"/>
        <v xml:space="preserve">Ngô Tuấn Vũ, , </v>
      </c>
    </row>
    <row r="332" spans="1:16">
      <c r="A332" s="28" t="str">
        <f>"3."&amp;D332&amp;"."&amp;B332</f>
        <v>3.N.HCM.CGIO.KS.104</v>
      </c>
      <c r="B332" s="28" t="str">
        <f>TEXT(COUNTIFS($C$4:C332,C332,$D$4:D332,D332,$F$4:F332,F332)+IF(F332="KT",100,IF(F332="KC",200,IF(F332="DI",300,IF(F332="DN",400,IF(F332="NU",500,IF(F332="DH",600,IF(F332="PC",700,0))))))),"000")</f>
        <v>104</v>
      </c>
      <c r="C332" s="28" t="s">
        <v>10</v>
      </c>
      <c r="D332" s="100" t="s">
        <v>340</v>
      </c>
      <c r="E332" s="28" t="s">
        <v>346</v>
      </c>
      <c r="F332" s="88" t="s">
        <v>164</v>
      </c>
      <c r="G332" s="6" t="s">
        <v>23</v>
      </c>
      <c r="H332" s="6" t="s">
        <v>156</v>
      </c>
      <c r="I332" s="82" t="s">
        <v>105</v>
      </c>
      <c r="J332" s="28" t="s">
        <v>33</v>
      </c>
      <c r="K332" s="28"/>
      <c r="L332" s="28"/>
      <c r="M332" s="28"/>
      <c r="N332" s="96">
        <v>45979</v>
      </c>
      <c r="O332" s="96">
        <v>46198</v>
      </c>
      <c r="P332" s="211" t="str">
        <f t="shared" si="22"/>
        <v xml:space="preserve">Đỗ Minh Ngọc, , </v>
      </c>
    </row>
    <row r="333" spans="1:16">
      <c r="A333" s="28" t="str">
        <f>"3."&amp;D333&amp;"."&amp;B333</f>
        <v>3.N.HCM.CGIO.KS.204</v>
      </c>
      <c r="B333" s="28" t="str">
        <f>TEXT(COUNTIFS($C$4:C333,C333,$D$4:D333,D333,$F$4:F333,F333)+IF(F333="KT",100,IF(F333="KC",200,IF(F333="DI",300,IF(F333="DN",400,IF(F333="NU",500,IF(F333="DH",600,IF(F333="PC",700,0))))))),"000")</f>
        <v>204</v>
      </c>
      <c r="C333" s="28" t="s">
        <v>10</v>
      </c>
      <c r="D333" s="100" t="s">
        <v>340</v>
      </c>
      <c r="E333" s="28" t="s">
        <v>346</v>
      </c>
      <c r="F333" s="88" t="s">
        <v>174</v>
      </c>
      <c r="G333" s="6" t="s">
        <v>23</v>
      </c>
      <c r="H333" s="6" t="s">
        <v>156</v>
      </c>
      <c r="I333" s="82" t="s">
        <v>105</v>
      </c>
      <c r="J333" s="28" t="s">
        <v>33</v>
      </c>
      <c r="K333" s="28"/>
      <c r="L333" s="28"/>
      <c r="M333" s="28"/>
      <c r="N333" s="96">
        <v>45979</v>
      </c>
      <c r="O333" s="96">
        <v>46198</v>
      </c>
      <c r="P333" s="211" t="str">
        <f t="shared" si="22"/>
        <v xml:space="preserve">Đỗ Minh Ngọc, , </v>
      </c>
    </row>
    <row r="334" spans="1:16">
      <c r="A334" s="28" t="str">
        <f>"3."&amp;D334&amp;"."&amp;B334</f>
        <v>3.N.HCM.CGIO.KS.304</v>
      </c>
      <c r="B334" s="28" t="str">
        <f>TEXT(COUNTIFS($C$4:C334,C334,$D$4:D334,D334,$F$4:F334,F334)+IF(F334="KT",100,IF(F334="KC",200,IF(F334="DI",300,IF(F334="DN",400,IF(F334="NU",500,IF(F334="DH",600,IF(F334="PC",700,0))))))),"000")</f>
        <v>304</v>
      </c>
      <c r="C334" s="28" t="s">
        <v>10</v>
      </c>
      <c r="D334" s="100" t="s">
        <v>340</v>
      </c>
      <c r="E334" s="28" t="s">
        <v>346</v>
      </c>
      <c r="F334" s="87" t="s">
        <v>182</v>
      </c>
      <c r="G334" s="6" t="s">
        <v>23</v>
      </c>
      <c r="H334" s="6" t="s">
        <v>156</v>
      </c>
      <c r="I334" s="82" t="s">
        <v>105</v>
      </c>
      <c r="J334" s="20" t="s">
        <v>220</v>
      </c>
      <c r="K334" s="20"/>
      <c r="L334" s="20"/>
      <c r="M334" s="20"/>
      <c r="N334" s="96">
        <v>46062</v>
      </c>
      <c r="O334" s="96">
        <v>46171</v>
      </c>
      <c r="P334" s="211" t="str">
        <f t="shared" ref="P334:P335" si="31">J334&amp;", "&amp;K334&amp;", "&amp;L334</f>
        <v xml:space="preserve">Phan Trường Giang, , </v>
      </c>
    </row>
    <row r="335" spans="1:16">
      <c r="A335" s="28" t="str">
        <f>"3."&amp;D335&amp;"."&amp;B335</f>
        <v>3.N.HCM.CGIO.KS.404</v>
      </c>
      <c r="B335" s="28" t="str">
        <f>TEXT(COUNTIFS($C$4:C335,C335,$D$4:D335,D335,$F$4:F335,F335)+IF(F335="KT",100,IF(F335="KC",200,IF(F335="DI",300,IF(F335="DN",400,IF(F335="NU",500,IF(F335="DH",600,IF(F335="PC",700,0))))))),"000")</f>
        <v>404</v>
      </c>
      <c r="C335" s="28" t="s">
        <v>10</v>
      </c>
      <c r="D335" s="100" t="s">
        <v>340</v>
      </c>
      <c r="E335" s="28" t="s">
        <v>346</v>
      </c>
      <c r="F335" s="87" t="s">
        <v>190</v>
      </c>
      <c r="G335" s="6" t="s">
        <v>23</v>
      </c>
      <c r="H335" s="6" t="s">
        <v>156</v>
      </c>
      <c r="I335" s="82" t="s">
        <v>105</v>
      </c>
      <c r="J335" s="20" t="s">
        <v>220</v>
      </c>
      <c r="K335" s="20"/>
      <c r="L335" s="20"/>
      <c r="M335" s="20"/>
      <c r="N335" s="96">
        <v>46062</v>
      </c>
      <c r="O335" s="96">
        <v>46171</v>
      </c>
      <c r="P335" s="211" t="str">
        <f t="shared" si="31"/>
        <v xml:space="preserve">Phan Trường Giang, , </v>
      </c>
    </row>
    <row r="336" spans="1:16">
      <c r="A336" s="28" t="str">
        <f>"3."&amp;D336&amp;"."&amp;B336</f>
        <v>3.N.HCM.CGIO.KS.504</v>
      </c>
      <c r="B336" s="28" t="str">
        <f>TEXT(COUNTIFS($C$4:C336,C336,$D$4:D336,D336,$F$4:F336,F336)+IF(F336="KT",100,IF(F336="KC",200,IF(F336="DI",300,IF(F336="DN",400,IF(F336="NU",500,IF(F336="DH",600,IF(F336="PC",700,0))))))),"000")</f>
        <v>504</v>
      </c>
      <c r="C336" s="28" t="s">
        <v>10</v>
      </c>
      <c r="D336" s="100" t="s">
        <v>340</v>
      </c>
      <c r="E336" s="28" t="s">
        <v>346</v>
      </c>
      <c r="F336" s="87" t="s">
        <v>195</v>
      </c>
      <c r="G336" s="6" t="s">
        <v>23</v>
      </c>
      <c r="H336" s="6" t="s">
        <v>156</v>
      </c>
      <c r="I336" s="82" t="s">
        <v>105</v>
      </c>
      <c r="J336" s="20" t="s">
        <v>220</v>
      </c>
      <c r="K336" s="20"/>
      <c r="L336" s="20"/>
      <c r="M336" s="20"/>
      <c r="N336" s="96">
        <v>46062</v>
      </c>
      <c r="O336" s="96">
        <v>46171</v>
      </c>
      <c r="P336" s="211" t="str">
        <f t="shared" si="22"/>
        <v xml:space="preserve">Phan Trường Giang, , </v>
      </c>
    </row>
    <row r="337" spans="1:16">
      <c r="A337" s="28" t="str">
        <f>"3."&amp;D337&amp;"."&amp;B337</f>
        <v>3.N.HCM.CGIO.KS.604</v>
      </c>
      <c r="B337" s="28" t="str">
        <f>TEXT(COUNTIFS($C$4:C337,C337,$D$4:D337,D337,$F$4:F337,F337)+IF(F337="KT",100,IF(F337="KC",200,IF(F337="DI",300,IF(F337="DN",400,IF(F337="NU",500,IF(F337="DH",600,IF(F337="PC",700,0))))))),"000")</f>
        <v>604</v>
      </c>
      <c r="C337" s="28" t="s">
        <v>10</v>
      </c>
      <c r="D337" s="100" t="s">
        <v>340</v>
      </c>
      <c r="E337" s="28" t="s">
        <v>346</v>
      </c>
      <c r="F337" s="87" t="s">
        <v>205</v>
      </c>
      <c r="G337" s="6" t="s">
        <v>23</v>
      </c>
      <c r="H337" s="6" t="s">
        <v>156</v>
      </c>
      <c r="I337" s="82" t="s">
        <v>105</v>
      </c>
      <c r="J337" s="20" t="s">
        <v>220</v>
      </c>
      <c r="K337" s="20"/>
      <c r="L337" s="20"/>
      <c r="M337" s="20"/>
      <c r="N337" s="96">
        <v>46062</v>
      </c>
      <c r="O337" s="96">
        <v>46171</v>
      </c>
      <c r="P337" s="211" t="str">
        <f t="shared" ref="P337" si="32">J337&amp;", "&amp;K337&amp;", "&amp;L337</f>
        <v xml:space="preserve">Phan Trường Giang, , </v>
      </c>
    </row>
    <row r="338" spans="1:16">
      <c r="A338" s="28" t="str">
        <f>"3."&amp;D338&amp;"."&amp;B338</f>
        <v>3.N.HCM.CGIO.KS.704</v>
      </c>
      <c r="B338" s="28" t="str">
        <f>TEXT(COUNTIFS($C$4:C338,C338,$D$4:D338,D338,$F$4:F338,F338)+IF(F338="KT",100,IF(F338="KC",200,IF(F338="DI",300,IF(F338="DN",400,IF(F338="NU",500,IF(F338="DH",600,IF(F338="PC",700,0))))))),"000")</f>
        <v>704</v>
      </c>
      <c r="C338" s="28" t="s">
        <v>10</v>
      </c>
      <c r="D338" s="100" t="s">
        <v>340</v>
      </c>
      <c r="E338" s="28" t="s">
        <v>346</v>
      </c>
      <c r="F338" s="87" t="s">
        <v>200</v>
      </c>
      <c r="G338" s="6" t="s">
        <v>23</v>
      </c>
      <c r="H338" s="6" t="s">
        <v>156</v>
      </c>
      <c r="I338" s="82" t="s">
        <v>105</v>
      </c>
      <c r="J338" s="20" t="s">
        <v>220</v>
      </c>
      <c r="K338" s="20"/>
      <c r="L338" s="20"/>
      <c r="M338" s="20"/>
      <c r="N338" s="96">
        <v>46062</v>
      </c>
      <c r="O338" s="96">
        <v>46171</v>
      </c>
      <c r="P338" s="211" t="str">
        <f t="shared" si="22"/>
        <v xml:space="preserve">Phan Trường Giang, , </v>
      </c>
    </row>
    <row r="339" spans="1:16">
      <c r="A339" s="28" t="str">
        <f>"3."&amp;D339&amp;"."&amp;B339</f>
        <v>3.N.HCM.CGIO.KS.605</v>
      </c>
      <c r="B339" s="28" t="str">
        <f>TEXT(COUNTIFS($C$4:C339,C339,$D$4:D339,D339,$F$4:F339,F339)+IF(F339="KT",100,IF(F339="KC",200,IF(F339="DI",300,IF(F339="DN",400,IF(F339="NU",500,IF(F339="DH",600,IF(F339="PC",700,0))))))),"000")</f>
        <v>605</v>
      </c>
      <c r="C339" s="28" t="s">
        <v>10</v>
      </c>
      <c r="D339" s="100" t="s">
        <v>340</v>
      </c>
      <c r="E339" s="28" t="s">
        <v>346</v>
      </c>
      <c r="F339" s="87" t="s">
        <v>205</v>
      </c>
      <c r="G339" s="6" t="s">
        <v>27</v>
      </c>
      <c r="H339" s="6" t="s">
        <v>156</v>
      </c>
      <c r="I339" s="82" t="s">
        <v>105</v>
      </c>
      <c r="J339" s="20" t="s">
        <v>216</v>
      </c>
      <c r="K339" s="20"/>
      <c r="L339" s="20"/>
      <c r="M339" s="20"/>
      <c r="N339" s="96">
        <v>46176</v>
      </c>
      <c r="O339" s="96">
        <v>46178</v>
      </c>
      <c r="P339" s="211" t="str">
        <f>J339&amp;", "&amp;K339&amp;", "&amp;L339</f>
        <v xml:space="preserve">Đặng Thái Sơn, , </v>
      </c>
    </row>
    <row r="340" spans="1:16">
      <c r="A340" s="28" t="str">
        <f>"3."&amp;D340&amp;"."&amp;B340</f>
        <v>3.N.HCM.CGIO.KS.606</v>
      </c>
      <c r="B340" s="28" t="str">
        <f>TEXT(COUNTIFS($C$4:C340,C340,$D$4:D340,D340,$F$4:F340,F340)+IF(F340="KT",100,IF(F340="KC",200,IF(F340="DI",300,IF(F340="DN",400,IF(F340="NU",500,IF(F340="DH",600,IF(F340="PC",700,0))))))),"000")</f>
        <v>606</v>
      </c>
      <c r="C340" s="28" t="s">
        <v>10</v>
      </c>
      <c r="D340" s="100" t="s">
        <v>340</v>
      </c>
      <c r="E340" s="28" t="s">
        <v>346</v>
      </c>
      <c r="F340" s="87" t="s">
        <v>205</v>
      </c>
      <c r="G340" s="6" t="s">
        <v>28</v>
      </c>
      <c r="H340" s="6" t="s">
        <v>156</v>
      </c>
      <c r="I340" s="82" t="s">
        <v>105</v>
      </c>
      <c r="J340" s="20" t="s">
        <v>216</v>
      </c>
      <c r="K340" s="20"/>
      <c r="L340" s="20"/>
      <c r="M340" s="20"/>
      <c r="N340" s="96">
        <v>46176</v>
      </c>
      <c r="O340" s="96">
        <v>46178</v>
      </c>
      <c r="P340" s="211" t="str">
        <f>J340&amp;", "&amp;K340&amp;", "&amp;L340</f>
        <v xml:space="preserve">Đặng Thái Sơn, , </v>
      </c>
    </row>
    <row r="341" spans="1:16">
      <c r="A341" s="28" t="str">
        <f>"3."&amp;D341&amp;"."&amp;B341</f>
        <v>3.N.HCM.CGIO.KS.305</v>
      </c>
      <c r="B341" s="28" t="str">
        <f>TEXT(COUNTIFS($C$4:C341,C341,$D$4:D341,D341,$F$4:F341,F341)+IF(F341="KT",100,IF(F341="KC",200,IF(F341="DI",300,IF(F341="DN",400,IF(F341="NU",500,IF(F341="DH",600,IF(F341="PC",700,0))))))),"000")</f>
        <v>305</v>
      </c>
      <c r="C341" s="28" t="s">
        <v>10</v>
      </c>
      <c r="D341" s="100" t="s">
        <v>340</v>
      </c>
      <c r="E341" s="28" t="s">
        <v>346</v>
      </c>
      <c r="F341" s="87" t="s">
        <v>182</v>
      </c>
      <c r="G341" s="6" t="s">
        <v>27</v>
      </c>
      <c r="H341" s="6" t="s">
        <v>156</v>
      </c>
      <c r="I341" s="82" t="s">
        <v>105</v>
      </c>
      <c r="J341" s="20" t="s">
        <v>220</v>
      </c>
      <c r="K341" s="20"/>
      <c r="L341" s="20"/>
      <c r="M341" s="20"/>
      <c r="N341" s="96">
        <v>46176</v>
      </c>
      <c r="O341" s="96">
        <v>46178</v>
      </c>
      <c r="P341" s="211" t="str">
        <f>J341&amp;", "&amp;K341&amp;", "&amp;L341</f>
        <v xml:space="preserve">Phan Trường Giang, , </v>
      </c>
    </row>
    <row r="342" spans="1:16">
      <c r="A342" s="28" t="str">
        <f>"3."&amp;D342&amp;"."&amp;B342</f>
        <v>3.N.HCM.CGIO.KS.306</v>
      </c>
      <c r="B342" s="28" t="str">
        <f>TEXT(COUNTIFS($C$4:C342,C342,$D$4:D342,D342,$F$4:F342,F342)+IF(F342="KT",100,IF(F342="KC",200,IF(F342="DI",300,IF(F342="DN",400,IF(F342="NU",500,IF(F342="DH",600,IF(F342="PC",700,0))))))),"000")</f>
        <v>306</v>
      </c>
      <c r="C342" s="28" t="s">
        <v>10</v>
      </c>
      <c r="D342" s="100" t="s">
        <v>340</v>
      </c>
      <c r="E342" s="28" t="s">
        <v>346</v>
      </c>
      <c r="F342" s="87" t="s">
        <v>182</v>
      </c>
      <c r="G342" s="6" t="s">
        <v>28</v>
      </c>
      <c r="H342" s="6" t="s">
        <v>156</v>
      </c>
      <c r="I342" s="82" t="s">
        <v>105</v>
      </c>
      <c r="J342" s="20" t="s">
        <v>220</v>
      </c>
      <c r="K342" s="20"/>
      <c r="L342" s="20"/>
      <c r="M342" s="20"/>
      <c r="N342" s="96">
        <v>46176</v>
      </c>
      <c r="O342" s="96">
        <v>46178</v>
      </c>
      <c r="P342" s="211" t="str">
        <f>J342&amp;", "&amp;K342&amp;", "&amp;L342</f>
        <v xml:space="preserve">Phan Trường Giang, , </v>
      </c>
    </row>
    <row r="343" spans="1:16">
      <c r="A343" s="28" t="str">
        <f>"3."&amp;D343&amp;"."&amp;B343</f>
        <v>3.N.HCM.CGIO.KS.405</v>
      </c>
      <c r="B343" s="28" t="str">
        <f>TEXT(COUNTIFS($C$4:C343,C343,$D$4:D343,D343,$F$4:F343,F343)+IF(F343="KT",100,IF(F343="KC",200,IF(F343="DI",300,IF(F343="DN",400,IF(F343="NU",500,IF(F343="DH",600,IF(F343="PC",700,0))))))),"000")</f>
        <v>405</v>
      </c>
      <c r="C343" s="28" t="s">
        <v>10</v>
      </c>
      <c r="D343" s="100" t="s">
        <v>340</v>
      </c>
      <c r="E343" s="28" t="s">
        <v>346</v>
      </c>
      <c r="F343" s="87" t="s">
        <v>190</v>
      </c>
      <c r="G343" s="6" t="s">
        <v>27</v>
      </c>
      <c r="H343" s="6" t="s">
        <v>156</v>
      </c>
      <c r="I343" s="82" t="s">
        <v>105</v>
      </c>
      <c r="J343" s="20" t="s">
        <v>220</v>
      </c>
      <c r="K343" s="20"/>
      <c r="L343" s="20"/>
      <c r="M343" s="20"/>
      <c r="N343" s="96">
        <v>46176</v>
      </c>
      <c r="O343" s="96">
        <v>46178</v>
      </c>
      <c r="P343" s="211" t="str">
        <f>J343&amp;", "&amp;K343&amp;", "&amp;L343</f>
        <v xml:space="preserve">Phan Trường Giang, , </v>
      </c>
    </row>
    <row r="344" spans="1:16">
      <c r="A344" s="28" t="str">
        <f>"3."&amp;D344&amp;"."&amp;B344</f>
        <v>3.N.HCM.CGIO.KS.406</v>
      </c>
      <c r="B344" s="28" t="str">
        <f>TEXT(COUNTIFS($C$4:C344,C344,$D$4:D344,D344,$F$4:F344,F344)+IF(F344="KT",100,IF(F344="KC",200,IF(F344="DI",300,IF(F344="DN",400,IF(F344="NU",500,IF(F344="DH",600,IF(F344="PC",700,0))))))),"000")</f>
        <v>406</v>
      </c>
      <c r="C344" s="28" t="s">
        <v>10</v>
      </c>
      <c r="D344" s="100" t="s">
        <v>340</v>
      </c>
      <c r="E344" s="28" t="s">
        <v>346</v>
      </c>
      <c r="F344" s="87" t="s">
        <v>190</v>
      </c>
      <c r="G344" s="6" t="s">
        <v>28</v>
      </c>
      <c r="H344" s="6" t="s">
        <v>156</v>
      </c>
      <c r="I344" s="82" t="s">
        <v>105</v>
      </c>
      <c r="J344" s="20" t="s">
        <v>220</v>
      </c>
      <c r="K344" s="20"/>
      <c r="L344" s="20"/>
      <c r="M344" s="20"/>
      <c r="N344" s="96">
        <v>46176</v>
      </c>
      <c r="O344" s="96">
        <v>46178</v>
      </c>
      <c r="P344" s="211" t="str">
        <f>J344&amp;", "&amp;K344&amp;", "&amp;L344</f>
        <v xml:space="preserve">Phan Trường Giang, , </v>
      </c>
    </row>
    <row r="345" spans="1:16">
      <c r="A345" s="28" t="str">
        <f>"3."&amp;D345&amp;"."&amp;B345</f>
        <v>3.N.HCM.CGIO.KS.505</v>
      </c>
      <c r="B345" s="28" t="str">
        <f>TEXT(COUNTIFS($C$4:C345,C345,$D$4:D345,D345,$F$4:F345,F345)+IF(F345="KT",100,IF(F345="KC",200,IF(F345="DI",300,IF(F345="DN",400,IF(F345="NU",500,IF(F345="DH",600,IF(F345="PC",700,0))))))),"000")</f>
        <v>505</v>
      </c>
      <c r="C345" s="28" t="s">
        <v>10</v>
      </c>
      <c r="D345" s="100" t="s">
        <v>340</v>
      </c>
      <c r="E345" s="28" t="s">
        <v>346</v>
      </c>
      <c r="F345" s="87" t="s">
        <v>195</v>
      </c>
      <c r="G345" s="6" t="s">
        <v>27</v>
      </c>
      <c r="H345" s="6" t="s">
        <v>156</v>
      </c>
      <c r="I345" s="82" t="s">
        <v>105</v>
      </c>
      <c r="J345" s="20" t="s">
        <v>206</v>
      </c>
      <c r="K345" s="20"/>
      <c r="L345" s="20"/>
      <c r="M345" s="20"/>
      <c r="N345" s="96">
        <v>46176</v>
      </c>
      <c r="O345" s="96">
        <v>46178</v>
      </c>
      <c r="P345" s="211" t="str">
        <f>J345&amp;", "&amp;K345&amp;", "&amp;L345</f>
        <v xml:space="preserve">Nguyễn Văn Hải, , </v>
      </c>
    </row>
    <row r="346" spans="1:16">
      <c r="A346" s="28" t="str">
        <f>"3."&amp;D346&amp;"."&amp;B346</f>
        <v>3.N.HCM.CGIO.KS.506</v>
      </c>
      <c r="B346" s="28" t="str">
        <f>TEXT(COUNTIFS($C$4:C346,C346,$D$4:D346,D346,$F$4:F346,F346)+IF(F346="KT",100,IF(F346="KC",200,IF(F346="DI",300,IF(F346="DN",400,IF(F346="NU",500,IF(F346="DH",600,IF(F346="PC",700,0))))))),"000")</f>
        <v>506</v>
      </c>
      <c r="C346" s="28" t="s">
        <v>10</v>
      </c>
      <c r="D346" s="100" t="s">
        <v>340</v>
      </c>
      <c r="E346" s="28" t="s">
        <v>346</v>
      </c>
      <c r="F346" s="87" t="s">
        <v>195</v>
      </c>
      <c r="G346" s="6" t="s">
        <v>28</v>
      </c>
      <c r="H346" s="6" t="s">
        <v>156</v>
      </c>
      <c r="I346" s="82" t="s">
        <v>105</v>
      </c>
      <c r="J346" s="20" t="s">
        <v>206</v>
      </c>
      <c r="K346" s="20"/>
      <c r="L346" s="20"/>
      <c r="M346" s="20"/>
      <c r="N346" s="96">
        <v>46176</v>
      </c>
      <c r="O346" s="96">
        <v>46178</v>
      </c>
      <c r="P346" s="211" t="str">
        <f>J346&amp;", "&amp;K346&amp;", "&amp;L346</f>
        <v xml:space="preserve">Nguyễn Văn Hải, , </v>
      </c>
    </row>
    <row r="347" spans="1:16">
      <c r="A347" s="28" t="str">
        <f>"3."&amp;D347&amp;"."&amp;B347</f>
        <v>3.N.HCM.CGIO.KS.705</v>
      </c>
      <c r="B347" s="28" t="str">
        <f>TEXT(COUNTIFS($C$4:C347,C347,$D$4:D347,D347,$F$4:F347,F347)+IF(F347="KT",100,IF(F347="KC",200,IF(F347="DI",300,IF(F347="DN",400,IF(F347="NU",500,IF(F347="DH",600,IF(F347="PC",700,0))))))),"000")</f>
        <v>705</v>
      </c>
      <c r="C347" s="28" t="s">
        <v>10</v>
      </c>
      <c r="D347" s="100" t="s">
        <v>340</v>
      </c>
      <c r="E347" s="28" t="s">
        <v>346</v>
      </c>
      <c r="F347" s="87" t="s">
        <v>200</v>
      </c>
      <c r="G347" s="6" t="s">
        <v>27</v>
      </c>
      <c r="H347" s="6" t="s">
        <v>156</v>
      </c>
      <c r="I347" s="82" t="s">
        <v>105</v>
      </c>
      <c r="J347" s="20" t="s">
        <v>201</v>
      </c>
      <c r="K347" s="20"/>
      <c r="L347" s="20"/>
      <c r="M347" s="20"/>
      <c r="N347" s="96">
        <v>46176</v>
      </c>
      <c r="O347" s="96">
        <v>46178</v>
      </c>
      <c r="P347" s="211" t="str">
        <f>J347&amp;", "&amp;K347&amp;", "&amp;L347</f>
        <v xml:space="preserve">Ngô Tuấn Vũ, , </v>
      </c>
    </row>
    <row r="348" spans="1:16">
      <c r="A348" s="28" t="str">
        <f>"3."&amp;D348&amp;"."&amp;B348</f>
        <v>3.N.HCM.CGIO.KS.706</v>
      </c>
      <c r="B348" s="28" t="str">
        <f>TEXT(COUNTIFS($C$4:C348,C348,$D$4:D348,D348,$F$4:F348,F348)+IF(F348="KT",100,IF(F348="KC",200,IF(F348="DI",300,IF(F348="DN",400,IF(F348="NU",500,IF(F348="DH",600,IF(F348="PC",700,0))))))),"000")</f>
        <v>706</v>
      </c>
      <c r="C348" s="28" t="s">
        <v>10</v>
      </c>
      <c r="D348" s="100" t="s">
        <v>340</v>
      </c>
      <c r="E348" s="28" t="s">
        <v>346</v>
      </c>
      <c r="F348" s="87" t="s">
        <v>200</v>
      </c>
      <c r="G348" s="6" t="s">
        <v>28</v>
      </c>
      <c r="H348" s="6" t="s">
        <v>156</v>
      </c>
      <c r="I348" s="82" t="s">
        <v>105</v>
      </c>
      <c r="J348" s="20" t="s">
        <v>201</v>
      </c>
      <c r="K348" s="20"/>
      <c r="L348" s="20"/>
      <c r="M348" s="20"/>
      <c r="N348" s="96">
        <v>46178</v>
      </c>
      <c r="O348" s="96">
        <v>46178</v>
      </c>
      <c r="P348" s="211" t="str">
        <f>J348&amp;", "&amp;K348&amp;", "&amp;L348</f>
        <v xml:space="preserve">Ngô Tuấn Vũ, , </v>
      </c>
    </row>
    <row r="349" spans="1:16">
      <c r="A349" s="28" t="str">
        <f>"3."&amp;D349&amp;"."&amp;B349</f>
        <v>3.N.HCM.CGIO.KSMN.101</v>
      </c>
      <c r="B349" s="28" t="str">
        <f>TEXT(COUNTIFS($C$4:C349,C349,$D$4:D349,D349,$F$4:F349,F349)+IF(F349="KT",100,IF(F349="KC",200,IF(F349="DI",300,IF(F349="DN",400,IF(F349="NU",500,IF(F349="DH",600,IF(F349="PC",700,0))))))),"000")</f>
        <v>101</v>
      </c>
      <c r="C349" s="28" t="s">
        <v>10</v>
      </c>
      <c r="D349" s="100" t="s">
        <v>348</v>
      </c>
      <c r="E349" s="28" t="s">
        <v>349</v>
      </c>
      <c r="F349" s="88" t="s">
        <v>164</v>
      </c>
      <c r="G349" s="6" t="s">
        <v>23</v>
      </c>
      <c r="H349" s="20" t="s">
        <v>156</v>
      </c>
      <c r="I349" s="82" t="s">
        <v>105</v>
      </c>
      <c r="J349" s="28" t="s">
        <v>33</v>
      </c>
      <c r="K349" s="28" t="s">
        <v>34</v>
      </c>
      <c r="L349" s="28" t="s">
        <v>196</v>
      </c>
      <c r="M349" s="28"/>
      <c r="N349" s="96">
        <v>46053</v>
      </c>
      <c r="O349" s="96">
        <v>46197</v>
      </c>
      <c r="P349" s="211" t="str">
        <f t="shared" si="22"/>
        <v>Đỗ Minh Ngọc, Trần Văn Diện, Vũ Thị Thêu</v>
      </c>
    </row>
    <row r="350" spans="1:16">
      <c r="A350" s="28" t="str">
        <f>"3."&amp;D350&amp;"."&amp;B350</f>
        <v>3.N.HCM.CGIO.KSMN.102</v>
      </c>
      <c r="B350" s="28" t="str">
        <f>TEXT(COUNTIFS($C$4:C350,C350,$D$4:D350,D350,$F$4:F350,F350)+IF(F350="KT",100,IF(F350="KC",200,IF(F350="DI",300,IF(F350="DN",400,IF(F350="NU",500,IF(F350="DH",600,IF(F350="PC",700,0))))))),"000")</f>
        <v>102</v>
      </c>
      <c r="C350" s="28" t="s">
        <v>10</v>
      </c>
      <c r="D350" s="100" t="s">
        <v>348</v>
      </c>
      <c r="E350" s="28" t="s">
        <v>349</v>
      </c>
      <c r="F350" s="88" t="s">
        <v>164</v>
      </c>
      <c r="G350" s="6" t="s">
        <v>169</v>
      </c>
      <c r="H350" s="6" t="s">
        <v>156</v>
      </c>
      <c r="I350" s="82" t="s">
        <v>105</v>
      </c>
      <c r="J350" s="28" t="s">
        <v>33</v>
      </c>
      <c r="K350" s="28" t="s">
        <v>34</v>
      </c>
      <c r="L350" s="28" t="s">
        <v>196</v>
      </c>
      <c r="M350" s="28"/>
      <c r="N350" s="96">
        <v>46079</v>
      </c>
      <c r="O350" s="96">
        <v>46146</v>
      </c>
      <c r="P350" s="211" t="str">
        <f t="shared" si="22"/>
        <v>Đỗ Minh Ngọc, Trần Văn Diện, Vũ Thị Thêu</v>
      </c>
    </row>
    <row r="351" spans="1:16">
      <c r="A351" s="28" t="str">
        <f>"3."&amp;D351&amp;"."&amp;B351</f>
        <v>3.N.HCM.CGIO.KSMN.201</v>
      </c>
      <c r="B351" s="28" t="str">
        <f>TEXT(COUNTIFS($C$4:C351,C351,$D$4:D351,D351,$F$4:F351,F351)+IF(F351="KT",100,IF(F351="KC",200,IF(F351="DI",300,IF(F351="DN",400,IF(F351="NU",500,IF(F351="DH",600,IF(F351="PC",700,0))))))),"000")</f>
        <v>201</v>
      </c>
      <c r="C351" s="28" t="s">
        <v>10</v>
      </c>
      <c r="D351" s="100" t="s">
        <v>348</v>
      </c>
      <c r="E351" s="28" t="s">
        <v>349</v>
      </c>
      <c r="F351" s="88" t="s">
        <v>174</v>
      </c>
      <c r="G351" s="6" t="s">
        <v>23</v>
      </c>
      <c r="H351" s="20" t="s">
        <v>156</v>
      </c>
      <c r="I351" s="82" t="s">
        <v>105</v>
      </c>
      <c r="J351" s="28" t="s">
        <v>33</v>
      </c>
      <c r="K351" s="28" t="s">
        <v>34</v>
      </c>
      <c r="L351" s="28" t="s">
        <v>196</v>
      </c>
      <c r="M351" s="28"/>
      <c r="N351" s="96">
        <v>46063</v>
      </c>
      <c r="O351" s="96">
        <v>46202</v>
      </c>
      <c r="P351" s="211" t="str">
        <f t="shared" si="22"/>
        <v>Đỗ Minh Ngọc, Trần Văn Diện, Vũ Thị Thêu</v>
      </c>
    </row>
    <row r="352" spans="1:16">
      <c r="A352" s="28" t="str">
        <f>"3."&amp;D352&amp;"."&amp;B352</f>
        <v>3.N.HCM.CGIO.KSMN.301</v>
      </c>
      <c r="B352" s="28" t="str">
        <f>TEXT(COUNTIFS($C$4:C352,C352,$D$4:D352,D352,$F$4:F352,F352)+IF(F352="KT",100,IF(F352="KC",200,IF(F352="DI",300,IF(F352="DN",400,IF(F352="NU",500,IF(F352="DH",600,IF(F352="PC",700,0))))))),"000")</f>
        <v>301</v>
      </c>
      <c r="C352" s="28" t="s">
        <v>10</v>
      </c>
      <c r="D352" s="100" t="s">
        <v>348</v>
      </c>
      <c r="E352" s="28" t="s">
        <v>349</v>
      </c>
      <c r="F352" s="87" t="s">
        <v>182</v>
      </c>
      <c r="G352" s="6" t="s">
        <v>23</v>
      </c>
      <c r="H352" s="6" t="s">
        <v>156</v>
      </c>
      <c r="I352" s="82" t="s">
        <v>105</v>
      </c>
      <c r="J352" s="20" t="s">
        <v>206</v>
      </c>
      <c r="K352" s="20"/>
      <c r="L352" s="20"/>
      <c r="M352" s="20"/>
      <c r="N352" s="96">
        <v>46174</v>
      </c>
      <c r="O352" s="96">
        <v>46232</v>
      </c>
      <c r="P352" s="211" t="str">
        <f t="shared" ref="P352:P353" si="33">J352&amp;", "&amp;K352&amp;", "&amp;L352</f>
        <v xml:space="preserve">Nguyễn Văn Hải, , </v>
      </c>
    </row>
    <row r="353" spans="1:16">
      <c r="A353" s="28" t="str">
        <f>"3."&amp;D353&amp;"."&amp;B353</f>
        <v>3.N.HCM.CGIO.KSMN.401</v>
      </c>
      <c r="B353" s="28" t="str">
        <f>TEXT(COUNTIFS($C$4:C353,C353,$D$4:D353,D353,$F$4:F353,F353)+IF(F353="KT",100,IF(F353="KC",200,IF(F353="DI",300,IF(F353="DN",400,IF(F353="NU",500,IF(F353="DH",600,IF(F353="PC",700,0))))))),"000")</f>
        <v>401</v>
      </c>
      <c r="C353" s="28" t="s">
        <v>10</v>
      </c>
      <c r="D353" s="100" t="s">
        <v>348</v>
      </c>
      <c r="E353" s="28" t="s">
        <v>349</v>
      </c>
      <c r="F353" s="87" t="s">
        <v>190</v>
      </c>
      <c r="G353" s="6" t="s">
        <v>23</v>
      </c>
      <c r="H353" s="6" t="s">
        <v>156</v>
      </c>
      <c r="I353" s="82" t="s">
        <v>105</v>
      </c>
      <c r="J353" s="20" t="s">
        <v>206</v>
      </c>
      <c r="K353" s="20"/>
      <c r="L353" s="20"/>
      <c r="M353" s="20"/>
      <c r="N353" s="96">
        <v>46174</v>
      </c>
      <c r="O353" s="96">
        <v>46232</v>
      </c>
      <c r="P353" s="211" t="str">
        <f t="shared" si="33"/>
        <v xml:space="preserve">Nguyễn Văn Hải, , </v>
      </c>
    </row>
    <row r="354" spans="1:16">
      <c r="A354" s="28" t="str">
        <f>"3."&amp;D354&amp;"."&amp;B354</f>
        <v>3.N.HCM.CGIO.KSMN.501</v>
      </c>
      <c r="B354" s="28" t="str">
        <f>TEXT(COUNTIFS($C$4:C354,C354,$D$4:D354,D354,$F$4:F354,F354)+IF(F354="KT",100,IF(F354="KC",200,IF(F354="DI",300,IF(F354="DN",400,IF(F354="NU",500,IF(F354="DH",600,IF(F354="PC",700,0))))))),"000")</f>
        <v>501</v>
      </c>
      <c r="C354" s="28" t="s">
        <v>10</v>
      </c>
      <c r="D354" s="100" t="s">
        <v>348</v>
      </c>
      <c r="E354" s="28" t="s">
        <v>349</v>
      </c>
      <c r="F354" s="87" t="s">
        <v>195</v>
      </c>
      <c r="G354" s="6" t="s">
        <v>23</v>
      </c>
      <c r="H354" s="6" t="s">
        <v>156</v>
      </c>
      <c r="I354" s="82" t="s">
        <v>105</v>
      </c>
      <c r="J354" s="20" t="s">
        <v>206</v>
      </c>
      <c r="K354" s="20"/>
      <c r="L354" s="20"/>
      <c r="M354" s="20"/>
      <c r="N354" s="96">
        <v>46174</v>
      </c>
      <c r="O354" s="96">
        <v>46232</v>
      </c>
      <c r="P354" s="211" t="str">
        <f t="shared" si="22"/>
        <v xml:space="preserve">Nguyễn Văn Hải, , </v>
      </c>
    </row>
    <row r="355" spans="1:16">
      <c r="A355" s="28" t="str">
        <f>"3."&amp;D355&amp;"."&amp;B355</f>
        <v>3.N.HCM.CGIO.KSMN.601</v>
      </c>
      <c r="B355" s="28" t="str">
        <f>TEXT(COUNTIFS($C$4:C355,C355,$D$4:D355,D355,$F$4:F355,F355)+IF(F355="KT",100,IF(F355="KC",200,IF(F355="DI",300,IF(F355="DN",400,IF(F355="NU",500,IF(F355="DH",600,IF(F355="PC",700,0))))))),"000")</f>
        <v>601</v>
      </c>
      <c r="C355" s="28" t="s">
        <v>10</v>
      </c>
      <c r="D355" s="100" t="s">
        <v>348</v>
      </c>
      <c r="E355" s="28" t="s">
        <v>349</v>
      </c>
      <c r="F355" s="87" t="s">
        <v>205</v>
      </c>
      <c r="G355" s="6" t="s">
        <v>23</v>
      </c>
      <c r="H355" s="6" t="s">
        <v>156</v>
      </c>
      <c r="I355" s="82" t="s">
        <v>105</v>
      </c>
      <c r="J355" s="20" t="s">
        <v>206</v>
      </c>
      <c r="K355" s="20"/>
      <c r="L355" s="20"/>
      <c r="M355" s="20"/>
      <c r="N355" s="96">
        <v>46174</v>
      </c>
      <c r="O355" s="96">
        <v>46232</v>
      </c>
      <c r="P355" s="211" t="str">
        <f t="shared" ref="P355" si="34">J355&amp;", "&amp;K355&amp;", "&amp;L355</f>
        <v xml:space="preserve">Nguyễn Văn Hải, , </v>
      </c>
    </row>
    <row r="356" spans="1:16">
      <c r="A356" s="28" t="str">
        <f>"3."&amp;D356&amp;"."&amp;B356</f>
        <v>3.N.HCM.CGIO.KSMN.701</v>
      </c>
      <c r="B356" s="28" t="str">
        <f>TEXT(COUNTIFS($C$4:C356,C356,$D$4:D356,D356,$F$4:F356,F356)+IF(F356="KT",100,IF(F356="KC",200,IF(F356="DI",300,IF(F356="DN",400,IF(F356="NU",500,IF(F356="DH",600,IF(F356="PC",700,0))))))),"000")</f>
        <v>701</v>
      </c>
      <c r="C356" s="28" t="s">
        <v>10</v>
      </c>
      <c r="D356" s="100" t="s">
        <v>348</v>
      </c>
      <c r="E356" s="28" t="s">
        <v>349</v>
      </c>
      <c r="F356" s="87" t="s">
        <v>200</v>
      </c>
      <c r="G356" s="6" t="s">
        <v>23</v>
      </c>
      <c r="H356" s="6" t="s">
        <v>156</v>
      </c>
      <c r="I356" s="82" t="s">
        <v>105</v>
      </c>
      <c r="J356" s="20" t="s">
        <v>206</v>
      </c>
      <c r="K356" s="20"/>
      <c r="L356" s="20"/>
      <c r="M356" s="20"/>
      <c r="N356" s="96">
        <v>46174</v>
      </c>
      <c r="O356" s="96">
        <v>46232</v>
      </c>
      <c r="P356" s="211" t="str">
        <f t="shared" si="22"/>
        <v xml:space="preserve">Nguyễn Văn Hải, , </v>
      </c>
    </row>
    <row r="357" spans="1:16">
      <c r="A357" s="28" t="str">
        <f>"3."&amp;D357&amp;"."&amp;B357</f>
        <v>3.N.HCM.CGIO.KSMN.103</v>
      </c>
      <c r="B357" s="28" t="str">
        <f>TEXT(COUNTIFS($C$4:C357,C357,$D$4:D357,D357,$F$4:F357,F357)+IF(F357="KT",100,IF(F357="KC",200,IF(F357="DI",300,IF(F357="DN",400,IF(F357="NU",500,IF(F357="DH",600,IF(F357="PC",700,0))))))),"000")</f>
        <v>103</v>
      </c>
      <c r="C357" s="28" t="s">
        <v>10</v>
      </c>
      <c r="D357" s="100" t="s">
        <v>348</v>
      </c>
      <c r="E357" s="28" t="s">
        <v>351</v>
      </c>
      <c r="F357" s="88" t="s">
        <v>164</v>
      </c>
      <c r="G357" s="6" t="s">
        <v>23</v>
      </c>
      <c r="H357" s="20" t="s">
        <v>156</v>
      </c>
      <c r="I357" s="82" t="s">
        <v>105</v>
      </c>
      <c r="J357" s="28" t="s">
        <v>32</v>
      </c>
      <c r="K357" s="28" t="s">
        <v>35</v>
      </c>
      <c r="L357" s="28" t="s">
        <v>196</v>
      </c>
      <c r="M357" s="28"/>
      <c r="N357" s="96">
        <v>46053</v>
      </c>
      <c r="O357" s="96">
        <v>46202</v>
      </c>
      <c r="P357" s="211" t="str">
        <f t="shared" si="22"/>
        <v>Nguyễn Hải Nam, Đặng Minh Quang, Vũ Thị Thêu</v>
      </c>
    </row>
    <row r="358" spans="1:16">
      <c r="A358" s="28" t="str">
        <f>"3."&amp;D358&amp;"."&amp;B358</f>
        <v>3.N.HCM.CGIO.KSMN.104</v>
      </c>
      <c r="B358" s="28" t="str">
        <f>TEXT(COUNTIFS($C$4:C358,C358,$D$4:D358,D358,$F$4:F358,F358)+IF(F358="KT",100,IF(F358="KC",200,IF(F358="DI",300,IF(F358="DN",400,IF(F358="NU",500,IF(F358="DH",600,IF(F358="PC",700,0))))))),"000")</f>
        <v>104</v>
      </c>
      <c r="C358" s="28" t="s">
        <v>10</v>
      </c>
      <c r="D358" s="100" t="s">
        <v>348</v>
      </c>
      <c r="E358" s="28" t="s">
        <v>351</v>
      </c>
      <c r="F358" s="88" t="s">
        <v>164</v>
      </c>
      <c r="G358" s="6" t="s">
        <v>169</v>
      </c>
      <c r="H358" s="6" t="s">
        <v>156</v>
      </c>
      <c r="I358" s="82" t="s">
        <v>105</v>
      </c>
      <c r="J358" s="28" t="s">
        <v>32</v>
      </c>
      <c r="K358" s="28" t="s">
        <v>35</v>
      </c>
      <c r="L358" s="28" t="s">
        <v>196</v>
      </c>
      <c r="M358" s="28"/>
      <c r="N358" s="96">
        <v>46086</v>
      </c>
      <c r="O358" s="96">
        <v>46146</v>
      </c>
      <c r="P358" s="211" t="str">
        <f t="shared" si="22"/>
        <v>Nguyễn Hải Nam, Đặng Minh Quang, Vũ Thị Thêu</v>
      </c>
    </row>
    <row r="359" spans="1:16">
      <c r="A359" s="28" t="str">
        <f>"3."&amp;D359&amp;"."&amp;B359</f>
        <v>3.N.HCM.CGIO.KSMN.202</v>
      </c>
      <c r="B359" s="28" t="str">
        <f>TEXT(COUNTIFS($C$4:C359,C359,$D$4:D359,D359,$F$4:F359,F359)+IF(F359="KT",100,IF(F359="KC",200,IF(F359="DI",300,IF(F359="DN",400,IF(F359="NU",500,IF(F359="DH",600,IF(F359="PC",700,0))))))),"000")</f>
        <v>202</v>
      </c>
      <c r="C359" s="28" t="s">
        <v>10</v>
      </c>
      <c r="D359" s="100" t="s">
        <v>348</v>
      </c>
      <c r="E359" s="28" t="s">
        <v>351</v>
      </c>
      <c r="F359" s="88" t="s">
        <v>174</v>
      </c>
      <c r="G359" s="6" t="s">
        <v>23</v>
      </c>
      <c r="H359" s="20" t="s">
        <v>156</v>
      </c>
      <c r="I359" s="82" t="s">
        <v>105</v>
      </c>
      <c r="J359" s="28" t="s">
        <v>32</v>
      </c>
      <c r="K359" s="28" t="s">
        <v>35</v>
      </c>
      <c r="L359" s="28" t="s">
        <v>196</v>
      </c>
      <c r="M359" s="28"/>
      <c r="N359" s="96">
        <v>46063</v>
      </c>
      <c r="O359" s="96">
        <v>46202</v>
      </c>
      <c r="P359" s="211" t="str">
        <f t="shared" si="22"/>
        <v>Nguyễn Hải Nam, Đặng Minh Quang, Vũ Thị Thêu</v>
      </c>
    </row>
    <row r="360" spans="1:16">
      <c r="A360" s="28" t="str">
        <f>"3."&amp;D360&amp;"."&amp;B360</f>
        <v>3.N.HCM.CGIO.KSMN.302</v>
      </c>
      <c r="B360" s="28" t="str">
        <f>TEXT(COUNTIFS($C$4:C360,C360,$D$4:D360,D360,$F$4:F360,F360)+IF(F360="KT",100,IF(F360="KC",200,IF(F360="DI",300,IF(F360="DN",400,IF(F360="NU",500,IF(F360="DH",600,IF(F360="PC",700,0))))))),"000")</f>
        <v>302</v>
      </c>
      <c r="C360" s="28" t="s">
        <v>10</v>
      </c>
      <c r="D360" s="100" t="s">
        <v>348</v>
      </c>
      <c r="E360" s="28" t="s">
        <v>351</v>
      </c>
      <c r="F360" s="87" t="s">
        <v>182</v>
      </c>
      <c r="G360" s="6" t="s">
        <v>23</v>
      </c>
      <c r="H360" s="6" t="s">
        <v>156</v>
      </c>
      <c r="I360" s="82" t="s">
        <v>105</v>
      </c>
      <c r="J360" s="20" t="s">
        <v>216</v>
      </c>
      <c r="K360" s="20"/>
      <c r="L360" s="20"/>
      <c r="M360" s="20"/>
      <c r="N360" s="96">
        <v>46106</v>
      </c>
      <c r="O360" s="96">
        <v>46202</v>
      </c>
      <c r="P360" s="211" t="str">
        <f t="shared" ref="P360:P361" si="35">J360&amp;", "&amp;K360&amp;", "&amp;L360</f>
        <v xml:space="preserve">Đặng Thái Sơn, , </v>
      </c>
    </row>
    <row r="361" spans="1:16">
      <c r="A361" s="28" t="str">
        <f>"3."&amp;D361&amp;"."&amp;B361</f>
        <v>3.N.HCM.CGIO.KSMN.402</v>
      </c>
      <c r="B361" s="28" t="str">
        <f>TEXT(COUNTIFS($C$4:C361,C361,$D$4:D361,D361,$F$4:F361,F361)+IF(F361="KT",100,IF(F361="KC",200,IF(F361="DI",300,IF(F361="DN",400,IF(F361="NU",500,IF(F361="DH",600,IF(F361="PC",700,0))))))),"000")</f>
        <v>402</v>
      </c>
      <c r="C361" s="28" t="s">
        <v>10</v>
      </c>
      <c r="D361" s="100" t="s">
        <v>348</v>
      </c>
      <c r="E361" s="28" t="s">
        <v>351</v>
      </c>
      <c r="F361" s="87" t="s">
        <v>190</v>
      </c>
      <c r="G361" s="6" t="s">
        <v>23</v>
      </c>
      <c r="H361" s="6" t="s">
        <v>156</v>
      </c>
      <c r="I361" s="82" t="s">
        <v>105</v>
      </c>
      <c r="J361" s="20" t="s">
        <v>216</v>
      </c>
      <c r="K361" s="20"/>
      <c r="L361" s="20"/>
      <c r="M361" s="20"/>
      <c r="N361" s="96">
        <v>46106</v>
      </c>
      <c r="O361" s="96">
        <v>46202</v>
      </c>
      <c r="P361" s="211" t="str">
        <f t="shared" si="35"/>
        <v xml:space="preserve">Đặng Thái Sơn, , </v>
      </c>
    </row>
    <row r="362" spans="1:16">
      <c r="A362" s="28" t="str">
        <f>"3."&amp;D362&amp;"."&amp;B362</f>
        <v>3.N.HCM.CGIO.KSMN.502</v>
      </c>
      <c r="B362" s="28" t="str">
        <f>TEXT(COUNTIFS($C$4:C362,C362,$D$4:D362,D362,$F$4:F362,F362)+IF(F362="KT",100,IF(F362="KC",200,IF(F362="DI",300,IF(F362="DN",400,IF(F362="NU",500,IF(F362="DH",600,IF(F362="PC",700,0))))))),"000")</f>
        <v>502</v>
      </c>
      <c r="C362" s="28" t="s">
        <v>10</v>
      </c>
      <c r="D362" s="100" t="s">
        <v>348</v>
      </c>
      <c r="E362" s="28" t="s">
        <v>351</v>
      </c>
      <c r="F362" s="87" t="s">
        <v>195</v>
      </c>
      <c r="G362" s="6" t="s">
        <v>23</v>
      </c>
      <c r="H362" s="6" t="s">
        <v>156</v>
      </c>
      <c r="I362" s="82" t="s">
        <v>105</v>
      </c>
      <c r="J362" s="20" t="s">
        <v>216</v>
      </c>
      <c r="K362" s="20"/>
      <c r="L362" s="20"/>
      <c r="M362" s="20"/>
      <c r="N362" s="96">
        <v>46106</v>
      </c>
      <c r="O362" s="96">
        <v>46202</v>
      </c>
      <c r="P362" s="211" t="str">
        <f t="shared" si="22"/>
        <v xml:space="preserve">Đặng Thái Sơn, , </v>
      </c>
    </row>
    <row r="363" spans="1:16">
      <c r="A363" s="28" t="str">
        <f>"3."&amp;D363&amp;"."&amp;B363</f>
        <v>3.N.HCM.CGIO.KSMN.602</v>
      </c>
      <c r="B363" s="28" t="str">
        <f>TEXT(COUNTIFS($C$4:C363,C363,$D$4:D363,D363,$F$4:F363,F363)+IF(F363="KT",100,IF(F363="KC",200,IF(F363="DI",300,IF(F363="DN",400,IF(F363="NU",500,IF(F363="DH",600,IF(F363="PC",700,0))))))),"000")</f>
        <v>602</v>
      </c>
      <c r="C363" s="28" t="s">
        <v>10</v>
      </c>
      <c r="D363" s="100" t="s">
        <v>348</v>
      </c>
      <c r="E363" s="28" t="s">
        <v>351</v>
      </c>
      <c r="F363" s="87" t="s">
        <v>205</v>
      </c>
      <c r="G363" s="6" t="s">
        <v>23</v>
      </c>
      <c r="H363" s="6" t="s">
        <v>156</v>
      </c>
      <c r="I363" s="82" t="s">
        <v>105</v>
      </c>
      <c r="J363" s="20" t="s">
        <v>216</v>
      </c>
      <c r="K363" s="20"/>
      <c r="L363" s="20"/>
      <c r="M363" s="20"/>
      <c r="N363" s="96">
        <v>46106</v>
      </c>
      <c r="O363" s="96">
        <v>46202</v>
      </c>
      <c r="P363" s="211" t="str">
        <f t="shared" ref="P363" si="36">J363&amp;", "&amp;K363&amp;", "&amp;L363</f>
        <v xml:space="preserve">Đặng Thái Sơn, , </v>
      </c>
    </row>
    <row r="364" spans="1:16">
      <c r="A364" s="28" t="str">
        <f>"3."&amp;D364&amp;"."&amp;B364</f>
        <v>3.N.HCM.CGIO.KSMN.702</v>
      </c>
      <c r="B364" s="28" t="str">
        <f>TEXT(COUNTIFS($C$4:C364,C364,$D$4:D364,D364,$F$4:F364,F364)+IF(F364="KT",100,IF(F364="KC",200,IF(F364="DI",300,IF(F364="DN",400,IF(F364="NU",500,IF(F364="DH",600,IF(F364="PC",700,0))))))),"000")</f>
        <v>702</v>
      </c>
      <c r="C364" s="28" t="s">
        <v>10</v>
      </c>
      <c r="D364" s="100" t="s">
        <v>348</v>
      </c>
      <c r="E364" s="28" t="s">
        <v>351</v>
      </c>
      <c r="F364" s="87" t="s">
        <v>200</v>
      </c>
      <c r="G364" s="6" t="s">
        <v>23</v>
      </c>
      <c r="H364" s="6" t="s">
        <v>156</v>
      </c>
      <c r="I364" s="82" t="s">
        <v>105</v>
      </c>
      <c r="J364" s="20" t="s">
        <v>216</v>
      </c>
      <c r="K364" s="20"/>
      <c r="L364" s="20"/>
      <c r="M364" s="20"/>
      <c r="N364" s="96">
        <v>46106</v>
      </c>
      <c r="O364" s="96">
        <v>46202</v>
      </c>
      <c r="P364" s="211" t="str">
        <f t="shared" si="22"/>
        <v xml:space="preserve">Đặng Thái Sơn, , </v>
      </c>
    </row>
    <row r="365" spans="1:16">
      <c r="A365" s="28" t="str">
        <f>"3."&amp;D365&amp;"."&amp;B365</f>
        <v>3.N.HCM.CGIO.KSMN.105</v>
      </c>
      <c r="B365" s="28" t="str">
        <f>TEXT(COUNTIFS($C$4:C365,C365,$D$4:D365,D365,$F$4:F365,F365)+IF(F365="KT",100,IF(F365="KC",200,IF(F365="DI",300,IF(F365="DN",400,IF(F365="NU",500,IF(F365="DH",600,IF(F365="PC",700,0))))))),"000")</f>
        <v>105</v>
      </c>
      <c r="C365" s="28" t="s">
        <v>10</v>
      </c>
      <c r="D365" s="100" t="s">
        <v>348</v>
      </c>
      <c r="E365" s="28" t="s">
        <v>353</v>
      </c>
      <c r="F365" s="88" t="s">
        <v>164</v>
      </c>
      <c r="G365" s="6" t="s">
        <v>23</v>
      </c>
      <c r="H365" s="20" t="s">
        <v>156</v>
      </c>
      <c r="I365" s="82" t="s">
        <v>105</v>
      </c>
      <c r="J365" s="28" t="s">
        <v>33</v>
      </c>
      <c r="K365" s="28" t="s">
        <v>36</v>
      </c>
      <c r="L365" s="28" t="s">
        <v>32</v>
      </c>
      <c r="M365" s="28"/>
      <c r="N365" s="96">
        <v>46053</v>
      </c>
      <c r="O365" s="96">
        <v>46196</v>
      </c>
      <c r="P365" s="211" t="str">
        <f t="shared" si="22"/>
        <v>Đỗ Minh Ngọc, Trần Văn Toản, Nguyễn Hải Nam</v>
      </c>
    </row>
    <row r="366" spans="1:16">
      <c r="A366" s="28" t="str">
        <f>"3."&amp;D366&amp;"."&amp;B366</f>
        <v>3.N.HCM.CGIO.KSMN.106</v>
      </c>
      <c r="B366" s="28" t="str">
        <f>TEXT(COUNTIFS($C$4:C366,C366,$D$4:D366,D366,$F$4:F366,F366)+IF(F366="KT",100,IF(F366="KC",200,IF(F366="DI",300,IF(F366="DN",400,IF(F366="NU",500,IF(F366="DH",600,IF(F366="PC",700,0))))))),"000")</f>
        <v>106</v>
      </c>
      <c r="C366" s="28" t="s">
        <v>10</v>
      </c>
      <c r="D366" s="100" t="s">
        <v>348</v>
      </c>
      <c r="E366" s="28" t="s">
        <v>353</v>
      </c>
      <c r="F366" s="88" t="s">
        <v>164</v>
      </c>
      <c r="G366" s="6" t="s">
        <v>169</v>
      </c>
      <c r="H366" s="6" t="s">
        <v>156</v>
      </c>
      <c r="I366" s="82" t="s">
        <v>105</v>
      </c>
      <c r="J366" s="28" t="s">
        <v>33</v>
      </c>
      <c r="K366" s="28" t="s">
        <v>36</v>
      </c>
      <c r="L366" s="28" t="s">
        <v>32</v>
      </c>
      <c r="M366" s="28"/>
      <c r="N366" s="96">
        <v>46079</v>
      </c>
      <c r="O366" s="96">
        <v>46120</v>
      </c>
      <c r="P366" s="211" t="str">
        <f t="shared" si="22"/>
        <v>Đỗ Minh Ngọc, Trần Văn Toản, Nguyễn Hải Nam</v>
      </c>
    </row>
    <row r="367" spans="1:16">
      <c r="A367" s="28" t="str">
        <f>"3."&amp;D367&amp;"."&amp;B367</f>
        <v>3.N.HCM.CGIO.KSMN.203</v>
      </c>
      <c r="B367" s="28" t="str">
        <f>TEXT(COUNTIFS($C$4:C367,C367,$D$4:D367,D367,$F$4:F367,F367)+IF(F367="KT",100,IF(F367="KC",200,IF(F367="DI",300,IF(F367="DN",400,IF(F367="NU",500,IF(F367="DH",600,IF(F367="PC",700,0))))))),"000")</f>
        <v>203</v>
      </c>
      <c r="C367" s="28" t="s">
        <v>10</v>
      </c>
      <c r="D367" s="100" t="s">
        <v>348</v>
      </c>
      <c r="E367" s="28" t="s">
        <v>353</v>
      </c>
      <c r="F367" s="88" t="s">
        <v>174</v>
      </c>
      <c r="G367" s="6" t="s">
        <v>23</v>
      </c>
      <c r="H367" s="20" t="s">
        <v>156</v>
      </c>
      <c r="I367" s="82" t="s">
        <v>105</v>
      </c>
      <c r="J367" s="28" t="s">
        <v>33</v>
      </c>
      <c r="K367" s="28" t="s">
        <v>36</v>
      </c>
      <c r="L367" s="28" t="s">
        <v>32</v>
      </c>
      <c r="M367" s="28"/>
      <c r="N367" s="96">
        <v>46063</v>
      </c>
      <c r="O367" s="96">
        <v>46202</v>
      </c>
      <c r="P367" s="211" t="str">
        <f t="shared" si="22"/>
        <v>Đỗ Minh Ngọc, Trần Văn Toản, Nguyễn Hải Nam</v>
      </c>
    </row>
    <row r="368" spans="1:16">
      <c r="A368" s="28" t="str">
        <f>"3."&amp;D368&amp;"."&amp;B368</f>
        <v>3.N.HCM.CGIO.KSMN.303</v>
      </c>
      <c r="B368" s="28" t="str">
        <f>TEXT(COUNTIFS($C$4:C368,C368,$D$4:D368,D368,$F$4:F368,F368)+IF(F368="KT",100,IF(F368="KC",200,IF(F368="DI",300,IF(F368="DN",400,IF(F368="NU",500,IF(F368="DH",600,IF(F368="PC",700,0))))))),"000")</f>
        <v>303</v>
      </c>
      <c r="C368" s="28" t="s">
        <v>10</v>
      </c>
      <c r="D368" s="100" t="s">
        <v>348</v>
      </c>
      <c r="E368" s="28" t="s">
        <v>353</v>
      </c>
      <c r="F368" s="87" t="s">
        <v>182</v>
      </c>
      <c r="G368" s="6" t="s">
        <v>23</v>
      </c>
      <c r="H368" s="6" t="s">
        <v>156</v>
      </c>
      <c r="I368" s="82" t="s">
        <v>105</v>
      </c>
      <c r="J368" s="20" t="s">
        <v>220</v>
      </c>
      <c r="K368" s="20"/>
      <c r="L368" s="20"/>
      <c r="M368" s="20"/>
      <c r="N368" s="96">
        <v>46083</v>
      </c>
      <c r="O368" s="96">
        <v>46232</v>
      </c>
      <c r="P368" s="211" t="str">
        <f t="shared" si="22"/>
        <v xml:space="preserve">Phan Trường Giang, , </v>
      </c>
    </row>
    <row r="369" spans="1:16">
      <c r="A369" s="28" t="str">
        <f>"3."&amp;D369&amp;"."&amp;B369</f>
        <v>3.N.HCM.CGIO.KSMN.403</v>
      </c>
      <c r="B369" s="28" t="str">
        <f>TEXT(COUNTIFS($C$4:C369,C369,$D$4:D369,D369,$F$4:F369,F369)+IF(F369="KT",100,IF(F369="KC",200,IF(F369="DI",300,IF(F369="DN",400,IF(F369="NU",500,IF(F369="DH",600,IF(F369="PC",700,0))))))),"000")</f>
        <v>403</v>
      </c>
      <c r="C369" s="28" t="s">
        <v>10</v>
      </c>
      <c r="D369" s="100" t="s">
        <v>348</v>
      </c>
      <c r="E369" s="28" t="s">
        <v>353</v>
      </c>
      <c r="F369" s="87" t="s">
        <v>190</v>
      </c>
      <c r="G369" s="6" t="s">
        <v>23</v>
      </c>
      <c r="H369" s="6" t="s">
        <v>156</v>
      </c>
      <c r="I369" s="82" t="s">
        <v>105</v>
      </c>
      <c r="J369" s="20" t="s">
        <v>220</v>
      </c>
      <c r="K369" s="20"/>
      <c r="L369" s="20"/>
      <c r="M369" s="20"/>
      <c r="N369" s="96">
        <v>46083</v>
      </c>
      <c r="O369" s="96">
        <v>46232</v>
      </c>
      <c r="P369" s="211" t="str">
        <f t="shared" si="22"/>
        <v xml:space="preserve">Phan Trường Giang, , </v>
      </c>
    </row>
    <row r="370" spans="1:16">
      <c r="A370" s="28" t="str">
        <f>"3."&amp;D370&amp;"."&amp;B370</f>
        <v>3.N.HCM.CGIO.KSMN.503</v>
      </c>
      <c r="B370" s="28" t="str">
        <f>TEXT(COUNTIFS($C$4:C370,C370,$D$4:D370,D370,$F$4:F370,F370)+IF(F370="KT",100,IF(F370="KC",200,IF(F370="DI",300,IF(F370="DN",400,IF(F370="NU",500,IF(F370="DH",600,IF(F370="PC",700,0))))))),"000")</f>
        <v>503</v>
      </c>
      <c r="C370" s="28" t="s">
        <v>10</v>
      </c>
      <c r="D370" s="100" t="s">
        <v>348</v>
      </c>
      <c r="E370" s="28" t="s">
        <v>353</v>
      </c>
      <c r="F370" s="87" t="s">
        <v>195</v>
      </c>
      <c r="G370" s="6" t="s">
        <v>23</v>
      </c>
      <c r="H370" s="6" t="s">
        <v>156</v>
      </c>
      <c r="I370" s="82" t="s">
        <v>105</v>
      </c>
      <c r="J370" s="20" t="s">
        <v>220</v>
      </c>
      <c r="K370" s="20"/>
      <c r="L370" s="20"/>
      <c r="M370" s="20"/>
      <c r="N370" s="96">
        <v>46083</v>
      </c>
      <c r="O370" s="96">
        <v>46232</v>
      </c>
      <c r="P370" s="211" t="str">
        <f t="shared" ref="P370" si="37">J370&amp;", "&amp;K370&amp;", "&amp;L370</f>
        <v xml:space="preserve">Phan Trường Giang, , </v>
      </c>
    </row>
    <row r="371" spans="1:16">
      <c r="A371" s="28" t="str">
        <f>"3."&amp;D371&amp;"."&amp;B371</f>
        <v>3.N.HCM.CGIO.KSMN.603</v>
      </c>
      <c r="B371" s="28" t="str">
        <f>TEXT(COUNTIFS($C$4:C371,C371,$D$4:D371,D371,$F$4:F371,F371)+IF(F371="KT",100,IF(F371="KC",200,IF(F371="DI",300,IF(F371="DN",400,IF(F371="NU",500,IF(F371="DH",600,IF(F371="PC",700,0))))))),"000")</f>
        <v>603</v>
      </c>
      <c r="C371" s="28" t="s">
        <v>10</v>
      </c>
      <c r="D371" s="100" t="s">
        <v>348</v>
      </c>
      <c r="E371" s="28" t="s">
        <v>353</v>
      </c>
      <c r="F371" s="87" t="s">
        <v>205</v>
      </c>
      <c r="G371" s="6" t="s">
        <v>23</v>
      </c>
      <c r="H371" s="6" t="s">
        <v>156</v>
      </c>
      <c r="I371" s="82" t="s">
        <v>105</v>
      </c>
      <c r="J371" s="20" t="s">
        <v>220</v>
      </c>
      <c r="K371" s="20"/>
      <c r="L371" s="20"/>
      <c r="M371" s="20"/>
      <c r="N371" s="96">
        <v>46083</v>
      </c>
      <c r="O371" s="96">
        <v>46232</v>
      </c>
      <c r="P371" s="211" t="str">
        <f t="shared" ref="P371" si="38">J371&amp;", "&amp;K371&amp;", "&amp;L371</f>
        <v xml:space="preserve">Phan Trường Giang, , </v>
      </c>
    </row>
    <row r="372" spans="1:16">
      <c r="A372" s="28" t="str">
        <f>"3."&amp;D372&amp;"."&amp;B372</f>
        <v>3.N.HCM.CGIO.KSMN.703</v>
      </c>
      <c r="B372" s="28" t="str">
        <f>TEXT(COUNTIFS($C$4:C372,C372,$D$4:D372,D372,$F$4:F372,F372)+IF(F372="KT",100,IF(F372="KC",200,IF(F372="DI",300,IF(F372="DN",400,IF(F372="NU",500,IF(F372="DH",600,IF(F372="PC",700,0))))))),"000")</f>
        <v>703</v>
      </c>
      <c r="C372" s="28" t="s">
        <v>10</v>
      </c>
      <c r="D372" s="100" t="s">
        <v>348</v>
      </c>
      <c r="E372" s="28" t="s">
        <v>353</v>
      </c>
      <c r="F372" s="87" t="s">
        <v>200</v>
      </c>
      <c r="G372" s="6" t="s">
        <v>23</v>
      </c>
      <c r="H372" s="6" t="s">
        <v>156</v>
      </c>
      <c r="I372" s="82" t="s">
        <v>105</v>
      </c>
      <c r="J372" s="20" t="s">
        <v>220</v>
      </c>
      <c r="K372" s="20"/>
      <c r="L372" s="20"/>
      <c r="M372" s="20"/>
      <c r="N372" s="96">
        <v>46083</v>
      </c>
      <c r="O372" s="96">
        <v>46232</v>
      </c>
      <c r="P372" s="211" t="str">
        <f t="shared" si="22"/>
        <v xml:space="preserve">Phan Trường Giang, , </v>
      </c>
    </row>
    <row r="373" spans="1:16">
      <c r="A373" s="28" t="str">
        <f>"3."&amp;D373&amp;"."&amp;B373</f>
        <v>3.N.HCM.CGIO.NTD.101</v>
      </c>
      <c r="B373" s="28" t="str">
        <f>TEXT(COUNTIFS($C$4:C373,C373,$D$4:D373,D373,$F$4:F373,F373)+IF(F373="KT",100,IF(F373="KC",200,IF(F373="DI",300,IF(F373="DN",400,IF(F373="NU",500,IF(F373="DH",600,IF(F373="PC",700,0))))))),"000")</f>
        <v>101</v>
      </c>
      <c r="C373" s="28" t="s">
        <v>10</v>
      </c>
      <c r="D373" s="100" t="s">
        <v>359</v>
      </c>
      <c r="E373" s="28" t="s">
        <v>360</v>
      </c>
      <c r="F373" s="88" t="s">
        <v>164</v>
      </c>
      <c r="G373" s="6" t="s">
        <v>23</v>
      </c>
      <c r="H373" s="20" t="s">
        <v>156</v>
      </c>
      <c r="I373" s="82" t="s">
        <v>105</v>
      </c>
      <c r="J373" s="28" t="s">
        <v>33</v>
      </c>
      <c r="K373" s="28"/>
      <c r="L373" s="28"/>
      <c r="M373" s="28"/>
      <c r="N373" s="96">
        <v>46012</v>
      </c>
      <c r="O373" s="96">
        <v>46181</v>
      </c>
      <c r="P373" s="211" t="str">
        <f t="shared" si="22"/>
        <v xml:space="preserve">Đỗ Minh Ngọc, , </v>
      </c>
    </row>
    <row r="374" spans="1:16">
      <c r="A374" s="28" t="str">
        <f>"3."&amp;D374&amp;"."&amp;B374</f>
        <v>3.N.HCM.CGIO.NTD.102</v>
      </c>
      <c r="B374" s="28" t="str">
        <f>TEXT(COUNTIFS($C$4:C374,C374,$D$4:D374,D374,$F$4:F374,F374)+IF(F374="KT",100,IF(F374="KC",200,IF(F374="DI",300,IF(F374="DN",400,IF(F374="NU",500,IF(F374="DH",600,IF(F374="PC",700,0))))))),"000")</f>
        <v>102</v>
      </c>
      <c r="C374" s="28" t="s">
        <v>10</v>
      </c>
      <c r="D374" s="100" t="s">
        <v>359</v>
      </c>
      <c r="E374" s="28" t="s">
        <v>360</v>
      </c>
      <c r="F374" s="88" t="s">
        <v>164</v>
      </c>
      <c r="G374" s="6" t="s">
        <v>28</v>
      </c>
      <c r="H374" s="20" t="s">
        <v>156</v>
      </c>
      <c r="I374" s="82" t="s">
        <v>105</v>
      </c>
      <c r="J374" s="28" t="s">
        <v>31</v>
      </c>
      <c r="K374" s="28"/>
      <c r="L374" s="28"/>
      <c r="M374" s="28"/>
      <c r="N374" s="96">
        <v>46155</v>
      </c>
      <c r="O374" s="96">
        <v>46156</v>
      </c>
      <c r="P374" s="211" t="str">
        <f t="shared" si="22"/>
        <v xml:space="preserve">Lý Huy Thành, , </v>
      </c>
    </row>
    <row r="375" spans="1:16">
      <c r="A375" s="28" t="str">
        <f>"3."&amp;D375&amp;"."&amp;B375</f>
        <v>3.N.HCM.CGIO.NTD.201</v>
      </c>
      <c r="B375" s="28" t="str">
        <f>TEXT(COUNTIFS($C$4:C375,C375,$D$4:D375,D375,$F$4:F375,F375)+IF(F375="KT",100,IF(F375="KC",200,IF(F375="DI",300,IF(F375="DN",400,IF(F375="NU",500,IF(F375="DH",600,IF(F375="PC",700,0))))))),"000")</f>
        <v>201</v>
      </c>
      <c r="C375" s="28" t="s">
        <v>10</v>
      </c>
      <c r="D375" s="100" t="s">
        <v>359</v>
      </c>
      <c r="E375" s="28" t="s">
        <v>360</v>
      </c>
      <c r="F375" s="88" t="s">
        <v>174</v>
      </c>
      <c r="G375" s="6" t="s">
        <v>23</v>
      </c>
      <c r="H375" s="20" t="s">
        <v>156</v>
      </c>
      <c r="I375" s="82" t="s">
        <v>105</v>
      </c>
      <c r="J375" s="28" t="s">
        <v>33</v>
      </c>
      <c r="K375" s="28"/>
      <c r="L375" s="28"/>
      <c r="M375" s="28"/>
      <c r="N375" s="96">
        <v>46018</v>
      </c>
      <c r="O375" s="96">
        <v>46181</v>
      </c>
      <c r="P375" s="211" t="str">
        <f t="shared" si="22"/>
        <v xml:space="preserve">Đỗ Minh Ngọc, , </v>
      </c>
    </row>
    <row r="376" spans="1:16">
      <c r="A376" s="28" t="str">
        <f>"3."&amp;D376&amp;"."&amp;B376</f>
        <v>3.N.HCM.CGIO.NTD.202</v>
      </c>
      <c r="B376" s="28" t="str">
        <f>TEXT(COUNTIFS($C$4:C376,C376,$D$4:D376,D376,$F$4:F376,F376)+IF(F376="KT",100,IF(F376="KC",200,IF(F376="DI",300,IF(F376="DN",400,IF(F376="NU",500,IF(F376="DH",600,IF(F376="PC",700,0))))))),"000")</f>
        <v>202</v>
      </c>
      <c r="C376" s="28" t="s">
        <v>10</v>
      </c>
      <c r="D376" s="100" t="s">
        <v>359</v>
      </c>
      <c r="E376" s="28" t="s">
        <v>360</v>
      </c>
      <c r="F376" s="88" t="s">
        <v>174</v>
      </c>
      <c r="G376" s="6" t="s">
        <v>28</v>
      </c>
      <c r="H376" s="20" t="s">
        <v>156</v>
      </c>
      <c r="I376" s="82" t="s">
        <v>105</v>
      </c>
      <c r="J376" s="28" t="s">
        <v>32</v>
      </c>
      <c r="K376" s="28"/>
      <c r="L376" s="28"/>
      <c r="M376" s="28"/>
      <c r="N376" s="96">
        <v>46155</v>
      </c>
      <c r="O376" s="96">
        <v>46156</v>
      </c>
      <c r="P376" s="211" t="str">
        <f t="shared" si="22"/>
        <v xml:space="preserve">Nguyễn Hải Nam, , </v>
      </c>
    </row>
    <row r="377" spans="1:16">
      <c r="A377" s="28" t="str">
        <f>"3."&amp;D377&amp;"."&amp;B377</f>
        <v>3.N.HCM.CGIO.NTD.301</v>
      </c>
      <c r="B377" s="28" t="str">
        <f>TEXT(COUNTIFS($C$4:C377,C377,$D$4:D377,D377,$F$4:F377,F377)+IF(F377="KT",100,IF(F377="KC",200,IF(F377="DI",300,IF(F377="DN",400,IF(F377="NU",500,IF(F377="DH",600,IF(F377="PC",700,0))))))),"000")</f>
        <v>301</v>
      </c>
      <c r="C377" s="28" t="s">
        <v>10</v>
      </c>
      <c r="D377" s="100" t="s">
        <v>359</v>
      </c>
      <c r="E377" s="28" t="s">
        <v>360</v>
      </c>
      <c r="F377" s="87" t="s">
        <v>182</v>
      </c>
      <c r="G377" s="6" t="s">
        <v>23</v>
      </c>
      <c r="H377" s="6" t="s">
        <v>156</v>
      </c>
      <c r="I377" s="82" t="s">
        <v>105</v>
      </c>
      <c r="J377" s="20" t="s">
        <v>220</v>
      </c>
      <c r="K377" s="20"/>
      <c r="L377" s="20"/>
      <c r="M377" s="20"/>
      <c r="N377" s="96">
        <v>46031</v>
      </c>
      <c r="O377" s="96">
        <v>46164</v>
      </c>
      <c r="P377" s="211" t="str">
        <f t="shared" si="22"/>
        <v xml:space="preserve">Phan Trường Giang, , </v>
      </c>
    </row>
    <row r="378" spans="1:16">
      <c r="A378" s="28" t="str">
        <f>"3."&amp;D378&amp;"."&amp;B378</f>
        <v>3.N.HCM.CGIO.NTD.401</v>
      </c>
      <c r="B378" s="28" t="str">
        <f>TEXT(COUNTIFS($C$4:C378,C378,$D$4:D378,D378,$F$4:F378,F378)+IF(F378="KT",100,IF(F378="KC",200,IF(F378="DI",300,IF(F378="DN",400,IF(F378="NU",500,IF(F378="DH",600,IF(F378="PC",700,0))))))),"000")</f>
        <v>401</v>
      </c>
      <c r="C378" s="28" t="s">
        <v>10</v>
      </c>
      <c r="D378" s="100" t="s">
        <v>359</v>
      </c>
      <c r="E378" s="28" t="s">
        <v>360</v>
      </c>
      <c r="F378" s="87" t="s">
        <v>190</v>
      </c>
      <c r="G378" s="6" t="s">
        <v>23</v>
      </c>
      <c r="H378" s="6" t="s">
        <v>156</v>
      </c>
      <c r="I378" s="82" t="s">
        <v>105</v>
      </c>
      <c r="J378" s="20" t="s">
        <v>220</v>
      </c>
      <c r="K378" s="20"/>
      <c r="L378" s="20"/>
      <c r="M378" s="20"/>
      <c r="N378" s="96">
        <v>46031</v>
      </c>
      <c r="O378" s="96">
        <v>46164</v>
      </c>
      <c r="P378" s="211" t="str">
        <f t="shared" si="22"/>
        <v xml:space="preserve">Phan Trường Giang, , </v>
      </c>
    </row>
    <row r="379" spans="1:16">
      <c r="A379" s="28" t="str">
        <f>"3."&amp;D379&amp;"."&amp;B379</f>
        <v>3.N.HCM.CGIO.NTD.501</v>
      </c>
      <c r="B379" s="28" t="str">
        <f>TEXT(COUNTIFS($C$4:C379,C379,$D$4:D379,D379,$F$4:F379,F379)+IF(F379="KT",100,IF(F379="KC",200,IF(F379="DI",300,IF(F379="DN",400,IF(F379="NU",500,IF(F379="DH",600,IF(F379="PC",700,0))))))),"000")</f>
        <v>501</v>
      </c>
      <c r="C379" s="28" t="s">
        <v>10</v>
      </c>
      <c r="D379" s="100" t="s">
        <v>359</v>
      </c>
      <c r="E379" s="28" t="s">
        <v>360</v>
      </c>
      <c r="F379" s="87" t="s">
        <v>195</v>
      </c>
      <c r="G379" s="6" t="s">
        <v>23</v>
      </c>
      <c r="H379" s="6" t="s">
        <v>156</v>
      </c>
      <c r="I379" s="82" t="s">
        <v>105</v>
      </c>
      <c r="J379" s="20" t="s">
        <v>220</v>
      </c>
      <c r="K379" s="20"/>
      <c r="L379" s="20"/>
      <c r="M379" s="20"/>
      <c r="N379" s="96">
        <v>46031</v>
      </c>
      <c r="O379" s="96">
        <v>46164</v>
      </c>
      <c r="P379" s="211" t="str">
        <f t="shared" ref="P379" si="39">J379&amp;", "&amp;K379&amp;", "&amp;L379</f>
        <v xml:space="preserve">Phan Trường Giang, , </v>
      </c>
    </row>
    <row r="380" spans="1:16">
      <c r="A380" s="28" t="str">
        <f>"3."&amp;D380&amp;"."&amp;B380</f>
        <v>3.N.HCM.CGIO.NTD.601</v>
      </c>
      <c r="B380" s="28" t="str">
        <f>TEXT(COUNTIFS($C$4:C380,C380,$D$4:D380,D380,$F$4:F380,F380)+IF(F380="KT",100,IF(F380="KC",200,IF(F380="DI",300,IF(F380="DN",400,IF(F380="NU",500,IF(F380="DH",600,IF(F380="PC",700,0))))))),"000")</f>
        <v>601</v>
      </c>
      <c r="C380" s="28" t="s">
        <v>10</v>
      </c>
      <c r="D380" s="100" t="s">
        <v>359</v>
      </c>
      <c r="E380" s="28" t="s">
        <v>360</v>
      </c>
      <c r="F380" s="87" t="s">
        <v>205</v>
      </c>
      <c r="G380" s="6" t="s">
        <v>23</v>
      </c>
      <c r="H380" s="6" t="s">
        <v>156</v>
      </c>
      <c r="I380" s="82" t="s">
        <v>105</v>
      </c>
      <c r="J380" s="20" t="s">
        <v>220</v>
      </c>
      <c r="K380" s="20"/>
      <c r="L380" s="20"/>
      <c r="M380" s="20"/>
      <c r="N380" s="96">
        <v>46031</v>
      </c>
      <c r="O380" s="96">
        <v>46164</v>
      </c>
      <c r="P380" s="211" t="str">
        <f t="shared" ref="P380" si="40">J380&amp;", "&amp;K380&amp;", "&amp;L380</f>
        <v xml:space="preserve">Phan Trường Giang, , </v>
      </c>
    </row>
    <row r="381" spans="1:16">
      <c r="A381" s="28" t="str">
        <f>"3."&amp;D381&amp;"."&amp;B381</f>
        <v>3.N.HCM.CGIO.NTD.701</v>
      </c>
      <c r="B381" s="28" t="str">
        <f>TEXT(COUNTIFS($C$4:C381,C381,$D$4:D381,D381,$F$4:F381,F381)+IF(F381="KT",100,IF(F381="KC",200,IF(F381="DI",300,IF(F381="DN",400,IF(F381="NU",500,IF(F381="DH",600,IF(F381="PC",700,0))))))),"000")</f>
        <v>701</v>
      </c>
      <c r="C381" s="28" t="s">
        <v>10</v>
      </c>
      <c r="D381" s="100" t="s">
        <v>359</v>
      </c>
      <c r="E381" s="28" t="s">
        <v>360</v>
      </c>
      <c r="F381" s="87" t="s">
        <v>200</v>
      </c>
      <c r="G381" s="6" t="s">
        <v>23</v>
      </c>
      <c r="H381" s="6" t="s">
        <v>156</v>
      </c>
      <c r="I381" s="82" t="s">
        <v>105</v>
      </c>
      <c r="J381" s="20" t="s">
        <v>220</v>
      </c>
      <c r="K381" s="20"/>
      <c r="L381" s="20"/>
      <c r="M381" s="20"/>
      <c r="N381" s="96">
        <v>46031</v>
      </c>
      <c r="O381" s="96">
        <v>46164</v>
      </c>
      <c r="P381" s="211" t="str">
        <f t="shared" si="22"/>
        <v xml:space="preserve">Phan Trường Giang, , </v>
      </c>
    </row>
    <row r="382" spans="1:16">
      <c r="A382" s="28" t="str">
        <f>"3."&amp;D382&amp;"."&amp;B382</f>
        <v>3.N.HCM.CGIO.NH.101</v>
      </c>
      <c r="B382" s="28" t="str">
        <f>TEXT(COUNTIFS($C$4:C382,C382,$D$4:D382,D382,$F$4:F382,F382)+IF(F382="KT",100,IF(F382="KC",200,IF(F382="DI",300,IF(F382="DN",400,IF(F382="NU",500,IF(F382="DH",600,IF(F382="PC",700,0))))))),"000")</f>
        <v>101</v>
      </c>
      <c r="C382" s="28" t="s">
        <v>10</v>
      </c>
      <c r="D382" s="100" t="s">
        <v>356</v>
      </c>
      <c r="E382" s="28" t="s">
        <v>357</v>
      </c>
      <c r="F382" s="88" t="s">
        <v>164</v>
      </c>
      <c r="G382" s="6" t="s">
        <v>23</v>
      </c>
      <c r="H382" s="20" t="s">
        <v>156</v>
      </c>
      <c r="I382" s="82" t="s">
        <v>105</v>
      </c>
      <c r="J382" s="28" t="s">
        <v>34</v>
      </c>
      <c r="K382" s="28"/>
      <c r="L382" s="28"/>
      <c r="M382" s="28"/>
      <c r="N382" s="96">
        <v>45908</v>
      </c>
      <c r="O382" s="96">
        <v>46204</v>
      </c>
      <c r="P382" s="211" t="str">
        <f t="shared" si="22"/>
        <v xml:space="preserve">Trần Văn Diện, , </v>
      </c>
    </row>
    <row r="383" spans="1:16">
      <c r="A383" s="28" t="str">
        <f>"3."&amp;D383&amp;"."&amp;B383</f>
        <v>3.N.HCM.CGIO.NH.201</v>
      </c>
      <c r="B383" s="28" t="str">
        <f>TEXT(COUNTIFS($C$4:C383,C383,$D$4:D383,D383,$F$4:F383,F383)+IF(F383="KT",100,IF(F383="KC",200,IF(F383="DI",300,IF(F383="DN",400,IF(F383="NU",500,IF(F383="DH",600,IF(F383="PC",700,0))))))),"000")</f>
        <v>201</v>
      </c>
      <c r="C383" s="28" t="s">
        <v>10</v>
      </c>
      <c r="D383" s="100" t="s">
        <v>356</v>
      </c>
      <c r="E383" s="28" t="s">
        <v>357</v>
      </c>
      <c r="F383" s="88" t="s">
        <v>174</v>
      </c>
      <c r="G383" s="6" t="s">
        <v>23</v>
      </c>
      <c r="H383" s="20" t="s">
        <v>156</v>
      </c>
      <c r="I383" s="82" t="s">
        <v>105</v>
      </c>
      <c r="J383" s="28" t="s">
        <v>34</v>
      </c>
      <c r="K383" s="28"/>
      <c r="L383" s="28"/>
      <c r="M383" s="28"/>
      <c r="N383" s="96">
        <v>45908</v>
      </c>
      <c r="O383" s="96">
        <v>46204</v>
      </c>
      <c r="P383" s="211" t="str">
        <f t="shared" si="22"/>
        <v xml:space="preserve">Trần Văn Diện, , </v>
      </c>
    </row>
    <row r="384" spans="1:16">
      <c r="A384" s="28" t="str">
        <f>"3."&amp;D384&amp;"."&amp;B384</f>
        <v>3.N.HCM.CGIO.NH.301</v>
      </c>
      <c r="B384" s="28" t="str">
        <f>TEXT(COUNTIFS($C$4:C384,C384,$D$4:D384,D384,$F$4:F384,F384)+IF(F384="KT",100,IF(F384="KC",200,IF(F384="DI",300,IF(F384="DN",400,IF(F384="NU",500,IF(F384="DH",600,IF(F384="PC",700,0))))))),"000")</f>
        <v>301</v>
      </c>
      <c r="C384" s="28" t="s">
        <v>10</v>
      </c>
      <c r="D384" s="100" t="s">
        <v>356</v>
      </c>
      <c r="E384" s="28" t="s">
        <v>357</v>
      </c>
      <c r="F384" s="87" t="s">
        <v>182</v>
      </c>
      <c r="G384" s="6" t="s">
        <v>23</v>
      </c>
      <c r="H384" s="6" t="s">
        <v>156</v>
      </c>
      <c r="I384" s="82" t="s">
        <v>105</v>
      </c>
      <c r="J384" s="19" t="s">
        <v>216</v>
      </c>
      <c r="K384" s="19"/>
      <c r="L384" s="19"/>
      <c r="M384" s="19"/>
      <c r="N384" s="96">
        <v>46033</v>
      </c>
      <c r="O384" s="96">
        <v>46204</v>
      </c>
      <c r="P384" s="211" t="str">
        <f t="shared" si="22"/>
        <v xml:space="preserve">Đặng Thái Sơn, , </v>
      </c>
    </row>
    <row r="385" spans="1:16">
      <c r="A385" s="28" t="str">
        <f>"3."&amp;D385&amp;"."&amp;B385</f>
        <v>3.N.HCM.CGIO.NH.401</v>
      </c>
      <c r="B385" s="28" t="str">
        <f>TEXT(COUNTIFS($C$4:C385,C385,$D$4:D385,D385,$F$4:F385,F385)+IF(F385="KT",100,IF(F385="KC",200,IF(F385="DI",300,IF(F385="DN",400,IF(F385="NU",500,IF(F385="DH",600,IF(F385="PC",700,0))))))),"000")</f>
        <v>401</v>
      </c>
      <c r="C385" s="28" t="s">
        <v>10</v>
      </c>
      <c r="D385" s="100" t="s">
        <v>356</v>
      </c>
      <c r="E385" s="28" t="s">
        <v>357</v>
      </c>
      <c r="F385" s="87" t="s">
        <v>190</v>
      </c>
      <c r="G385" s="6" t="s">
        <v>23</v>
      </c>
      <c r="H385" s="6" t="s">
        <v>156</v>
      </c>
      <c r="I385" s="82" t="s">
        <v>105</v>
      </c>
      <c r="J385" s="19" t="s">
        <v>216</v>
      </c>
      <c r="K385" s="19"/>
      <c r="L385" s="19"/>
      <c r="M385" s="19"/>
      <c r="N385" s="96">
        <v>46033</v>
      </c>
      <c r="O385" s="96">
        <v>46204</v>
      </c>
      <c r="P385" s="211" t="str">
        <f t="shared" si="22"/>
        <v xml:space="preserve">Đặng Thái Sơn, , </v>
      </c>
    </row>
    <row r="386" spans="1:16">
      <c r="A386" s="28" t="str">
        <f>"3."&amp;D386&amp;"."&amp;B386</f>
        <v>3.N.HCM.CGIO.NH.501</v>
      </c>
      <c r="B386" s="28" t="str">
        <f>TEXT(COUNTIFS($C$4:C386,C386,$D$4:D386,D386,$F$4:F386,F386)+IF(F386="KT",100,IF(F386="KC",200,IF(F386="DI",300,IF(F386="DN",400,IF(F386="NU",500,IF(F386="DH",600,IF(F386="PC",700,0))))))),"000")</f>
        <v>501</v>
      </c>
      <c r="C386" s="28" t="s">
        <v>10</v>
      </c>
      <c r="D386" s="100" t="s">
        <v>356</v>
      </c>
      <c r="E386" s="28" t="s">
        <v>357</v>
      </c>
      <c r="F386" s="87" t="s">
        <v>195</v>
      </c>
      <c r="G386" s="6" t="s">
        <v>23</v>
      </c>
      <c r="H386" s="6" t="s">
        <v>156</v>
      </c>
      <c r="I386" s="82" t="s">
        <v>105</v>
      </c>
      <c r="J386" s="19" t="s">
        <v>216</v>
      </c>
      <c r="K386" s="19"/>
      <c r="L386" s="19"/>
      <c r="M386" s="19"/>
      <c r="N386" s="96">
        <v>46033</v>
      </c>
      <c r="O386" s="96">
        <v>46204</v>
      </c>
      <c r="P386" s="211" t="str">
        <f t="shared" ref="P386" si="41">J386&amp;", "&amp;K386&amp;", "&amp;L386</f>
        <v xml:space="preserve">Đặng Thái Sơn, , </v>
      </c>
    </row>
    <row r="387" spans="1:16">
      <c r="A387" s="28" t="str">
        <f>"3."&amp;D387&amp;"."&amp;B387</f>
        <v>3.N.HCM.CGIO.NH.601</v>
      </c>
      <c r="B387" s="28" t="str">
        <f>TEXT(COUNTIFS($C$4:C387,C387,$D$4:D387,D387,$F$4:F387,F387)+IF(F387="KT",100,IF(F387="KC",200,IF(F387="DI",300,IF(F387="DN",400,IF(F387="NU",500,IF(F387="DH",600,IF(F387="PC",700,0))))))),"000")</f>
        <v>601</v>
      </c>
      <c r="C387" s="28" t="s">
        <v>10</v>
      </c>
      <c r="D387" s="100" t="s">
        <v>356</v>
      </c>
      <c r="E387" s="28" t="s">
        <v>357</v>
      </c>
      <c r="F387" s="87" t="s">
        <v>205</v>
      </c>
      <c r="G387" s="6" t="s">
        <v>23</v>
      </c>
      <c r="H387" s="6" t="s">
        <v>156</v>
      </c>
      <c r="I387" s="82" t="s">
        <v>105</v>
      </c>
      <c r="J387" s="19" t="s">
        <v>216</v>
      </c>
      <c r="K387" s="19"/>
      <c r="L387" s="19"/>
      <c r="M387" s="19"/>
      <c r="N387" s="96">
        <v>46033</v>
      </c>
      <c r="O387" s="96">
        <v>46204</v>
      </c>
      <c r="P387" s="211" t="str">
        <f t="shared" ref="P387" si="42">J387&amp;", "&amp;K387&amp;", "&amp;L387</f>
        <v xml:space="preserve">Đặng Thái Sơn, , </v>
      </c>
    </row>
    <row r="388" spans="1:16">
      <c r="A388" s="28" t="str">
        <f>"3."&amp;D388&amp;"."&amp;B388</f>
        <v>3.N.HCM.CGIO.NH.701</v>
      </c>
      <c r="B388" s="28" t="str">
        <f>TEXT(COUNTIFS($C$4:C388,C388,$D$4:D388,D388,$F$4:F388,F388)+IF(F388="KT",100,IF(F388="KC",200,IF(F388="DI",300,IF(F388="DN",400,IF(F388="NU",500,IF(F388="DH",600,IF(F388="PC",700,0))))))),"000")</f>
        <v>701</v>
      </c>
      <c r="C388" s="28" t="s">
        <v>10</v>
      </c>
      <c r="D388" s="100" t="s">
        <v>356</v>
      </c>
      <c r="E388" s="28" t="s">
        <v>357</v>
      </c>
      <c r="F388" s="87" t="s">
        <v>200</v>
      </c>
      <c r="G388" s="6" t="s">
        <v>23</v>
      </c>
      <c r="H388" s="6" t="s">
        <v>156</v>
      </c>
      <c r="I388" s="82" t="s">
        <v>105</v>
      </c>
      <c r="J388" s="19" t="s">
        <v>216</v>
      </c>
      <c r="K388" s="19"/>
      <c r="L388" s="19"/>
      <c r="M388" s="19"/>
      <c r="N388" s="96">
        <v>46033</v>
      </c>
      <c r="O388" s="96">
        <v>46204</v>
      </c>
      <c r="P388" s="211" t="str">
        <f t="shared" si="22"/>
        <v xml:space="preserve">Đặng Thái Sơn, , </v>
      </c>
    </row>
    <row r="389" spans="1:16">
      <c r="A389" s="28" t="str">
        <f>"3."&amp;D389&amp;"."&amp;B389</f>
        <v>3.N.HCM.CGIO.VSC.101</v>
      </c>
      <c r="B389" s="28" t="str">
        <f>TEXT(COUNTIFS($C$4:C389,C389,$D$4:D389,D389,$F$4:F389,F389)+IF(F389="KT",100,IF(F389="KC",200,IF(F389="DI",300,IF(F389="DN",400,IF(F389="NU",500,IF(F389="DH",600,IF(F389="PC",700,0))))))),"000")</f>
        <v>101</v>
      </c>
      <c r="C389" s="28" t="s">
        <v>10</v>
      </c>
      <c r="D389" s="100" t="s">
        <v>362</v>
      </c>
      <c r="E389" s="28" t="s">
        <v>363</v>
      </c>
      <c r="F389" s="88" t="s">
        <v>164</v>
      </c>
      <c r="G389" s="6" t="s">
        <v>23</v>
      </c>
      <c r="H389" s="20" t="s">
        <v>156</v>
      </c>
      <c r="I389" s="82" t="s">
        <v>105</v>
      </c>
      <c r="J389" s="28" t="s">
        <v>32</v>
      </c>
      <c r="K389" s="82"/>
      <c r="L389" s="82"/>
      <c r="M389" s="12"/>
      <c r="N389" s="96">
        <v>46112</v>
      </c>
      <c r="O389" s="96">
        <v>46227</v>
      </c>
      <c r="P389" s="211" t="str">
        <f t="shared" si="22"/>
        <v xml:space="preserve">Nguyễn Hải Nam, , </v>
      </c>
    </row>
    <row r="390" spans="1:16">
      <c r="A390" s="28" t="str">
        <f>"3."&amp;D390&amp;"."&amp;B390</f>
        <v>3.N.HCM.CGIO.VSC.201</v>
      </c>
      <c r="B390" s="28" t="str">
        <f>TEXT(COUNTIFS($C$4:C390,C390,$D$4:D390,D390,$F$4:F390,F390)+IF(F390="KT",100,IF(F390="KC",200,IF(F390="DI",300,IF(F390="DN",400,IF(F390="NU",500,IF(F390="DH",600,IF(F390="PC",700,0))))))),"000")</f>
        <v>201</v>
      </c>
      <c r="C390" s="28" t="s">
        <v>10</v>
      </c>
      <c r="D390" s="100" t="s">
        <v>362</v>
      </c>
      <c r="E390" s="28" t="s">
        <v>363</v>
      </c>
      <c r="F390" s="88" t="s">
        <v>174</v>
      </c>
      <c r="G390" s="6" t="s">
        <v>23</v>
      </c>
      <c r="H390" s="20" t="s">
        <v>156</v>
      </c>
      <c r="I390" s="82" t="s">
        <v>105</v>
      </c>
      <c r="J390" s="28" t="s">
        <v>32</v>
      </c>
      <c r="K390" s="28"/>
      <c r="L390" s="28"/>
      <c r="M390" s="28"/>
      <c r="N390" s="96">
        <v>46128</v>
      </c>
      <c r="O390" s="96">
        <v>46227</v>
      </c>
      <c r="P390" s="211" t="str">
        <f t="shared" si="22"/>
        <v xml:space="preserve">Nguyễn Hải Nam, , </v>
      </c>
    </row>
    <row r="391" spans="1:16">
      <c r="A391" s="28" t="str">
        <f>"3."&amp;D391&amp;"."&amp;B391</f>
        <v>3.N.HCM.CGIO.VSC.301</v>
      </c>
      <c r="B391" s="28" t="str">
        <f>TEXT(COUNTIFS($C$4:C391,C391,$D$4:D391,D391,$F$4:F391,F391)+IF(F391="KT",100,IF(F391="KC",200,IF(F391="DI",300,IF(F391="DN",400,IF(F391="NU",500,IF(F391="DH",600,IF(F391="PC",700,0))))))),"000")</f>
        <v>301</v>
      </c>
      <c r="C391" s="28" t="s">
        <v>10</v>
      </c>
      <c r="D391" s="100" t="s">
        <v>362</v>
      </c>
      <c r="E391" s="28" t="s">
        <v>363</v>
      </c>
      <c r="F391" s="87" t="s">
        <v>182</v>
      </c>
      <c r="G391" s="6" t="s">
        <v>23</v>
      </c>
      <c r="H391" s="6" t="s">
        <v>156</v>
      </c>
      <c r="I391" s="82" t="s">
        <v>105</v>
      </c>
      <c r="J391" s="20" t="s">
        <v>206</v>
      </c>
      <c r="K391" s="20"/>
      <c r="L391" s="20"/>
      <c r="M391" s="20"/>
      <c r="N391" s="96">
        <v>46174</v>
      </c>
      <c r="O391" s="96">
        <v>46295</v>
      </c>
      <c r="P391" s="211" t="str">
        <f t="shared" si="22"/>
        <v xml:space="preserve">Nguyễn Văn Hải, , </v>
      </c>
    </row>
    <row r="392" spans="1:16">
      <c r="A392" s="28" t="str">
        <f>"3."&amp;D392&amp;"."&amp;B392</f>
        <v>3.N.HCM.CGIO.VSC.401</v>
      </c>
      <c r="B392" s="28" t="str">
        <f>TEXT(COUNTIFS($C$4:C392,C392,$D$4:D392,D392,$F$4:F392,F392)+IF(F392="KT",100,IF(F392="KC",200,IF(F392="DI",300,IF(F392="DN",400,IF(F392="NU",500,IF(F392="DH",600,IF(F392="PC",700,0))))))),"000")</f>
        <v>401</v>
      </c>
      <c r="C392" s="28" t="s">
        <v>10</v>
      </c>
      <c r="D392" s="100" t="s">
        <v>362</v>
      </c>
      <c r="E392" s="28" t="s">
        <v>363</v>
      </c>
      <c r="F392" s="87" t="s">
        <v>190</v>
      </c>
      <c r="G392" s="6" t="s">
        <v>23</v>
      </c>
      <c r="H392" s="6" t="s">
        <v>156</v>
      </c>
      <c r="I392" s="82" t="s">
        <v>105</v>
      </c>
      <c r="J392" s="20" t="s">
        <v>206</v>
      </c>
      <c r="K392" s="20"/>
      <c r="L392" s="20"/>
      <c r="M392" s="20"/>
      <c r="N392" s="96">
        <v>46174</v>
      </c>
      <c r="O392" s="96">
        <v>46295</v>
      </c>
      <c r="P392" s="211" t="str">
        <f t="shared" si="22"/>
        <v xml:space="preserve">Nguyễn Văn Hải, , </v>
      </c>
    </row>
    <row r="393" spans="1:16">
      <c r="A393" s="28" t="str">
        <f>"3."&amp;D393&amp;"."&amp;B393</f>
        <v>3.N.HCM.CGIO.VSC.501</v>
      </c>
      <c r="B393" s="28" t="str">
        <f>TEXT(COUNTIFS($C$4:C393,C393,$D$4:D393,D393,$F$4:F393,F393)+IF(F393="KT",100,IF(F393="KC",200,IF(F393="DI",300,IF(F393="DN",400,IF(F393="NU",500,IF(F393="DH",600,IF(F393="PC",700,0))))))),"000")</f>
        <v>501</v>
      </c>
      <c r="C393" s="28" t="s">
        <v>10</v>
      </c>
      <c r="D393" s="100" t="s">
        <v>362</v>
      </c>
      <c r="E393" s="28" t="s">
        <v>363</v>
      </c>
      <c r="F393" s="87" t="s">
        <v>195</v>
      </c>
      <c r="G393" s="6" t="s">
        <v>23</v>
      </c>
      <c r="H393" s="6" t="s">
        <v>156</v>
      </c>
      <c r="I393" s="82" t="s">
        <v>105</v>
      </c>
      <c r="J393" s="20" t="s">
        <v>206</v>
      </c>
      <c r="K393" s="20"/>
      <c r="L393" s="20"/>
      <c r="M393" s="20"/>
      <c r="N393" s="96">
        <v>46174</v>
      </c>
      <c r="O393" s="96">
        <v>46295</v>
      </c>
      <c r="P393" s="211" t="str">
        <f t="shared" ref="P393" si="43">J393&amp;", "&amp;K393&amp;", "&amp;L393</f>
        <v xml:space="preserve">Nguyễn Văn Hải, , </v>
      </c>
    </row>
    <row r="394" spans="1:16">
      <c r="A394" s="28" t="str">
        <f>"3."&amp;D394&amp;"."&amp;B394</f>
        <v>3.N.HCM.CGIO.VSC.601</v>
      </c>
      <c r="B394" s="28" t="str">
        <f>TEXT(COUNTIFS($C$4:C394,C394,$D$4:D394,D394,$F$4:F394,F394)+IF(F394="KT",100,IF(F394="KC",200,IF(F394="DI",300,IF(F394="DN",400,IF(F394="NU",500,IF(F394="DH",600,IF(F394="PC",700,0))))))),"000")</f>
        <v>601</v>
      </c>
      <c r="C394" s="28" t="s">
        <v>10</v>
      </c>
      <c r="D394" s="100" t="s">
        <v>362</v>
      </c>
      <c r="E394" s="28" t="s">
        <v>363</v>
      </c>
      <c r="F394" s="87" t="s">
        <v>205</v>
      </c>
      <c r="G394" s="6" t="s">
        <v>23</v>
      </c>
      <c r="H394" s="6" t="s">
        <v>156</v>
      </c>
      <c r="I394" s="82" t="s">
        <v>105</v>
      </c>
      <c r="J394" s="20" t="s">
        <v>206</v>
      </c>
      <c r="K394" s="20"/>
      <c r="L394" s="20"/>
      <c r="M394" s="20"/>
      <c r="N394" s="96">
        <v>46174</v>
      </c>
      <c r="O394" s="96">
        <v>46295</v>
      </c>
      <c r="P394" s="211" t="str">
        <f t="shared" ref="P394" si="44">J394&amp;", "&amp;K394&amp;", "&amp;L394</f>
        <v xml:space="preserve">Nguyễn Văn Hải, , </v>
      </c>
    </row>
    <row r="395" spans="1:16">
      <c r="A395" s="28" t="str">
        <f>"3."&amp;D395&amp;"."&amp;B395</f>
        <v>3.N.HCM.CGIO.VSC.701</v>
      </c>
      <c r="B395" s="28" t="str">
        <f>TEXT(COUNTIFS($C$4:C395,C395,$D$4:D395,D395,$F$4:F395,F395)+IF(F395="KT",100,IF(F395="KC",200,IF(F395="DI",300,IF(F395="DN",400,IF(F395="NU",500,IF(F395="DH",600,IF(F395="PC",700,0))))))),"000")</f>
        <v>701</v>
      </c>
      <c r="C395" s="28" t="s">
        <v>10</v>
      </c>
      <c r="D395" s="100" t="s">
        <v>362</v>
      </c>
      <c r="E395" s="28" t="s">
        <v>363</v>
      </c>
      <c r="F395" s="87" t="s">
        <v>200</v>
      </c>
      <c r="G395" s="6" t="s">
        <v>23</v>
      </c>
      <c r="H395" s="6" t="s">
        <v>156</v>
      </c>
      <c r="I395" s="82" t="s">
        <v>105</v>
      </c>
      <c r="J395" s="20" t="s">
        <v>206</v>
      </c>
      <c r="K395" s="20"/>
      <c r="L395" s="20"/>
      <c r="M395" s="20"/>
      <c r="N395" s="96">
        <v>46174</v>
      </c>
      <c r="O395" s="96">
        <v>46295</v>
      </c>
      <c r="P395" s="211" t="str">
        <f t="shared" si="22"/>
        <v xml:space="preserve">Nguyễn Văn Hải, , </v>
      </c>
    </row>
    <row r="396" spans="1:16">
      <c r="A396" s="28" t="str">
        <f>"3."&amp;D396&amp;"."&amp;B396</f>
        <v>3.N.HCM.CGIO.VSC.102</v>
      </c>
      <c r="B396" s="28" t="str">
        <f>TEXT(COUNTIFS($C$4:C396,C396,$D$4:D396,D396,$F$4:F396,F396)+IF(F396="KT",100,IF(F396="KC",200,IF(F396="DI",300,IF(F396="DN",400,IF(F396="NU",500,IF(F396="DH",600,IF(F396="PC",700,0))))))),"000")</f>
        <v>102</v>
      </c>
      <c r="C396" s="28" t="s">
        <v>10</v>
      </c>
      <c r="D396" s="100" t="s">
        <v>362</v>
      </c>
      <c r="E396" s="28" t="s">
        <v>365</v>
      </c>
      <c r="F396" s="88" t="s">
        <v>164</v>
      </c>
      <c r="G396" s="6" t="s">
        <v>23</v>
      </c>
      <c r="H396" s="20" t="s">
        <v>156</v>
      </c>
      <c r="I396" s="82" t="s">
        <v>105</v>
      </c>
      <c r="J396" s="28" t="s">
        <v>32</v>
      </c>
      <c r="K396" s="28"/>
      <c r="L396" s="28"/>
      <c r="M396" s="28"/>
      <c r="N396" s="96">
        <v>46112</v>
      </c>
      <c r="O396" s="96">
        <v>46227</v>
      </c>
      <c r="P396" s="211" t="str">
        <f t="shared" si="22"/>
        <v xml:space="preserve">Nguyễn Hải Nam, , </v>
      </c>
    </row>
    <row r="397" spans="1:16">
      <c r="A397" s="28" t="str">
        <f>"3."&amp;D397&amp;"."&amp;B397</f>
        <v>3.N.HCM.CGIO.VSC.202</v>
      </c>
      <c r="B397" s="28" t="str">
        <f>TEXT(COUNTIFS($C$4:C397,C397,$D$4:D397,D397,$F$4:F397,F397)+IF(F397="KT",100,IF(F397="KC",200,IF(F397="DI",300,IF(F397="DN",400,IF(F397="NU",500,IF(F397="DH",600,IF(F397="PC",700,0))))))),"000")</f>
        <v>202</v>
      </c>
      <c r="C397" s="28" t="s">
        <v>10</v>
      </c>
      <c r="D397" s="100" t="s">
        <v>362</v>
      </c>
      <c r="E397" s="28" t="s">
        <v>365</v>
      </c>
      <c r="F397" s="88" t="s">
        <v>174</v>
      </c>
      <c r="G397" s="6" t="s">
        <v>23</v>
      </c>
      <c r="H397" s="20" t="s">
        <v>156</v>
      </c>
      <c r="I397" s="82" t="s">
        <v>105</v>
      </c>
      <c r="J397" s="28" t="s">
        <v>32</v>
      </c>
      <c r="K397" s="28"/>
      <c r="L397" s="28"/>
      <c r="M397" s="28"/>
      <c r="N397" s="96">
        <v>46128</v>
      </c>
      <c r="O397" s="96">
        <v>46227</v>
      </c>
      <c r="P397" s="211" t="str">
        <f t="shared" si="22"/>
        <v xml:space="preserve">Nguyễn Hải Nam, , </v>
      </c>
    </row>
    <row r="398" spans="1:16">
      <c r="A398" s="28" t="str">
        <f>"3."&amp;D398&amp;"."&amp;B398</f>
        <v>3.N.HCM.CGIO.VSC.302</v>
      </c>
      <c r="B398" s="28" t="str">
        <f>TEXT(COUNTIFS($C$4:C398,C398,$D$4:D398,D398,$F$4:F398,F398)+IF(F398="KT",100,IF(F398="KC",200,IF(F398="DI",300,IF(F398="DN",400,IF(F398="NU",500,IF(F398="DH",600,IF(F398="PC",700,0))))))),"000")</f>
        <v>302</v>
      </c>
      <c r="C398" s="28" t="s">
        <v>10</v>
      </c>
      <c r="D398" s="100" t="s">
        <v>362</v>
      </c>
      <c r="E398" s="28" t="s">
        <v>365</v>
      </c>
      <c r="F398" s="87" t="s">
        <v>182</v>
      </c>
      <c r="G398" s="6" t="s">
        <v>23</v>
      </c>
      <c r="H398" s="6" t="s">
        <v>156</v>
      </c>
      <c r="I398" s="82" t="s">
        <v>105</v>
      </c>
      <c r="J398" s="20" t="s">
        <v>216</v>
      </c>
      <c r="K398" s="20"/>
      <c r="L398" s="20"/>
      <c r="M398" s="20"/>
      <c r="N398" s="96">
        <v>46156</v>
      </c>
      <c r="O398" s="96">
        <v>46171</v>
      </c>
      <c r="P398" s="211" t="str">
        <f t="shared" si="22"/>
        <v xml:space="preserve">Đặng Thái Sơn, , </v>
      </c>
    </row>
    <row r="399" spans="1:16">
      <c r="A399" s="28" t="str">
        <f>"3."&amp;D399&amp;"."&amp;B399</f>
        <v>3.N.HCM.CGIO.VSC.402</v>
      </c>
      <c r="B399" s="28" t="str">
        <f>TEXT(COUNTIFS($C$4:C399,C399,$D$4:D399,D399,$F$4:F399,F399)+IF(F399="KT",100,IF(F399="KC",200,IF(F399="DI",300,IF(F399="DN",400,IF(F399="NU",500,IF(F399="DH",600,IF(F399="PC",700,0))))))),"000")</f>
        <v>402</v>
      </c>
      <c r="C399" s="28" t="s">
        <v>10</v>
      </c>
      <c r="D399" s="100" t="s">
        <v>362</v>
      </c>
      <c r="E399" s="28" t="s">
        <v>365</v>
      </c>
      <c r="F399" s="87" t="s">
        <v>190</v>
      </c>
      <c r="G399" s="6" t="s">
        <v>23</v>
      </c>
      <c r="H399" s="6" t="s">
        <v>156</v>
      </c>
      <c r="I399" s="82" t="s">
        <v>105</v>
      </c>
      <c r="J399" s="20" t="s">
        <v>216</v>
      </c>
      <c r="K399" s="20"/>
      <c r="L399" s="20"/>
      <c r="M399" s="20"/>
      <c r="N399" s="96">
        <v>46156</v>
      </c>
      <c r="O399" s="96">
        <v>46171</v>
      </c>
      <c r="P399" s="211" t="str">
        <f t="shared" si="22"/>
        <v xml:space="preserve">Đặng Thái Sơn, , </v>
      </c>
    </row>
    <row r="400" spans="1:16">
      <c r="A400" s="28" t="str">
        <f>"3."&amp;D400&amp;"."&amp;B400</f>
        <v>3.N.HCM.CGIO.VSC.502</v>
      </c>
      <c r="B400" s="28" t="str">
        <f>TEXT(COUNTIFS($C$4:C400,C400,$D$4:D400,D400,$F$4:F400,F400)+IF(F400="KT",100,IF(F400="KC",200,IF(F400="DI",300,IF(F400="DN",400,IF(F400="NU",500,IF(F400="DH",600,IF(F400="PC",700,0))))))),"000")</f>
        <v>502</v>
      </c>
      <c r="C400" s="28" t="s">
        <v>10</v>
      </c>
      <c r="D400" s="100" t="s">
        <v>362</v>
      </c>
      <c r="E400" s="28" t="s">
        <v>365</v>
      </c>
      <c r="F400" s="87" t="s">
        <v>195</v>
      </c>
      <c r="G400" s="6" t="s">
        <v>23</v>
      </c>
      <c r="H400" s="6" t="s">
        <v>156</v>
      </c>
      <c r="I400" s="82" t="s">
        <v>105</v>
      </c>
      <c r="J400" s="20" t="s">
        <v>216</v>
      </c>
      <c r="K400" s="20"/>
      <c r="L400" s="20"/>
      <c r="M400" s="20"/>
      <c r="N400" s="96">
        <v>46156</v>
      </c>
      <c r="O400" s="96">
        <v>46171</v>
      </c>
      <c r="P400" s="211" t="str">
        <f t="shared" ref="P400" si="45">J400&amp;", "&amp;K400&amp;", "&amp;L400</f>
        <v xml:space="preserve">Đặng Thái Sơn, , </v>
      </c>
    </row>
    <row r="401" spans="1:16">
      <c r="A401" s="28" t="str">
        <f>"3."&amp;D401&amp;"."&amp;B401</f>
        <v>3.N.HCM.CGIO.VSC.602</v>
      </c>
      <c r="B401" s="28" t="str">
        <f>TEXT(COUNTIFS($C$4:C401,C401,$D$4:D401,D401,$F$4:F401,F401)+IF(F401="KT",100,IF(F401="KC",200,IF(F401="DI",300,IF(F401="DN",400,IF(F401="NU",500,IF(F401="DH",600,IF(F401="PC",700,0))))))),"000")</f>
        <v>602</v>
      </c>
      <c r="C401" s="28" t="s">
        <v>10</v>
      </c>
      <c r="D401" s="100" t="s">
        <v>362</v>
      </c>
      <c r="E401" s="28" t="s">
        <v>365</v>
      </c>
      <c r="F401" s="87" t="s">
        <v>205</v>
      </c>
      <c r="G401" s="6" t="s">
        <v>23</v>
      </c>
      <c r="H401" s="6" t="s">
        <v>156</v>
      </c>
      <c r="I401" s="82" t="s">
        <v>105</v>
      </c>
      <c r="J401" s="20" t="s">
        <v>216</v>
      </c>
      <c r="K401" s="20"/>
      <c r="L401" s="20"/>
      <c r="M401" s="20"/>
      <c r="N401" s="96">
        <v>46156</v>
      </c>
      <c r="O401" s="96">
        <v>46171</v>
      </c>
      <c r="P401" s="211" t="str">
        <f t="shared" ref="P401" si="46">J401&amp;", "&amp;K401&amp;", "&amp;L401</f>
        <v xml:space="preserve">Đặng Thái Sơn, , </v>
      </c>
    </row>
    <row r="402" spans="1:16">
      <c r="A402" s="28" t="str">
        <f>"3."&amp;D402&amp;"."&amp;B402</f>
        <v>3.N.HCM.CGIO.VSC.702</v>
      </c>
      <c r="B402" s="28" t="str">
        <f>TEXT(COUNTIFS($C$4:C402,C402,$D$4:D402,D402,$F$4:F402,F402)+IF(F402="KT",100,IF(F402="KC",200,IF(F402="DI",300,IF(F402="DN",400,IF(F402="NU",500,IF(F402="DH",600,IF(F402="PC",700,0))))))),"000")</f>
        <v>702</v>
      </c>
      <c r="C402" s="28" t="s">
        <v>10</v>
      </c>
      <c r="D402" s="100" t="s">
        <v>362</v>
      </c>
      <c r="E402" s="28" t="s">
        <v>365</v>
      </c>
      <c r="F402" s="87" t="s">
        <v>200</v>
      </c>
      <c r="G402" s="6" t="s">
        <v>23</v>
      </c>
      <c r="H402" s="6" t="s">
        <v>156</v>
      </c>
      <c r="I402" s="82" t="s">
        <v>105</v>
      </c>
      <c r="J402" s="20" t="s">
        <v>216</v>
      </c>
      <c r="K402" s="20"/>
      <c r="L402" s="20"/>
      <c r="M402" s="20"/>
      <c r="N402" s="96">
        <v>46156</v>
      </c>
      <c r="O402" s="96">
        <v>46171</v>
      </c>
      <c r="P402" s="211" t="str">
        <f t="shared" si="22"/>
        <v xml:space="preserve">Đặng Thái Sơn, , </v>
      </c>
    </row>
    <row r="403" spans="1:16">
      <c r="A403" s="28" t="str">
        <f>"3."&amp;D403&amp;"."&amp;B403</f>
        <v>3.N.HCM.CGIO.VSC.103</v>
      </c>
      <c r="B403" s="28" t="str">
        <f>TEXT(COUNTIFS($C$4:C403,C403,$D$4:D403,D403,$F$4:F403,F403)+IF(F403="KT",100,IF(F403="KC",200,IF(F403="DI",300,IF(F403="DN",400,IF(F403="NU",500,IF(F403="DH",600,IF(F403="PC",700,0))))))),"000")</f>
        <v>103</v>
      </c>
      <c r="C403" s="28" t="s">
        <v>10</v>
      </c>
      <c r="D403" s="100" t="s">
        <v>362</v>
      </c>
      <c r="E403" s="28" t="s">
        <v>367</v>
      </c>
      <c r="F403" s="88" t="s">
        <v>164</v>
      </c>
      <c r="G403" s="6" t="s">
        <v>23</v>
      </c>
      <c r="H403" s="20" t="s">
        <v>156</v>
      </c>
      <c r="I403" s="82" t="s">
        <v>105</v>
      </c>
      <c r="J403" s="28" t="s">
        <v>32</v>
      </c>
      <c r="K403" s="28"/>
      <c r="L403" s="28"/>
      <c r="M403" s="12"/>
      <c r="N403" s="97">
        <v>46112</v>
      </c>
      <c r="O403" s="97">
        <v>46227</v>
      </c>
      <c r="P403" s="211" t="str">
        <f t="shared" si="22"/>
        <v xml:space="preserve">Nguyễn Hải Nam, , </v>
      </c>
    </row>
    <row r="404" spans="1:16">
      <c r="A404" s="28" t="str">
        <f>"3."&amp;D404&amp;"."&amp;B404</f>
        <v>3.N.HCM.CGIO.VSC.203</v>
      </c>
      <c r="B404" s="28" t="str">
        <f>TEXT(COUNTIFS($C$4:C404,C404,$D$4:D404,D404,$F$4:F404,F404)+IF(F404="KT",100,IF(F404="KC",200,IF(F404="DI",300,IF(F404="DN",400,IF(F404="NU",500,IF(F404="DH",600,IF(F404="PC",700,0))))))),"000")</f>
        <v>203</v>
      </c>
      <c r="C404" s="28" t="s">
        <v>10</v>
      </c>
      <c r="D404" s="100" t="s">
        <v>362</v>
      </c>
      <c r="E404" s="28" t="s">
        <v>367</v>
      </c>
      <c r="F404" s="88" t="s">
        <v>174</v>
      </c>
      <c r="G404" s="6" t="s">
        <v>23</v>
      </c>
      <c r="H404" s="20" t="s">
        <v>156</v>
      </c>
      <c r="I404" s="82" t="s">
        <v>105</v>
      </c>
      <c r="J404" s="28" t="s">
        <v>32</v>
      </c>
      <c r="K404" s="105"/>
      <c r="L404" s="105"/>
      <c r="M404" s="323"/>
      <c r="N404" s="97">
        <v>46128</v>
      </c>
      <c r="O404" s="97">
        <v>46227</v>
      </c>
      <c r="P404" s="211" t="str">
        <f t="shared" si="22"/>
        <v xml:space="preserve">Nguyễn Hải Nam, , </v>
      </c>
    </row>
    <row r="405" spans="1:16">
      <c r="A405" s="28" t="str">
        <f>"3."&amp;D405&amp;"."&amp;B405</f>
        <v>3.N.HCM.CGIO.VSC.303</v>
      </c>
      <c r="B405" s="28" t="str">
        <f>TEXT(COUNTIFS($C$4:C405,C405,$D$4:D405,D405,$F$4:F405,F405)+IF(F405="KT",100,IF(F405="KC",200,IF(F405="DI",300,IF(F405="DN",400,IF(F405="NU",500,IF(F405="DH",600,IF(F405="PC",700,0))))))),"000")</f>
        <v>303</v>
      </c>
      <c r="C405" s="28" t="s">
        <v>10</v>
      </c>
      <c r="D405" s="100" t="s">
        <v>362</v>
      </c>
      <c r="E405" s="28" t="s">
        <v>367</v>
      </c>
      <c r="F405" s="87" t="s">
        <v>182</v>
      </c>
      <c r="G405" s="6" t="s">
        <v>23</v>
      </c>
      <c r="H405" s="6" t="s">
        <v>156</v>
      </c>
      <c r="I405" s="82" t="s">
        <v>105</v>
      </c>
      <c r="J405" s="20" t="s">
        <v>220</v>
      </c>
      <c r="K405" s="20"/>
      <c r="L405" s="20"/>
      <c r="M405" s="20"/>
      <c r="N405" s="96">
        <v>46156</v>
      </c>
      <c r="O405" s="96">
        <v>46295</v>
      </c>
      <c r="P405" s="211" t="str">
        <f t="shared" si="22"/>
        <v xml:space="preserve">Phan Trường Giang, , </v>
      </c>
    </row>
    <row r="406" spans="1:16">
      <c r="A406" s="28" t="str">
        <f>"3."&amp;D406&amp;"."&amp;B406</f>
        <v>3.N.HCM.CGIO.VSC.403</v>
      </c>
      <c r="B406" s="28" t="str">
        <f>TEXT(COUNTIFS($C$4:C406,C406,$D$4:D406,D406,$F$4:F406,F406)+IF(F406="KT",100,IF(F406="KC",200,IF(F406="DI",300,IF(F406="DN",400,IF(F406="NU",500,IF(F406="DH",600,IF(F406="PC",700,0))))))),"000")</f>
        <v>403</v>
      </c>
      <c r="C406" s="28" t="s">
        <v>10</v>
      </c>
      <c r="D406" s="100" t="s">
        <v>362</v>
      </c>
      <c r="E406" s="28" t="s">
        <v>367</v>
      </c>
      <c r="F406" s="87" t="s">
        <v>190</v>
      </c>
      <c r="G406" s="6" t="s">
        <v>23</v>
      </c>
      <c r="H406" s="6" t="s">
        <v>156</v>
      </c>
      <c r="I406" s="82" t="s">
        <v>105</v>
      </c>
      <c r="J406" s="20" t="s">
        <v>220</v>
      </c>
      <c r="K406" s="20"/>
      <c r="L406" s="20"/>
      <c r="M406" s="20"/>
      <c r="N406" s="96">
        <v>46156</v>
      </c>
      <c r="O406" s="96">
        <v>46295</v>
      </c>
      <c r="P406" s="211" t="str">
        <f t="shared" si="22"/>
        <v xml:space="preserve">Phan Trường Giang, , </v>
      </c>
    </row>
    <row r="407" spans="1:16">
      <c r="A407" s="28" t="str">
        <f>"3."&amp;D407&amp;"."&amp;B407</f>
        <v>3.N.HCM.CGIO.VSC.503</v>
      </c>
      <c r="B407" s="28" t="str">
        <f>TEXT(COUNTIFS($C$4:C407,C407,$D$4:D407,D407,$F$4:F407,F407)+IF(F407="KT",100,IF(F407="KC",200,IF(F407="DI",300,IF(F407="DN",400,IF(F407="NU",500,IF(F407="DH",600,IF(F407="PC",700,0))))))),"000")</f>
        <v>503</v>
      </c>
      <c r="C407" s="28" t="s">
        <v>10</v>
      </c>
      <c r="D407" s="100" t="s">
        <v>362</v>
      </c>
      <c r="E407" s="28" t="s">
        <v>367</v>
      </c>
      <c r="F407" s="87" t="s">
        <v>195</v>
      </c>
      <c r="G407" s="6" t="s">
        <v>23</v>
      </c>
      <c r="H407" s="6" t="s">
        <v>156</v>
      </c>
      <c r="I407" s="82" t="s">
        <v>105</v>
      </c>
      <c r="J407" s="20" t="s">
        <v>220</v>
      </c>
      <c r="K407" s="20"/>
      <c r="L407" s="20"/>
      <c r="M407" s="20"/>
      <c r="N407" s="96">
        <v>46156</v>
      </c>
      <c r="O407" s="96">
        <v>46295</v>
      </c>
      <c r="P407" s="211" t="str">
        <f t="shared" ref="P407" si="47">J407&amp;", "&amp;K407&amp;", "&amp;L407</f>
        <v xml:space="preserve">Phan Trường Giang, , </v>
      </c>
    </row>
    <row r="408" spans="1:16">
      <c r="A408" s="28" t="str">
        <f>"3."&amp;D408&amp;"."&amp;B408</f>
        <v>3.N.HCM.CGIO.VSC.603</v>
      </c>
      <c r="B408" s="28" t="str">
        <f>TEXT(COUNTIFS($C$4:C408,C408,$D$4:D408,D408,$F$4:F408,F408)+IF(F408="KT",100,IF(F408="KC",200,IF(F408="DI",300,IF(F408="DN",400,IF(F408="NU",500,IF(F408="DH",600,IF(F408="PC",700,0))))))),"000")</f>
        <v>603</v>
      </c>
      <c r="C408" s="28" t="s">
        <v>10</v>
      </c>
      <c r="D408" s="100" t="s">
        <v>362</v>
      </c>
      <c r="E408" s="28" t="s">
        <v>367</v>
      </c>
      <c r="F408" s="87" t="s">
        <v>205</v>
      </c>
      <c r="G408" s="6" t="s">
        <v>23</v>
      </c>
      <c r="H408" s="6" t="s">
        <v>156</v>
      </c>
      <c r="I408" s="82" t="s">
        <v>105</v>
      </c>
      <c r="J408" s="20" t="s">
        <v>220</v>
      </c>
      <c r="K408" s="20"/>
      <c r="L408" s="20"/>
      <c r="M408" s="20"/>
      <c r="N408" s="96">
        <v>46156</v>
      </c>
      <c r="O408" s="96">
        <v>46295</v>
      </c>
      <c r="P408" s="211" t="str">
        <f t="shared" ref="P408" si="48">J408&amp;", "&amp;K408&amp;", "&amp;L408</f>
        <v xml:space="preserve">Phan Trường Giang, , </v>
      </c>
    </row>
    <row r="409" spans="1:16">
      <c r="A409" s="28" t="str">
        <f>"3."&amp;D409&amp;"."&amp;B409</f>
        <v>3.N.HCM.CGIO.VSC.703</v>
      </c>
      <c r="B409" s="28" t="str">
        <f>TEXT(COUNTIFS($C$4:C409,C409,$D$4:D409,D409,$F$4:F409,F409)+IF(F409="KT",100,IF(F409="KC",200,IF(F409="DI",300,IF(F409="DN",400,IF(F409="NU",500,IF(F409="DH",600,IF(F409="PC",700,0))))))),"000")</f>
        <v>703</v>
      </c>
      <c r="C409" s="28" t="s">
        <v>10</v>
      </c>
      <c r="D409" s="100" t="s">
        <v>362</v>
      </c>
      <c r="E409" s="28" t="s">
        <v>367</v>
      </c>
      <c r="F409" s="87" t="s">
        <v>200</v>
      </c>
      <c r="G409" s="6" t="s">
        <v>23</v>
      </c>
      <c r="H409" s="6" t="s">
        <v>156</v>
      </c>
      <c r="I409" s="82" t="s">
        <v>105</v>
      </c>
      <c r="J409" s="20" t="s">
        <v>220</v>
      </c>
      <c r="K409" s="20"/>
      <c r="L409" s="20"/>
      <c r="M409" s="20"/>
      <c r="N409" s="96">
        <v>46156</v>
      </c>
      <c r="O409" s="96">
        <v>46295</v>
      </c>
      <c r="P409" s="211" t="str">
        <f t="shared" si="22"/>
        <v xml:space="preserve">Phan Trường Giang, , </v>
      </c>
    </row>
    <row r="410" spans="1:16">
      <c r="A410" s="28" t="str">
        <f>"3."&amp;D410&amp;"."&amp;B410</f>
        <v>3.N.HCM.CGIO.VSC.104</v>
      </c>
      <c r="B410" s="28" t="str">
        <f>TEXT(COUNTIFS($C$4:C410,C410,$D$4:D410,D410,$F$4:F410,F410)+IF(F410="KT",100,IF(F410="KC",200,IF(F410="DI",300,IF(F410="DN",400,IF(F410="NU",500,IF(F410="DH",600,IF(F410="PC",700,0))))))),"000")</f>
        <v>104</v>
      </c>
      <c r="C410" s="28" t="s">
        <v>10</v>
      </c>
      <c r="D410" s="100" t="s">
        <v>362</v>
      </c>
      <c r="E410" s="28" t="s">
        <v>369</v>
      </c>
      <c r="F410" s="88" t="s">
        <v>164</v>
      </c>
      <c r="G410" s="6" t="s">
        <v>23</v>
      </c>
      <c r="H410" s="20" t="s">
        <v>156</v>
      </c>
      <c r="I410" s="82" t="s">
        <v>105</v>
      </c>
      <c r="J410" s="28" t="s">
        <v>32</v>
      </c>
      <c r="K410" s="28"/>
      <c r="L410" s="28"/>
      <c r="M410" s="28"/>
      <c r="N410" s="96">
        <v>46112</v>
      </c>
      <c r="O410" s="96">
        <v>46227</v>
      </c>
      <c r="P410" s="211" t="str">
        <f t="shared" si="22"/>
        <v xml:space="preserve">Nguyễn Hải Nam, , </v>
      </c>
    </row>
    <row r="411" spans="1:16">
      <c r="A411" s="28" t="str">
        <f>"3."&amp;D411&amp;"."&amp;B411</f>
        <v>3.N.HCM.CGIO.VSC.204</v>
      </c>
      <c r="B411" s="28" t="str">
        <f>TEXT(COUNTIFS($C$4:C411,C411,$D$4:D411,D411,$F$4:F411,F411)+IF(F411="KT",100,IF(F411="KC",200,IF(F411="DI",300,IF(F411="DN",400,IF(F411="NU",500,IF(F411="DH",600,IF(F411="PC",700,0))))))),"000")</f>
        <v>204</v>
      </c>
      <c r="C411" s="28" t="s">
        <v>10</v>
      </c>
      <c r="D411" s="100" t="s">
        <v>362</v>
      </c>
      <c r="E411" s="28" t="s">
        <v>369</v>
      </c>
      <c r="F411" s="88" t="s">
        <v>174</v>
      </c>
      <c r="G411" s="6" t="s">
        <v>23</v>
      </c>
      <c r="H411" s="20" t="s">
        <v>156</v>
      </c>
      <c r="I411" s="82" t="s">
        <v>105</v>
      </c>
      <c r="J411" s="28" t="s">
        <v>32</v>
      </c>
      <c r="K411" s="28"/>
      <c r="L411" s="28"/>
      <c r="M411" s="12"/>
      <c r="N411" s="97">
        <v>46128</v>
      </c>
      <c r="O411" s="97">
        <v>46227</v>
      </c>
      <c r="P411" s="211" t="str">
        <f t="shared" si="22"/>
        <v xml:space="preserve">Nguyễn Hải Nam, , </v>
      </c>
    </row>
    <row r="412" spans="1:16">
      <c r="A412" s="28" t="str">
        <f>"3."&amp;D412&amp;"."&amp;B412</f>
        <v>3.N.HCM.CGIO.VSC.304</v>
      </c>
      <c r="B412" s="28" t="str">
        <f>TEXT(COUNTIFS($C$4:C412,C412,$D$4:D412,D412,$F$4:F412,F412)+IF(F412="KT",100,IF(F412="KC",200,IF(F412="DI",300,IF(F412="DN",400,IF(F412="NU",500,IF(F412="DH",600,IF(F412="PC",700,0))))))),"000")</f>
        <v>304</v>
      </c>
      <c r="C412" s="28" t="s">
        <v>10</v>
      </c>
      <c r="D412" s="100" t="s">
        <v>362</v>
      </c>
      <c r="E412" s="28" t="s">
        <v>369</v>
      </c>
      <c r="F412" s="87" t="s">
        <v>182</v>
      </c>
      <c r="G412" s="6" t="s">
        <v>23</v>
      </c>
      <c r="H412" s="6" t="s">
        <v>156</v>
      </c>
      <c r="I412" s="82" t="s">
        <v>105</v>
      </c>
      <c r="J412" s="20" t="s">
        <v>201</v>
      </c>
      <c r="K412" s="20"/>
      <c r="L412" s="20"/>
      <c r="M412" s="20"/>
      <c r="N412" s="96">
        <v>46156</v>
      </c>
      <c r="O412" s="96">
        <v>46295</v>
      </c>
      <c r="P412" s="211" t="str">
        <f t="shared" si="22"/>
        <v xml:space="preserve">Ngô Tuấn Vũ, , </v>
      </c>
    </row>
    <row r="413" spans="1:16">
      <c r="A413" s="28" t="str">
        <f>"3."&amp;D413&amp;"."&amp;B413</f>
        <v>3.N.HCM.CGIO.VSC.404</v>
      </c>
      <c r="B413" s="28" t="str">
        <f>TEXT(COUNTIFS($C$4:C413,C413,$D$4:D413,D413,$F$4:F413,F413)+IF(F413="KT",100,IF(F413="KC",200,IF(F413="DI",300,IF(F413="DN",400,IF(F413="NU",500,IF(F413="DH",600,IF(F413="PC",700,0))))))),"000")</f>
        <v>404</v>
      </c>
      <c r="C413" s="28" t="s">
        <v>10</v>
      </c>
      <c r="D413" s="100" t="s">
        <v>362</v>
      </c>
      <c r="E413" s="28" t="s">
        <v>369</v>
      </c>
      <c r="F413" s="87" t="s">
        <v>190</v>
      </c>
      <c r="G413" s="6" t="s">
        <v>23</v>
      </c>
      <c r="H413" s="6" t="s">
        <v>156</v>
      </c>
      <c r="I413" s="82" t="s">
        <v>105</v>
      </c>
      <c r="J413" s="20" t="s">
        <v>201</v>
      </c>
      <c r="K413" s="20"/>
      <c r="L413" s="20"/>
      <c r="M413" s="20"/>
      <c r="N413" s="96">
        <v>46156</v>
      </c>
      <c r="O413" s="96">
        <v>46295</v>
      </c>
      <c r="P413" s="211" t="str">
        <f t="shared" si="22"/>
        <v xml:space="preserve">Ngô Tuấn Vũ, , </v>
      </c>
    </row>
    <row r="414" spans="1:16">
      <c r="A414" s="28" t="str">
        <f>"3."&amp;D414&amp;"."&amp;B414</f>
        <v>3.N.HCM.CGIO.VSC.504</v>
      </c>
      <c r="B414" s="28" t="str">
        <f>TEXT(COUNTIFS($C$4:C414,C414,$D$4:D414,D414,$F$4:F414,F414)+IF(F414="KT",100,IF(F414="KC",200,IF(F414="DI",300,IF(F414="DN",400,IF(F414="NU",500,IF(F414="DH",600,IF(F414="PC",700,0))))))),"000")</f>
        <v>504</v>
      </c>
      <c r="C414" s="28" t="s">
        <v>10</v>
      </c>
      <c r="D414" s="100" t="s">
        <v>362</v>
      </c>
      <c r="E414" s="28" t="s">
        <v>369</v>
      </c>
      <c r="F414" s="87" t="s">
        <v>195</v>
      </c>
      <c r="G414" s="6" t="s">
        <v>23</v>
      </c>
      <c r="H414" s="6" t="s">
        <v>156</v>
      </c>
      <c r="I414" s="82" t="s">
        <v>105</v>
      </c>
      <c r="J414" s="20" t="s">
        <v>201</v>
      </c>
      <c r="K414" s="20"/>
      <c r="L414" s="20"/>
      <c r="M414" s="20"/>
      <c r="N414" s="96">
        <v>46156</v>
      </c>
      <c r="O414" s="96">
        <v>46295</v>
      </c>
      <c r="P414" s="211" t="str">
        <f t="shared" ref="P414" si="49">J414&amp;", "&amp;K414&amp;", "&amp;L414</f>
        <v xml:space="preserve">Ngô Tuấn Vũ, , </v>
      </c>
    </row>
    <row r="415" spans="1:16">
      <c r="A415" s="28" t="str">
        <f>"3."&amp;D415&amp;"."&amp;B415</f>
        <v>3.N.HCM.CGIO.VSC.604</v>
      </c>
      <c r="B415" s="28" t="str">
        <f>TEXT(COUNTIFS($C$4:C415,C415,$D$4:D415,D415,$F$4:F415,F415)+IF(F415="KT",100,IF(F415="KC",200,IF(F415="DI",300,IF(F415="DN",400,IF(F415="NU",500,IF(F415="DH",600,IF(F415="PC",700,0))))))),"000")</f>
        <v>604</v>
      </c>
      <c r="C415" s="28" t="s">
        <v>10</v>
      </c>
      <c r="D415" s="100" t="s">
        <v>362</v>
      </c>
      <c r="E415" s="28" t="s">
        <v>369</v>
      </c>
      <c r="F415" s="87" t="s">
        <v>205</v>
      </c>
      <c r="G415" s="6" t="s">
        <v>23</v>
      </c>
      <c r="H415" s="6" t="s">
        <v>156</v>
      </c>
      <c r="I415" s="82" t="s">
        <v>105</v>
      </c>
      <c r="J415" s="20" t="s">
        <v>201</v>
      </c>
      <c r="K415" s="20"/>
      <c r="L415" s="20"/>
      <c r="M415" s="20"/>
      <c r="N415" s="96">
        <v>46156</v>
      </c>
      <c r="O415" s="96">
        <v>46295</v>
      </c>
      <c r="P415" s="211" t="str">
        <f t="shared" ref="P415" si="50">J415&amp;", "&amp;K415&amp;", "&amp;L415</f>
        <v xml:space="preserve">Ngô Tuấn Vũ, , </v>
      </c>
    </row>
    <row r="416" spans="1:16">
      <c r="A416" s="28" t="str">
        <f>"3."&amp;D416&amp;"."&amp;B416</f>
        <v>3.N.HCM.CGIO.VSC.704</v>
      </c>
      <c r="B416" s="28" t="str">
        <f>TEXT(COUNTIFS($C$4:C416,C416,$D$4:D416,D416,$F$4:F416,F416)+IF(F416="KT",100,IF(F416="KC",200,IF(F416="DI",300,IF(F416="DN",400,IF(F416="NU",500,IF(F416="DH",600,IF(F416="PC",700,0))))))),"000")</f>
        <v>704</v>
      </c>
      <c r="C416" s="28" t="s">
        <v>10</v>
      </c>
      <c r="D416" s="100" t="s">
        <v>362</v>
      </c>
      <c r="E416" s="28" t="s">
        <v>369</v>
      </c>
      <c r="F416" s="87" t="s">
        <v>200</v>
      </c>
      <c r="G416" s="6" t="s">
        <v>23</v>
      </c>
      <c r="H416" s="6" t="s">
        <v>156</v>
      </c>
      <c r="I416" s="82" t="s">
        <v>105</v>
      </c>
      <c r="J416" s="20" t="s">
        <v>201</v>
      </c>
      <c r="K416" s="20"/>
      <c r="L416" s="20"/>
      <c r="M416" s="20"/>
      <c r="N416" s="96">
        <v>46156</v>
      </c>
      <c r="O416" s="96">
        <v>46295</v>
      </c>
      <c r="P416" s="211" t="str">
        <f t="shared" si="22"/>
        <v xml:space="preserve">Ngô Tuấn Vũ, , </v>
      </c>
    </row>
    <row r="417" spans="1:16">
      <c r="A417" s="28" t="str">
        <f>"3."&amp;D417&amp;"."&amp;B417</f>
        <v>3.N.HCM.Q9.VP.101</v>
      </c>
      <c r="B417" s="28" t="str">
        <f>TEXT(COUNTIFS($C$4:C417,C417,$D$4:D417,D417,$F$4:F417,F417)+IF(F417="KT",100,IF(F417="KC",200,IF(F417="DI",300,IF(F417="DN",400,IF(F417="NU",500,IF(F417="DH",600,IF(F417="PC",700,0))))))),"000")</f>
        <v>101</v>
      </c>
      <c r="C417" s="28" t="s">
        <v>10</v>
      </c>
      <c r="D417" s="100" t="s">
        <v>371</v>
      </c>
      <c r="E417" s="28" t="s">
        <v>372</v>
      </c>
      <c r="F417" s="88" t="s">
        <v>164</v>
      </c>
      <c r="G417" s="82" t="s">
        <v>28</v>
      </c>
      <c r="H417" s="20" t="s">
        <v>156</v>
      </c>
      <c r="I417" s="82" t="s">
        <v>105</v>
      </c>
      <c r="J417" s="20" t="s">
        <v>31</v>
      </c>
      <c r="K417" s="20"/>
      <c r="L417" s="20"/>
      <c r="M417" s="20"/>
      <c r="N417" s="96">
        <v>46171</v>
      </c>
      <c r="O417" s="96">
        <v>46174</v>
      </c>
      <c r="P417" s="211" t="str">
        <f t="shared" si="22"/>
        <v xml:space="preserve">Lý Huy Thành, , </v>
      </c>
    </row>
    <row r="418" spans="1:16">
      <c r="A418" s="28" t="str">
        <f>"3."&amp;D418&amp;"."&amp;B418</f>
        <v>3.N.HCM.Q9.VP.102</v>
      </c>
      <c r="B418" s="28" t="str">
        <f>TEXT(COUNTIFS($C$4:C418,C418,$D$4:D418,D418,$F$4:F418,F418)+IF(F418="KT",100,IF(F418="KC",200,IF(F418="DI",300,IF(F418="DN",400,IF(F418="NU",500,IF(F418="DH",600,IF(F418="PC",700,0))))))),"000")</f>
        <v>102</v>
      </c>
      <c r="C418" s="28" t="s">
        <v>10</v>
      </c>
      <c r="D418" s="100" t="s">
        <v>371</v>
      </c>
      <c r="E418" s="28" t="s">
        <v>372</v>
      </c>
      <c r="F418" s="88" t="s">
        <v>164</v>
      </c>
      <c r="G418" s="82" t="s">
        <v>27</v>
      </c>
      <c r="H418" s="20" t="s">
        <v>156</v>
      </c>
      <c r="I418" s="82" t="s">
        <v>105</v>
      </c>
      <c r="J418" s="20" t="s">
        <v>31</v>
      </c>
      <c r="K418" s="20"/>
      <c r="L418" s="20"/>
      <c r="M418" s="20"/>
      <c r="N418" s="96">
        <v>46171</v>
      </c>
      <c r="O418" s="96">
        <v>46174</v>
      </c>
      <c r="P418" s="211" t="str">
        <f t="shared" si="22"/>
        <v xml:space="preserve">Lý Huy Thành, , </v>
      </c>
    </row>
    <row r="419" spans="1:16">
      <c r="A419" s="28" t="str">
        <f>"3."&amp;D419&amp;"."&amp;B419</f>
        <v>3.N.HCM.Q9.VP.201</v>
      </c>
      <c r="B419" s="28" t="str">
        <f>TEXT(COUNTIFS($C$4:C419,C419,$D$4:D419,D419,$F$4:F419,F419)+IF(F419="KT",100,IF(F419="KC",200,IF(F419="DI",300,IF(F419="DN",400,IF(F419="NU",500,IF(F419="DH",600,IF(F419="PC",700,0))))))),"000")</f>
        <v>201</v>
      </c>
      <c r="C419" s="28" t="s">
        <v>10</v>
      </c>
      <c r="D419" s="100" t="s">
        <v>371</v>
      </c>
      <c r="E419" s="28" t="s">
        <v>372</v>
      </c>
      <c r="F419" s="88" t="s">
        <v>174</v>
      </c>
      <c r="G419" s="82" t="s">
        <v>28</v>
      </c>
      <c r="H419" s="20" t="s">
        <v>156</v>
      </c>
      <c r="I419" s="82" t="s">
        <v>105</v>
      </c>
      <c r="J419" s="20" t="s">
        <v>32</v>
      </c>
      <c r="K419" s="20"/>
      <c r="L419" s="20"/>
      <c r="N419" s="97">
        <v>46171</v>
      </c>
      <c r="O419" s="97">
        <v>46174</v>
      </c>
      <c r="P419" s="211" t="str">
        <f t="shared" si="22"/>
        <v xml:space="preserve">Nguyễn Hải Nam, , </v>
      </c>
    </row>
    <row r="420" spans="1:16">
      <c r="A420" s="28" t="str">
        <f>"3."&amp;D420&amp;"."&amp;B420</f>
        <v>3.N.HCM.Q9.VP.202</v>
      </c>
      <c r="B420" s="28" t="str">
        <f>TEXT(COUNTIFS($C$4:C420,C420,$D$4:D420,D420,$F$4:F420,F420)+IF(F420="KT",100,IF(F420="KC",200,IF(F420="DI",300,IF(F420="DN",400,IF(F420="NU",500,IF(F420="DH",600,IF(F420="PC",700,0))))))),"000")</f>
        <v>202</v>
      </c>
      <c r="C420" s="28" t="s">
        <v>10</v>
      </c>
      <c r="D420" s="100" t="s">
        <v>371</v>
      </c>
      <c r="E420" s="28" t="s">
        <v>372</v>
      </c>
      <c r="F420" s="88" t="s">
        <v>174</v>
      </c>
      <c r="G420" s="82" t="s">
        <v>27</v>
      </c>
      <c r="H420" s="82" t="s">
        <v>156</v>
      </c>
      <c r="I420" s="82" t="s">
        <v>105</v>
      </c>
      <c r="J420" s="20" t="s">
        <v>32</v>
      </c>
      <c r="K420" s="20"/>
      <c r="L420" s="20"/>
      <c r="N420" s="97">
        <v>46171</v>
      </c>
      <c r="O420" s="97">
        <v>46174</v>
      </c>
      <c r="P420" s="211" t="str">
        <f t="shared" si="22"/>
        <v xml:space="preserve">Nguyễn Hải Nam, , </v>
      </c>
    </row>
    <row r="421" spans="1:16">
      <c r="A421" s="28" t="str">
        <f>"3."&amp;D421&amp;"."&amp;B421</f>
        <v>3.N.HCM.Q9.VP.301</v>
      </c>
      <c r="B421" s="28" t="str">
        <f>TEXT(COUNTIFS($C$4:C421,C421,$D$4:D421,D421,$F$4:F421,F421)+IF(F421="KT",100,IF(F421="KC",200,IF(F421="DI",300,IF(F421="DN",400,IF(F421="NU",500,IF(F421="DH",600,IF(F421="PC",700,0))))))),"000")</f>
        <v>301</v>
      </c>
      <c r="C421" s="28" t="s">
        <v>10</v>
      </c>
      <c r="D421" s="100" t="s">
        <v>371</v>
      </c>
      <c r="E421" s="28" t="s">
        <v>372</v>
      </c>
      <c r="F421" s="87" t="s">
        <v>182</v>
      </c>
      <c r="G421" s="82" t="s">
        <v>28</v>
      </c>
      <c r="H421" s="82" t="s">
        <v>156</v>
      </c>
      <c r="I421" s="82" t="s">
        <v>105</v>
      </c>
      <c r="J421" s="20" t="s">
        <v>220</v>
      </c>
      <c r="K421" s="20"/>
      <c r="L421" s="20"/>
      <c r="N421" s="97">
        <v>46174</v>
      </c>
      <c r="O421" s="97">
        <v>46174</v>
      </c>
      <c r="P421" s="211" t="str">
        <f t="shared" si="22"/>
        <v xml:space="preserve">Phan Trường Giang, , </v>
      </c>
    </row>
    <row r="422" spans="1:16">
      <c r="A422" s="28" t="str">
        <f>"3."&amp;D422&amp;"."&amp;B422</f>
        <v>3.N.HCM.Q9.VP.401</v>
      </c>
      <c r="B422" s="28" t="str">
        <f>TEXT(COUNTIFS($C$4:C422,C422,$D$4:D422,D422,$F$4:F422,F422)+IF(F422="KT",100,IF(F422="KC",200,IF(F422="DI",300,IF(F422="DN",400,IF(F422="NU",500,IF(F422="DH",600,IF(F422="PC",700,0))))))),"000")</f>
        <v>401</v>
      </c>
      <c r="C422" s="28" t="s">
        <v>10</v>
      </c>
      <c r="D422" s="100" t="s">
        <v>371</v>
      </c>
      <c r="E422" s="28" t="s">
        <v>372</v>
      </c>
      <c r="F422" s="87" t="s">
        <v>190</v>
      </c>
      <c r="G422" s="82" t="s">
        <v>28</v>
      </c>
      <c r="H422" s="82" t="s">
        <v>156</v>
      </c>
      <c r="I422" s="82" t="s">
        <v>105</v>
      </c>
      <c r="J422" s="20" t="s">
        <v>220</v>
      </c>
      <c r="K422" s="20"/>
      <c r="L422" s="20"/>
      <c r="N422" s="97">
        <v>46174</v>
      </c>
      <c r="O422" s="97">
        <v>46174</v>
      </c>
      <c r="P422" s="211" t="str">
        <f t="shared" si="22"/>
        <v xml:space="preserve">Phan Trường Giang, , </v>
      </c>
    </row>
    <row r="423" spans="1:16">
      <c r="A423" s="28" t="str">
        <f>"3."&amp;D423&amp;"."&amp;B423</f>
        <v>3.N.HCM.Q9.VP.501</v>
      </c>
      <c r="B423" s="28" t="str">
        <f>TEXT(COUNTIFS($C$4:C423,C423,$D$4:D423,D423,$F$4:F423,F423)+IF(F423="KT",100,IF(F423="KC",200,IF(F423="DI",300,IF(F423="DN",400,IF(F423="NU",500,IF(F423="DH",600,IF(F423="PC",700,0))))))),"000")</f>
        <v>501</v>
      </c>
      <c r="C423" s="28" t="s">
        <v>10</v>
      </c>
      <c r="D423" s="100" t="s">
        <v>371</v>
      </c>
      <c r="E423" s="28" t="s">
        <v>372</v>
      </c>
      <c r="F423" s="87" t="s">
        <v>195</v>
      </c>
      <c r="G423" s="82" t="s">
        <v>28</v>
      </c>
      <c r="H423" s="82" t="s">
        <v>156</v>
      </c>
      <c r="I423" s="82" t="s">
        <v>105</v>
      </c>
      <c r="J423" s="20" t="s">
        <v>206</v>
      </c>
      <c r="K423" s="20"/>
      <c r="L423" s="20"/>
      <c r="N423" s="97">
        <v>46174</v>
      </c>
      <c r="O423" s="97">
        <v>46174</v>
      </c>
      <c r="P423" s="211" t="str">
        <f t="shared" ref="P423" si="51">J423&amp;", "&amp;K423&amp;", "&amp;L423</f>
        <v xml:space="preserve">Nguyễn Văn Hải, , </v>
      </c>
    </row>
    <row r="424" spans="1:16">
      <c r="A424" s="28" t="str">
        <f>"3."&amp;D424&amp;"."&amp;B424</f>
        <v>3.N.HCM.Q9.VP.601</v>
      </c>
      <c r="B424" s="28" t="str">
        <f>TEXT(COUNTIFS($C$4:C424,C424,$D$4:D424,D424,$F$4:F424,F424)+IF(F424="KT",100,IF(F424="KC",200,IF(F424="DI",300,IF(F424="DN",400,IF(F424="NU",500,IF(F424="DH",600,IF(F424="PC",700,0))))))),"000")</f>
        <v>601</v>
      </c>
      <c r="C424" s="28" t="s">
        <v>10</v>
      </c>
      <c r="D424" s="100" t="s">
        <v>371</v>
      </c>
      <c r="E424" s="28" t="s">
        <v>372</v>
      </c>
      <c r="F424" s="87" t="s">
        <v>205</v>
      </c>
      <c r="G424" s="82" t="s">
        <v>27</v>
      </c>
      <c r="H424" s="82" t="s">
        <v>156</v>
      </c>
      <c r="I424" s="82" t="s">
        <v>105</v>
      </c>
      <c r="J424" s="20" t="s">
        <v>216</v>
      </c>
      <c r="K424" s="20"/>
      <c r="L424" s="20"/>
      <c r="N424" s="97">
        <v>46174</v>
      </c>
      <c r="O424" s="97">
        <v>46174</v>
      </c>
      <c r="P424" s="211" t="str">
        <f t="shared" ref="P424" si="52">J424&amp;", "&amp;K424&amp;", "&amp;L424</f>
        <v xml:space="preserve">Đặng Thái Sơn, , </v>
      </c>
    </row>
    <row r="425" spans="1:16">
      <c r="A425" s="28" t="str">
        <f>"3."&amp;D425&amp;"."&amp;B425</f>
        <v>3.N.HCM.Q9.VP.602</v>
      </c>
      <c r="B425" s="28" t="str">
        <f>TEXT(COUNTIFS($C$4:C425,C425,$D$4:D425,D425,$F$4:F425,F425)+IF(F425="KT",100,IF(F425="KC",200,IF(F425="DI",300,IF(F425="DN",400,IF(F425="NU",500,IF(F425="DH",600,IF(F425="PC",700,0))))))),"000")</f>
        <v>602</v>
      </c>
      <c r="C425" s="28" t="s">
        <v>10</v>
      </c>
      <c r="D425" s="100" t="s">
        <v>371</v>
      </c>
      <c r="E425" s="28" t="s">
        <v>372</v>
      </c>
      <c r="F425" s="87" t="s">
        <v>205</v>
      </c>
      <c r="G425" s="82" t="s">
        <v>28</v>
      </c>
      <c r="H425" s="82" t="s">
        <v>156</v>
      </c>
      <c r="I425" s="82" t="s">
        <v>105</v>
      </c>
      <c r="J425" s="20" t="s">
        <v>216</v>
      </c>
      <c r="K425" s="20"/>
      <c r="L425" s="20"/>
      <c r="N425" s="97">
        <v>46174</v>
      </c>
      <c r="O425" s="97">
        <v>46174</v>
      </c>
      <c r="P425" s="211" t="str">
        <f>J425&amp;", "&amp;K425&amp;", "&amp;L425</f>
        <v xml:space="preserve">Đặng Thái Sơn, , </v>
      </c>
    </row>
    <row r="426" spans="1:16">
      <c r="A426" s="28" t="str">
        <f>"3."&amp;D426&amp;"."&amp;B426</f>
        <v>3.N.HCM.Q9.VP.701</v>
      </c>
      <c r="B426" s="28" t="str">
        <f>TEXT(COUNTIFS($C$4:C426,C426,$D$4:D426,D426,$F$4:F426,F426)+IF(F426="KT",100,IF(F426="KC",200,IF(F426="DI",300,IF(F426="DN",400,IF(F426="NU",500,IF(F426="DH",600,IF(F426="PC",700,0))))))),"000")</f>
        <v>701</v>
      </c>
      <c r="C426" s="28" t="s">
        <v>10</v>
      </c>
      <c r="D426" s="100" t="s">
        <v>371</v>
      </c>
      <c r="E426" s="28" t="s">
        <v>372</v>
      </c>
      <c r="F426" s="87" t="s">
        <v>200</v>
      </c>
      <c r="G426" s="82" t="s">
        <v>27</v>
      </c>
      <c r="H426" s="6" t="s">
        <v>156</v>
      </c>
      <c r="I426" s="82" t="s">
        <v>105</v>
      </c>
      <c r="J426" s="20" t="s">
        <v>201</v>
      </c>
      <c r="K426" s="20"/>
      <c r="L426" s="20"/>
      <c r="N426" s="97">
        <v>46174</v>
      </c>
      <c r="O426" s="97">
        <v>46183</v>
      </c>
      <c r="P426" s="211" t="str">
        <f t="shared" si="22"/>
        <v xml:space="preserve">Ngô Tuấn Vũ, , </v>
      </c>
    </row>
    <row r="427" spans="1:16">
      <c r="A427" s="28" t="str">
        <f>"3."&amp;D427&amp;"."&amp;B427</f>
        <v>3.N.HCM.Q9.VP.603</v>
      </c>
      <c r="B427" s="28" t="str">
        <f>TEXT(COUNTIFS($C$4:C427,C427,$D$4:D427,D427,$F$4:F427,F427)+IF(F427="KT",100,IF(F427="KC",200,IF(F427="DI",300,IF(F427="DN",400,IF(F427="NU",500,IF(F427="DH",600,IF(F427="PC",700,0))))))),"000")</f>
        <v>603</v>
      </c>
      <c r="C427" s="28" t="s">
        <v>10</v>
      </c>
      <c r="D427" s="100" t="s">
        <v>371</v>
      </c>
      <c r="E427" s="28" t="s">
        <v>372</v>
      </c>
      <c r="F427" s="87" t="s">
        <v>205</v>
      </c>
      <c r="G427" s="82" t="s">
        <v>27</v>
      </c>
      <c r="H427" s="6" t="s">
        <v>156</v>
      </c>
      <c r="I427" s="82" t="s">
        <v>105</v>
      </c>
      <c r="J427" s="20" t="s">
        <v>216</v>
      </c>
      <c r="K427" s="20"/>
      <c r="L427" s="20"/>
      <c r="N427" s="97">
        <v>46175</v>
      </c>
      <c r="O427" s="97">
        <v>46183</v>
      </c>
      <c r="P427" s="211" t="str">
        <f>J427&amp;", "&amp;K427&amp;", "&amp;L427</f>
        <v xml:space="preserve">Đặng Thái Sơn, , </v>
      </c>
    </row>
    <row r="428" spans="1:16">
      <c r="A428" s="28" t="str">
        <f>"3."&amp;D428&amp;"."&amp;B428</f>
        <v>3.N.HCM.Q9.VP.604</v>
      </c>
      <c r="B428" s="28" t="str">
        <f>TEXT(COUNTIFS($C$4:C428,C428,$D$4:D428,D428,$F$4:F428,F428)+IF(F428="KT",100,IF(F428="KC",200,IF(F428="DI",300,IF(F428="DN",400,IF(F428="NU",500,IF(F428="DH",600,IF(F428="PC",700,0))))))),"000")</f>
        <v>604</v>
      </c>
      <c r="C428" s="28" t="s">
        <v>10</v>
      </c>
      <c r="D428" s="100" t="s">
        <v>371</v>
      </c>
      <c r="E428" s="28" t="s">
        <v>372</v>
      </c>
      <c r="F428" s="87" t="s">
        <v>205</v>
      </c>
      <c r="G428" s="82" t="s">
        <v>28</v>
      </c>
      <c r="H428" s="6" t="s">
        <v>156</v>
      </c>
      <c r="I428" s="82" t="s">
        <v>105</v>
      </c>
      <c r="J428" s="20" t="s">
        <v>216</v>
      </c>
      <c r="K428" s="20"/>
      <c r="L428" s="20"/>
      <c r="N428" s="97">
        <v>46175</v>
      </c>
      <c r="O428" s="97">
        <v>46183</v>
      </c>
      <c r="P428" s="211" t="str">
        <f>J428&amp;", "&amp;K428&amp;", "&amp;L428</f>
        <v xml:space="preserve">Đặng Thái Sơn, , </v>
      </c>
    </row>
    <row r="429" spans="1:16">
      <c r="A429" s="28" t="str">
        <f>"3."&amp;D429&amp;"."&amp;B429</f>
        <v>3.N.HCM.Q9.VSC.THCS.101</v>
      </c>
      <c r="B429" s="28" t="str">
        <f>TEXT(COUNTIFS($C$4:C429,C429,$D$4:D429,D429,$F$4:F429,F429)+IF(F429="KT",100,IF(F429="KC",200,IF(F429="DI",300,IF(F429="DN",400,IF(F429="NU",500,IF(F429="DH",600,IF(F429="PC",700,0))))))),"000")</f>
        <v>101</v>
      </c>
      <c r="C429" s="28" t="s">
        <v>10</v>
      </c>
      <c r="D429" s="100" t="s">
        <v>374</v>
      </c>
      <c r="E429" s="28" t="s">
        <v>375</v>
      </c>
      <c r="F429" s="88" t="s">
        <v>164</v>
      </c>
      <c r="G429" s="6" t="s">
        <v>23</v>
      </c>
      <c r="H429" s="20" t="s">
        <v>156</v>
      </c>
      <c r="I429" s="82" t="s">
        <v>105</v>
      </c>
      <c r="J429" s="28" t="s">
        <v>35</v>
      </c>
      <c r="K429" s="28"/>
      <c r="L429" s="28"/>
      <c r="M429" s="12"/>
      <c r="N429" s="97">
        <v>46000</v>
      </c>
      <c r="O429" s="97">
        <v>46183</v>
      </c>
      <c r="P429" s="211" t="str">
        <f t="shared" si="22"/>
        <v xml:space="preserve">Đặng Minh Quang, , </v>
      </c>
    </row>
    <row r="430" spans="1:16">
      <c r="A430" s="28" t="str">
        <f>"3."&amp;D430&amp;"."&amp;B430</f>
        <v>3.N.HCM.Q9.VSC.THCS.201</v>
      </c>
      <c r="B430" s="28" t="str">
        <f>TEXT(COUNTIFS($C$4:C430,C430,$D$4:D430,D430,$F$4:F430,F430)+IF(F430="KT",100,IF(F430="KC",200,IF(F430="DI",300,IF(F430="DN",400,IF(F430="NU",500,IF(F430="DH",600,IF(F430="PC",700,0))))))),"000")</f>
        <v>201</v>
      </c>
      <c r="C430" s="28" t="s">
        <v>10</v>
      </c>
      <c r="D430" s="100" t="s">
        <v>374</v>
      </c>
      <c r="E430" s="28" t="s">
        <v>375</v>
      </c>
      <c r="F430" s="88" t="s">
        <v>174</v>
      </c>
      <c r="G430" s="6" t="s">
        <v>23</v>
      </c>
      <c r="H430" s="20" t="s">
        <v>156</v>
      </c>
      <c r="I430" s="82" t="s">
        <v>105</v>
      </c>
      <c r="J430" s="28" t="s">
        <v>35</v>
      </c>
      <c r="K430" s="28"/>
      <c r="L430" s="28"/>
      <c r="M430" s="28"/>
      <c r="N430" s="96">
        <v>46000</v>
      </c>
      <c r="O430" s="96">
        <v>46183</v>
      </c>
      <c r="P430" s="211" t="str">
        <f t="shared" si="22"/>
        <v xml:space="preserve">Đặng Minh Quang, , </v>
      </c>
    </row>
    <row r="431" spans="1:16">
      <c r="A431" s="28" t="str">
        <f>"3."&amp;D431&amp;"."&amp;B431</f>
        <v>3.N.HCM.Q9.VSC.THCS.301</v>
      </c>
      <c r="B431" s="28" t="str">
        <f>TEXT(COUNTIFS($C$4:C431,C431,$D$4:D431,D431,$F$4:F431,F431)+IF(F431="KT",100,IF(F431="KC",200,IF(F431="DI",300,IF(F431="DN",400,IF(F431="NU",500,IF(F431="DH",600,IF(F431="PC",700,0))))))),"000")</f>
        <v>301</v>
      </c>
      <c r="C431" s="28" t="s">
        <v>10</v>
      </c>
      <c r="D431" s="100" t="s">
        <v>374</v>
      </c>
      <c r="E431" s="28" t="s">
        <v>375</v>
      </c>
      <c r="F431" s="87" t="s">
        <v>182</v>
      </c>
      <c r="G431" s="20" t="s">
        <v>23</v>
      </c>
      <c r="H431" s="6" t="s">
        <v>156</v>
      </c>
      <c r="I431" s="28" t="s">
        <v>105</v>
      </c>
      <c r="J431" s="20" t="s">
        <v>220</v>
      </c>
      <c r="K431" s="20"/>
      <c r="L431" s="20"/>
      <c r="M431" s="20"/>
      <c r="N431" s="96">
        <v>46059</v>
      </c>
      <c r="O431" s="96">
        <v>46183</v>
      </c>
      <c r="P431" s="211" t="str">
        <f t="shared" si="22"/>
        <v xml:space="preserve">Phan Trường Giang, , </v>
      </c>
    </row>
    <row r="432" spans="1:16">
      <c r="A432" s="28" t="str">
        <f>"3."&amp;D432&amp;"."&amp;B432</f>
        <v>3.N.HCM.Q9.VSC.THCS.401</v>
      </c>
      <c r="B432" s="28" t="str">
        <f>TEXT(COUNTIFS($C$4:C432,C432,$D$4:D432,D432,$F$4:F432,F432)+IF(F432="KT",100,IF(F432="KC",200,IF(F432="DI",300,IF(F432="DN",400,IF(F432="NU",500,IF(F432="DH",600,IF(F432="PC",700,0))))))),"000")</f>
        <v>401</v>
      </c>
      <c r="C432" s="28" t="s">
        <v>10</v>
      </c>
      <c r="D432" s="100" t="s">
        <v>374</v>
      </c>
      <c r="E432" s="28" t="s">
        <v>375</v>
      </c>
      <c r="F432" s="87" t="s">
        <v>190</v>
      </c>
      <c r="G432" s="20" t="s">
        <v>23</v>
      </c>
      <c r="H432" s="6" t="s">
        <v>156</v>
      </c>
      <c r="I432" s="28" t="s">
        <v>105</v>
      </c>
      <c r="J432" s="20" t="s">
        <v>220</v>
      </c>
      <c r="K432" s="20"/>
      <c r="L432" s="20"/>
      <c r="M432" s="20"/>
      <c r="N432" s="96">
        <v>46059</v>
      </c>
      <c r="O432" s="96">
        <v>46183</v>
      </c>
      <c r="P432" s="211" t="str">
        <f t="shared" si="22"/>
        <v xml:space="preserve">Phan Trường Giang, , </v>
      </c>
    </row>
    <row r="433" spans="1:16">
      <c r="A433" s="28" t="str">
        <f>"3."&amp;D433&amp;"."&amp;B433</f>
        <v>3.N.HCM.Q9.VSC.THCS.501</v>
      </c>
      <c r="B433" s="28" t="str">
        <f>TEXT(COUNTIFS($C$4:C433,C433,$D$4:D433,D433,$F$4:F433,F433)+IF(F433="KT",100,IF(F433="KC",200,IF(F433="DI",300,IF(F433="DN",400,IF(F433="NU",500,IF(F433="DH",600,IF(F433="PC",700,0))))))),"000")</f>
        <v>501</v>
      </c>
      <c r="C433" s="28" t="s">
        <v>10</v>
      </c>
      <c r="D433" s="100" t="s">
        <v>374</v>
      </c>
      <c r="E433" s="28" t="s">
        <v>375</v>
      </c>
      <c r="F433" s="87" t="s">
        <v>195</v>
      </c>
      <c r="G433" s="20" t="s">
        <v>23</v>
      </c>
      <c r="H433" s="6" t="s">
        <v>156</v>
      </c>
      <c r="I433" s="28" t="s">
        <v>105</v>
      </c>
      <c r="J433" s="20" t="s">
        <v>220</v>
      </c>
      <c r="K433" s="20"/>
      <c r="L433" s="20"/>
      <c r="M433" s="20"/>
      <c r="N433" s="96">
        <v>46059</v>
      </c>
      <c r="O433" s="96">
        <v>46183</v>
      </c>
      <c r="P433" s="211" t="str">
        <f t="shared" ref="P433" si="53">J433&amp;", "&amp;K433&amp;", "&amp;L433</f>
        <v xml:space="preserve">Phan Trường Giang, , </v>
      </c>
    </row>
    <row r="434" spans="1:16">
      <c r="A434" s="28" t="str">
        <f>"3."&amp;D434&amp;"."&amp;B434</f>
        <v>3.N.HCM.Q9.VSC.THCS.601</v>
      </c>
      <c r="B434" s="28" t="str">
        <f>TEXT(COUNTIFS($C$4:C434,C434,$D$4:D434,D434,$F$4:F434,F434)+IF(F434="KT",100,IF(F434="KC",200,IF(F434="DI",300,IF(F434="DN",400,IF(F434="NU",500,IF(F434="DH",600,IF(F434="PC",700,0))))))),"000")</f>
        <v>601</v>
      </c>
      <c r="C434" s="28" t="s">
        <v>10</v>
      </c>
      <c r="D434" s="100" t="s">
        <v>374</v>
      </c>
      <c r="E434" s="28" t="s">
        <v>375</v>
      </c>
      <c r="F434" s="87" t="s">
        <v>205</v>
      </c>
      <c r="G434" s="20" t="s">
        <v>23</v>
      </c>
      <c r="H434" s="6" t="s">
        <v>156</v>
      </c>
      <c r="I434" s="28" t="s">
        <v>105</v>
      </c>
      <c r="J434" s="20" t="s">
        <v>220</v>
      </c>
      <c r="K434" s="20"/>
      <c r="L434" s="20"/>
      <c r="M434" s="20"/>
      <c r="N434" s="96">
        <v>46059</v>
      </c>
      <c r="O434" s="96">
        <v>46183</v>
      </c>
      <c r="P434" s="211" t="str">
        <f t="shared" ref="P434" si="54">J434&amp;", "&amp;K434&amp;", "&amp;L434</f>
        <v xml:space="preserve">Phan Trường Giang, , </v>
      </c>
    </row>
    <row r="435" spans="1:16">
      <c r="A435" s="28" t="str">
        <f>"3."&amp;D435&amp;"."&amp;B435</f>
        <v>3.N.HCM.Q9.VSC.THCS.701</v>
      </c>
      <c r="B435" s="28" t="str">
        <f>TEXT(COUNTIFS($C$4:C435,C435,$D$4:D435,D435,$F$4:F435,F435)+IF(F435="KT",100,IF(F435="KC",200,IF(F435="DI",300,IF(F435="DN",400,IF(F435="NU",500,IF(F435="DH",600,IF(F435="PC",700,0))))))),"000")</f>
        <v>701</v>
      </c>
      <c r="C435" s="28" t="s">
        <v>10</v>
      </c>
      <c r="D435" s="100" t="s">
        <v>374</v>
      </c>
      <c r="E435" s="28" t="s">
        <v>375</v>
      </c>
      <c r="F435" s="87" t="s">
        <v>200</v>
      </c>
      <c r="G435" s="20" t="s">
        <v>23</v>
      </c>
      <c r="H435" s="6" t="s">
        <v>156</v>
      </c>
      <c r="I435" s="28" t="s">
        <v>105</v>
      </c>
      <c r="J435" s="20" t="s">
        <v>220</v>
      </c>
      <c r="K435" s="20"/>
      <c r="L435" s="20"/>
      <c r="M435" s="20"/>
      <c r="N435" s="96">
        <v>46059</v>
      </c>
      <c r="O435" s="96">
        <v>46183</v>
      </c>
      <c r="P435" s="211" t="str">
        <f t="shared" si="22"/>
        <v xml:space="preserve">Phan Trường Giang, , </v>
      </c>
    </row>
    <row r="436" spans="1:16">
      <c r="A436" s="28" t="str">
        <f>"3."&amp;D436&amp;"."&amp;B436</f>
        <v>3.N.TNI.HNLA.VSC.101</v>
      </c>
      <c r="B436" s="28" t="str">
        <f>TEXT(COUNTIFS($C$4:C436,C436,$D$4:D436,D436,$F$4:F436,F436)+IF(F436="KT",100,IF(F436="KC",200,IF(F436="DI",300,IF(F436="DN",400,IF(F436="NU",500,IF(F436="DH",600,IF(F436="PC",700,0))))))),"000")</f>
        <v>101</v>
      </c>
      <c r="C436" s="28" t="s">
        <v>10</v>
      </c>
      <c r="D436" s="100" t="s">
        <v>377</v>
      </c>
      <c r="E436" s="28" t="s">
        <v>378</v>
      </c>
      <c r="F436" s="88" t="s">
        <v>164</v>
      </c>
      <c r="G436" s="20" t="s">
        <v>23</v>
      </c>
      <c r="H436" s="20" t="s">
        <v>156</v>
      </c>
      <c r="I436" s="28" t="s">
        <v>105</v>
      </c>
      <c r="J436" s="28" t="s">
        <v>32</v>
      </c>
      <c r="K436" s="28"/>
      <c r="L436" s="28"/>
      <c r="M436" s="28"/>
      <c r="N436" s="96">
        <v>45996</v>
      </c>
      <c r="O436" s="96">
        <v>46188</v>
      </c>
      <c r="P436" s="211" t="str">
        <f t="shared" si="22"/>
        <v xml:space="preserve">Nguyễn Hải Nam, , </v>
      </c>
    </row>
    <row r="437" spans="1:16">
      <c r="A437" s="28" t="str">
        <f>"3."&amp;D437&amp;"."&amp;B437</f>
        <v>3.N.TNI.HNLA.VSC.201</v>
      </c>
      <c r="B437" s="28" t="str">
        <f>TEXT(COUNTIFS($C$4:C437,C437,$D$4:D437,D437,$F$4:F437,F437)+IF(F437="KT",100,IF(F437="KC",200,IF(F437="DI",300,IF(F437="DN",400,IF(F437="NU",500,IF(F437="DH",600,IF(F437="PC",700,0))))))),"000")</f>
        <v>201</v>
      </c>
      <c r="C437" s="28" t="s">
        <v>10</v>
      </c>
      <c r="D437" s="100" t="s">
        <v>377</v>
      </c>
      <c r="E437" s="28" t="s">
        <v>378</v>
      </c>
      <c r="F437" s="88" t="s">
        <v>174</v>
      </c>
      <c r="G437" s="20" t="s">
        <v>23</v>
      </c>
      <c r="H437" s="20" t="s">
        <v>156</v>
      </c>
      <c r="I437" s="28" t="s">
        <v>105</v>
      </c>
      <c r="J437" s="28" t="s">
        <v>32</v>
      </c>
      <c r="K437" s="28"/>
      <c r="L437" s="28"/>
      <c r="M437" s="28"/>
      <c r="N437" s="96">
        <v>45996</v>
      </c>
      <c r="O437" s="96">
        <v>46188</v>
      </c>
      <c r="P437" s="211" t="str">
        <f t="shared" si="22"/>
        <v xml:space="preserve">Nguyễn Hải Nam, , </v>
      </c>
    </row>
    <row r="438" spans="1:16">
      <c r="A438" s="28" t="str">
        <f>"3."&amp;D438&amp;"."&amp;B438</f>
        <v>3.T.DAN.LVDN.KS.101</v>
      </c>
      <c r="B438" s="28" t="str">
        <f>TEXT(COUNTIFS($C$4:C438,C438,$D$4:D438,D438,$F$4:F438,F438)+IF(F438="KT",100,IF(F438="KC",200,IF(F438="DI",300,IF(F438="DN",400,IF(F438="NU",500,IF(F438="DH",600,IF(F438="PC",700,0))))))),"000")</f>
        <v>101</v>
      </c>
      <c r="C438" s="28" t="s">
        <v>10</v>
      </c>
      <c r="D438" s="100" t="s">
        <v>380</v>
      </c>
      <c r="E438" s="28" t="s">
        <v>381</v>
      </c>
      <c r="F438" s="88" t="s">
        <v>164</v>
      </c>
      <c r="G438" s="6" t="s">
        <v>169</v>
      </c>
      <c r="H438" s="6" t="s">
        <v>156</v>
      </c>
      <c r="I438" s="28" t="s">
        <v>105</v>
      </c>
      <c r="J438" s="20" t="s">
        <v>196</v>
      </c>
      <c r="K438" s="20" t="s">
        <v>33</v>
      </c>
      <c r="L438" s="20" t="s">
        <v>35</v>
      </c>
      <c r="M438" s="20"/>
      <c r="N438" s="96">
        <v>46193</v>
      </c>
      <c r="O438" s="96">
        <v>46337</v>
      </c>
      <c r="P438" s="211" t="str">
        <f t="shared" si="22"/>
        <v>Vũ Thị Thêu, Đỗ Minh Ngọc, Đặng Minh Quang</v>
      </c>
    </row>
    <row r="439" spans="1:16">
      <c r="A439" s="28" t="str">
        <f>"3."&amp;D439&amp;"."&amp;B439</f>
        <v>3.T.DAN.LVDN.KS.201</v>
      </c>
      <c r="B439" s="28" t="str">
        <f>TEXT(COUNTIFS($C$4:C439,C439,$D$4:D439,D439,$F$4:F439,F439)+IF(F439="KT",100,IF(F439="KC",200,IF(F439="DI",300,IF(F439="DN",400,IF(F439="NU",500,IF(F439="DH",600,IF(F439="PC",700,0))))))),"000")</f>
        <v>201</v>
      </c>
      <c r="C439" s="28" t="s">
        <v>10</v>
      </c>
      <c r="D439" s="100" t="s">
        <v>380</v>
      </c>
      <c r="E439" s="28" t="s">
        <v>381</v>
      </c>
      <c r="F439" s="88" t="s">
        <v>174</v>
      </c>
      <c r="G439" s="6" t="s">
        <v>169</v>
      </c>
      <c r="H439" s="6" t="s">
        <v>156</v>
      </c>
      <c r="I439" s="28" t="s">
        <v>105</v>
      </c>
      <c r="J439" s="20" t="s">
        <v>196</v>
      </c>
      <c r="K439" s="20" t="s">
        <v>33</v>
      </c>
      <c r="L439" s="20" t="s">
        <v>35</v>
      </c>
      <c r="M439" s="20"/>
      <c r="N439" s="96">
        <v>46223</v>
      </c>
      <c r="O439" s="96">
        <v>46315</v>
      </c>
      <c r="P439" s="211" t="str">
        <f t="shared" si="22"/>
        <v>Vũ Thị Thêu, Đỗ Minh Ngọc, Đặng Minh Quang</v>
      </c>
    </row>
    <row r="440" spans="1:16">
      <c r="A440" s="28" t="str">
        <f>"3."&amp;D440&amp;"."&amp;B440</f>
        <v>3.T.HTI.STHT.NOXH.CT.101</v>
      </c>
      <c r="B440" s="28" t="str">
        <f>TEXT(COUNTIFS($C$4:C440,C440,$D$4:D440,D440,$F$4:F440,F440)+IF(F440="KT",100,IF(F440="KC",200,IF(F440="DI",300,IF(F440="DN",400,IF(F440="NU",500,IF(F440="DH",600,IF(F440="PC",700,0))))))),"000")</f>
        <v>101</v>
      </c>
      <c r="C440" s="28" t="s">
        <v>10</v>
      </c>
      <c r="D440" s="100" t="s">
        <v>383</v>
      </c>
      <c r="E440" s="28" t="s">
        <v>386</v>
      </c>
      <c r="F440" s="88" t="s">
        <v>164</v>
      </c>
      <c r="G440" s="20" t="s">
        <v>23</v>
      </c>
      <c r="H440" s="20" t="s">
        <v>156</v>
      </c>
      <c r="I440" s="28" t="s">
        <v>105</v>
      </c>
      <c r="J440" s="28" t="s">
        <v>31</v>
      </c>
      <c r="K440" s="28"/>
      <c r="L440" s="28"/>
      <c r="M440" s="28"/>
      <c r="N440" s="208"/>
      <c r="O440" s="208"/>
      <c r="P440" s="211" t="str">
        <f t="shared" si="22"/>
        <v xml:space="preserve">Lý Huy Thành, , </v>
      </c>
    </row>
    <row r="441" spans="1:16">
      <c r="A441" s="28" t="str">
        <f>"3."&amp;D441&amp;"."&amp;B441</f>
        <v>3.T.HTI.STHT.NOXH.CT.201</v>
      </c>
      <c r="B441" s="28" t="str">
        <f>TEXT(COUNTIFS($C$4:C441,C441,$D$4:D441,D441,$F$4:F441,F441)+IF(F441="KT",100,IF(F441="KC",200,IF(F441="DI",300,IF(F441="DN",400,IF(F441="NU",500,IF(F441="DH",600,IF(F441="PC",700,0))))))),"000")</f>
        <v>201</v>
      </c>
      <c r="C441" s="28" t="s">
        <v>10</v>
      </c>
      <c r="D441" s="100" t="s">
        <v>383</v>
      </c>
      <c r="E441" s="28" t="s">
        <v>386</v>
      </c>
      <c r="F441" s="88" t="s">
        <v>174</v>
      </c>
      <c r="G441" s="20" t="s">
        <v>23</v>
      </c>
      <c r="H441" s="20" t="s">
        <v>156</v>
      </c>
      <c r="I441" s="28" t="s">
        <v>105</v>
      </c>
      <c r="J441" s="28" t="s">
        <v>31</v>
      </c>
      <c r="K441" s="28"/>
      <c r="L441" s="28"/>
      <c r="M441" s="28"/>
      <c r="N441" s="208"/>
      <c r="O441" s="208"/>
      <c r="P441" s="211" t="str">
        <f t="shared" ref="P441:P527" si="55">J441&amp;", "&amp;K441&amp;", "&amp;L441</f>
        <v xml:space="preserve">Lý Huy Thành, , </v>
      </c>
    </row>
    <row r="442" spans="1:16">
      <c r="A442" s="28" t="str">
        <f>"3."&amp;D442&amp;"."&amp;B442</f>
        <v>3.T.HTI.STHT.NOXH.CT.301</v>
      </c>
      <c r="B442" s="28" t="str">
        <f>TEXT(COUNTIFS($C$4:C442,C442,$D$4:D442,D442,$F$4:F442,F442)+IF(F442="KT",100,IF(F442="KC",200,IF(F442="DI",300,IF(F442="DN",400,IF(F442="NU",500,IF(F442="DH",600,IF(F442="PC",700,0))))))),"000")</f>
        <v>301</v>
      </c>
      <c r="C442" s="28" t="s">
        <v>10</v>
      </c>
      <c r="D442" s="100" t="s">
        <v>383</v>
      </c>
      <c r="E442" s="28" t="s">
        <v>386</v>
      </c>
      <c r="F442" s="87" t="s">
        <v>182</v>
      </c>
      <c r="G442" s="20" t="s">
        <v>23</v>
      </c>
      <c r="H442" s="6" t="s">
        <v>156</v>
      </c>
      <c r="I442" s="28" t="s">
        <v>105</v>
      </c>
      <c r="J442" s="20" t="s">
        <v>201</v>
      </c>
      <c r="K442" s="20"/>
      <c r="L442" s="20"/>
      <c r="M442" s="20"/>
      <c r="N442" s="96">
        <v>46153</v>
      </c>
      <c r="O442" s="96">
        <v>46174</v>
      </c>
      <c r="P442" s="211" t="str">
        <f t="shared" si="55"/>
        <v xml:space="preserve">Ngô Tuấn Vũ, , </v>
      </c>
    </row>
    <row r="443" spans="1:16">
      <c r="A443" s="28" t="str">
        <f>"3."&amp;D443&amp;"."&amp;B443</f>
        <v>3.T.HTI.STHT.NOXH.CT.401</v>
      </c>
      <c r="B443" s="28" t="str">
        <f>TEXT(COUNTIFS($C$4:C443,C443,$D$4:D443,D443,$F$4:F443,F443)+IF(F443="KT",100,IF(F443="KC",200,IF(F443="DI",300,IF(F443="DN",400,IF(F443="NU",500,IF(F443="DH",600,IF(F443="PC",700,0))))))),"000")</f>
        <v>401</v>
      </c>
      <c r="C443" s="28" t="s">
        <v>10</v>
      </c>
      <c r="D443" s="100" t="s">
        <v>383</v>
      </c>
      <c r="E443" s="28" t="s">
        <v>386</v>
      </c>
      <c r="F443" s="87" t="s">
        <v>190</v>
      </c>
      <c r="G443" s="20" t="s">
        <v>23</v>
      </c>
      <c r="H443" s="6" t="s">
        <v>156</v>
      </c>
      <c r="I443" s="28" t="s">
        <v>105</v>
      </c>
      <c r="J443" s="20" t="s">
        <v>201</v>
      </c>
      <c r="K443" s="20"/>
      <c r="L443" s="20"/>
      <c r="M443" s="20"/>
      <c r="N443" s="96">
        <v>46153</v>
      </c>
      <c r="O443" s="96">
        <v>46174</v>
      </c>
      <c r="P443" s="211" t="str">
        <f t="shared" si="55"/>
        <v xml:space="preserve">Ngô Tuấn Vũ, , </v>
      </c>
    </row>
    <row r="444" spans="1:16">
      <c r="A444" s="28" t="str">
        <f>"3."&amp;D444&amp;"."&amp;B444</f>
        <v>3.T.HTI.STHT.NOXH.CT.501</v>
      </c>
      <c r="B444" s="28" t="str">
        <f>TEXT(COUNTIFS($C$4:C444,C444,$D$4:D444,D444,$F$4:F444,F444)+IF(F444="KT",100,IF(F444="KC",200,IF(F444="DI",300,IF(F444="DN",400,IF(F444="NU",500,IF(F444="DH",600,IF(F444="PC",700,0))))))),"000")</f>
        <v>501</v>
      </c>
      <c r="C444" s="28" t="s">
        <v>10</v>
      </c>
      <c r="D444" s="100" t="s">
        <v>383</v>
      </c>
      <c r="E444" s="28" t="s">
        <v>386</v>
      </c>
      <c r="F444" s="87" t="s">
        <v>195</v>
      </c>
      <c r="G444" s="20" t="s">
        <v>23</v>
      </c>
      <c r="H444" s="6" t="s">
        <v>156</v>
      </c>
      <c r="I444" s="28" t="s">
        <v>105</v>
      </c>
      <c r="J444" s="20" t="s">
        <v>201</v>
      </c>
      <c r="K444" s="20"/>
      <c r="L444" s="20"/>
      <c r="M444" s="20"/>
      <c r="N444" s="96">
        <v>46153</v>
      </c>
      <c r="O444" s="96">
        <v>46174</v>
      </c>
      <c r="P444" s="211" t="str">
        <f t="shared" si="55"/>
        <v xml:space="preserve">Ngô Tuấn Vũ, , </v>
      </c>
    </row>
    <row r="445" spans="1:16">
      <c r="A445" s="28" t="str">
        <f>"3."&amp;D445&amp;"."&amp;B445</f>
        <v>3.T.HTI.STHT.NOXH.CT.601</v>
      </c>
      <c r="B445" s="28" t="str">
        <f>TEXT(COUNTIFS($C$4:C445,C445,$D$4:D445,D445,$F$4:F445,F445)+IF(F445="KT",100,IF(F445="KC",200,IF(F445="DI",300,IF(F445="DN",400,IF(F445="NU",500,IF(F445="DH",600,IF(F445="PC",700,0))))))),"000")</f>
        <v>601</v>
      </c>
      <c r="C445" s="28" t="s">
        <v>10</v>
      </c>
      <c r="D445" s="100" t="s">
        <v>383</v>
      </c>
      <c r="E445" s="28" t="s">
        <v>386</v>
      </c>
      <c r="F445" s="87" t="s">
        <v>205</v>
      </c>
      <c r="G445" s="20" t="s">
        <v>23</v>
      </c>
      <c r="H445" s="6" t="s">
        <v>156</v>
      </c>
      <c r="I445" s="28" t="s">
        <v>105</v>
      </c>
      <c r="J445" s="20" t="s">
        <v>201</v>
      </c>
      <c r="K445" s="20"/>
      <c r="L445" s="20"/>
      <c r="M445" s="20"/>
      <c r="N445" s="96">
        <v>46153</v>
      </c>
      <c r="O445" s="96">
        <v>46174</v>
      </c>
      <c r="P445" s="211" t="str">
        <f t="shared" ref="P445" si="56">J445&amp;", "&amp;K445&amp;", "&amp;L445</f>
        <v xml:space="preserve">Ngô Tuấn Vũ, , </v>
      </c>
    </row>
    <row r="446" spans="1:16">
      <c r="A446" s="28" t="str">
        <f>"3."&amp;D446&amp;"."&amp;B446</f>
        <v>3.T.HTI.STHT.NOXH.CT.701</v>
      </c>
      <c r="B446" s="28" t="str">
        <f>TEXT(COUNTIFS($C$4:C446,C446,$D$4:D446,D446,$F$4:F446,F446)+IF(F446="KT",100,IF(F446="KC",200,IF(F446="DI",300,IF(F446="DN",400,IF(F446="NU",500,IF(F446="DH",600,IF(F446="PC",700,0))))))),"000")</f>
        <v>701</v>
      </c>
      <c r="C446" s="28" t="s">
        <v>10</v>
      </c>
      <c r="D446" s="100" t="s">
        <v>383</v>
      </c>
      <c r="E446" s="28" t="s">
        <v>386</v>
      </c>
      <c r="F446" s="87" t="s">
        <v>200</v>
      </c>
      <c r="G446" s="20" t="s">
        <v>23</v>
      </c>
      <c r="H446" s="6" t="s">
        <v>156</v>
      </c>
      <c r="I446" s="28" t="s">
        <v>105</v>
      </c>
      <c r="J446" s="20" t="s">
        <v>201</v>
      </c>
      <c r="K446" s="20"/>
      <c r="L446" s="20"/>
      <c r="M446" s="20"/>
      <c r="N446" s="96">
        <v>46153</v>
      </c>
      <c r="O446" s="96">
        <v>46174</v>
      </c>
      <c r="P446" s="211" t="str">
        <f t="shared" si="55"/>
        <v xml:space="preserve">Ngô Tuấn Vũ, , </v>
      </c>
    </row>
    <row r="447" spans="1:16">
      <c r="A447" s="28" t="str">
        <f>"3."&amp;D447&amp;"."&amp;B447</f>
        <v>3.T.HTI.STHT.NOXH.CT.502</v>
      </c>
      <c r="B447" s="28" t="str">
        <f>TEXT(COUNTIFS($C$4:C447,C447,$D$4:D447,D447,$F$4:F447,F447)+IF(F447="KT",100,IF(F447="KC",200,IF(F447="DI",300,IF(F447="DN",400,IF(F447="NU",500,IF(F447="DH",600,IF(F447="PC",700,0))))))),"000")</f>
        <v>502</v>
      </c>
      <c r="C447" s="28" t="s">
        <v>10</v>
      </c>
      <c r="D447" s="100" t="s">
        <v>383</v>
      </c>
      <c r="E447" s="28" t="s">
        <v>386</v>
      </c>
      <c r="F447" s="88" t="s">
        <v>195</v>
      </c>
      <c r="G447" s="28" t="s">
        <v>18</v>
      </c>
      <c r="H447" s="6" t="s">
        <v>156</v>
      </c>
      <c r="I447" s="28" t="s">
        <v>105</v>
      </c>
      <c r="J447" s="20" t="s">
        <v>206</v>
      </c>
      <c r="K447" s="20"/>
      <c r="L447" s="20"/>
      <c r="M447" s="20"/>
      <c r="N447" s="96">
        <v>46174</v>
      </c>
      <c r="O447" s="96">
        <v>46174</v>
      </c>
      <c r="P447" s="211" t="str">
        <f t="shared" ref="P447" si="57">J447&amp;", "&amp;K447&amp;", "&amp;L447</f>
        <v xml:space="preserve">Nguyễn Văn Hải, , </v>
      </c>
    </row>
    <row r="448" spans="1:16">
      <c r="A448" s="28" t="str">
        <f>"3."&amp;D448&amp;"."&amp;B448</f>
        <v>3.T.KHO.VPNT.KSMN.101</v>
      </c>
      <c r="B448" s="28" t="str">
        <f>TEXT(COUNTIFS($C$4:C448,C448,$D$4:D448,D448,$F$4:F448,F448)+IF(F448="KT",100,IF(F448="KC",200,IF(F448="DI",300,IF(F448="DN",400,IF(F448="NU",500,IF(F448="DH",600,IF(F448="PC",700,0))))))),"000")</f>
        <v>101</v>
      </c>
      <c r="C448" s="28" t="s">
        <v>10</v>
      </c>
      <c r="D448" s="100" t="s">
        <v>388</v>
      </c>
      <c r="E448" s="28" t="s">
        <v>389</v>
      </c>
      <c r="F448" s="88" t="s">
        <v>164</v>
      </c>
      <c r="G448" s="28" t="s">
        <v>23</v>
      </c>
      <c r="H448" s="20" t="s">
        <v>156</v>
      </c>
      <c r="I448" s="28" t="s">
        <v>105</v>
      </c>
      <c r="J448" s="20" t="s">
        <v>33</v>
      </c>
      <c r="K448" s="20"/>
      <c r="L448" s="20"/>
      <c r="M448" s="20"/>
      <c r="N448" s="96">
        <v>46163</v>
      </c>
      <c r="O448" s="96">
        <v>46223</v>
      </c>
      <c r="P448" s="211" t="str">
        <f t="shared" si="55"/>
        <v xml:space="preserve">Đỗ Minh Ngọc, , </v>
      </c>
    </row>
    <row r="449" spans="1:16">
      <c r="A449" s="28" t="str">
        <f>"3."&amp;D449&amp;"."&amp;B449</f>
        <v>3.T.KHO.VPNT.KSMN.102</v>
      </c>
      <c r="B449" s="28" t="str">
        <f>TEXT(COUNTIFS($C$4:C449,C449,$D$4:D449,D449,$F$4:F449,F449)+IF(F449="KT",100,IF(F449="KC",200,IF(F449="DI",300,IF(F449="DN",400,IF(F449="NU",500,IF(F449="DH",600,IF(F449="PC",700,0))))))),"000")</f>
        <v>102</v>
      </c>
      <c r="C449" s="28" t="s">
        <v>10</v>
      </c>
      <c r="D449" s="100" t="s">
        <v>388</v>
      </c>
      <c r="E449" s="28" t="s">
        <v>389</v>
      </c>
      <c r="F449" s="88" t="s">
        <v>164</v>
      </c>
      <c r="G449" s="6" t="s">
        <v>169</v>
      </c>
      <c r="H449" s="6" t="s">
        <v>156</v>
      </c>
      <c r="I449" s="28" t="s">
        <v>105</v>
      </c>
      <c r="J449" s="20" t="s">
        <v>33</v>
      </c>
      <c r="K449" s="20"/>
      <c r="L449" s="20"/>
      <c r="M449" s="20"/>
      <c r="N449" s="96">
        <v>46122</v>
      </c>
      <c r="O449" s="96">
        <v>46176</v>
      </c>
      <c r="P449" s="211" t="str">
        <f t="shared" si="55"/>
        <v xml:space="preserve">Đỗ Minh Ngọc, , </v>
      </c>
    </row>
    <row r="450" spans="1:16">
      <c r="A450" s="28" t="str">
        <f>"3."&amp;D450&amp;"."&amp;B450</f>
        <v>3.T.KHO.VPNT.KSMN.201</v>
      </c>
      <c r="B450" s="28" t="str">
        <f>TEXT(COUNTIFS($C$4:C450,C450,$D$4:D450,D450,$F$4:F450,F450)+IF(F450="KT",100,IF(F450="KC",200,IF(F450="DI",300,IF(F450="DN",400,IF(F450="NU",500,IF(F450="DH",600,IF(F450="PC",700,0))))))),"000")</f>
        <v>201</v>
      </c>
      <c r="C450" s="28" t="s">
        <v>10</v>
      </c>
      <c r="D450" s="100" t="s">
        <v>388</v>
      </c>
      <c r="E450" s="28" t="s">
        <v>389</v>
      </c>
      <c r="F450" s="88" t="s">
        <v>174</v>
      </c>
      <c r="G450" s="28" t="s">
        <v>23</v>
      </c>
      <c r="H450" s="20" t="s">
        <v>156</v>
      </c>
      <c r="I450" s="28" t="s">
        <v>105</v>
      </c>
      <c r="J450" s="20" t="s">
        <v>33</v>
      </c>
      <c r="K450" s="20"/>
      <c r="L450" s="20"/>
      <c r="M450" s="20"/>
      <c r="N450" s="96">
        <v>46188</v>
      </c>
      <c r="O450" s="96">
        <v>46228</v>
      </c>
      <c r="P450" s="211" t="str">
        <f t="shared" si="55"/>
        <v xml:space="preserve">Đỗ Minh Ngọc, , </v>
      </c>
    </row>
    <row r="451" spans="1:16">
      <c r="A451" s="28" t="str">
        <f>"3."&amp;D451&amp;"."&amp;B451</f>
        <v>3.T.KHO.VPNT.KSMN.301</v>
      </c>
      <c r="B451" s="28" t="str">
        <f>TEXT(COUNTIFS($C$4:C451,C451,$D$4:D451,D451,$F$4:F451,F451)+IF(F451="KT",100,IF(F451="KC",200,IF(F451="DI",300,IF(F451="DN",400,IF(F451="NU",500,IF(F451="DH",600,IF(F451="PC",700,0))))))),"000")</f>
        <v>301</v>
      </c>
      <c r="C451" s="28" t="s">
        <v>10</v>
      </c>
      <c r="D451" s="100" t="s">
        <v>388</v>
      </c>
      <c r="E451" s="28" t="s">
        <v>389</v>
      </c>
      <c r="F451" s="87" t="s">
        <v>182</v>
      </c>
      <c r="G451" s="28" t="s">
        <v>23</v>
      </c>
      <c r="H451" s="6" t="s">
        <v>156</v>
      </c>
      <c r="I451" s="28" t="s">
        <v>105</v>
      </c>
      <c r="J451" s="20" t="s">
        <v>201</v>
      </c>
      <c r="K451" s="20"/>
      <c r="L451" s="20"/>
      <c r="M451" s="20"/>
      <c r="N451" s="96">
        <v>46187</v>
      </c>
      <c r="O451" s="96">
        <v>46233</v>
      </c>
      <c r="P451" s="211" t="str">
        <f>J451&amp;", "&amp;K451&amp;", "&amp;L451</f>
        <v xml:space="preserve">Ngô Tuấn Vũ, , </v>
      </c>
    </row>
    <row r="452" spans="1:16">
      <c r="A452" s="28" t="str">
        <f>"3."&amp;D452&amp;"."&amp;B452</f>
        <v>3.T.KHO.VPNT.KSMN.401</v>
      </c>
      <c r="B452" s="28" t="str">
        <f>TEXT(COUNTIFS($C$4:C452,C452,$D$4:D452,D452,$F$4:F452,F452)+IF(F452="KT",100,IF(F452="KC",200,IF(F452="DI",300,IF(F452="DN",400,IF(F452="NU",500,IF(F452="DH",600,IF(F452="PC",700,0))))))),"000")</f>
        <v>401</v>
      </c>
      <c r="C452" s="28" t="s">
        <v>10</v>
      </c>
      <c r="D452" s="100" t="s">
        <v>388</v>
      </c>
      <c r="E452" s="28" t="s">
        <v>389</v>
      </c>
      <c r="F452" s="87" t="s">
        <v>190</v>
      </c>
      <c r="G452" s="28" t="s">
        <v>23</v>
      </c>
      <c r="H452" s="6" t="s">
        <v>156</v>
      </c>
      <c r="I452" s="28" t="s">
        <v>105</v>
      </c>
      <c r="J452" s="20" t="s">
        <v>201</v>
      </c>
      <c r="K452" s="20"/>
      <c r="L452" s="20"/>
      <c r="M452" s="20"/>
      <c r="N452" s="96">
        <v>46187</v>
      </c>
      <c r="O452" s="96">
        <v>46233</v>
      </c>
      <c r="P452" s="211" t="str">
        <f>J452&amp;", "&amp;K452&amp;", "&amp;L452</f>
        <v xml:space="preserve">Ngô Tuấn Vũ, , </v>
      </c>
    </row>
    <row r="453" spans="1:16">
      <c r="A453" s="28" t="str">
        <f>"3."&amp;D453&amp;"."&amp;B453</f>
        <v>3.T.KHO.VPNT.KSMN.501</v>
      </c>
      <c r="B453" s="28" t="str">
        <f>TEXT(COUNTIFS($C$4:C453,C453,$D$4:D453,D453,$F$4:F453,F453)+IF(F453="KT",100,IF(F453="KC",200,IF(F453="DI",300,IF(F453="DN",400,IF(F453="NU",500,IF(F453="DH",600,IF(F453="PC",700,0))))))),"000")</f>
        <v>501</v>
      </c>
      <c r="C453" s="28" t="s">
        <v>10</v>
      </c>
      <c r="D453" s="100" t="s">
        <v>388</v>
      </c>
      <c r="E453" s="28" t="s">
        <v>389</v>
      </c>
      <c r="F453" s="87" t="s">
        <v>195</v>
      </c>
      <c r="G453" s="28" t="s">
        <v>23</v>
      </c>
      <c r="H453" s="6" t="s">
        <v>156</v>
      </c>
      <c r="I453" s="28" t="s">
        <v>105</v>
      </c>
      <c r="J453" s="20" t="s">
        <v>201</v>
      </c>
      <c r="K453" s="20"/>
      <c r="L453" s="20"/>
      <c r="M453" s="20"/>
      <c r="N453" s="96">
        <v>46187</v>
      </c>
      <c r="O453" s="96">
        <v>46233</v>
      </c>
      <c r="P453" s="211" t="str">
        <f>J453&amp;", "&amp;K453&amp;", "&amp;L453</f>
        <v xml:space="preserve">Ngô Tuấn Vũ, , </v>
      </c>
    </row>
    <row r="454" spans="1:16">
      <c r="A454" s="28" t="str">
        <f>"3."&amp;D454&amp;"."&amp;B454</f>
        <v>3.T.KHO.VPNT.KSMN.601</v>
      </c>
      <c r="B454" s="28" t="str">
        <f>TEXT(COUNTIFS($C$4:C454,C454,$D$4:D454,D454,$F$4:F454,F454)+IF(F454="KT",100,IF(F454="KC",200,IF(F454="DI",300,IF(F454="DN",400,IF(F454="NU",500,IF(F454="DH",600,IF(F454="PC",700,0))))))),"000")</f>
        <v>601</v>
      </c>
      <c r="C454" s="28" t="s">
        <v>10</v>
      </c>
      <c r="D454" s="100" t="s">
        <v>388</v>
      </c>
      <c r="E454" s="28" t="s">
        <v>389</v>
      </c>
      <c r="F454" s="87" t="s">
        <v>205</v>
      </c>
      <c r="G454" s="28" t="s">
        <v>23</v>
      </c>
      <c r="H454" s="6" t="s">
        <v>156</v>
      </c>
      <c r="I454" s="28" t="s">
        <v>105</v>
      </c>
      <c r="J454" s="20" t="s">
        <v>201</v>
      </c>
      <c r="K454" s="20"/>
      <c r="L454" s="20"/>
      <c r="M454" s="20"/>
      <c r="N454" s="96">
        <v>46187</v>
      </c>
      <c r="O454" s="96">
        <v>46233</v>
      </c>
      <c r="P454" s="211" t="str">
        <f>J454&amp;", "&amp;K454&amp;", "&amp;L454</f>
        <v xml:space="preserve">Ngô Tuấn Vũ, , </v>
      </c>
    </row>
    <row r="455" spans="1:16">
      <c r="A455" s="28" t="str">
        <f>"3."&amp;D455&amp;"."&amp;B455</f>
        <v>3.T.KHO.VPNT.KSMN.701</v>
      </c>
      <c r="B455" s="28" t="str">
        <f>TEXT(COUNTIFS($C$4:C455,C455,$D$4:D455,D455,$F$4:F455,F455)+IF(F455="KT",100,IF(F455="KC",200,IF(F455="DI",300,IF(F455="DN",400,IF(F455="NU",500,IF(F455="DH",600,IF(F455="PC",700,0))))))),"000")</f>
        <v>701</v>
      </c>
      <c r="C455" s="28" t="s">
        <v>10</v>
      </c>
      <c r="D455" s="100" t="s">
        <v>388</v>
      </c>
      <c r="E455" s="28" t="s">
        <v>389</v>
      </c>
      <c r="F455" s="87" t="s">
        <v>200</v>
      </c>
      <c r="G455" s="28" t="s">
        <v>23</v>
      </c>
      <c r="H455" s="6" t="s">
        <v>156</v>
      </c>
      <c r="I455" s="28" t="s">
        <v>105</v>
      </c>
      <c r="J455" s="20" t="s">
        <v>201</v>
      </c>
      <c r="K455" s="20"/>
      <c r="L455" s="20"/>
      <c r="M455" s="20"/>
      <c r="N455" s="96">
        <v>46187</v>
      </c>
      <c r="O455" s="96">
        <v>46233</v>
      </c>
      <c r="P455" s="211" t="str">
        <f t="shared" si="55"/>
        <v xml:space="preserve">Ngô Tuấn Vũ, , </v>
      </c>
    </row>
    <row r="456" spans="1:16">
      <c r="A456" s="28" t="str">
        <f>"3."&amp;D456&amp;"."&amp;B456</f>
        <v>3.T.KHO.VPNT.KSMN.103</v>
      </c>
      <c r="B456" s="28" t="str">
        <f>TEXT(COUNTIFS($C$4:C456,C456,$D$4:D456,D456,$F$4:F456,F456)+IF(F456="KT",100,IF(F456="KC",200,IF(F456="DI",300,IF(F456="DN",400,IF(F456="NU",500,IF(F456="DH",600,IF(F456="PC",700,0))))))),"000")</f>
        <v>103</v>
      </c>
      <c r="C456" s="28" t="s">
        <v>10</v>
      </c>
      <c r="D456" s="100" t="s">
        <v>388</v>
      </c>
      <c r="E456" s="28" t="s">
        <v>391</v>
      </c>
      <c r="F456" s="88" t="s">
        <v>164</v>
      </c>
      <c r="G456" s="28" t="s">
        <v>23</v>
      </c>
      <c r="H456" s="20" t="s">
        <v>156</v>
      </c>
      <c r="I456" s="28" t="s">
        <v>105</v>
      </c>
      <c r="J456" s="20" t="s">
        <v>196</v>
      </c>
      <c r="K456" s="20"/>
      <c r="L456" s="20"/>
      <c r="M456" s="20"/>
      <c r="N456" s="96">
        <v>46163</v>
      </c>
      <c r="O456" s="96">
        <v>46223</v>
      </c>
      <c r="P456" s="211" t="str">
        <f t="shared" si="55"/>
        <v xml:space="preserve">Vũ Thị Thêu, , </v>
      </c>
    </row>
    <row r="457" spans="1:16">
      <c r="A457" s="28" t="str">
        <f>"3."&amp;D457&amp;"."&amp;B457</f>
        <v>3.T.KHO.VPNT.KSMN.104</v>
      </c>
      <c r="B457" s="28" t="str">
        <f>TEXT(COUNTIFS($C$4:C457,C457,$D$4:D457,D457,$F$4:F457,F457)+IF(F457="KT",100,IF(F457="KC",200,IF(F457="DI",300,IF(F457="DN",400,IF(F457="NU",500,IF(F457="DH",600,IF(F457="PC",700,0))))))),"000")</f>
        <v>104</v>
      </c>
      <c r="C457" s="28" t="s">
        <v>10</v>
      </c>
      <c r="D457" s="100" t="s">
        <v>388</v>
      </c>
      <c r="E457" s="28" t="s">
        <v>391</v>
      </c>
      <c r="F457" s="88" t="s">
        <v>164</v>
      </c>
      <c r="G457" s="6" t="s">
        <v>169</v>
      </c>
      <c r="H457" s="20" t="s">
        <v>156</v>
      </c>
      <c r="I457" s="28" t="s">
        <v>105</v>
      </c>
      <c r="J457" s="76" t="s">
        <v>196</v>
      </c>
      <c r="K457" s="20"/>
      <c r="L457" s="20"/>
      <c r="M457" s="20"/>
      <c r="N457" s="96">
        <v>46122</v>
      </c>
      <c r="O457" s="96">
        <v>46176</v>
      </c>
      <c r="P457" s="211" t="str">
        <f t="shared" si="55"/>
        <v xml:space="preserve">Vũ Thị Thêu, , </v>
      </c>
    </row>
    <row r="458" spans="1:16">
      <c r="A458" s="28" t="str">
        <f>"3."&amp;D458&amp;"."&amp;B458</f>
        <v>3.T.KHO.VPNT.KSMN.202</v>
      </c>
      <c r="B458" s="28" t="str">
        <f>TEXT(COUNTIFS($C$4:C458,C458,$D$4:D458,D458,$F$4:F458,F458)+IF(F458="KT",100,IF(F458="KC",200,IF(F458="DI",300,IF(F458="DN",400,IF(F458="NU",500,IF(F458="DH",600,IF(F458="PC",700,0))))))),"000")</f>
        <v>202</v>
      </c>
      <c r="C458" s="28" t="s">
        <v>10</v>
      </c>
      <c r="D458" s="100" t="s">
        <v>388</v>
      </c>
      <c r="E458" s="28" t="s">
        <v>391</v>
      </c>
      <c r="F458" s="88" t="s">
        <v>174</v>
      </c>
      <c r="G458" s="28" t="s">
        <v>23</v>
      </c>
      <c r="H458" s="20" t="s">
        <v>156</v>
      </c>
      <c r="I458" s="28" t="s">
        <v>105</v>
      </c>
      <c r="J458" s="20" t="s">
        <v>196</v>
      </c>
      <c r="K458" s="20"/>
      <c r="L458" s="20"/>
      <c r="M458" s="20"/>
      <c r="N458" s="96">
        <v>46188</v>
      </c>
      <c r="O458" s="96">
        <v>46228</v>
      </c>
      <c r="P458" s="211" t="str">
        <f t="shared" si="55"/>
        <v xml:space="preserve">Vũ Thị Thêu, , </v>
      </c>
    </row>
    <row r="459" spans="1:16">
      <c r="A459" s="28" t="str">
        <f>"3."&amp;D459&amp;"."&amp;B459</f>
        <v>3.T.KHO.VPNT.KSMN.302</v>
      </c>
      <c r="B459" s="28" t="str">
        <f>TEXT(COUNTIFS($C$4:C459,C459,$D$4:D459,D459,$F$4:F459,F459)+IF(F459="KT",100,IF(F459="KC",200,IF(F459="DI",300,IF(F459="DN",400,IF(F459="NU",500,IF(F459="DH",600,IF(F459="PC",700,0))))))),"000")</f>
        <v>302</v>
      </c>
      <c r="C459" s="28" t="s">
        <v>10</v>
      </c>
      <c r="D459" s="100" t="s">
        <v>388</v>
      </c>
      <c r="E459" s="28" t="s">
        <v>391</v>
      </c>
      <c r="F459" s="87" t="s">
        <v>182</v>
      </c>
      <c r="G459" s="28" t="s">
        <v>23</v>
      </c>
      <c r="H459" s="6" t="s">
        <v>156</v>
      </c>
      <c r="I459" s="28" t="s">
        <v>105</v>
      </c>
      <c r="J459" s="20" t="s">
        <v>206</v>
      </c>
      <c r="K459" s="20"/>
      <c r="L459" s="20"/>
      <c r="M459" s="20"/>
      <c r="N459" s="96">
        <v>46187</v>
      </c>
      <c r="O459" s="96">
        <v>46233</v>
      </c>
      <c r="P459" s="211" t="str">
        <f>J459&amp;", "&amp;K459&amp;", "&amp;L459</f>
        <v xml:space="preserve">Nguyễn Văn Hải, , </v>
      </c>
    </row>
    <row r="460" spans="1:16">
      <c r="A460" s="28" t="str">
        <f>"3."&amp;D460&amp;"."&amp;B460</f>
        <v>3.T.KHO.VPNT.KSMN.402</v>
      </c>
      <c r="B460" s="28" t="str">
        <f>TEXT(COUNTIFS($C$4:C460,C460,$D$4:D460,D460,$F$4:F460,F460)+IF(F460="KT",100,IF(F460="KC",200,IF(F460="DI",300,IF(F460="DN",400,IF(F460="NU",500,IF(F460="DH",600,IF(F460="PC",700,0))))))),"000")</f>
        <v>402</v>
      </c>
      <c r="C460" s="28" t="s">
        <v>10</v>
      </c>
      <c r="D460" s="100" t="s">
        <v>388</v>
      </c>
      <c r="E460" s="28" t="s">
        <v>391</v>
      </c>
      <c r="F460" s="87" t="s">
        <v>190</v>
      </c>
      <c r="G460" s="28" t="s">
        <v>23</v>
      </c>
      <c r="H460" s="6" t="s">
        <v>156</v>
      </c>
      <c r="I460" s="28" t="s">
        <v>105</v>
      </c>
      <c r="J460" s="20" t="s">
        <v>206</v>
      </c>
      <c r="K460" s="20"/>
      <c r="L460" s="20"/>
      <c r="M460" s="20"/>
      <c r="N460" s="96">
        <v>46187</v>
      </c>
      <c r="O460" s="96">
        <v>46233</v>
      </c>
      <c r="P460" s="211" t="str">
        <f>J460&amp;", "&amp;K460&amp;", "&amp;L460</f>
        <v xml:space="preserve">Nguyễn Văn Hải, , </v>
      </c>
    </row>
    <row r="461" spans="1:16">
      <c r="A461" s="28" t="str">
        <f>"3."&amp;D461&amp;"."&amp;B461</f>
        <v>3.T.KHO.VPNT.KSMN.502</v>
      </c>
      <c r="B461" s="28" t="str">
        <f>TEXT(COUNTIFS($C$4:C461,C461,$D$4:D461,D461,$F$4:F461,F461)+IF(F461="KT",100,IF(F461="KC",200,IF(F461="DI",300,IF(F461="DN",400,IF(F461="NU",500,IF(F461="DH",600,IF(F461="PC",700,0))))))),"000")</f>
        <v>502</v>
      </c>
      <c r="C461" s="28" t="s">
        <v>10</v>
      </c>
      <c r="D461" s="100" t="s">
        <v>388</v>
      </c>
      <c r="E461" s="28" t="s">
        <v>391</v>
      </c>
      <c r="F461" s="87" t="s">
        <v>195</v>
      </c>
      <c r="G461" s="28" t="s">
        <v>23</v>
      </c>
      <c r="H461" s="6" t="s">
        <v>156</v>
      </c>
      <c r="I461" s="28" t="s">
        <v>105</v>
      </c>
      <c r="J461" s="20" t="s">
        <v>206</v>
      </c>
      <c r="K461" s="20"/>
      <c r="L461" s="20"/>
      <c r="M461" s="20"/>
      <c r="N461" s="96">
        <v>46187</v>
      </c>
      <c r="O461" s="96">
        <v>46233</v>
      </c>
      <c r="P461" s="211" t="str">
        <f>J461&amp;", "&amp;K461&amp;", "&amp;L461</f>
        <v xml:space="preserve">Nguyễn Văn Hải, , </v>
      </c>
    </row>
    <row r="462" spans="1:16">
      <c r="A462" s="28" t="str">
        <f>"3."&amp;D462&amp;"."&amp;B462</f>
        <v>3.T.KHO.VPNT.KSMN.602</v>
      </c>
      <c r="B462" s="28" t="str">
        <f>TEXT(COUNTIFS($C$4:C462,C462,$D$4:D462,D462,$F$4:F462,F462)+IF(F462="KT",100,IF(F462="KC",200,IF(F462="DI",300,IF(F462="DN",400,IF(F462="NU",500,IF(F462="DH",600,IF(F462="PC",700,0))))))),"000")</f>
        <v>602</v>
      </c>
      <c r="C462" s="28" t="s">
        <v>10</v>
      </c>
      <c r="D462" s="100" t="s">
        <v>388</v>
      </c>
      <c r="E462" s="28" t="s">
        <v>391</v>
      </c>
      <c r="F462" s="87" t="s">
        <v>205</v>
      </c>
      <c r="G462" s="28" t="s">
        <v>23</v>
      </c>
      <c r="H462" s="6" t="s">
        <v>156</v>
      </c>
      <c r="I462" s="28" t="s">
        <v>105</v>
      </c>
      <c r="J462" s="20" t="s">
        <v>206</v>
      </c>
      <c r="K462" s="20"/>
      <c r="L462" s="20"/>
      <c r="M462" s="20"/>
      <c r="N462" s="96">
        <v>46187</v>
      </c>
      <c r="O462" s="96">
        <v>46233</v>
      </c>
      <c r="P462" s="211" t="str">
        <f>J462&amp;", "&amp;K462&amp;", "&amp;L462</f>
        <v xml:space="preserve">Nguyễn Văn Hải, , </v>
      </c>
    </row>
    <row r="463" spans="1:16">
      <c r="A463" s="28" t="str">
        <f>"3."&amp;D463&amp;"."&amp;B463</f>
        <v>3.T.KHO.VPNT.KSMN.702</v>
      </c>
      <c r="B463" s="28" t="str">
        <f>TEXT(COUNTIFS($C$4:C463,C463,$D$4:D463,D463,$F$4:F463,F463)+IF(F463="KT",100,IF(F463="KC",200,IF(F463="DI",300,IF(F463="DN",400,IF(F463="NU",500,IF(F463="DH",600,IF(F463="PC",700,0))))))),"000")</f>
        <v>702</v>
      </c>
      <c r="C463" s="28" t="s">
        <v>10</v>
      </c>
      <c r="D463" s="100" t="s">
        <v>388</v>
      </c>
      <c r="E463" s="28" t="s">
        <v>391</v>
      </c>
      <c r="F463" s="87" t="s">
        <v>200</v>
      </c>
      <c r="G463" s="28" t="s">
        <v>23</v>
      </c>
      <c r="H463" s="6" t="s">
        <v>156</v>
      </c>
      <c r="I463" s="28" t="s">
        <v>105</v>
      </c>
      <c r="J463" s="20" t="s">
        <v>206</v>
      </c>
      <c r="K463" s="20"/>
      <c r="L463" s="20"/>
      <c r="M463" s="20"/>
      <c r="N463" s="96">
        <v>46187</v>
      </c>
      <c r="O463" s="96">
        <v>46233</v>
      </c>
      <c r="P463" s="211" t="str">
        <f t="shared" si="55"/>
        <v xml:space="preserve">Nguyễn Văn Hải, , </v>
      </c>
    </row>
    <row r="464" spans="1:16">
      <c r="A464" s="28" t="str">
        <f>"3."&amp;D464&amp;"."&amp;B464</f>
        <v>3.T.KHO.VPNT.KSMN.105</v>
      </c>
      <c r="B464" s="28" t="str">
        <f>TEXT(COUNTIFS($C$4:C464,C464,$D$4:D464,D464,$F$4:F464,F464)+IF(F464="KT",100,IF(F464="KC",200,IF(F464="DI",300,IF(F464="DN",400,IF(F464="NU",500,IF(F464="DH",600,IF(F464="PC",700,0))))))),"000")</f>
        <v>105</v>
      </c>
      <c r="C464" s="28" t="s">
        <v>10</v>
      </c>
      <c r="D464" s="100" t="s">
        <v>388</v>
      </c>
      <c r="E464" s="28" t="s">
        <v>393</v>
      </c>
      <c r="F464" s="88" t="s">
        <v>164</v>
      </c>
      <c r="G464" s="28" t="s">
        <v>23</v>
      </c>
      <c r="H464" s="20" t="s">
        <v>156</v>
      </c>
      <c r="I464" s="28" t="s">
        <v>105</v>
      </c>
      <c r="J464" s="20" t="s">
        <v>32</v>
      </c>
      <c r="K464" s="20"/>
      <c r="L464" s="20"/>
      <c r="M464" s="20"/>
      <c r="N464" s="96">
        <v>46163</v>
      </c>
      <c r="O464" s="96">
        <v>46223</v>
      </c>
      <c r="P464" s="211" t="str">
        <f t="shared" si="55"/>
        <v xml:space="preserve">Nguyễn Hải Nam, , </v>
      </c>
    </row>
    <row r="465" spans="1:16">
      <c r="A465" s="28" t="str">
        <f>"3."&amp;D465&amp;"."&amp;B465</f>
        <v>3.T.KHO.VPNT.KSMN.106</v>
      </c>
      <c r="B465" s="28" t="str">
        <f>TEXT(COUNTIFS($C$4:C465,C465,$D$4:D465,D465,$F$4:F465,F465)+IF(F465="KT",100,IF(F465="KC",200,IF(F465="DI",300,IF(F465="DN",400,IF(F465="NU",500,IF(F465="DH",600,IF(F465="PC",700,0))))))),"000")</f>
        <v>106</v>
      </c>
      <c r="C465" s="28" t="s">
        <v>10</v>
      </c>
      <c r="D465" s="100" t="s">
        <v>388</v>
      </c>
      <c r="E465" s="28" t="s">
        <v>393</v>
      </c>
      <c r="F465" s="88" t="s">
        <v>164</v>
      </c>
      <c r="G465" s="6" t="s">
        <v>169</v>
      </c>
      <c r="H465" s="20" t="s">
        <v>156</v>
      </c>
      <c r="I465" s="28" t="s">
        <v>105</v>
      </c>
      <c r="J465" s="20" t="s">
        <v>32</v>
      </c>
      <c r="K465" s="20"/>
      <c r="L465" s="20"/>
      <c r="M465" s="20"/>
      <c r="N465" s="96">
        <v>46122</v>
      </c>
      <c r="O465" s="96">
        <v>46176</v>
      </c>
      <c r="P465" s="211" t="str">
        <f t="shared" si="55"/>
        <v xml:space="preserve">Nguyễn Hải Nam, , </v>
      </c>
    </row>
    <row r="466" spans="1:16">
      <c r="A466" s="28" t="str">
        <f>"3."&amp;D466&amp;"."&amp;B466</f>
        <v>3.T.KHO.VPNT.KSMN.203</v>
      </c>
      <c r="B466" s="28" t="str">
        <f>TEXT(COUNTIFS($C$4:C466,C466,$D$4:D466,D466,$F$4:F466,F466)+IF(F466="KT",100,IF(F466="KC",200,IF(F466="DI",300,IF(F466="DN",400,IF(F466="NU",500,IF(F466="DH",600,IF(F466="PC",700,0))))))),"000")</f>
        <v>203</v>
      </c>
      <c r="C466" s="28" t="s">
        <v>10</v>
      </c>
      <c r="D466" s="100" t="s">
        <v>388</v>
      </c>
      <c r="E466" s="28" t="s">
        <v>393</v>
      </c>
      <c r="F466" s="88" t="s">
        <v>174</v>
      </c>
      <c r="G466" s="28" t="s">
        <v>23</v>
      </c>
      <c r="H466" s="20" t="s">
        <v>156</v>
      </c>
      <c r="I466" s="28" t="s">
        <v>105</v>
      </c>
      <c r="J466" s="101" t="s">
        <v>32</v>
      </c>
      <c r="K466" s="20"/>
      <c r="L466" s="20"/>
      <c r="M466" s="20"/>
      <c r="N466" s="96">
        <v>46188</v>
      </c>
      <c r="O466" s="96">
        <v>46228</v>
      </c>
      <c r="P466" s="211" t="str">
        <f t="shared" si="55"/>
        <v xml:space="preserve">Nguyễn Hải Nam, , </v>
      </c>
    </row>
    <row r="467" spans="1:16">
      <c r="A467" s="28" t="str">
        <f>"3."&amp;D467&amp;"."&amp;B467</f>
        <v>3.T.KHO.VPNT.KSMN.303</v>
      </c>
      <c r="B467" s="28" t="str">
        <f>TEXT(COUNTIFS($C$4:C467,C467,$D$4:D467,D467,$F$4:F467,F467)+IF(F467="KT",100,IF(F467="KC",200,IF(F467="DI",300,IF(F467="DN",400,IF(F467="NU",500,IF(F467="DH",600,IF(F467="PC",700,0))))))),"000")</f>
        <v>303</v>
      </c>
      <c r="C467" s="28" t="s">
        <v>10</v>
      </c>
      <c r="D467" s="100" t="s">
        <v>388</v>
      </c>
      <c r="E467" s="28" t="s">
        <v>393</v>
      </c>
      <c r="F467" s="87" t="s">
        <v>182</v>
      </c>
      <c r="G467" s="28" t="s">
        <v>23</v>
      </c>
      <c r="H467" s="6" t="s">
        <v>156</v>
      </c>
      <c r="I467" s="28" t="s">
        <v>105</v>
      </c>
      <c r="J467" s="20" t="s">
        <v>220</v>
      </c>
      <c r="K467" s="20"/>
      <c r="L467" s="20"/>
      <c r="M467" s="20"/>
      <c r="N467" s="96">
        <v>46187</v>
      </c>
      <c r="O467" s="96">
        <v>46233</v>
      </c>
      <c r="P467" s="211" t="str">
        <f>J467&amp;", "&amp;K467&amp;", "&amp;L467</f>
        <v xml:space="preserve">Phan Trường Giang, , </v>
      </c>
    </row>
    <row r="468" spans="1:16">
      <c r="A468" s="28" t="str">
        <f>"3."&amp;D468&amp;"."&amp;B468</f>
        <v>3.T.KHO.VPNT.KSMN.403</v>
      </c>
      <c r="B468" s="28" t="str">
        <f>TEXT(COUNTIFS($C$4:C468,C468,$D$4:D468,D468,$F$4:F468,F468)+IF(F468="KT",100,IF(F468="KC",200,IF(F468="DI",300,IF(F468="DN",400,IF(F468="NU",500,IF(F468="DH",600,IF(F468="PC",700,0))))))),"000")</f>
        <v>403</v>
      </c>
      <c r="C468" s="28" t="s">
        <v>10</v>
      </c>
      <c r="D468" s="100" t="s">
        <v>388</v>
      </c>
      <c r="E468" s="28" t="s">
        <v>393</v>
      </c>
      <c r="F468" s="87" t="s">
        <v>190</v>
      </c>
      <c r="G468" s="28" t="s">
        <v>23</v>
      </c>
      <c r="H468" s="6" t="s">
        <v>156</v>
      </c>
      <c r="I468" s="28" t="s">
        <v>105</v>
      </c>
      <c r="J468" s="20" t="s">
        <v>220</v>
      </c>
      <c r="K468" s="20"/>
      <c r="L468" s="20"/>
      <c r="M468" s="20"/>
      <c r="N468" s="96">
        <v>46187</v>
      </c>
      <c r="O468" s="96">
        <v>46233</v>
      </c>
      <c r="P468" s="211" t="str">
        <f>J468&amp;", "&amp;K468&amp;", "&amp;L468</f>
        <v xml:space="preserve">Phan Trường Giang, , </v>
      </c>
    </row>
    <row r="469" spans="1:16">
      <c r="A469" s="28" t="str">
        <f>"3."&amp;D469&amp;"."&amp;B469</f>
        <v>3.T.KHO.VPNT.KSMN.503</v>
      </c>
      <c r="B469" s="28" t="str">
        <f>TEXT(COUNTIFS($C$4:C469,C469,$D$4:D469,D469,$F$4:F469,F469)+IF(F469="KT",100,IF(F469="KC",200,IF(F469="DI",300,IF(F469="DN",400,IF(F469="NU",500,IF(F469="DH",600,IF(F469="PC",700,0))))))),"000")</f>
        <v>503</v>
      </c>
      <c r="C469" s="28" t="s">
        <v>10</v>
      </c>
      <c r="D469" s="100" t="s">
        <v>388</v>
      </c>
      <c r="E469" s="28" t="s">
        <v>393</v>
      </c>
      <c r="F469" s="87" t="s">
        <v>195</v>
      </c>
      <c r="G469" s="28" t="s">
        <v>23</v>
      </c>
      <c r="H469" s="6" t="s">
        <v>156</v>
      </c>
      <c r="I469" s="28" t="s">
        <v>105</v>
      </c>
      <c r="J469" s="20" t="s">
        <v>220</v>
      </c>
      <c r="K469" s="20"/>
      <c r="L469" s="20"/>
      <c r="M469" s="20"/>
      <c r="N469" s="96">
        <v>46187</v>
      </c>
      <c r="O469" s="96">
        <v>46233</v>
      </c>
      <c r="P469" s="211" t="str">
        <f>J469&amp;", "&amp;K469&amp;", "&amp;L469</f>
        <v xml:space="preserve">Phan Trường Giang, , </v>
      </c>
    </row>
    <row r="470" spans="1:16">
      <c r="A470" s="28" t="str">
        <f>"3."&amp;D470&amp;"."&amp;B470</f>
        <v>3.T.KHO.VPNT.KSMN.603</v>
      </c>
      <c r="B470" s="28" t="str">
        <f>TEXT(COUNTIFS($C$4:C470,C470,$D$4:D470,D470,$F$4:F470,F470)+IF(F470="KT",100,IF(F470="KC",200,IF(F470="DI",300,IF(F470="DN",400,IF(F470="NU",500,IF(F470="DH",600,IF(F470="PC",700,0))))))),"000")</f>
        <v>603</v>
      </c>
      <c r="C470" s="28" t="s">
        <v>10</v>
      </c>
      <c r="D470" s="100" t="s">
        <v>388</v>
      </c>
      <c r="E470" s="28" t="s">
        <v>393</v>
      </c>
      <c r="F470" s="87" t="s">
        <v>205</v>
      </c>
      <c r="G470" s="28" t="s">
        <v>23</v>
      </c>
      <c r="H470" s="6" t="s">
        <v>156</v>
      </c>
      <c r="I470" s="28" t="s">
        <v>105</v>
      </c>
      <c r="J470" s="20" t="s">
        <v>220</v>
      </c>
      <c r="K470" s="20"/>
      <c r="L470" s="20"/>
      <c r="M470" s="20"/>
      <c r="N470" s="96">
        <v>46187</v>
      </c>
      <c r="O470" s="96">
        <v>46233</v>
      </c>
      <c r="P470" s="211" t="str">
        <f>J470&amp;", "&amp;K470&amp;", "&amp;L470</f>
        <v xml:space="preserve">Phan Trường Giang, , </v>
      </c>
    </row>
    <row r="471" spans="1:16">
      <c r="A471" s="28" t="str">
        <f>"3."&amp;D471&amp;"."&amp;B471</f>
        <v>3.T.KHO.VPNT.KSMN.703</v>
      </c>
      <c r="B471" s="28" t="str">
        <f>TEXT(COUNTIFS($C$4:C471,C471,$D$4:D471,D471,$F$4:F471,F471)+IF(F471="KT",100,IF(F471="KC",200,IF(F471="DI",300,IF(F471="DN",400,IF(F471="NU",500,IF(F471="DH",600,IF(F471="PC",700,0))))))),"000")</f>
        <v>703</v>
      </c>
      <c r="C471" s="28" t="s">
        <v>10</v>
      </c>
      <c r="D471" s="100" t="s">
        <v>388</v>
      </c>
      <c r="E471" s="28" t="s">
        <v>393</v>
      </c>
      <c r="F471" s="87" t="s">
        <v>200</v>
      </c>
      <c r="G471" s="28" t="s">
        <v>23</v>
      </c>
      <c r="H471" s="6" t="s">
        <v>156</v>
      </c>
      <c r="I471" s="28" t="s">
        <v>105</v>
      </c>
      <c r="J471" s="20" t="s">
        <v>220</v>
      </c>
      <c r="K471" s="20"/>
      <c r="L471" s="20"/>
      <c r="M471" s="20"/>
      <c r="N471" s="96">
        <v>46187</v>
      </c>
      <c r="O471" s="96">
        <v>46233</v>
      </c>
      <c r="P471" s="211" t="str">
        <f t="shared" si="55"/>
        <v xml:space="preserve">Phan Trường Giang, , </v>
      </c>
    </row>
    <row r="472" spans="1:16">
      <c r="A472" s="28" t="str">
        <f>"3."&amp;D472&amp;"."&amp;B472</f>
        <v>3.T.KHO.VPNT.KSMN.107</v>
      </c>
      <c r="B472" s="28" t="str">
        <f>TEXT(COUNTIFS($C$4:C472,C472,$D$4:D472,D472,$F$4:F472,F472)+IF(F472="KT",100,IF(F472="KC",200,IF(F472="DI",300,IF(F472="DN",400,IF(F472="NU",500,IF(F472="DH",600,IF(F472="PC",700,0))))))),"000")</f>
        <v>107</v>
      </c>
      <c r="C472" s="28" t="s">
        <v>10</v>
      </c>
      <c r="D472" s="100" t="s">
        <v>388</v>
      </c>
      <c r="E472" s="28" t="s">
        <v>395</v>
      </c>
      <c r="F472" s="88" t="s">
        <v>164</v>
      </c>
      <c r="G472" s="28" t="s">
        <v>23</v>
      </c>
      <c r="H472" s="20" t="s">
        <v>156</v>
      </c>
      <c r="I472" s="28" t="s">
        <v>105</v>
      </c>
      <c r="J472" s="20" t="s">
        <v>35</v>
      </c>
      <c r="K472" s="20"/>
      <c r="L472" s="20"/>
      <c r="M472" s="20"/>
      <c r="N472" s="96">
        <v>46163</v>
      </c>
      <c r="O472" s="96">
        <v>46223</v>
      </c>
      <c r="P472" s="211" t="str">
        <f t="shared" si="55"/>
        <v xml:space="preserve">Đặng Minh Quang, , </v>
      </c>
    </row>
    <row r="473" spans="1:16">
      <c r="A473" s="28" t="str">
        <f>"3."&amp;D473&amp;"."&amp;B473</f>
        <v>3.T.KHO.VPNT.KSMN.108</v>
      </c>
      <c r="B473" s="28" t="str">
        <f>TEXT(COUNTIFS($C$4:C473,C473,$D$4:D473,D473,$F$4:F473,F473)+IF(F473="KT",100,IF(F473="KC",200,IF(F473="DI",300,IF(F473="DN",400,IF(F473="NU",500,IF(F473="DH",600,IF(F473="PC",700,0))))))),"000")</f>
        <v>108</v>
      </c>
      <c r="C473" s="28" t="s">
        <v>10</v>
      </c>
      <c r="D473" s="100" t="s">
        <v>388</v>
      </c>
      <c r="E473" s="28" t="s">
        <v>395</v>
      </c>
      <c r="F473" s="88" t="s">
        <v>164</v>
      </c>
      <c r="G473" s="6" t="s">
        <v>169</v>
      </c>
      <c r="H473" s="20" t="s">
        <v>156</v>
      </c>
      <c r="I473" s="28" t="s">
        <v>105</v>
      </c>
      <c r="J473" s="20" t="s">
        <v>35</v>
      </c>
      <c r="K473" s="20"/>
      <c r="L473" s="20"/>
      <c r="M473" s="20"/>
      <c r="N473" s="96">
        <v>46122</v>
      </c>
      <c r="O473" s="96">
        <v>46176</v>
      </c>
      <c r="P473" s="211" t="str">
        <f t="shared" si="55"/>
        <v xml:space="preserve">Đặng Minh Quang, , </v>
      </c>
    </row>
    <row r="474" spans="1:16">
      <c r="A474" s="28" t="str">
        <f>"3."&amp;D474&amp;"."&amp;B474</f>
        <v>3.T.KHO.VPNT.KSMN.204</v>
      </c>
      <c r="B474" s="28" t="str">
        <f>TEXT(COUNTIFS($C$4:C474,C474,$D$4:D474,D474,$F$4:F474,F474)+IF(F474="KT",100,IF(F474="KC",200,IF(F474="DI",300,IF(F474="DN",400,IF(F474="NU",500,IF(F474="DH",600,IF(F474="PC",700,0))))))),"000")</f>
        <v>204</v>
      </c>
      <c r="C474" s="28" t="s">
        <v>10</v>
      </c>
      <c r="D474" s="100" t="s">
        <v>388</v>
      </c>
      <c r="E474" s="28" t="s">
        <v>395</v>
      </c>
      <c r="F474" s="88" t="s">
        <v>174</v>
      </c>
      <c r="G474" s="28" t="s">
        <v>23</v>
      </c>
      <c r="H474" s="6" t="s">
        <v>156</v>
      </c>
      <c r="I474" s="28" t="s">
        <v>105</v>
      </c>
      <c r="J474" s="20" t="s">
        <v>35</v>
      </c>
      <c r="K474" s="20"/>
      <c r="L474" s="20"/>
      <c r="M474" s="20"/>
      <c r="N474" s="96">
        <v>46188</v>
      </c>
      <c r="O474" s="96">
        <v>46228</v>
      </c>
      <c r="P474" s="211" t="str">
        <f t="shared" si="55"/>
        <v xml:space="preserve">Đặng Minh Quang, , </v>
      </c>
    </row>
    <row r="475" spans="1:16">
      <c r="A475" s="28" t="str">
        <f>"3."&amp;D475&amp;"."&amp;B475</f>
        <v>3.T.KHO.VPNT.KSMN.304</v>
      </c>
      <c r="B475" s="28" t="str">
        <f>TEXT(COUNTIFS($C$4:C475,C475,$D$4:D475,D475,$F$4:F475,F475)+IF(F475="KT",100,IF(F475="KC",200,IF(F475="DI",300,IF(F475="DN",400,IF(F475="NU",500,IF(F475="DH",600,IF(F475="PC",700,0))))))),"000")</f>
        <v>304</v>
      </c>
      <c r="C475" s="28" t="s">
        <v>10</v>
      </c>
      <c r="D475" s="100" t="s">
        <v>388</v>
      </c>
      <c r="E475" s="28" t="s">
        <v>395</v>
      </c>
      <c r="F475" s="87" t="s">
        <v>182</v>
      </c>
      <c r="G475" s="28" t="s">
        <v>23</v>
      </c>
      <c r="H475" s="6" t="s">
        <v>156</v>
      </c>
      <c r="I475" s="28" t="s">
        <v>105</v>
      </c>
      <c r="J475" s="20" t="s">
        <v>216</v>
      </c>
      <c r="K475" s="20"/>
      <c r="L475" s="20"/>
      <c r="M475" s="20"/>
      <c r="N475" s="96">
        <v>46187</v>
      </c>
      <c r="O475" s="96">
        <v>46233</v>
      </c>
      <c r="P475" s="211" t="str">
        <f>J475&amp;", "&amp;K475&amp;", "&amp;L475</f>
        <v xml:space="preserve">Đặng Thái Sơn, , </v>
      </c>
    </row>
    <row r="476" spans="1:16">
      <c r="A476" s="28" t="str">
        <f>"3."&amp;D476&amp;"."&amp;B476</f>
        <v>3.T.KHO.VPNT.KSMN.404</v>
      </c>
      <c r="B476" s="28" t="str">
        <f>TEXT(COUNTIFS($C$4:C476,C476,$D$4:D476,D476,$F$4:F476,F476)+IF(F476="KT",100,IF(F476="KC",200,IF(F476="DI",300,IF(F476="DN",400,IF(F476="NU",500,IF(F476="DH",600,IF(F476="PC",700,0))))))),"000")</f>
        <v>404</v>
      </c>
      <c r="C476" s="28" t="s">
        <v>10</v>
      </c>
      <c r="D476" s="100" t="s">
        <v>388</v>
      </c>
      <c r="E476" s="28" t="s">
        <v>395</v>
      </c>
      <c r="F476" s="87" t="s">
        <v>190</v>
      </c>
      <c r="G476" s="28" t="s">
        <v>23</v>
      </c>
      <c r="H476" s="6" t="s">
        <v>156</v>
      </c>
      <c r="I476" s="28" t="s">
        <v>105</v>
      </c>
      <c r="J476" s="20" t="s">
        <v>216</v>
      </c>
      <c r="K476" s="20"/>
      <c r="L476" s="20"/>
      <c r="M476" s="20"/>
      <c r="N476" s="96">
        <v>46187</v>
      </c>
      <c r="O476" s="96">
        <v>46233</v>
      </c>
      <c r="P476" s="211" t="str">
        <f>J476&amp;", "&amp;K476&amp;", "&amp;L476</f>
        <v xml:space="preserve">Đặng Thái Sơn, , </v>
      </c>
    </row>
    <row r="477" spans="1:16">
      <c r="A477" s="28" t="str">
        <f>"3."&amp;D477&amp;"."&amp;B477</f>
        <v>3.T.KHO.VPNT.KSMN.504</v>
      </c>
      <c r="B477" s="28" t="str">
        <f>TEXT(COUNTIFS($C$4:C477,C477,$D$4:D477,D477,$F$4:F477,F477)+IF(F477="KT",100,IF(F477="KC",200,IF(F477="DI",300,IF(F477="DN",400,IF(F477="NU",500,IF(F477="DH",600,IF(F477="PC",700,0))))))),"000")</f>
        <v>504</v>
      </c>
      <c r="C477" s="28" t="s">
        <v>10</v>
      </c>
      <c r="D477" s="100" t="s">
        <v>388</v>
      </c>
      <c r="E477" s="28" t="s">
        <v>395</v>
      </c>
      <c r="F477" s="87" t="s">
        <v>195</v>
      </c>
      <c r="G477" s="28" t="s">
        <v>23</v>
      </c>
      <c r="H477" s="6" t="s">
        <v>156</v>
      </c>
      <c r="I477" s="28" t="s">
        <v>105</v>
      </c>
      <c r="J477" s="20" t="s">
        <v>216</v>
      </c>
      <c r="K477" s="20"/>
      <c r="L477" s="20"/>
      <c r="M477" s="20"/>
      <c r="N477" s="96">
        <v>46187</v>
      </c>
      <c r="O477" s="96">
        <v>46233</v>
      </c>
      <c r="P477" s="211" t="str">
        <f>J477&amp;", "&amp;K477&amp;", "&amp;L477</f>
        <v xml:space="preserve">Đặng Thái Sơn, , </v>
      </c>
    </row>
    <row r="478" spans="1:16">
      <c r="A478" s="28" t="str">
        <f>"3."&amp;D478&amp;"."&amp;B478</f>
        <v>3.T.KHO.VPNT.KSMN.604</v>
      </c>
      <c r="B478" s="28" t="str">
        <f>TEXT(COUNTIFS($C$4:C478,C478,$D$4:D478,D478,$F$4:F478,F478)+IF(F478="KT",100,IF(F478="KC",200,IF(F478="DI",300,IF(F478="DN",400,IF(F478="NU",500,IF(F478="DH",600,IF(F478="PC",700,0))))))),"000")</f>
        <v>604</v>
      </c>
      <c r="C478" s="28" t="s">
        <v>10</v>
      </c>
      <c r="D478" s="100" t="s">
        <v>388</v>
      </c>
      <c r="E478" s="28" t="s">
        <v>395</v>
      </c>
      <c r="F478" s="87" t="s">
        <v>205</v>
      </c>
      <c r="G478" s="28" t="s">
        <v>23</v>
      </c>
      <c r="H478" s="6" t="s">
        <v>156</v>
      </c>
      <c r="I478" s="28" t="s">
        <v>105</v>
      </c>
      <c r="J478" s="20" t="s">
        <v>216</v>
      </c>
      <c r="K478" s="20"/>
      <c r="L478" s="20"/>
      <c r="M478" s="20"/>
      <c r="N478" s="96">
        <v>46187</v>
      </c>
      <c r="O478" s="96">
        <v>46233</v>
      </c>
      <c r="P478" s="211" t="str">
        <f>J478&amp;", "&amp;K478&amp;", "&amp;L478</f>
        <v xml:space="preserve">Đặng Thái Sơn, , </v>
      </c>
    </row>
    <row r="479" spans="1:16">
      <c r="A479" s="28" t="str">
        <f>"3."&amp;D479&amp;"."&amp;B479</f>
        <v>3.T.KHO.VPNT.KSMN.704</v>
      </c>
      <c r="B479" s="28" t="str">
        <f>TEXT(COUNTIFS($C$4:C479,C479,$D$4:D479,D479,$F$4:F479,F479)+IF(F479="KT",100,IF(F479="KC",200,IF(F479="DI",300,IF(F479="DN",400,IF(F479="NU",500,IF(F479="DH",600,IF(F479="PC",700,0))))))),"000")</f>
        <v>704</v>
      </c>
      <c r="C479" s="28" t="s">
        <v>10</v>
      </c>
      <c r="D479" s="100" t="s">
        <v>388</v>
      </c>
      <c r="E479" s="28" t="s">
        <v>395</v>
      </c>
      <c r="F479" s="87" t="s">
        <v>200</v>
      </c>
      <c r="G479" s="28" t="s">
        <v>23</v>
      </c>
      <c r="H479" s="6" t="s">
        <v>156</v>
      </c>
      <c r="I479" s="28" t="s">
        <v>105</v>
      </c>
      <c r="J479" s="20" t="s">
        <v>216</v>
      </c>
      <c r="K479" s="20"/>
      <c r="L479" s="20"/>
      <c r="M479" s="20"/>
      <c r="N479" s="96">
        <v>46187</v>
      </c>
      <c r="O479" s="96">
        <v>46233</v>
      </c>
      <c r="P479" s="211" t="str">
        <f t="shared" si="55"/>
        <v xml:space="preserve">Đặng Thái Sơn, , </v>
      </c>
    </row>
    <row r="480" spans="1:16">
      <c r="A480" s="28" t="str">
        <f>"3."&amp;D480&amp;"."&amp;B480</f>
        <v>3.T.KHO.VPNT.KSMN.109</v>
      </c>
      <c r="B480" s="28" t="str">
        <f>TEXT(COUNTIFS($C$4:C480,C480,$D$4:D480,D480,$F$4:F480,F480)+IF(F480="KT",100,IF(F480="KC",200,IF(F480="DI",300,IF(F480="DN",400,IF(F480="NU",500,IF(F480="DH",600,IF(F480="PC",700,0))))))),"000")</f>
        <v>109</v>
      </c>
      <c r="C480" s="28" t="s">
        <v>10</v>
      </c>
      <c r="D480" s="100" t="s">
        <v>388</v>
      </c>
      <c r="E480" s="28" t="s">
        <v>397</v>
      </c>
      <c r="F480" s="88" t="s">
        <v>164</v>
      </c>
      <c r="G480" s="28" t="s">
        <v>23</v>
      </c>
      <c r="H480" s="20" t="s">
        <v>156</v>
      </c>
      <c r="I480" s="28" t="s">
        <v>105</v>
      </c>
      <c r="J480" s="20" t="s">
        <v>36</v>
      </c>
      <c r="K480" s="20"/>
      <c r="L480" s="20"/>
      <c r="M480" s="20"/>
      <c r="N480" s="96">
        <v>46163</v>
      </c>
      <c r="O480" s="96">
        <v>46223</v>
      </c>
      <c r="P480" s="211" t="str">
        <f t="shared" si="55"/>
        <v xml:space="preserve">Trần Văn Toản, , </v>
      </c>
    </row>
    <row r="481" spans="1:16">
      <c r="A481" s="28" t="str">
        <f>"3."&amp;D481&amp;"."&amp;B481</f>
        <v>3.T.KHO.VPNT.KSMN.110</v>
      </c>
      <c r="B481" s="28" t="str">
        <f>TEXT(COUNTIFS($C$4:C481,C481,$D$4:D481,D481,$F$4:F481,F481)+IF(F481="KT",100,IF(F481="KC",200,IF(F481="DI",300,IF(F481="DN",400,IF(F481="NU",500,IF(F481="DH",600,IF(F481="PC",700,0))))))),"000")</f>
        <v>110</v>
      </c>
      <c r="C481" s="28" t="s">
        <v>10</v>
      </c>
      <c r="D481" s="100" t="s">
        <v>388</v>
      </c>
      <c r="E481" s="28" t="s">
        <v>397</v>
      </c>
      <c r="F481" s="88" t="s">
        <v>164</v>
      </c>
      <c r="G481" s="6" t="s">
        <v>169</v>
      </c>
      <c r="H481" s="20" t="s">
        <v>156</v>
      </c>
      <c r="I481" s="28" t="s">
        <v>105</v>
      </c>
      <c r="J481" s="20" t="s">
        <v>36</v>
      </c>
      <c r="K481" s="20"/>
      <c r="L481" s="20"/>
      <c r="M481" s="20"/>
      <c r="N481" s="96">
        <v>46122</v>
      </c>
      <c r="O481" s="96">
        <v>46176</v>
      </c>
      <c r="P481" s="211" t="str">
        <f t="shared" si="55"/>
        <v xml:space="preserve">Trần Văn Toản, , </v>
      </c>
    </row>
    <row r="482" spans="1:16">
      <c r="A482" s="28" t="str">
        <f>"3."&amp;D482&amp;"."&amp;B482</f>
        <v>3.T.KHO.VPNT.KSMN.205</v>
      </c>
      <c r="B482" s="28" t="str">
        <f>TEXT(COUNTIFS($C$4:C482,C482,$D$4:D482,D482,$F$4:F482,F482)+IF(F482="KT",100,IF(F482="KC",200,IF(F482="DI",300,IF(F482="DN",400,IF(F482="NU",500,IF(F482="DH",600,IF(F482="PC",700,0))))))),"000")</f>
        <v>205</v>
      </c>
      <c r="C482" s="28" t="s">
        <v>10</v>
      </c>
      <c r="D482" s="100" t="s">
        <v>388</v>
      </c>
      <c r="E482" s="28" t="s">
        <v>397</v>
      </c>
      <c r="F482" s="88" t="s">
        <v>174</v>
      </c>
      <c r="G482" s="28" t="s">
        <v>23</v>
      </c>
      <c r="H482" s="20" t="s">
        <v>156</v>
      </c>
      <c r="I482" s="28" t="s">
        <v>105</v>
      </c>
      <c r="J482" s="20" t="s">
        <v>36</v>
      </c>
      <c r="K482" s="20"/>
      <c r="L482" s="20"/>
      <c r="M482" s="20"/>
      <c r="N482" s="96">
        <v>46188</v>
      </c>
      <c r="O482" s="96">
        <v>46228</v>
      </c>
      <c r="P482" s="211" t="str">
        <f t="shared" si="55"/>
        <v xml:space="preserve">Trần Văn Toản, , </v>
      </c>
    </row>
    <row r="483" spans="1:16">
      <c r="A483" s="28" t="str">
        <f>"3."&amp;D483&amp;"."&amp;B483</f>
        <v>3.T.KHO.VPNT.KSMN.305</v>
      </c>
      <c r="B483" s="28" t="str">
        <f>TEXT(COUNTIFS($C$4:C483,C483,$D$4:D483,D483,$F$4:F483,F483)+IF(F483="KT",100,IF(F483="KC",200,IF(F483="DI",300,IF(F483="DN",400,IF(F483="NU",500,IF(F483="DH",600,IF(F483="PC",700,0))))))),"000")</f>
        <v>305</v>
      </c>
      <c r="C483" s="28" t="s">
        <v>10</v>
      </c>
      <c r="D483" s="139" t="s">
        <v>388</v>
      </c>
      <c r="E483" s="71" t="s">
        <v>397</v>
      </c>
      <c r="F483" s="87" t="s">
        <v>182</v>
      </c>
      <c r="G483" s="28" t="s">
        <v>23</v>
      </c>
      <c r="H483" s="6" t="s">
        <v>156</v>
      </c>
      <c r="I483" s="28" t="s">
        <v>105</v>
      </c>
      <c r="J483" s="20" t="s">
        <v>201</v>
      </c>
      <c r="K483" s="20"/>
      <c r="L483" s="20"/>
      <c r="M483" s="20"/>
      <c r="N483" s="96">
        <v>46187</v>
      </c>
      <c r="O483" s="96">
        <v>46233</v>
      </c>
      <c r="P483" s="211" t="str">
        <f>J483&amp;", "&amp;K483&amp;", "&amp;L483</f>
        <v xml:space="preserve">Ngô Tuấn Vũ, , </v>
      </c>
    </row>
    <row r="484" spans="1:16">
      <c r="A484" s="28" t="str">
        <f>"3."&amp;D484&amp;"."&amp;B484</f>
        <v>3.T.KHO.VPNT.KSMN.405</v>
      </c>
      <c r="B484" s="28" t="str">
        <f>TEXT(COUNTIFS($C$4:C484,C484,$D$4:D484,D484,$F$4:F484,F484)+IF(F484="KT",100,IF(F484="KC",200,IF(F484="DI",300,IF(F484="DN",400,IF(F484="NU",500,IF(F484="DH",600,IF(F484="PC",700,0))))))),"000")</f>
        <v>405</v>
      </c>
      <c r="C484" s="28" t="s">
        <v>10</v>
      </c>
      <c r="D484" s="139" t="s">
        <v>388</v>
      </c>
      <c r="E484" s="71" t="s">
        <v>397</v>
      </c>
      <c r="F484" s="87" t="s">
        <v>190</v>
      </c>
      <c r="G484" s="28" t="s">
        <v>23</v>
      </c>
      <c r="H484" s="6" t="s">
        <v>156</v>
      </c>
      <c r="I484" s="28" t="s">
        <v>105</v>
      </c>
      <c r="J484" s="20" t="s">
        <v>201</v>
      </c>
      <c r="K484" s="20"/>
      <c r="L484" s="20"/>
      <c r="M484" s="20"/>
      <c r="N484" s="96">
        <v>46187</v>
      </c>
      <c r="O484" s="96">
        <v>46233</v>
      </c>
      <c r="P484" s="211" t="str">
        <f>J484&amp;", "&amp;K484&amp;", "&amp;L484</f>
        <v xml:space="preserve">Ngô Tuấn Vũ, , </v>
      </c>
    </row>
    <row r="485" spans="1:16">
      <c r="A485" s="28" t="str">
        <f>"3."&amp;D485&amp;"."&amp;B485</f>
        <v>3.T.KHO.VPNT.KSMN.505</v>
      </c>
      <c r="B485" s="28" t="str">
        <f>TEXT(COUNTIFS($C$4:C485,C485,$D$4:D485,D485,$F$4:F485,F485)+IF(F485="KT",100,IF(F485="KC",200,IF(F485="DI",300,IF(F485="DN",400,IF(F485="NU",500,IF(F485="DH",600,IF(F485="PC",700,0))))))),"000")</f>
        <v>505</v>
      </c>
      <c r="C485" s="28" t="s">
        <v>10</v>
      </c>
      <c r="D485" s="139" t="s">
        <v>388</v>
      </c>
      <c r="E485" s="71" t="s">
        <v>397</v>
      </c>
      <c r="F485" s="87" t="s">
        <v>195</v>
      </c>
      <c r="G485" s="28" t="s">
        <v>23</v>
      </c>
      <c r="H485" s="6" t="s">
        <v>156</v>
      </c>
      <c r="I485" s="28" t="s">
        <v>105</v>
      </c>
      <c r="J485" s="20" t="s">
        <v>201</v>
      </c>
      <c r="K485" s="20"/>
      <c r="L485" s="20"/>
      <c r="M485" s="20"/>
      <c r="N485" s="96">
        <v>46187</v>
      </c>
      <c r="O485" s="96">
        <v>46233</v>
      </c>
      <c r="P485" s="211" t="str">
        <f>J485&amp;", "&amp;K485&amp;", "&amp;L485</f>
        <v xml:space="preserve">Ngô Tuấn Vũ, , </v>
      </c>
    </row>
    <row r="486" spans="1:16">
      <c r="A486" s="28" t="str">
        <f>"3."&amp;D486&amp;"."&amp;B486</f>
        <v>3.T.KHO.VPNT.KSMN.605</v>
      </c>
      <c r="B486" s="28" t="str">
        <f>TEXT(COUNTIFS($C$4:C486,C486,$D$4:D486,D486,$F$4:F486,F486)+IF(F486="KT",100,IF(F486="KC",200,IF(F486="DI",300,IF(F486="DN",400,IF(F486="NU",500,IF(F486="DH",600,IF(F486="PC",700,0))))))),"000")</f>
        <v>605</v>
      </c>
      <c r="C486" s="28" t="s">
        <v>10</v>
      </c>
      <c r="D486" s="139" t="s">
        <v>388</v>
      </c>
      <c r="E486" s="71" t="s">
        <v>397</v>
      </c>
      <c r="F486" s="87" t="s">
        <v>205</v>
      </c>
      <c r="G486" s="28" t="s">
        <v>23</v>
      </c>
      <c r="H486" s="6" t="s">
        <v>156</v>
      </c>
      <c r="I486" s="28" t="s">
        <v>105</v>
      </c>
      <c r="J486" s="20" t="s">
        <v>201</v>
      </c>
      <c r="K486" s="20"/>
      <c r="L486" s="20"/>
      <c r="M486" s="20"/>
      <c r="N486" s="96">
        <v>46187</v>
      </c>
      <c r="O486" s="96">
        <v>46233</v>
      </c>
      <c r="P486" s="211" t="str">
        <f>J486&amp;", "&amp;K486&amp;", "&amp;L486</f>
        <v xml:space="preserve">Ngô Tuấn Vũ, , </v>
      </c>
    </row>
    <row r="487" spans="1:16">
      <c r="A487" s="28" t="str">
        <f>"3."&amp;D487&amp;"."&amp;B487</f>
        <v>3.T.KHO.VPNT.KSMN.705</v>
      </c>
      <c r="B487" s="28" t="str">
        <f>TEXT(COUNTIFS($C$4:C487,C487,$D$4:D487,D487,$F$4:F487,F487)+IF(F487="KT",100,IF(F487="KC",200,IF(F487="DI",300,IF(F487="DN",400,IF(F487="NU",500,IF(F487="DH",600,IF(F487="PC",700,0))))))),"000")</f>
        <v>705</v>
      </c>
      <c r="C487" s="28" t="s">
        <v>10</v>
      </c>
      <c r="D487" s="139" t="s">
        <v>388</v>
      </c>
      <c r="E487" s="71" t="s">
        <v>397</v>
      </c>
      <c r="F487" s="87" t="s">
        <v>200</v>
      </c>
      <c r="G487" s="28" t="s">
        <v>23</v>
      </c>
      <c r="H487" s="6" t="s">
        <v>156</v>
      </c>
      <c r="I487" s="28" t="s">
        <v>105</v>
      </c>
      <c r="J487" s="20" t="s">
        <v>201</v>
      </c>
      <c r="K487" s="20"/>
      <c r="L487" s="20"/>
      <c r="M487" s="20"/>
      <c r="N487" s="96">
        <v>46187</v>
      </c>
      <c r="O487" s="96">
        <v>46233</v>
      </c>
      <c r="P487" s="211" t="str">
        <f t="shared" si="55"/>
        <v xml:space="preserve">Ngô Tuấn Vũ, , </v>
      </c>
    </row>
    <row r="488" spans="1:16">
      <c r="A488" s="28" t="str">
        <f>"3."&amp;D488&amp;"."&amp;B488</f>
        <v>3.T.KHO.VPNT.KSMN.111</v>
      </c>
      <c r="B488" s="28" t="str">
        <f>TEXT(COUNTIFS($C$4:C488,C488,$D$4:D488,D488,$F$4:F488,F488)+IF(F488="KT",100,IF(F488="KC",200,IF(F488="DI",300,IF(F488="DN",400,IF(F488="NU",500,IF(F488="DH",600,IF(F488="PC",700,0))))))),"000")</f>
        <v>111</v>
      </c>
      <c r="C488" s="28" t="s">
        <v>10</v>
      </c>
      <c r="D488" s="139" t="s">
        <v>388</v>
      </c>
      <c r="E488" s="71" t="s">
        <v>399</v>
      </c>
      <c r="F488" s="88" t="s">
        <v>164</v>
      </c>
      <c r="G488" s="28" t="s">
        <v>23</v>
      </c>
      <c r="H488" s="20" t="s">
        <v>156</v>
      </c>
      <c r="I488" s="28" t="s">
        <v>105</v>
      </c>
      <c r="J488" s="20" t="s">
        <v>34</v>
      </c>
      <c r="K488" s="20"/>
      <c r="L488" s="20"/>
      <c r="M488" s="20"/>
      <c r="N488" s="96">
        <v>46163</v>
      </c>
      <c r="O488" s="96">
        <v>46223</v>
      </c>
      <c r="P488" s="211" t="str">
        <f t="shared" si="55"/>
        <v xml:space="preserve">Trần Văn Diện, , </v>
      </c>
    </row>
    <row r="489" spans="1:16">
      <c r="A489" s="28" t="str">
        <f>"3."&amp;D489&amp;"."&amp;B489</f>
        <v>3.T.KHO.VPNT.KSMN.112</v>
      </c>
      <c r="B489" s="28" t="str">
        <f>TEXT(COUNTIFS($C$4:C489,C489,$D$4:D489,D489,$F$4:F489,F489)+IF(F489="KT",100,IF(F489="KC",200,IF(F489="DI",300,IF(F489="DN",400,IF(F489="NU",500,IF(F489="DH",600,IF(F489="PC",700,0))))))),"000")</f>
        <v>112</v>
      </c>
      <c r="C489" s="28" t="s">
        <v>10</v>
      </c>
      <c r="D489" s="100" t="s">
        <v>388</v>
      </c>
      <c r="E489" s="28" t="s">
        <v>399</v>
      </c>
      <c r="F489" s="88" t="s">
        <v>164</v>
      </c>
      <c r="G489" s="6" t="s">
        <v>169</v>
      </c>
      <c r="H489" s="20" t="s">
        <v>156</v>
      </c>
      <c r="I489" s="28" t="s">
        <v>105</v>
      </c>
      <c r="J489" s="20" t="s">
        <v>34</v>
      </c>
      <c r="K489" s="20"/>
      <c r="L489" s="20"/>
      <c r="M489" s="20"/>
      <c r="N489" s="96">
        <v>46122</v>
      </c>
      <c r="O489" s="96">
        <v>46176</v>
      </c>
      <c r="P489" s="211" t="str">
        <f t="shared" si="55"/>
        <v xml:space="preserve">Trần Văn Diện, , </v>
      </c>
    </row>
    <row r="490" spans="1:16">
      <c r="A490" s="28" t="str">
        <f>"3."&amp;D490&amp;"."&amp;B490</f>
        <v>3.T.KHO.VPNT.KSMN.206</v>
      </c>
      <c r="B490" s="28" t="str">
        <f>TEXT(COUNTIFS($C$4:C490,C490,$D$4:D490,D490,$F$4:F490,F490)+IF(F490="KT",100,IF(F490="KC",200,IF(F490="DI",300,IF(F490="DN",400,IF(F490="NU",500,IF(F490="DH",600,IF(F490="PC",700,0))))))),"000")</f>
        <v>206</v>
      </c>
      <c r="C490" s="28" t="s">
        <v>10</v>
      </c>
      <c r="D490" s="100" t="s">
        <v>388</v>
      </c>
      <c r="E490" s="28" t="s">
        <v>399</v>
      </c>
      <c r="F490" s="88" t="s">
        <v>174</v>
      </c>
      <c r="G490" s="28" t="s">
        <v>23</v>
      </c>
      <c r="H490" s="20" t="s">
        <v>156</v>
      </c>
      <c r="I490" s="28" t="s">
        <v>105</v>
      </c>
      <c r="J490" s="20" t="s">
        <v>34</v>
      </c>
      <c r="K490" s="20"/>
      <c r="L490" s="20"/>
      <c r="M490" s="20"/>
      <c r="N490" s="96">
        <v>46188</v>
      </c>
      <c r="O490" s="96">
        <v>46228</v>
      </c>
      <c r="P490" s="211" t="str">
        <f t="shared" si="55"/>
        <v xml:space="preserve">Trần Văn Diện, , </v>
      </c>
    </row>
    <row r="491" spans="1:16">
      <c r="A491" s="28" t="str">
        <f>"3."&amp;D491&amp;"."&amp;B491</f>
        <v>3.T.KHO.VPNT.KSMN.306</v>
      </c>
      <c r="B491" s="28" t="str">
        <f>TEXT(COUNTIFS($C$4:C491,C491,$D$4:D491,D491,$F$4:F491,F491)+IF(F491="KT",100,IF(F491="KC",200,IF(F491="DI",300,IF(F491="DN",400,IF(F491="NU",500,IF(F491="DH",600,IF(F491="PC",700,0))))))),"000")</f>
        <v>306</v>
      </c>
      <c r="C491" s="28" t="s">
        <v>10</v>
      </c>
      <c r="D491" s="100" t="s">
        <v>388</v>
      </c>
      <c r="E491" s="28" t="s">
        <v>399</v>
      </c>
      <c r="F491" s="87" t="s">
        <v>182</v>
      </c>
      <c r="G491" s="28" t="s">
        <v>23</v>
      </c>
      <c r="H491" s="6" t="s">
        <v>156</v>
      </c>
      <c r="I491" s="28" t="s">
        <v>105</v>
      </c>
      <c r="J491" s="20" t="s">
        <v>206</v>
      </c>
      <c r="K491" s="20"/>
      <c r="L491" s="20"/>
      <c r="M491" s="20"/>
      <c r="N491" s="96">
        <v>46187</v>
      </c>
      <c r="O491" s="96">
        <v>46233</v>
      </c>
      <c r="P491" s="211" t="str">
        <f>J491&amp;", "&amp;K491&amp;", "&amp;L491</f>
        <v xml:space="preserve">Nguyễn Văn Hải, , </v>
      </c>
    </row>
    <row r="492" spans="1:16">
      <c r="A492" s="28" t="str">
        <f>"3."&amp;D492&amp;"."&amp;B492</f>
        <v>3.T.KHO.VPNT.KSMN.406</v>
      </c>
      <c r="B492" s="28" t="str">
        <f>TEXT(COUNTIFS($C$4:C492,C492,$D$4:D492,D492,$F$4:F492,F492)+IF(F492="KT",100,IF(F492="KC",200,IF(F492="DI",300,IF(F492="DN",400,IF(F492="NU",500,IF(F492="DH",600,IF(F492="PC",700,0))))))),"000")</f>
        <v>406</v>
      </c>
      <c r="C492" s="28" t="s">
        <v>10</v>
      </c>
      <c r="D492" s="100" t="s">
        <v>388</v>
      </c>
      <c r="E492" s="28" t="s">
        <v>399</v>
      </c>
      <c r="F492" s="87" t="s">
        <v>190</v>
      </c>
      <c r="G492" s="28" t="s">
        <v>23</v>
      </c>
      <c r="H492" s="6" t="s">
        <v>156</v>
      </c>
      <c r="I492" s="28" t="s">
        <v>105</v>
      </c>
      <c r="J492" s="20" t="s">
        <v>206</v>
      </c>
      <c r="K492" s="20"/>
      <c r="L492" s="20"/>
      <c r="M492" s="20"/>
      <c r="N492" s="96">
        <v>46187</v>
      </c>
      <c r="O492" s="96">
        <v>46233</v>
      </c>
      <c r="P492" s="211" t="str">
        <f>J492&amp;", "&amp;K492&amp;", "&amp;L492</f>
        <v xml:space="preserve">Nguyễn Văn Hải, , </v>
      </c>
    </row>
    <row r="493" spans="1:16">
      <c r="A493" s="28" t="str">
        <f>"3."&amp;D493&amp;"."&amp;B493</f>
        <v>3.T.KHO.VPNT.KSMN.506</v>
      </c>
      <c r="B493" s="28" t="str">
        <f>TEXT(COUNTIFS($C$4:C493,C493,$D$4:D493,D493,$F$4:F493,F493)+IF(F493="KT",100,IF(F493="KC",200,IF(F493="DI",300,IF(F493="DN",400,IF(F493="NU",500,IF(F493="DH",600,IF(F493="PC",700,0))))))),"000")</f>
        <v>506</v>
      </c>
      <c r="C493" s="28" t="s">
        <v>10</v>
      </c>
      <c r="D493" s="100" t="s">
        <v>388</v>
      </c>
      <c r="E493" s="28" t="s">
        <v>399</v>
      </c>
      <c r="F493" s="87" t="s">
        <v>195</v>
      </c>
      <c r="G493" s="28" t="s">
        <v>23</v>
      </c>
      <c r="H493" s="6" t="s">
        <v>156</v>
      </c>
      <c r="I493" s="28" t="s">
        <v>105</v>
      </c>
      <c r="J493" s="20" t="s">
        <v>206</v>
      </c>
      <c r="K493" s="20"/>
      <c r="L493" s="20"/>
      <c r="M493" s="20"/>
      <c r="N493" s="96">
        <v>46187</v>
      </c>
      <c r="O493" s="96">
        <v>46233</v>
      </c>
      <c r="P493" s="211" t="str">
        <f t="shared" ref="P493" si="58">J493&amp;", "&amp;K493&amp;", "&amp;L493</f>
        <v xml:space="preserve">Nguyễn Văn Hải, , </v>
      </c>
    </row>
    <row r="494" spans="1:16">
      <c r="A494" s="28" t="str">
        <f>"3."&amp;D494&amp;"."&amp;B494</f>
        <v>3.T.KHO.VPNT.KSMN.606</v>
      </c>
      <c r="B494" s="28" t="str">
        <f>TEXT(COUNTIFS($C$4:C494,C494,$D$4:D494,D494,$F$4:F494,F494)+IF(F494="KT",100,IF(F494="KC",200,IF(F494="DI",300,IF(F494="DN",400,IF(F494="NU",500,IF(F494="DH",600,IF(F494="PC",700,0))))))),"000")</f>
        <v>606</v>
      </c>
      <c r="C494" s="28" t="s">
        <v>10</v>
      </c>
      <c r="D494" s="100" t="s">
        <v>388</v>
      </c>
      <c r="E494" s="28" t="s">
        <v>399</v>
      </c>
      <c r="F494" s="87" t="s">
        <v>205</v>
      </c>
      <c r="G494" s="28" t="s">
        <v>23</v>
      </c>
      <c r="H494" s="6" t="s">
        <v>156</v>
      </c>
      <c r="I494" s="28" t="s">
        <v>105</v>
      </c>
      <c r="J494" s="20" t="s">
        <v>206</v>
      </c>
      <c r="K494" s="20"/>
      <c r="L494" s="20"/>
      <c r="M494" s="20"/>
      <c r="N494" s="96">
        <v>46187</v>
      </c>
      <c r="O494" s="96">
        <v>46233</v>
      </c>
      <c r="P494" s="211" t="str">
        <f>J494&amp;", "&amp;K494&amp;", "&amp;L494</f>
        <v xml:space="preserve">Nguyễn Văn Hải, , </v>
      </c>
    </row>
    <row r="495" spans="1:16">
      <c r="A495" s="28" t="str">
        <f>"3."&amp;D495&amp;"."&amp;B495</f>
        <v>3.T.KHO.VPNT.KSMN.706</v>
      </c>
      <c r="B495" s="28" t="str">
        <f>TEXT(COUNTIFS($C$4:C495,C495,$D$4:D495,D495,$F$4:F495,F495)+IF(F495="KT",100,IF(F495="KC",200,IF(F495="DI",300,IF(F495="DN",400,IF(F495="NU",500,IF(F495="DH",600,IF(F495="PC",700,0))))))),"000")</f>
        <v>706</v>
      </c>
      <c r="C495" s="28" t="s">
        <v>10</v>
      </c>
      <c r="D495" s="100" t="s">
        <v>388</v>
      </c>
      <c r="E495" s="28" t="s">
        <v>399</v>
      </c>
      <c r="F495" s="87" t="s">
        <v>200</v>
      </c>
      <c r="G495" s="28" t="s">
        <v>23</v>
      </c>
      <c r="H495" s="6" t="s">
        <v>156</v>
      </c>
      <c r="I495" s="28" t="s">
        <v>105</v>
      </c>
      <c r="J495" s="20" t="s">
        <v>206</v>
      </c>
      <c r="K495" s="20"/>
      <c r="L495" s="20"/>
      <c r="M495" s="20"/>
      <c r="N495" s="96">
        <v>46187</v>
      </c>
      <c r="O495" s="96">
        <v>46233</v>
      </c>
      <c r="P495" s="211" t="str">
        <f t="shared" si="55"/>
        <v xml:space="preserve">Nguyễn Văn Hải, , </v>
      </c>
    </row>
    <row r="496" spans="1:16">
      <c r="A496" s="28"/>
      <c r="B496" s="110"/>
      <c r="C496" s="28"/>
      <c r="D496" s="100"/>
      <c r="E496" s="28"/>
      <c r="F496" s="88"/>
      <c r="G496" s="28"/>
      <c r="H496" s="28"/>
      <c r="I496" s="28"/>
      <c r="J496" s="20"/>
      <c r="K496" s="20"/>
      <c r="L496" s="20"/>
      <c r="M496" s="20"/>
      <c r="N496" s="96"/>
      <c r="O496" s="96"/>
      <c r="P496" s="211" t="str">
        <f t="shared" si="55"/>
        <v xml:space="preserve">, , </v>
      </c>
    </row>
    <row r="497" spans="1:16">
      <c r="A497" s="28"/>
      <c r="B497" s="110"/>
      <c r="C497" s="28"/>
      <c r="D497" s="100"/>
      <c r="E497" s="28"/>
      <c r="F497" s="88"/>
      <c r="G497" s="28"/>
      <c r="H497" s="28"/>
      <c r="I497" s="28"/>
      <c r="J497" s="20"/>
      <c r="K497" s="20"/>
      <c r="L497" s="20"/>
      <c r="M497" s="20"/>
      <c r="N497" s="96"/>
      <c r="O497" s="96"/>
      <c r="P497" s="211" t="str">
        <f t="shared" si="55"/>
        <v xml:space="preserve">, , </v>
      </c>
    </row>
    <row r="498" spans="1:16">
      <c r="A498" s="28"/>
      <c r="B498" s="110"/>
      <c r="C498" s="28"/>
      <c r="D498" s="100"/>
      <c r="E498" s="28"/>
      <c r="F498" s="88"/>
      <c r="G498" s="28"/>
      <c r="H498" s="28"/>
      <c r="I498" s="28"/>
      <c r="J498" s="20"/>
      <c r="K498" s="20"/>
      <c r="L498" s="20"/>
      <c r="M498" s="20"/>
      <c r="N498" s="96"/>
      <c r="O498" s="96"/>
      <c r="P498" s="211" t="str">
        <f t="shared" si="55"/>
        <v xml:space="preserve">, , </v>
      </c>
    </row>
    <row r="499" spans="1:16">
      <c r="A499" s="28"/>
      <c r="B499" s="110"/>
      <c r="C499" s="28"/>
      <c r="D499" s="100"/>
      <c r="E499" s="28"/>
      <c r="F499" s="88"/>
      <c r="G499" s="28"/>
      <c r="H499" s="28"/>
      <c r="I499" s="28"/>
      <c r="J499" s="20"/>
      <c r="K499" s="20"/>
      <c r="L499" s="20"/>
      <c r="M499" s="20"/>
      <c r="N499" s="96"/>
      <c r="O499" s="96"/>
      <c r="P499" s="211" t="str">
        <f t="shared" si="55"/>
        <v xml:space="preserve">, , </v>
      </c>
    </row>
    <row r="500" spans="1:16">
      <c r="A500" s="28"/>
      <c r="B500" s="110"/>
      <c r="C500" s="28"/>
      <c r="D500" s="100"/>
      <c r="E500" s="28"/>
      <c r="F500" s="88"/>
      <c r="G500" s="28"/>
      <c r="H500" s="28"/>
      <c r="I500" s="28"/>
      <c r="J500" s="20"/>
      <c r="K500" s="20"/>
      <c r="L500" s="20"/>
      <c r="M500" s="20"/>
      <c r="N500" s="96"/>
      <c r="O500" s="96"/>
      <c r="P500" s="211" t="str">
        <f t="shared" si="55"/>
        <v xml:space="preserve">, , </v>
      </c>
    </row>
    <row r="501" spans="1:16">
      <c r="A501" s="28"/>
      <c r="B501" s="110"/>
      <c r="C501" s="28"/>
      <c r="D501" s="100"/>
      <c r="E501" s="28"/>
      <c r="F501" s="88"/>
      <c r="G501" s="28"/>
      <c r="H501" s="28"/>
      <c r="I501" s="28"/>
      <c r="J501" s="20"/>
      <c r="K501" s="20"/>
      <c r="L501" s="20"/>
      <c r="M501" s="20"/>
      <c r="N501" s="96"/>
      <c r="O501" s="96"/>
      <c r="P501" s="211" t="str">
        <f t="shared" si="55"/>
        <v xml:space="preserve">, , </v>
      </c>
    </row>
    <row r="502" spans="1:16">
      <c r="A502" s="28"/>
      <c r="B502" s="110"/>
      <c r="C502" s="28"/>
      <c r="D502" s="100"/>
      <c r="E502" s="28"/>
      <c r="F502" s="88"/>
      <c r="G502" s="28"/>
      <c r="H502" s="28"/>
      <c r="I502" s="28"/>
      <c r="J502" s="20"/>
      <c r="K502" s="20"/>
      <c r="L502" s="20"/>
      <c r="M502" s="20"/>
      <c r="N502" s="96"/>
      <c r="O502" s="96"/>
      <c r="P502" s="211" t="str">
        <f t="shared" si="55"/>
        <v xml:space="preserve">, , </v>
      </c>
    </row>
    <row r="503" spans="1:16">
      <c r="A503" s="28"/>
      <c r="B503" s="110"/>
      <c r="C503" s="28"/>
      <c r="D503" s="100"/>
      <c r="E503" s="28"/>
      <c r="F503" s="88"/>
      <c r="G503" s="28"/>
      <c r="H503" s="28"/>
      <c r="I503" s="28"/>
      <c r="J503" s="20"/>
      <c r="K503" s="20"/>
      <c r="L503" s="20"/>
      <c r="M503" s="20"/>
      <c r="N503" s="96"/>
      <c r="O503" s="96"/>
      <c r="P503" s="211" t="str">
        <f t="shared" si="55"/>
        <v xml:space="preserve">, , </v>
      </c>
    </row>
    <row r="504" spans="1:16">
      <c r="A504" s="28"/>
      <c r="B504" s="28"/>
      <c r="C504" s="28"/>
      <c r="D504" s="100"/>
      <c r="E504" s="28"/>
      <c r="F504" s="88"/>
      <c r="G504" s="28"/>
      <c r="H504" s="28"/>
      <c r="I504" s="28"/>
      <c r="J504" s="20"/>
      <c r="K504" s="20"/>
      <c r="L504" s="20"/>
      <c r="M504" s="20"/>
      <c r="N504" s="96"/>
      <c r="O504" s="96"/>
      <c r="P504" s="211" t="str">
        <f t="shared" si="55"/>
        <v xml:space="preserve">, , </v>
      </c>
    </row>
    <row r="505" spans="1:16">
      <c r="A505" s="28"/>
      <c r="B505" s="28"/>
      <c r="C505" s="28"/>
      <c r="D505" s="100"/>
      <c r="E505" s="28"/>
      <c r="F505" s="88"/>
      <c r="G505" s="28"/>
      <c r="H505" s="28"/>
      <c r="I505" s="28"/>
      <c r="J505" s="20"/>
      <c r="K505" s="20"/>
      <c r="L505" s="20"/>
      <c r="M505" s="20"/>
      <c r="N505" s="96"/>
      <c r="O505" s="96"/>
      <c r="P505" s="211" t="str">
        <f t="shared" si="55"/>
        <v xml:space="preserve">, , </v>
      </c>
    </row>
    <row r="506" spans="1:16">
      <c r="A506" s="28"/>
      <c r="B506" s="28"/>
      <c r="C506" s="28"/>
      <c r="D506" s="100"/>
      <c r="E506" s="28"/>
      <c r="F506" s="88"/>
      <c r="G506" s="28"/>
      <c r="H506" s="28"/>
      <c r="I506" s="28"/>
      <c r="J506" s="20"/>
      <c r="K506" s="20"/>
      <c r="L506" s="20"/>
      <c r="M506" s="20"/>
      <c r="N506" s="96"/>
      <c r="O506" s="96"/>
      <c r="P506" s="211" t="str">
        <f t="shared" si="55"/>
        <v xml:space="preserve">, , </v>
      </c>
    </row>
    <row r="507" spans="1:16">
      <c r="A507" s="28"/>
      <c r="B507" s="28"/>
      <c r="C507" s="28"/>
      <c r="D507" s="100"/>
      <c r="E507" s="28"/>
      <c r="F507" s="88"/>
      <c r="G507" s="28"/>
      <c r="H507" s="28"/>
      <c r="I507" s="28"/>
      <c r="J507" s="20"/>
      <c r="K507" s="20"/>
      <c r="L507" s="20"/>
      <c r="M507" s="20"/>
      <c r="N507" s="96"/>
      <c r="O507" s="96"/>
      <c r="P507" s="211" t="str">
        <f t="shared" si="55"/>
        <v xml:space="preserve">, , </v>
      </c>
    </row>
    <row r="508" spans="1:16">
      <c r="A508" s="28"/>
      <c r="B508" s="28"/>
      <c r="C508" s="28"/>
      <c r="D508" s="100"/>
      <c r="E508" s="28"/>
      <c r="F508" s="88"/>
      <c r="G508" s="28"/>
      <c r="H508" s="28"/>
      <c r="I508" s="28"/>
      <c r="J508" s="20"/>
      <c r="K508" s="20"/>
      <c r="L508" s="20"/>
      <c r="M508" s="20"/>
      <c r="N508" s="96"/>
      <c r="O508" s="96"/>
      <c r="P508" s="211" t="str">
        <f t="shared" si="55"/>
        <v xml:space="preserve">, , </v>
      </c>
    </row>
    <row r="509" spans="1:16">
      <c r="A509" s="28"/>
      <c r="B509" s="28"/>
      <c r="C509" s="28"/>
      <c r="D509" s="100"/>
      <c r="E509" s="28"/>
      <c r="F509" s="88"/>
      <c r="G509" s="28"/>
      <c r="H509" s="28"/>
      <c r="I509" s="28"/>
      <c r="J509" s="20"/>
      <c r="K509" s="20"/>
      <c r="L509" s="20"/>
      <c r="M509" s="20"/>
      <c r="N509" s="96"/>
      <c r="O509" s="96"/>
      <c r="P509" s="211" t="str">
        <f t="shared" si="55"/>
        <v xml:space="preserve">, , </v>
      </c>
    </row>
    <row r="510" spans="1:16">
      <c r="A510" s="28"/>
      <c r="B510" s="28"/>
      <c r="C510" s="28"/>
      <c r="D510" s="100"/>
      <c r="E510" s="28"/>
      <c r="F510" s="88"/>
      <c r="G510" s="28"/>
      <c r="H510" s="28"/>
      <c r="I510" s="28"/>
      <c r="J510" s="20"/>
      <c r="K510" s="20"/>
      <c r="L510" s="20"/>
      <c r="M510" s="20"/>
      <c r="N510" s="96"/>
      <c r="O510" s="96"/>
      <c r="P510" s="211" t="str">
        <f t="shared" si="55"/>
        <v xml:space="preserve">, , </v>
      </c>
    </row>
    <row r="511" spans="1:16">
      <c r="A511" s="28"/>
      <c r="B511" s="28"/>
      <c r="C511" s="28"/>
      <c r="D511" s="100"/>
      <c r="E511" s="28"/>
      <c r="F511" s="88"/>
      <c r="G511" s="28"/>
      <c r="H511" s="28"/>
      <c r="I511" s="28"/>
      <c r="J511" s="20"/>
      <c r="K511" s="20"/>
      <c r="L511" s="20"/>
      <c r="M511" s="20"/>
      <c r="N511" s="96"/>
      <c r="O511" s="96"/>
      <c r="P511" s="211" t="str">
        <f t="shared" si="55"/>
        <v xml:space="preserve">, , </v>
      </c>
    </row>
    <row r="512" spans="1:16">
      <c r="A512" s="28"/>
      <c r="B512" s="28"/>
      <c r="C512" s="28"/>
      <c r="D512" s="100"/>
      <c r="E512" s="28"/>
      <c r="F512" s="88"/>
      <c r="G512" s="28"/>
      <c r="H512" s="28"/>
      <c r="I512" s="28"/>
      <c r="J512" s="20"/>
      <c r="K512" s="20"/>
      <c r="L512" s="20"/>
      <c r="M512" s="20"/>
      <c r="N512" s="96"/>
      <c r="O512" s="96"/>
      <c r="P512" s="211" t="str">
        <f t="shared" si="55"/>
        <v xml:space="preserve">, , </v>
      </c>
    </row>
    <row r="513" spans="1:16">
      <c r="A513" s="28"/>
      <c r="B513" s="28"/>
      <c r="C513" s="28"/>
      <c r="D513" s="100"/>
      <c r="E513" s="28"/>
      <c r="F513" s="88"/>
      <c r="G513" s="28"/>
      <c r="H513" s="28"/>
      <c r="I513" s="28"/>
      <c r="J513" s="20"/>
      <c r="K513" s="20"/>
      <c r="L513" s="20"/>
      <c r="M513" s="20"/>
      <c r="N513" s="96"/>
      <c r="O513" s="96"/>
      <c r="P513" s="211" t="str">
        <f t="shared" si="55"/>
        <v xml:space="preserve">, , </v>
      </c>
    </row>
    <row r="514" spans="1:16">
      <c r="A514" s="28"/>
      <c r="B514" s="28"/>
      <c r="C514" s="28"/>
      <c r="D514" s="100"/>
      <c r="E514" s="28"/>
      <c r="F514" s="88"/>
      <c r="G514" s="28"/>
      <c r="H514" s="28"/>
      <c r="I514" s="28"/>
      <c r="J514" s="20"/>
      <c r="K514" s="20"/>
      <c r="L514" s="20"/>
      <c r="M514" s="20"/>
      <c r="N514" s="96"/>
      <c r="O514" s="96"/>
      <c r="P514" s="211" t="str">
        <f t="shared" si="55"/>
        <v xml:space="preserve">, , </v>
      </c>
    </row>
    <row r="515" spans="1:16">
      <c r="A515" s="28"/>
      <c r="B515" s="28"/>
      <c r="C515" s="28"/>
      <c r="D515" s="100"/>
      <c r="E515" s="28"/>
      <c r="F515" s="88"/>
      <c r="G515" s="28"/>
      <c r="H515" s="28"/>
      <c r="I515" s="28"/>
      <c r="J515" s="20"/>
      <c r="K515" s="20"/>
      <c r="L515" s="20"/>
      <c r="M515" s="20"/>
      <c r="N515" s="96"/>
      <c r="O515" s="96"/>
      <c r="P515" s="211" t="str">
        <f t="shared" si="55"/>
        <v xml:space="preserve">, , </v>
      </c>
    </row>
    <row r="516" spans="1:16">
      <c r="A516" s="28"/>
      <c r="B516" s="28"/>
      <c r="C516" s="28"/>
      <c r="D516" s="100"/>
      <c r="E516" s="28"/>
      <c r="F516" s="88"/>
      <c r="G516" s="28"/>
      <c r="H516" s="28"/>
      <c r="I516" s="28"/>
      <c r="J516" s="20"/>
      <c r="K516" s="20"/>
      <c r="L516" s="20"/>
      <c r="M516" s="20"/>
      <c r="N516" s="96"/>
      <c r="O516" s="96"/>
      <c r="P516" s="211" t="str">
        <f t="shared" si="55"/>
        <v xml:space="preserve">, , </v>
      </c>
    </row>
    <row r="517" spans="1:16">
      <c r="A517" s="28"/>
      <c r="B517" s="28"/>
      <c r="C517" s="28"/>
      <c r="D517" s="100"/>
      <c r="E517" s="28"/>
      <c r="F517" s="88"/>
      <c r="G517" s="28"/>
      <c r="H517" s="28"/>
      <c r="I517" s="28"/>
      <c r="J517" s="20"/>
      <c r="K517" s="20"/>
      <c r="L517" s="20"/>
      <c r="M517" s="20"/>
      <c r="N517" s="96"/>
      <c r="O517" s="96"/>
      <c r="P517" s="211" t="str">
        <f t="shared" si="55"/>
        <v xml:space="preserve">, , </v>
      </c>
    </row>
    <row r="518" spans="1:16">
      <c r="A518" s="28"/>
      <c r="B518" s="28"/>
      <c r="C518" s="28"/>
      <c r="D518" s="100"/>
      <c r="E518" s="28"/>
      <c r="F518" s="88"/>
      <c r="G518" s="28"/>
      <c r="H518" s="28"/>
      <c r="I518" s="28"/>
      <c r="J518" s="20"/>
      <c r="K518" s="20"/>
      <c r="L518" s="20"/>
      <c r="M518" s="20"/>
      <c r="N518" s="96"/>
      <c r="O518" s="96"/>
      <c r="P518" s="211" t="str">
        <f t="shared" si="55"/>
        <v xml:space="preserve">, , </v>
      </c>
    </row>
    <row r="519" spans="1:16">
      <c r="A519" s="28"/>
      <c r="B519" s="28"/>
      <c r="C519" s="28"/>
      <c r="D519" s="100"/>
      <c r="E519" s="28"/>
      <c r="F519" s="88"/>
      <c r="G519" s="28"/>
      <c r="H519" s="28"/>
      <c r="I519" s="28"/>
      <c r="J519" s="20"/>
      <c r="K519" s="20"/>
      <c r="L519" s="20"/>
      <c r="M519" s="20"/>
      <c r="N519" s="96"/>
      <c r="O519" s="96"/>
      <c r="P519" s="211" t="str">
        <f t="shared" si="55"/>
        <v xml:space="preserve">, , </v>
      </c>
    </row>
    <row r="520" spans="1:16">
      <c r="A520" s="28"/>
      <c r="B520" s="28"/>
      <c r="C520" s="28"/>
      <c r="D520" s="100"/>
      <c r="E520" s="28"/>
      <c r="F520" s="88"/>
      <c r="G520" s="28"/>
      <c r="H520" s="28"/>
      <c r="I520" s="28"/>
      <c r="J520" s="20"/>
      <c r="K520" s="20"/>
      <c r="L520" s="20"/>
      <c r="M520" s="20"/>
      <c r="N520" s="96"/>
      <c r="O520" s="96"/>
      <c r="P520" s="211" t="str">
        <f t="shared" si="55"/>
        <v xml:space="preserve">, , </v>
      </c>
    </row>
    <row r="521" spans="1:16">
      <c r="A521" s="28"/>
      <c r="B521" s="28"/>
      <c r="C521" s="28"/>
      <c r="D521" s="100"/>
      <c r="E521" s="28"/>
      <c r="F521" s="88"/>
      <c r="G521" s="28"/>
      <c r="H521" s="28"/>
      <c r="I521" s="28"/>
      <c r="J521" s="20"/>
      <c r="K521" s="20"/>
      <c r="L521" s="20"/>
      <c r="M521" s="20"/>
      <c r="N521" s="96"/>
      <c r="O521" s="96"/>
      <c r="P521" s="211" t="str">
        <f t="shared" si="55"/>
        <v xml:space="preserve">, , </v>
      </c>
    </row>
    <row r="522" spans="1:16">
      <c r="A522" s="28"/>
      <c r="B522" s="28"/>
      <c r="C522" s="28"/>
      <c r="D522" s="100"/>
      <c r="E522" s="28"/>
      <c r="F522" s="88"/>
      <c r="G522" s="28"/>
      <c r="H522" s="28"/>
      <c r="I522" s="28"/>
      <c r="J522" s="20"/>
      <c r="K522" s="20"/>
      <c r="L522" s="20"/>
      <c r="M522" s="20"/>
      <c r="N522" s="96"/>
      <c r="O522" s="96"/>
      <c r="P522" s="211" t="str">
        <f t="shared" si="55"/>
        <v xml:space="preserve">, , </v>
      </c>
    </row>
    <row r="523" spans="1:16">
      <c r="A523" s="28"/>
      <c r="B523" s="28"/>
      <c r="C523" s="28"/>
      <c r="D523" s="100"/>
      <c r="E523" s="28"/>
      <c r="F523" s="88"/>
      <c r="G523" s="28"/>
      <c r="H523" s="28"/>
      <c r="I523" s="28"/>
      <c r="J523" s="20"/>
      <c r="K523" s="20"/>
      <c r="L523" s="20"/>
      <c r="M523" s="20"/>
      <c r="N523" s="96"/>
      <c r="O523" s="96"/>
      <c r="P523" s="211" t="str">
        <f t="shared" si="55"/>
        <v xml:space="preserve">, , </v>
      </c>
    </row>
    <row r="524" spans="1:16">
      <c r="A524" s="28"/>
      <c r="B524" s="28"/>
      <c r="C524" s="28"/>
      <c r="D524" s="100"/>
      <c r="E524" s="28"/>
      <c r="F524" s="88"/>
      <c r="G524" s="28"/>
      <c r="H524" s="28"/>
      <c r="I524" s="28"/>
      <c r="J524" s="20"/>
      <c r="K524" s="20"/>
      <c r="L524" s="20"/>
      <c r="M524" s="20"/>
      <c r="N524" s="96"/>
      <c r="O524" s="96"/>
      <c r="P524" s="211" t="str">
        <f t="shared" si="55"/>
        <v xml:space="preserve">, , </v>
      </c>
    </row>
    <row r="525" spans="1:16">
      <c r="A525" s="28"/>
      <c r="B525" s="28"/>
      <c r="C525" s="28"/>
      <c r="D525" s="100"/>
      <c r="E525" s="28"/>
      <c r="F525" s="88"/>
      <c r="G525" s="28"/>
      <c r="H525" s="28"/>
      <c r="I525" s="28"/>
      <c r="J525" s="20"/>
      <c r="K525" s="20"/>
      <c r="L525" s="20"/>
      <c r="M525" s="20"/>
      <c r="N525" s="96"/>
      <c r="O525" s="96"/>
      <c r="P525" s="211" t="str">
        <f t="shared" si="55"/>
        <v xml:space="preserve">, , </v>
      </c>
    </row>
    <row r="526" spans="1:16">
      <c r="A526" s="28"/>
      <c r="B526" s="28"/>
      <c r="C526" s="28"/>
      <c r="D526" s="100"/>
      <c r="E526" s="28"/>
      <c r="F526" s="88"/>
      <c r="G526" s="28"/>
      <c r="H526" s="28"/>
      <c r="I526" s="28"/>
      <c r="J526" s="20"/>
      <c r="K526" s="20"/>
      <c r="L526" s="20"/>
      <c r="M526" s="20"/>
      <c r="N526" s="96"/>
      <c r="O526" s="96"/>
      <c r="P526" s="211" t="str">
        <f t="shared" si="55"/>
        <v xml:space="preserve">, , </v>
      </c>
    </row>
    <row r="527" spans="1:16">
      <c r="A527" s="28"/>
      <c r="B527" s="28"/>
      <c r="C527" s="28"/>
      <c r="D527" s="100"/>
      <c r="E527" s="28"/>
      <c r="F527" s="88"/>
      <c r="G527" s="28"/>
      <c r="H527" s="28"/>
      <c r="I527" s="28"/>
      <c r="J527" s="20"/>
      <c r="K527" s="20"/>
      <c r="L527" s="20"/>
      <c r="M527" s="20"/>
      <c r="N527" s="96"/>
      <c r="O527" s="96"/>
      <c r="P527" s="211" t="str">
        <f t="shared" si="55"/>
        <v xml:space="preserve">, , </v>
      </c>
    </row>
    <row r="528" spans="1:16">
      <c r="A528" s="28"/>
      <c r="B528" s="28"/>
      <c r="C528" s="28"/>
      <c r="D528" s="100"/>
      <c r="E528" s="28"/>
      <c r="F528" s="88"/>
      <c r="G528" s="28"/>
      <c r="H528" s="28"/>
      <c r="I528" s="28"/>
      <c r="J528" s="20"/>
      <c r="K528" s="20"/>
      <c r="L528" s="20"/>
      <c r="M528" s="20"/>
      <c r="N528" s="96"/>
      <c r="O528" s="96"/>
      <c r="P528" s="211" t="str">
        <f t="shared" ref="P528:P587" si="59">J528&amp;", "&amp;K528&amp;", "&amp;L528</f>
        <v xml:space="preserve">, , </v>
      </c>
    </row>
    <row r="529" spans="1:16">
      <c r="A529" s="28"/>
      <c r="B529" s="28"/>
      <c r="C529" s="28"/>
      <c r="D529" s="100"/>
      <c r="E529" s="28"/>
      <c r="F529" s="88"/>
      <c r="G529" s="28"/>
      <c r="H529" s="28"/>
      <c r="I529" s="28"/>
      <c r="J529" s="20"/>
      <c r="K529" s="20"/>
      <c r="L529" s="20"/>
      <c r="M529" s="20"/>
      <c r="N529" s="96"/>
      <c r="O529" s="96"/>
      <c r="P529" s="211" t="str">
        <f t="shared" si="59"/>
        <v xml:space="preserve">, , </v>
      </c>
    </row>
    <row r="530" spans="1:16">
      <c r="A530" s="28"/>
      <c r="B530" s="28"/>
      <c r="C530" s="28"/>
      <c r="D530" s="100"/>
      <c r="E530" s="28"/>
      <c r="F530" s="88"/>
      <c r="G530" s="28"/>
      <c r="H530" s="28"/>
      <c r="I530" s="28"/>
      <c r="J530" s="20"/>
      <c r="K530" s="20"/>
      <c r="L530" s="20"/>
      <c r="M530" s="20"/>
      <c r="N530" s="96"/>
      <c r="O530" s="96"/>
      <c r="P530" s="211" t="str">
        <f t="shared" si="59"/>
        <v xml:space="preserve">, , </v>
      </c>
    </row>
    <row r="531" spans="1:16">
      <c r="A531" s="28"/>
      <c r="B531" s="28"/>
      <c r="C531" s="28"/>
      <c r="D531" s="100"/>
      <c r="E531" s="28"/>
      <c r="F531" s="88"/>
      <c r="G531" s="28"/>
      <c r="H531" s="28"/>
      <c r="I531" s="28"/>
      <c r="J531" s="20"/>
      <c r="K531" s="20"/>
      <c r="L531" s="20"/>
      <c r="M531" s="20"/>
      <c r="N531" s="96"/>
      <c r="O531" s="96"/>
      <c r="P531" s="211" t="str">
        <f t="shared" si="59"/>
        <v xml:space="preserve">, , </v>
      </c>
    </row>
    <row r="532" spans="1:16">
      <c r="A532" s="28"/>
      <c r="B532" s="28"/>
      <c r="C532" s="28"/>
      <c r="D532" s="100"/>
      <c r="E532" s="28"/>
      <c r="F532" s="88"/>
      <c r="G532" s="28"/>
      <c r="H532" s="28"/>
      <c r="I532" s="28"/>
      <c r="J532" s="20"/>
      <c r="K532" s="20"/>
      <c r="L532" s="20"/>
      <c r="M532" s="20"/>
      <c r="N532" s="96"/>
      <c r="O532" s="96"/>
      <c r="P532" s="211" t="str">
        <f t="shared" si="59"/>
        <v xml:space="preserve">, , </v>
      </c>
    </row>
    <row r="533" spans="1:16">
      <c r="A533" s="28"/>
      <c r="B533" s="28"/>
      <c r="C533" s="28"/>
      <c r="D533" s="100"/>
      <c r="E533" s="28"/>
      <c r="F533" s="88"/>
      <c r="G533" s="28"/>
      <c r="H533" s="28"/>
      <c r="I533" s="28"/>
      <c r="J533" s="20"/>
      <c r="K533" s="20"/>
      <c r="L533" s="20"/>
      <c r="M533" s="20"/>
      <c r="N533" s="96"/>
      <c r="O533" s="96"/>
      <c r="P533" s="211" t="str">
        <f t="shared" si="59"/>
        <v xml:space="preserve">, , </v>
      </c>
    </row>
    <row r="534" spans="1:16">
      <c r="A534" s="28"/>
      <c r="B534" s="28"/>
      <c r="C534" s="28"/>
      <c r="D534" s="100"/>
      <c r="E534" s="28"/>
      <c r="F534" s="88"/>
      <c r="G534" s="28"/>
      <c r="H534" s="28"/>
      <c r="I534" s="28"/>
      <c r="J534" s="20"/>
      <c r="K534" s="20"/>
      <c r="L534" s="20"/>
      <c r="M534" s="20"/>
      <c r="N534" s="96"/>
      <c r="O534" s="96"/>
      <c r="P534" s="211" t="str">
        <f t="shared" si="59"/>
        <v xml:space="preserve">, , </v>
      </c>
    </row>
    <row r="535" spans="1:16">
      <c r="A535" s="28"/>
      <c r="B535" s="28"/>
      <c r="C535" s="28"/>
      <c r="D535" s="100"/>
      <c r="E535" s="28"/>
      <c r="F535" s="88"/>
      <c r="G535" s="28"/>
      <c r="H535" s="28"/>
      <c r="I535" s="28"/>
      <c r="J535" s="20"/>
      <c r="K535" s="20"/>
      <c r="L535" s="20"/>
      <c r="M535" s="20"/>
      <c r="N535" s="96"/>
      <c r="O535" s="96"/>
      <c r="P535" s="211" t="str">
        <f t="shared" si="59"/>
        <v xml:space="preserve">, , </v>
      </c>
    </row>
    <row r="536" spans="1:16">
      <c r="A536" s="28"/>
      <c r="B536" s="28"/>
      <c r="C536" s="28"/>
      <c r="D536" s="100"/>
      <c r="E536" s="28"/>
      <c r="F536" s="88"/>
      <c r="G536" s="28"/>
      <c r="H536" s="28"/>
      <c r="I536" s="28"/>
      <c r="J536" s="20"/>
      <c r="K536" s="20"/>
      <c r="L536" s="20"/>
      <c r="M536" s="20"/>
      <c r="N536" s="96"/>
      <c r="O536" s="96"/>
      <c r="P536" s="211" t="str">
        <f t="shared" si="59"/>
        <v xml:space="preserve">, , </v>
      </c>
    </row>
    <row r="537" spans="1:16">
      <c r="A537" s="28"/>
      <c r="B537" s="28"/>
      <c r="C537" s="28"/>
      <c r="D537" s="100"/>
      <c r="E537" s="28"/>
      <c r="F537" s="88"/>
      <c r="G537" s="28"/>
      <c r="H537" s="28"/>
      <c r="I537" s="28"/>
      <c r="J537" s="20"/>
      <c r="K537" s="20"/>
      <c r="L537" s="20"/>
      <c r="M537" s="20"/>
      <c r="N537" s="96"/>
      <c r="O537" s="96"/>
      <c r="P537" s="211" t="str">
        <f t="shared" si="59"/>
        <v xml:space="preserve">, , </v>
      </c>
    </row>
    <row r="538" spans="1:16">
      <c r="A538" s="28"/>
      <c r="B538" s="28"/>
      <c r="C538" s="28"/>
      <c r="D538" s="100"/>
      <c r="E538" s="28"/>
      <c r="F538" s="88"/>
      <c r="G538" s="28"/>
      <c r="H538" s="28"/>
      <c r="I538" s="28"/>
      <c r="J538" s="20"/>
      <c r="K538" s="20"/>
      <c r="L538" s="20"/>
      <c r="M538" s="20"/>
      <c r="N538" s="96"/>
      <c r="O538" s="96"/>
      <c r="P538" s="211" t="str">
        <f t="shared" si="59"/>
        <v xml:space="preserve">, , </v>
      </c>
    </row>
    <row r="539" spans="1:16">
      <c r="A539" s="28"/>
      <c r="B539" s="28"/>
      <c r="C539" s="28"/>
      <c r="D539" s="100"/>
      <c r="E539" s="28"/>
      <c r="F539" s="88"/>
      <c r="G539" s="28"/>
      <c r="H539" s="28"/>
      <c r="I539" s="28"/>
      <c r="J539" s="20"/>
      <c r="K539" s="20"/>
      <c r="L539" s="20"/>
      <c r="M539" s="20"/>
      <c r="N539" s="96"/>
      <c r="O539" s="96"/>
      <c r="P539" s="211" t="str">
        <f t="shared" si="59"/>
        <v xml:space="preserve">, , </v>
      </c>
    </row>
    <row r="540" spans="1:16">
      <c r="A540" s="28"/>
      <c r="B540" s="28"/>
      <c r="C540" s="28"/>
      <c r="D540" s="100"/>
      <c r="E540" s="28"/>
      <c r="F540" s="88"/>
      <c r="G540" s="28"/>
      <c r="H540" s="28"/>
      <c r="I540" s="28"/>
      <c r="J540" s="20"/>
      <c r="K540" s="20"/>
      <c r="L540" s="20"/>
      <c r="M540" s="20"/>
      <c r="N540" s="96"/>
      <c r="O540" s="96"/>
      <c r="P540" s="211" t="str">
        <f t="shared" si="59"/>
        <v xml:space="preserve">, , </v>
      </c>
    </row>
    <row r="541" spans="1:16">
      <c r="A541" s="28"/>
      <c r="B541" s="28"/>
      <c r="C541" s="28"/>
      <c r="D541" s="100"/>
      <c r="E541" s="28"/>
      <c r="F541" s="88"/>
      <c r="G541" s="28"/>
      <c r="H541" s="28"/>
      <c r="I541" s="28"/>
      <c r="J541" s="20"/>
      <c r="K541" s="20"/>
      <c r="L541" s="20"/>
      <c r="M541" s="20"/>
      <c r="N541" s="96"/>
      <c r="O541" s="96"/>
      <c r="P541" s="211" t="str">
        <f t="shared" si="59"/>
        <v xml:space="preserve">, , </v>
      </c>
    </row>
    <row r="542" spans="1:16">
      <c r="A542" s="28"/>
      <c r="B542" s="28"/>
      <c r="C542" s="28"/>
      <c r="D542" s="100"/>
      <c r="E542" s="28"/>
      <c r="F542" s="88"/>
      <c r="G542" s="28"/>
      <c r="H542" s="28"/>
      <c r="I542" s="28"/>
      <c r="J542" s="20"/>
      <c r="K542" s="20"/>
      <c r="L542" s="20"/>
      <c r="M542" s="20"/>
      <c r="N542" s="96"/>
      <c r="O542" s="96"/>
      <c r="P542" s="211" t="str">
        <f t="shared" si="59"/>
        <v xml:space="preserve">, , </v>
      </c>
    </row>
    <row r="543" spans="1:16">
      <c r="A543" s="28"/>
      <c r="B543" s="28"/>
      <c r="C543" s="28"/>
      <c r="D543" s="100"/>
      <c r="E543" s="28"/>
      <c r="F543" s="88"/>
      <c r="G543" s="28"/>
      <c r="H543" s="28"/>
      <c r="I543" s="28"/>
      <c r="J543" s="20"/>
      <c r="K543" s="20"/>
      <c r="L543" s="20"/>
      <c r="M543" s="20"/>
      <c r="N543" s="96"/>
      <c r="O543" s="96"/>
      <c r="P543" s="211" t="str">
        <f t="shared" si="59"/>
        <v xml:space="preserve">, , </v>
      </c>
    </row>
    <row r="544" spans="1:16">
      <c r="A544" s="28"/>
      <c r="B544" s="28"/>
      <c r="C544" s="28"/>
      <c r="D544" s="100"/>
      <c r="E544" s="28"/>
      <c r="F544" s="88"/>
      <c r="G544" s="28"/>
      <c r="H544" s="28"/>
      <c r="I544" s="28"/>
      <c r="J544" s="20"/>
      <c r="K544" s="20"/>
      <c r="L544" s="20"/>
      <c r="M544" s="20"/>
      <c r="N544" s="96"/>
      <c r="O544" s="96"/>
      <c r="P544" s="211" t="str">
        <f t="shared" si="59"/>
        <v xml:space="preserve">, , </v>
      </c>
    </row>
    <row r="545" spans="1:16">
      <c r="A545" s="28"/>
      <c r="B545" s="28"/>
      <c r="C545" s="28"/>
      <c r="D545" s="100"/>
      <c r="E545" s="28"/>
      <c r="F545" s="88"/>
      <c r="G545" s="28"/>
      <c r="H545" s="28"/>
      <c r="I545" s="28"/>
      <c r="J545" s="20"/>
      <c r="K545" s="20"/>
      <c r="L545" s="20"/>
      <c r="M545" s="20"/>
      <c r="N545" s="96"/>
      <c r="O545" s="96"/>
      <c r="P545" s="211" t="str">
        <f t="shared" si="59"/>
        <v xml:space="preserve">, , </v>
      </c>
    </row>
    <row r="546" spans="1:16">
      <c r="A546" s="28"/>
      <c r="B546" s="28"/>
      <c r="C546" s="28"/>
      <c r="D546" s="100"/>
      <c r="E546" s="28"/>
      <c r="F546" s="88"/>
      <c r="G546" s="28"/>
      <c r="H546" s="28"/>
      <c r="I546" s="28"/>
      <c r="J546" s="20"/>
      <c r="K546" s="20"/>
      <c r="L546" s="20"/>
      <c r="M546" s="20"/>
      <c r="N546" s="96"/>
      <c r="O546" s="96"/>
      <c r="P546" s="211" t="str">
        <f t="shared" si="59"/>
        <v xml:space="preserve">, , </v>
      </c>
    </row>
    <row r="547" spans="1:16">
      <c r="A547" s="28"/>
      <c r="B547" s="28"/>
      <c r="C547" s="28"/>
      <c r="D547" s="100"/>
      <c r="E547" s="28"/>
      <c r="F547" s="88"/>
      <c r="G547" s="28"/>
      <c r="H547" s="28"/>
      <c r="I547" s="28"/>
      <c r="J547" s="20"/>
      <c r="K547" s="20"/>
      <c r="L547" s="20"/>
      <c r="M547" s="20"/>
      <c r="N547" s="96"/>
      <c r="O547" s="96"/>
      <c r="P547" s="211" t="str">
        <f t="shared" si="59"/>
        <v xml:space="preserve">, , </v>
      </c>
    </row>
    <row r="548" spans="1:16">
      <c r="A548" s="28"/>
      <c r="B548" s="28"/>
      <c r="C548" s="28"/>
      <c r="D548" s="100"/>
      <c r="E548" s="28"/>
      <c r="F548" s="88"/>
      <c r="G548" s="28"/>
      <c r="H548" s="28"/>
      <c r="I548" s="28"/>
      <c r="J548" s="20"/>
      <c r="K548" s="20"/>
      <c r="L548" s="20"/>
      <c r="M548" s="20"/>
      <c r="N548" s="96"/>
      <c r="O548" s="96"/>
      <c r="P548" s="211" t="str">
        <f t="shared" si="59"/>
        <v xml:space="preserve">, , </v>
      </c>
    </row>
    <row r="549" spans="1:16">
      <c r="A549" s="28"/>
      <c r="B549" s="28"/>
      <c r="C549" s="28"/>
      <c r="D549" s="100"/>
      <c r="E549" s="28"/>
      <c r="F549" s="88"/>
      <c r="G549" s="28"/>
      <c r="H549" s="28"/>
      <c r="I549" s="28"/>
      <c r="J549" s="20"/>
      <c r="K549" s="20"/>
      <c r="L549" s="20"/>
      <c r="M549" s="20"/>
      <c r="N549" s="96"/>
      <c r="O549" s="96"/>
      <c r="P549" s="211" t="str">
        <f t="shared" si="59"/>
        <v xml:space="preserve">, , </v>
      </c>
    </row>
    <row r="550" spans="1:16">
      <c r="A550" s="28"/>
      <c r="B550" s="28"/>
      <c r="C550" s="28"/>
      <c r="D550" s="100"/>
      <c r="E550" s="28"/>
      <c r="F550" s="88"/>
      <c r="G550" s="28"/>
      <c r="H550" s="28"/>
      <c r="I550" s="28"/>
      <c r="J550" s="20"/>
      <c r="K550" s="20"/>
      <c r="L550" s="20"/>
      <c r="M550" s="20"/>
      <c r="N550" s="96"/>
      <c r="O550" s="96"/>
      <c r="P550" s="211" t="str">
        <f t="shared" si="59"/>
        <v xml:space="preserve">, , </v>
      </c>
    </row>
    <row r="551" spans="1:16">
      <c r="A551" s="28"/>
      <c r="B551" s="28"/>
      <c r="C551" s="28"/>
      <c r="D551" s="100"/>
      <c r="E551" s="28"/>
      <c r="F551" s="88"/>
      <c r="G551" s="28"/>
      <c r="H551" s="28"/>
      <c r="I551" s="28"/>
      <c r="J551" s="20"/>
      <c r="K551" s="20"/>
      <c r="L551" s="20"/>
      <c r="M551" s="20"/>
      <c r="N551" s="96"/>
      <c r="O551" s="96"/>
      <c r="P551" s="211" t="str">
        <f t="shared" si="59"/>
        <v xml:space="preserve">, , </v>
      </c>
    </row>
    <row r="552" spans="1:16">
      <c r="A552" s="28"/>
      <c r="B552" s="28"/>
      <c r="C552" s="28"/>
      <c r="D552" s="100"/>
      <c r="E552" s="28"/>
      <c r="F552" s="88"/>
      <c r="G552" s="28"/>
      <c r="H552" s="28"/>
      <c r="I552" s="28"/>
      <c r="J552" s="20"/>
      <c r="K552" s="20"/>
      <c r="L552" s="20"/>
      <c r="M552" s="20"/>
      <c r="N552" s="96"/>
      <c r="O552" s="96"/>
      <c r="P552" s="211" t="str">
        <f t="shared" si="59"/>
        <v xml:space="preserve">, , </v>
      </c>
    </row>
    <row r="553" spans="1:16">
      <c r="A553" s="28"/>
      <c r="B553" s="28"/>
      <c r="C553" s="28"/>
      <c r="D553" s="100"/>
      <c r="E553" s="28"/>
      <c r="F553" s="88"/>
      <c r="G553" s="28"/>
      <c r="H553" s="28"/>
      <c r="I553" s="28"/>
      <c r="J553" s="20"/>
      <c r="K553" s="20"/>
      <c r="L553" s="20"/>
      <c r="M553" s="20"/>
      <c r="N553" s="96"/>
      <c r="O553" s="96"/>
      <c r="P553" s="211" t="str">
        <f t="shared" si="59"/>
        <v xml:space="preserve">, , </v>
      </c>
    </row>
    <row r="554" spans="1:16">
      <c r="A554" s="28"/>
      <c r="B554" s="28"/>
      <c r="C554" s="28"/>
      <c r="D554" s="100"/>
      <c r="E554" s="28"/>
      <c r="F554" s="88"/>
      <c r="G554" s="28"/>
      <c r="H554" s="28"/>
      <c r="I554" s="28"/>
      <c r="J554" s="20"/>
      <c r="K554" s="20"/>
      <c r="L554" s="20"/>
      <c r="M554" s="20"/>
      <c r="N554" s="96"/>
      <c r="O554" s="96"/>
      <c r="P554" s="211" t="str">
        <f t="shared" si="59"/>
        <v xml:space="preserve">, , </v>
      </c>
    </row>
    <row r="555" spans="1:16">
      <c r="A555" s="28"/>
      <c r="B555" s="28"/>
      <c r="C555" s="28"/>
      <c r="D555" s="100"/>
      <c r="E555" s="28"/>
      <c r="F555" s="88"/>
      <c r="G555" s="28"/>
      <c r="H555" s="28"/>
      <c r="I555" s="28"/>
      <c r="J555" s="20"/>
      <c r="K555" s="20"/>
      <c r="L555" s="20"/>
      <c r="M555" s="20"/>
      <c r="N555" s="96"/>
      <c r="O555" s="96"/>
      <c r="P555" s="211" t="str">
        <f t="shared" si="59"/>
        <v xml:space="preserve">, , </v>
      </c>
    </row>
    <row r="556" spans="1:16">
      <c r="A556" s="28"/>
      <c r="B556" s="28"/>
      <c r="C556" s="28"/>
      <c r="D556" s="100"/>
      <c r="E556" s="28"/>
      <c r="F556" s="88"/>
      <c r="G556" s="28"/>
      <c r="H556" s="28"/>
      <c r="I556" s="28"/>
      <c r="J556" s="20"/>
      <c r="K556" s="20"/>
      <c r="L556" s="20"/>
      <c r="M556" s="20"/>
      <c r="N556" s="96"/>
      <c r="O556" s="96"/>
      <c r="P556" s="211" t="str">
        <f t="shared" si="59"/>
        <v xml:space="preserve">, , </v>
      </c>
    </row>
    <row r="557" spans="1:16">
      <c r="A557" s="28"/>
      <c r="B557" s="28"/>
      <c r="C557" s="28"/>
      <c r="D557" s="100"/>
      <c r="E557" s="28"/>
      <c r="F557" s="88"/>
      <c r="G557" s="28"/>
      <c r="H557" s="28"/>
      <c r="I557" s="28"/>
      <c r="J557" s="20"/>
      <c r="K557" s="20"/>
      <c r="L557" s="20"/>
      <c r="M557" s="20"/>
      <c r="N557" s="96"/>
      <c r="O557" s="96"/>
      <c r="P557" s="211" t="str">
        <f t="shared" si="59"/>
        <v xml:space="preserve">, , </v>
      </c>
    </row>
    <row r="558" spans="1:16">
      <c r="A558" s="28"/>
      <c r="B558" s="28"/>
      <c r="C558" s="28"/>
      <c r="D558" s="100"/>
      <c r="E558" s="28"/>
      <c r="F558" s="88"/>
      <c r="G558" s="28"/>
      <c r="H558" s="28"/>
      <c r="I558" s="28"/>
      <c r="J558" s="20"/>
      <c r="K558" s="20"/>
      <c r="L558" s="20"/>
      <c r="M558" s="20"/>
      <c r="N558" s="96"/>
      <c r="O558" s="96"/>
      <c r="P558" s="211" t="str">
        <f t="shared" si="59"/>
        <v xml:space="preserve">, , </v>
      </c>
    </row>
    <row r="559" spans="1:16">
      <c r="A559" s="28"/>
      <c r="B559" s="28"/>
      <c r="C559" s="28"/>
      <c r="D559" s="100"/>
      <c r="E559" s="28"/>
      <c r="F559" s="88"/>
      <c r="G559" s="28"/>
      <c r="H559" s="28"/>
      <c r="I559" s="28"/>
      <c r="J559" s="20"/>
      <c r="K559" s="20"/>
      <c r="L559" s="20"/>
      <c r="M559" s="20"/>
      <c r="N559" s="96"/>
      <c r="O559" s="96"/>
      <c r="P559" s="211" t="str">
        <f t="shared" si="59"/>
        <v xml:space="preserve">, , </v>
      </c>
    </row>
    <row r="560" spans="1:16">
      <c r="A560" s="28"/>
      <c r="B560" s="28"/>
      <c r="C560" s="28"/>
      <c r="D560" s="100"/>
      <c r="E560" s="28"/>
      <c r="F560" s="88"/>
      <c r="G560" s="28"/>
      <c r="H560" s="28"/>
      <c r="I560" s="28"/>
      <c r="J560" s="20"/>
      <c r="K560" s="20"/>
      <c r="L560" s="20"/>
      <c r="M560" s="20"/>
      <c r="N560" s="96"/>
      <c r="O560" s="96"/>
      <c r="P560" s="211" t="str">
        <f t="shared" si="59"/>
        <v xml:space="preserve">, , </v>
      </c>
    </row>
    <row r="561" spans="1:16">
      <c r="A561" s="28"/>
      <c r="B561" s="28"/>
      <c r="C561" s="28"/>
      <c r="D561" s="100"/>
      <c r="E561" s="28"/>
      <c r="F561" s="88"/>
      <c r="G561" s="28"/>
      <c r="H561" s="28"/>
      <c r="I561" s="28"/>
      <c r="J561" s="20"/>
      <c r="K561" s="20"/>
      <c r="L561" s="20"/>
      <c r="M561" s="20"/>
      <c r="N561" s="96"/>
      <c r="O561" s="96"/>
      <c r="P561" s="211" t="str">
        <f t="shared" si="59"/>
        <v xml:space="preserve">, , </v>
      </c>
    </row>
    <row r="562" spans="1:16">
      <c r="A562" s="28"/>
      <c r="B562" s="28"/>
      <c r="C562" s="28"/>
      <c r="D562" s="100"/>
      <c r="E562" s="28"/>
      <c r="F562" s="88"/>
      <c r="G562" s="28"/>
      <c r="H562" s="28"/>
      <c r="I562" s="28"/>
      <c r="J562" s="20"/>
      <c r="K562" s="20"/>
      <c r="L562" s="20"/>
      <c r="M562" s="20"/>
      <c r="N562" s="96"/>
      <c r="O562" s="96"/>
      <c r="P562" s="211" t="str">
        <f t="shared" si="59"/>
        <v xml:space="preserve">, , </v>
      </c>
    </row>
    <row r="563" spans="1:16">
      <c r="A563" s="28"/>
      <c r="B563" s="28"/>
      <c r="C563" s="28"/>
      <c r="D563" s="100"/>
      <c r="E563" s="28"/>
      <c r="F563" s="88"/>
      <c r="G563" s="28"/>
      <c r="H563" s="28"/>
      <c r="I563" s="28"/>
      <c r="J563" s="20"/>
      <c r="K563" s="20"/>
      <c r="L563" s="20"/>
      <c r="M563" s="20"/>
      <c r="N563" s="96"/>
      <c r="O563" s="96"/>
      <c r="P563" s="211" t="str">
        <f t="shared" si="59"/>
        <v xml:space="preserve">, , </v>
      </c>
    </row>
    <row r="564" spans="1:16">
      <c r="A564" s="28"/>
      <c r="B564" s="28"/>
      <c r="C564" s="28"/>
      <c r="D564" s="100"/>
      <c r="E564" s="28"/>
      <c r="F564" s="88"/>
      <c r="G564" s="28"/>
      <c r="H564" s="28"/>
      <c r="I564" s="28"/>
      <c r="J564" s="20"/>
      <c r="K564" s="20"/>
      <c r="L564" s="20"/>
      <c r="M564" s="20"/>
      <c r="N564" s="96"/>
      <c r="O564" s="96"/>
      <c r="P564" s="211" t="str">
        <f t="shared" si="59"/>
        <v xml:space="preserve">, , </v>
      </c>
    </row>
    <row r="565" spans="1:16">
      <c r="A565" s="28"/>
      <c r="B565" s="28"/>
      <c r="C565" s="28"/>
      <c r="D565" s="100"/>
      <c r="E565" s="28"/>
      <c r="F565" s="88"/>
      <c r="G565" s="28"/>
      <c r="H565" s="28"/>
      <c r="I565" s="28"/>
      <c r="J565" s="20"/>
      <c r="K565" s="20"/>
      <c r="L565" s="20"/>
      <c r="M565" s="20"/>
      <c r="N565" s="96"/>
      <c r="O565" s="96"/>
      <c r="P565" s="211" t="str">
        <f t="shared" si="59"/>
        <v xml:space="preserve">, , </v>
      </c>
    </row>
    <row r="566" spans="1:16">
      <c r="A566" s="28"/>
      <c r="B566" s="28"/>
      <c r="C566" s="28"/>
      <c r="D566" s="100"/>
      <c r="E566" s="28"/>
      <c r="F566" s="88"/>
      <c r="G566" s="28"/>
      <c r="H566" s="28"/>
      <c r="I566" s="28"/>
      <c r="J566" s="20"/>
      <c r="K566" s="20"/>
      <c r="L566" s="20"/>
      <c r="M566" s="20"/>
      <c r="N566" s="96"/>
      <c r="O566" s="96"/>
      <c r="P566" s="211" t="str">
        <f t="shared" si="59"/>
        <v xml:space="preserve">, , </v>
      </c>
    </row>
    <row r="567" spans="1:16">
      <c r="A567" s="28"/>
      <c r="B567" s="28"/>
      <c r="C567" s="28"/>
      <c r="D567" s="100"/>
      <c r="E567" s="28"/>
      <c r="F567" s="88"/>
      <c r="G567" s="28"/>
      <c r="H567" s="28"/>
      <c r="I567" s="28"/>
      <c r="J567" s="20"/>
      <c r="K567" s="20"/>
      <c r="L567" s="20"/>
      <c r="M567" s="20"/>
      <c r="N567" s="96"/>
      <c r="O567" s="96"/>
      <c r="P567" s="211" t="str">
        <f t="shared" si="59"/>
        <v xml:space="preserve">, , </v>
      </c>
    </row>
    <row r="568" spans="1:16">
      <c r="A568" s="28"/>
      <c r="B568" s="28"/>
      <c r="C568" s="28"/>
      <c r="D568" s="100"/>
      <c r="E568" s="28"/>
      <c r="F568" s="88"/>
      <c r="G568" s="28"/>
      <c r="H568" s="28"/>
      <c r="I568" s="28"/>
      <c r="J568" s="20"/>
      <c r="K568" s="20"/>
      <c r="L568" s="20"/>
      <c r="M568" s="20"/>
      <c r="N568" s="96"/>
      <c r="O568" s="96"/>
      <c r="P568" s="211" t="str">
        <f t="shared" si="59"/>
        <v xml:space="preserve">, , </v>
      </c>
    </row>
    <row r="569" spans="1:16">
      <c r="A569" s="28"/>
      <c r="B569" s="28"/>
      <c r="C569" s="28"/>
      <c r="D569" s="100"/>
      <c r="E569" s="28"/>
      <c r="F569" s="88"/>
      <c r="G569" s="28"/>
      <c r="H569" s="28"/>
      <c r="I569" s="28"/>
      <c r="J569" s="20"/>
      <c r="K569" s="20"/>
      <c r="L569" s="20"/>
      <c r="M569" s="20"/>
      <c r="N569" s="96"/>
      <c r="O569" s="96"/>
      <c r="P569" s="211" t="str">
        <f t="shared" si="59"/>
        <v xml:space="preserve">, , </v>
      </c>
    </row>
    <row r="570" spans="1:16">
      <c r="A570" s="28"/>
      <c r="B570" s="28"/>
      <c r="C570" s="28"/>
      <c r="D570" s="100"/>
      <c r="E570" s="28"/>
      <c r="F570" s="88"/>
      <c r="G570" s="28"/>
      <c r="H570" s="28"/>
      <c r="I570" s="28"/>
      <c r="J570" s="20"/>
      <c r="K570" s="20"/>
      <c r="L570" s="20"/>
      <c r="M570" s="20"/>
      <c r="N570" s="96"/>
      <c r="O570" s="96"/>
      <c r="P570" s="211" t="str">
        <f t="shared" si="59"/>
        <v xml:space="preserve">, , </v>
      </c>
    </row>
    <row r="571" spans="1:16">
      <c r="A571" s="28"/>
      <c r="B571" s="28"/>
      <c r="C571" s="28"/>
      <c r="D571" s="100"/>
      <c r="E571" s="28"/>
      <c r="F571" s="88"/>
      <c r="G571" s="28"/>
      <c r="H571" s="28"/>
      <c r="I571" s="28"/>
      <c r="J571" s="20"/>
      <c r="K571" s="20"/>
      <c r="L571" s="20"/>
      <c r="M571" s="20"/>
      <c r="N571" s="96"/>
      <c r="O571" s="96"/>
      <c r="P571" s="211" t="str">
        <f t="shared" si="59"/>
        <v xml:space="preserve">, , </v>
      </c>
    </row>
    <row r="572" spans="1:16">
      <c r="A572" s="28"/>
      <c r="B572" s="28"/>
      <c r="C572" s="28"/>
      <c r="D572" s="100"/>
      <c r="E572" s="28"/>
      <c r="F572" s="88"/>
      <c r="G572" s="28"/>
      <c r="H572" s="28"/>
      <c r="I572" s="28"/>
      <c r="J572" s="20"/>
      <c r="K572" s="20"/>
      <c r="L572" s="20"/>
      <c r="M572" s="20"/>
      <c r="N572" s="96"/>
      <c r="O572" s="96"/>
      <c r="P572" s="211" t="str">
        <f t="shared" si="59"/>
        <v xml:space="preserve">, , </v>
      </c>
    </row>
    <row r="573" spans="1:16">
      <c r="A573" s="28"/>
      <c r="B573" s="28"/>
      <c r="C573" s="28"/>
      <c r="D573" s="100"/>
      <c r="E573" s="28"/>
      <c r="F573" s="88"/>
      <c r="G573" s="28"/>
      <c r="H573" s="28"/>
      <c r="I573" s="28"/>
      <c r="J573" s="20"/>
      <c r="K573" s="20"/>
      <c r="L573" s="20"/>
      <c r="M573" s="20"/>
      <c r="N573" s="96"/>
      <c r="O573" s="96"/>
      <c r="P573" s="211" t="str">
        <f t="shared" si="59"/>
        <v xml:space="preserve">, , </v>
      </c>
    </row>
    <row r="574" spans="1:16">
      <c r="A574" s="28"/>
      <c r="B574" s="28"/>
      <c r="C574" s="28"/>
      <c r="D574" s="100"/>
      <c r="E574" s="28"/>
      <c r="F574" s="88"/>
      <c r="G574" s="28"/>
      <c r="H574" s="28"/>
      <c r="I574" s="28"/>
      <c r="J574" s="20"/>
      <c r="K574" s="20"/>
      <c r="L574" s="20"/>
      <c r="M574" s="20"/>
      <c r="N574" s="96"/>
      <c r="O574" s="96"/>
      <c r="P574" s="211" t="str">
        <f t="shared" si="59"/>
        <v xml:space="preserve">, , </v>
      </c>
    </row>
    <row r="575" spans="1:16">
      <c r="A575" s="28"/>
      <c r="B575" s="28"/>
      <c r="C575" s="28"/>
      <c r="D575" s="100"/>
      <c r="E575" s="28"/>
      <c r="F575" s="88"/>
      <c r="G575" s="28"/>
      <c r="H575" s="28"/>
      <c r="I575" s="28"/>
      <c r="J575" s="20"/>
      <c r="K575" s="20"/>
      <c r="L575" s="20"/>
      <c r="M575" s="20"/>
      <c r="N575" s="96"/>
      <c r="O575" s="96"/>
      <c r="P575" s="211" t="str">
        <f t="shared" si="59"/>
        <v xml:space="preserve">, , </v>
      </c>
    </row>
    <row r="576" spans="1:16">
      <c r="A576" s="28"/>
      <c r="B576" s="28"/>
      <c r="C576" s="28"/>
      <c r="D576" s="100"/>
      <c r="E576" s="28"/>
      <c r="F576" s="88"/>
      <c r="G576" s="28"/>
      <c r="H576" s="28"/>
      <c r="I576" s="28"/>
      <c r="J576" s="20"/>
      <c r="K576" s="20"/>
      <c r="L576" s="20"/>
      <c r="M576" s="20"/>
      <c r="N576" s="96"/>
      <c r="O576" s="96"/>
      <c r="P576" s="211" t="str">
        <f t="shared" si="59"/>
        <v xml:space="preserve">, , </v>
      </c>
    </row>
    <row r="577" spans="1:16">
      <c r="A577" s="28"/>
      <c r="B577" s="28"/>
      <c r="C577" s="28"/>
      <c r="D577" s="100"/>
      <c r="E577" s="28"/>
      <c r="F577" s="88"/>
      <c r="G577" s="28"/>
      <c r="H577" s="28"/>
      <c r="I577" s="28"/>
      <c r="J577" s="20"/>
      <c r="K577" s="20"/>
      <c r="L577" s="20"/>
      <c r="M577" s="20"/>
      <c r="N577" s="96"/>
      <c r="O577" s="96"/>
      <c r="P577" s="211" t="str">
        <f t="shared" si="59"/>
        <v xml:space="preserve">, , </v>
      </c>
    </row>
    <row r="578" spans="1:16">
      <c r="A578" s="28"/>
      <c r="B578" s="28"/>
      <c r="C578" s="28"/>
      <c r="D578" s="100"/>
      <c r="E578" s="28"/>
      <c r="F578" s="88"/>
      <c r="G578" s="28"/>
      <c r="H578" s="28"/>
      <c r="I578" s="28"/>
      <c r="J578" s="20"/>
      <c r="K578" s="20"/>
      <c r="L578" s="20"/>
      <c r="M578" s="20"/>
      <c r="N578" s="96"/>
      <c r="O578" s="96"/>
      <c r="P578" s="211" t="str">
        <f t="shared" si="59"/>
        <v xml:space="preserve">, , </v>
      </c>
    </row>
    <row r="579" spans="1:16">
      <c r="A579" s="28"/>
      <c r="B579" s="28"/>
      <c r="C579" s="28"/>
      <c r="D579" s="100"/>
      <c r="E579" s="28"/>
      <c r="F579" s="88"/>
      <c r="G579" s="28"/>
      <c r="H579" s="28"/>
      <c r="I579" s="28"/>
      <c r="J579" s="20"/>
      <c r="K579" s="20"/>
      <c r="L579" s="20"/>
      <c r="M579" s="20"/>
      <c r="N579" s="96"/>
      <c r="O579" s="96"/>
      <c r="P579" s="211" t="str">
        <f t="shared" si="59"/>
        <v xml:space="preserve">, , </v>
      </c>
    </row>
    <row r="580" spans="1:16">
      <c r="A580" s="28"/>
      <c r="B580" s="28"/>
      <c r="C580" s="28"/>
      <c r="D580" s="100"/>
      <c r="E580" s="28"/>
      <c r="F580" s="88"/>
      <c r="G580" s="28"/>
      <c r="H580" s="28"/>
      <c r="I580" s="28"/>
      <c r="J580" s="20"/>
      <c r="K580" s="20"/>
      <c r="L580" s="20"/>
      <c r="M580" s="20"/>
      <c r="N580" s="96"/>
      <c r="O580" s="96"/>
      <c r="P580" s="211" t="str">
        <f t="shared" si="59"/>
        <v xml:space="preserve">, , </v>
      </c>
    </row>
    <row r="581" spans="1:16">
      <c r="A581" s="28"/>
      <c r="B581" s="28"/>
      <c r="C581" s="28"/>
      <c r="D581" s="100"/>
      <c r="E581" s="28"/>
      <c r="F581" s="88"/>
      <c r="G581" s="28"/>
      <c r="H581" s="28"/>
      <c r="I581" s="28"/>
      <c r="J581" s="20"/>
      <c r="K581" s="20"/>
      <c r="L581" s="20"/>
      <c r="M581" s="20"/>
      <c r="N581" s="96"/>
      <c r="O581" s="96"/>
      <c r="P581" s="211" t="str">
        <f t="shared" si="59"/>
        <v xml:space="preserve">, , </v>
      </c>
    </row>
    <row r="582" spans="1:16">
      <c r="A582" s="28"/>
      <c r="B582" s="28"/>
      <c r="C582" s="28"/>
      <c r="D582" s="100"/>
      <c r="E582" s="28"/>
      <c r="F582" s="88"/>
      <c r="G582" s="28"/>
      <c r="H582" s="28"/>
      <c r="I582" s="28"/>
      <c r="J582" s="20"/>
      <c r="K582" s="20"/>
      <c r="L582" s="20"/>
      <c r="M582" s="20"/>
      <c r="N582" s="96"/>
      <c r="O582" s="96"/>
      <c r="P582" s="211" t="str">
        <f t="shared" si="59"/>
        <v xml:space="preserve">, , </v>
      </c>
    </row>
    <row r="583" spans="1:16">
      <c r="A583" s="28"/>
      <c r="B583" s="28"/>
      <c r="C583" s="28"/>
      <c r="D583" s="100"/>
      <c r="E583" s="28"/>
      <c r="F583" s="88"/>
      <c r="G583" s="28"/>
      <c r="H583" s="28"/>
      <c r="I583" s="28"/>
      <c r="J583" s="20"/>
      <c r="K583" s="20"/>
      <c r="L583" s="20"/>
      <c r="M583" s="20"/>
      <c r="N583" s="96"/>
      <c r="O583" s="96"/>
      <c r="P583" s="211" t="str">
        <f t="shared" si="59"/>
        <v xml:space="preserve">, , </v>
      </c>
    </row>
    <row r="584" spans="1:16">
      <c r="A584" s="28"/>
      <c r="B584" s="28"/>
      <c r="C584" s="28"/>
      <c r="D584" s="100"/>
      <c r="E584" s="28"/>
      <c r="F584" s="88"/>
      <c r="G584" s="28"/>
      <c r="H584" s="28"/>
      <c r="I584" s="28"/>
      <c r="J584" s="20"/>
      <c r="K584" s="20"/>
      <c r="L584" s="20"/>
      <c r="M584" s="20"/>
      <c r="N584" s="96"/>
      <c r="O584" s="96"/>
      <c r="P584" s="211" t="str">
        <f t="shared" si="59"/>
        <v xml:space="preserve">, , </v>
      </c>
    </row>
    <row r="585" spans="1:16">
      <c r="A585" s="28"/>
      <c r="B585" s="28"/>
      <c r="C585" s="28"/>
      <c r="D585" s="100"/>
      <c r="E585" s="28"/>
      <c r="F585" s="88"/>
      <c r="G585" s="28"/>
      <c r="H585" s="28"/>
      <c r="I585" s="28"/>
      <c r="J585" s="20"/>
      <c r="K585" s="20"/>
      <c r="L585" s="20"/>
      <c r="M585" s="20"/>
      <c r="N585" s="96"/>
      <c r="O585" s="96"/>
      <c r="P585" s="211" t="str">
        <f t="shared" si="59"/>
        <v xml:space="preserve">, , </v>
      </c>
    </row>
    <row r="586" spans="1:16">
      <c r="A586" s="28"/>
      <c r="B586" s="28"/>
      <c r="C586" s="28"/>
      <c r="D586" s="100"/>
      <c r="E586" s="28"/>
      <c r="F586" s="88"/>
      <c r="G586" s="28"/>
      <c r="H586" s="28"/>
      <c r="I586" s="28"/>
      <c r="J586" s="20"/>
      <c r="K586" s="20"/>
      <c r="L586" s="20"/>
      <c r="M586" s="20"/>
      <c r="N586" s="96"/>
      <c r="O586" s="96"/>
      <c r="P586" s="211" t="str">
        <f t="shared" si="59"/>
        <v xml:space="preserve">, , </v>
      </c>
    </row>
    <row r="587" spans="1:16">
      <c r="A587" s="28"/>
      <c r="B587" s="28"/>
      <c r="C587" s="28"/>
      <c r="D587" s="100"/>
      <c r="E587" s="71"/>
      <c r="F587" s="321"/>
      <c r="G587" s="71"/>
      <c r="H587" s="71"/>
      <c r="I587" s="71"/>
      <c r="J587" s="168"/>
      <c r="K587" s="168"/>
      <c r="L587" s="168"/>
      <c r="M587" s="168"/>
      <c r="N587" s="322"/>
      <c r="O587" s="322"/>
      <c r="P587" s="211" t="str">
        <f t="shared" si="59"/>
        <v xml:space="preserve">, , </v>
      </c>
    </row>
    <row r="588" spans="1:16">
      <c r="A588" s="28" t="str">
        <f t="shared" ref="A588:A589" si="60">"3."&amp;D588&amp;"."&amp;B588</f>
        <v>3.N.HCM.CGIO.KSMN.107</v>
      </c>
      <c r="B588" s="28" t="str">
        <f>TEXT(COUNTIFS($C$4:C588,C588,$D$4:D588,D588,$F$4:F588,F588)+IF(F588="KT",100,IF(F588="KC",200,IF(F588="DI",300,IF(F588="DN",400,IF(F588="NU",500,IF(F588="DH",600,IF(F588="PC",700,0))))))),"000")</f>
        <v>107</v>
      </c>
      <c r="C588" s="28" t="s">
        <v>10</v>
      </c>
      <c r="D588" s="236" t="s">
        <v>348</v>
      </c>
      <c r="E588" s="28" t="s">
        <v>349</v>
      </c>
      <c r="F588" s="88" t="s">
        <v>164</v>
      </c>
      <c r="G588" s="28" t="s">
        <v>22</v>
      </c>
      <c r="H588" s="28" t="s">
        <v>156</v>
      </c>
      <c r="I588" s="28" t="s">
        <v>105</v>
      </c>
      <c r="J588" s="20" t="s">
        <v>32</v>
      </c>
      <c r="K588" s="20" t="s">
        <v>34</v>
      </c>
      <c r="L588" s="20" t="s">
        <v>36</v>
      </c>
      <c r="M588" s="20" t="s">
        <v>35</v>
      </c>
      <c r="N588" s="70">
        <v>46177</v>
      </c>
      <c r="O588" s="70">
        <v>46179</v>
      </c>
    </row>
    <row r="589" spans="1:16">
      <c r="A589" s="28" t="str">
        <f t="shared" si="60"/>
        <v>3.N.HCM.CGIO.KSMN.108</v>
      </c>
      <c r="B589" s="28" t="str">
        <f>TEXT(COUNTIFS($C$4:C589,C589,$D$4:D589,D589,$F$4:F589,F589)+IF(F589="KT",100,IF(F589="KC",200,IF(F589="DI",300,IF(F589="DN",400,IF(F589="NU",500,IF(F589="DH",600,IF(F589="PC",700,0))))))),"000")</f>
        <v>108</v>
      </c>
      <c r="C589" s="28" t="s">
        <v>10</v>
      </c>
      <c r="D589" s="236" t="s">
        <v>348</v>
      </c>
      <c r="E589" s="28" t="s">
        <v>355</v>
      </c>
      <c r="F589" s="88" t="s">
        <v>164</v>
      </c>
      <c r="G589" s="28" t="s">
        <v>22</v>
      </c>
      <c r="H589" s="28" t="s">
        <v>156</v>
      </c>
      <c r="I589" s="28" t="s">
        <v>105</v>
      </c>
      <c r="J589" s="20" t="s">
        <v>32</v>
      </c>
      <c r="K589" s="20"/>
      <c r="L589" s="20"/>
      <c r="M589" s="20"/>
      <c r="N589" s="70">
        <v>46177</v>
      </c>
      <c r="O589" s="70">
        <v>46179</v>
      </c>
    </row>
  </sheetData>
  <autoFilter ref="A2:P2" xr:uid="{421FA83D-2A5A-4C49-B9F4-6D373B3FB318}"/>
  <sortState xmlns:xlrd2="http://schemas.microsoft.com/office/spreadsheetml/2017/richdata2" ref="A2:O516">
    <sortCondition ref="C4:C516"/>
    <sortCondition ref="D4:D516"/>
    <sortCondition ref="E4:E516"/>
    <sortCondition descending="1" ref="F4:F516"/>
  </sortState>
  <conditionalFormatting sqref="N403:N404">
    <cfRule type="expression" dxfId="183" priority="221">
      <formula>$N403="Đến hạn"</formula>
    </cfRule>
  </conditionalFormatting>
  <conditionalFormatting sqref="N403:N404">
    <cfRule type="expression" dxfId="182" priority="215">
      <formula>$N403="Hủy"</formula>
    </cfRule>
  </conditionalFormatting>
  <conditionalFormatting sqref="N403:N404">
    <cfRule type="expression" dxfId="181" priority="216">
      <formula>$N403="Quá hạn"</formula>
    </cfRule>
  </conditionalFormatting>
  <conditionalFormatting sqref="N403:N404">
    <cfRule type="expression" dxfId="180" priority="217">
      <formula>$N403="Tạm dừng"</formula>
    </cfRule>
  </conditionalFormatting>
  <conditionalFormatting sqref="N403:N404">
    <cfRule type="expression" dxfId="179" priority="218">
      <formula>$N403="Đã hoàn thành"</formula>
    </cfRule>
  </conditionalFormatting>
  <conditionalFormatting sqref="N403:N404">
    <cfRule type="expression" dxfId="178" priority="219">
      <formula>$N403="Đang tiến hành"</formula>
    </cfRule>
  </conditionalFormatting>
  <conditionalFormatting sqref="N403:N404">
    <cfRule type="expression" dxfId="177" priority="220">
      <formula>$N403="Chưa bắt đầu"</formula>
    </cfRule>
  </conditionalFormatting>
  <conditionalFormatting sqref="N403:N404">
    <cfRule type="expression" dxfId="176" priority="214">
      <formula>$N403="Chưa triển khai"</formula>
    </cfRule>
  </conditionalFormatting>
  <conditionalFormatting sqref="O403:O404">
    <cfRule type="expression" dxfId="175" priority="213">
      <formula>$N403="Đến hạn"</formula>
    </cfRule>
  </conditionalFormatting>
  <conditionalFormatting sqref="O403:O404">
    <cfRule type="expression" dxfId="174" priority="207">
      <formula>$N403="Hủy"</formula>
    </cfRule>
  </conditionalFormatting>
  <conditionalFormatting sqref="O403:O404">
    <cfRule type="expression" dxfId="173" priority="208">
      <formula>$N403="Quá hạn"</formula>
    </cfRule>
  </conditionalFormatting>
  <conditionalFormatting sqref="O403:O404">
    <cfRule type="expression" dxfId="172" priority="209">
      <formula>$N403="Tạm dừng"</formula>
    </cfRule>
  </conditionalFormatting>
  <conditionalFormatting sqref="O403:O404">
    <cfRule type="expression" dxfId="171" priority="210">
      <formula>$N403="Đã hoàn thành"</formula>
    </cfRule>
  </conditionalFormatting>
  <conditionalFormatting sqref="O403:O404">
    <cfRule type="expression" dxfId="170" priority="211">
      <formula>$N403="Đang tiến hành"</formula>
    </cfRule>
  </conditionalFormatting>
  <conditionalFormatting sqref="O403:O404">
    <cfRule type="expression" dxfId="169" priority="212">
      <formula>$N403="Chưa bắt đầu"</formula>
    </cfRule>
  </conditionalFormatting>
  <conditionalFormatting sqref="O403:O404">
    <cfRule type="expression" dxfId="168" priority="206">
      <formula>$N403="Chưa triển khai"</formula>
    </cfRule>
  </conditionalFormatting>
  <conditionalFormatting sqref="N429:O429">
    <cfRule type="expression" dxfId="167" priority="197">
      <formula>$N429="Đến hạn"</formula>
    </cfRule>
  </conditionalFormatting>
  <conditionalFormatting sqref="N429:O429">
    <cfRule type="expression" dxfId="166" priority="191">
      <formula>$N429="Hủy"</formula>
    </cfRule>
  </conditionalFormatting>
  <conditionalFormatting sqref="N429:O429">
    <cfRule type="expression" dxfId="165" priority="192">
      <formula>$N429="Quá hạn"</formula>
    </cfRule>
  </conditionalFormatting>
  <conditionalFormatting sqref="N429:O429">
    <cfRule type="expression" dxfId="164" priority="193">
      <formula>$N429="Tạm dừng"</formula>
    </cfRule>
  </conditionalFormatting>
  <conditionalFormatting sqref="N429:O429">
    <cfRule type="expression" dxfId="163" priority="194">
      <formula>$N429="Đã hoàn thành"</formula>
    </cfRule>
  </conditionalFormatting>
  <conditionalFormatting sqref="N429:O429">
    <cfRule type="expression" dxfId="162" priority="195">
      <formula>$N429="Đang tiến hành"</formula>
    </cfRule>
  </conditionalFormatting>
  <conditionalFormatting sqref="N429:O429">
    <cfRule type="expression" dxfId="161" priority="196">
      <formula>$N429="Chưa bắt đầu"</formula>
    </cfRule>
  </conditionalFormatting>
  <conditionalFormatting sqref="N429:O429">
    <cfRule type="expression" dxfId="160" priority="190">
      <formula>$N429="Chưa triển khai"</formula>
    </cfRule>
  </conditionalFormatting>
  <conditionalFormatting sqref="K389">
    <cfRule type="expression" dxfId="159" priority="165">
      <formula>$N389="Đến hạn"</formula>
    </cfRule>
  </conditionalFormatting>
  <conditionalFormatting sqref="K389">
    <cfRule type="expression" dxfId="158" priority="159">
      <formula>$N389="Hủy"</formula>
    </cfRule>
  </conditionalFormatting>
  <conditionalFormatting sqref="K389">
    <cfRule type="expression" dxfId="157" priority="160">
      <formula>$N389="Quá hạn"</formula>
    </cfRule>
  </conditionalFormatting>
  <conditionalFormatting sqref="K389">
    <cfRule type="expression" dxfId="156" priority="161">
      <formula>$N389="Tạm dừng"</formula>
    </cfRule>
  </conditionalFormatting>
  <conditionalFormatting sqref="K389">
    <cfRule type="expression" dxfId="155" priority="162">
      <formula>$N389="Đã hoàn thành"</formula>
    </cfRule>
  </conditionalFormatting>
  <conditionalFormatting sqref="K389">
    <cfRule type="expression" dxfId="154" priority="163">
      <formula>$N389="Đang tiến hành"</formula>
    </cfRule>
  </conditionalFormatting>
  <conditionalFormatting sqref="K389">
    <cfRule type="expression" dxfId="153" priority="164">
      <formula>$N389="Chưa bắt đầu"</formula>
    </cfRule>
  </conditionalFormatting>
  <conditionalFormatting sqref="K389">
    <cfRule type="expression" dxfId="152" priority="158">
      <formula>$N389="Chưa triển khai"</formula>
    </cfRule>
  </conditionalFormatting>
  <conditionalFormatting sqref="L389:M389">
    <cfRule type="expression" dxfId="151" priority="157">
      <formula>$N389="Đến hạn"</formula>
    </cfRule>
  </conditionalFormatting>
  <conditionalFormatting sqref="L389:M389">
    <cfRule type="expression" dxfId="150" priority="151">
      <formula>$N389="Hủy"</formula>
    </cfRule>
  </conditionalFormatting>
  <conditionalFormatting sqref="L389:M389">
    <cfRule type="expression" dxfId="149" priority="152">
      <formula>$N389="Quá hạn"</formula>
    </cfRule>
  </conditionalFormatting>
  <conditionalFormatting sqref="L389:M389">
    <cfRule type="expression" dxfId="148" priority="153">
      <formula>$N389="Tạm dừng"</formula>
    </cfRule>
  </conditionalFormatting>
  <conditionalFormatting sqref="L389:M389">
    <cfRule type="expression" dxfId="147" priority="154">
      <formula>$N389="Đã hoàn thành"</formula>
    </cfRule>
  </conditionalFormatting>
  <conditionalFormatting sqref="L389:M389">
    <cfRule type="expression" dxfId="146" priority="155">
      <formula>$N389="Đang tiến hành"</formula>
    </cfRule>
  </conditionalFormatting>
  <conditionalFormatting sqref="L389:M389">
    <cfRule type="expression" dxfId="145" priority="156">
      <formula>$N389="Chưa bắt đầu"</formula>
    </cfRule>
  </conditionalFormatting>
  <conditionalFormatting sqref="L389:M389">
    <cfRule type="expression" dxfId="144" priority="150">
      <formula>$N389="Chưa triển khai"</formula>
    </cfRule>
  </conditionalFormatting>
  <conditionalFormatting sqref="N419:O420">
    <cfRule type="expression" dxfId="143" priority="133">
      <formula>$N419="Đến hạn"</formula>
    </cfRule>
  </conditionalFormatting>
  <conditionalFormatting sqref="N419:O420">
    <cfRule type="expression" dxfId="142" priority="127">
      <formula>$N419="Hủy"</formula>
    </cfRule>
  </conditionalFormatting>
  <conditionalFormatting sqref="N419:O420">
    <cfRule type="expression" dxfId="141" priority="128">
      <formula>$N419="Quá hạn"</formula>
    </cfRule>
  </conditionalFormatting>
  <conditionalFormatting sqref="N419:O420">
    <cfRule type="expression" dxfId="140" priority="129">
      <formula>$N419="Tạm dừng"</formula>
    </cfRule>
  </conditionalFormatting>
  <conditionalFormatting sqref="N419:O420">
    <cfRule type="expression" dxfId="139" priority="130">
      <formula>$N419="Đã hoàn thành"</formula>
    </cfRule>
  </conditionalFormatting>
  <conditionalFormatting sqref="N419:O420">
    <cfRule type="expression" dxfId="138" priority="131">
      <formula>$N419="Đang tiến hành"</formula>
    </cfRule>
  </conditionalFormatting>
  <conditionalFormatting sqref="N419:O420">
    <cfRule type="expression" dxfId="137" priority="132">
      <formula>$N419="Chưa bắt đầu"</formula>
    </cfRule>
  </conditionalFormatting>
  <conditionalFormatting sqref="N419:O420">
    <cfRule type="expression" dxfId="136" priority="126">
      <formula>$N419="Chưa triển khai"</formula>
    </cfRule>
  </conditionalFormatting>
  <conditionalFormatting sqref="N212:O212 N171:O171">
    <cfRule type="expression" dxfId="135" priority="125">
      <formula>$O171="Đến hạn"</formula>
    </cfRule>
  </conditionalFormatting>
  <conditionalFormatting sqref="N212 N171:O171">
    <cfRule type="expression" dxfId="134" priority="119">
      <formula>$O171="Hủy"</formula>
    </cfRule>
  </conditionalFormatting>
  <conditionalFormatting sqref="N212:O212 N171:O171">
    <cfRule type="expression" dxfId="133" priority="120">
      <formula>$O171="Quá hạn"</formula>
    </cfRule>
  </conditionalFormatting>
  <conditionalFormatting sqref="N212:O212 N171:O171">
    <cfRule type="expression" dxfId="132" priority="121">
      <formula>$O171="Tạm dừng"</formula>
    </cfRule>
  </conditionalFormatting>
  <conditionalFormatting sqref="N212:O212 N171:O171">
    <cfRule type="expression" dxfId="131" priority="122">
      <formula>$O171="Đã hoàn thành"</formula>
    </cfRule>
  </conditionalFormatting>
  <conditionalFormatting sqref="N212:O212 N171:O171">
    <cfRule type="expression" dxfId="130" priority="123">
      <formula>$O171="Đang tiến hành"</formula>
    </cfRule>
  </conditionalFormatting>
  <conditionalFormatting sqref="N212:O212 N171:O171">
    <cfRule type="expression" dxfId="129" priority="124">
      <formula>$O171="Chưa bắt đầu"</formula>
    </cfRule>
  </conditionalFormatting>
  <conditionalFormatting sqref="N212 N171:O171">
    <cfRule type="expression" dxfId="128" priority="118">
      <formula>$O171="Chưa triển khai"</formula>
    </cfRule>
  </conditionalFormatting>
  <conditionalFormatting sqref="O212">
    <cfRule type="expression" dxfId="127" priority="116">
      <formula>$O212="Chưa triển khai"</formula>
    </cfRule>
    <cfRule type="expression" dxfId="126" priority="117">
      <formula>$O212="Hủy"</formula>
    </cfRule>
  </conditionalFormatting>
  <conditionalFormatting sqref="N213:O213">
    <cfRule type="expression" dxfId="125" priority="115">
      <formula>$O213="Đến hạn"</formula>
    </cfRule>
  </conditionalFormatting>
  <conditionalFormatting sqref="N213">
    <cfRule type="expression" dxfId="124" priority="109">
      <formula>$O213="Hủy"</formula>
    </cfRule>
  </conditionalFormatting>
  <conditionalFormatting sqref="N213:O213">
    <cfRule type="expression" dxfId="123" priority="110">
      <formula>$O213="Quá hạn"</formula>
    </cfRule>
  </conditionalFormatting>
  <conditionalFormatting sqref="N213:O213">
    <cfRule type="expression" dxfId="122" priority="111">
      <formula>$O213="Tạm dừng"</formula>
    </cfRule>
  </conditionalFormatting>
  <conditionalFormatting sqref="N213:O213">
    <cfRule type="expression" dxfId="121" priority="112">
      <formula>$O213="Đã hoàn thành"</formula>
    </cfRule>
  </conditionalFormatting>
  <conditionalFormatting sqref="N213:O213">
    <cfRule type="expression" dxfId="120" priority="113">
      <formula>$O213="Đang tiến hành"</formula>
    </cfRule>
  </conditionalFormatting>
  <conditionalFormatting sqref="N213:O213">
    <cfRule type="expression" dxfId="119" priority="114">
      <formula>$O213="Chưa bắt đầu"</formula>
    </cfRule>
  </conditionalFormatting>
  <conditionalFormatting sqref="N213">
    <cfRule type="expression" dxfId="118" priority="108">
      <formula>$O213="Chưa triển khai"</formula>
    </cfRule>
  </conditionalFormatting>
  <conditionalFormatting sqref="O213">
    <cfRule type="expression" dxfId="117" priority="106">
      <formula>$O213="Chưa triển khai"</formula>
    </cfRule>
    <cfRule type="expression" dxfId="116" priority="107">
      <formula>$O213="Hủy"</formula>
    </cfRule>
  </conditionalFormatting>
  <conditionalFormatting sqref="N186:O186">
    <cfRule type="expression" dxfId="115" priority="105">
      <formula>$O186="Đến hạn"</formula>
    </cfRule>
  </conditionalFormatting>
  <conditionalFormatting sqref="N186:O186">
    <cfRule type="expression" dxfId="114" priority="99">
      <formula>$O186="Hủy"</formula>
    </cfRule>
  </conditionalFormatting>
  <conditionalFormatting sqref="N186:O186">
    <cfRule type="expression" dxfId="113" priority="100">
      <formula>$O186="Quá hạn"</formula>
    </cfRule>
  </conditionalFormatting>
  <conditionalFormatting sqref="N186:O186">
    <cfRule type="expression" dxfId="112" priority="101">
      <formula>$O186="Tạm dừng"</formula>
    </cfRule>
  </conditionalFormatting>
  <conditionalFormatting sqref="N186:O186">
    <cfRule type="expression" dxfId="111" priority="102">
      <formula>$O186="Đã hoàn thành"</formula>
    </cfRule>
  </conditionalFormatting>
  <conditionalFormatting sqref="N186:O186">
    <cfRule type="expression" dxfId="110" priority="103">
      <formula>$O186="Đang tiến hành"</formula>
    </cfRule>
  </conditionalFormatting>
  <conditionalFormatting sqref="N186:O186">
    <cfRule type="expression" dxfId="109" priority="104">
      <formula>$O186="Chưa bắt đầu"</formula>
    </cfRule>
  </conditionalFormatting>
  <conditionalFormatting sqref="N186:O186">
    <cfRule type="expression" dxfId="108" priority="98">
      <formula>$O186="Chưa triển khai"</formula>
    </cfRule>
  </conditionalFormatting>
  <conditionalFormatting sqref="N411">
    <cfRule type="expression" dxfId="107" priority="89">
      <formula>$N411="Đến hạn"</formula>
    </cfRule>
  </conditionalFormatting>
  <conditionalFormatting sqref="N411">
    <cfRule type="expression" dxfId="106" priority="83">
      <formula>$N411="Hủy"</formula>
    </cfRule>
  </conditionalFormatting>
  <conditionalFormatting sqref="N411">
    <cfRule type="expression" dxfId="105" priority="84">
      <formula>$N411="Quá hạn"</formula>
    </cfRule>
  </conditionalFormatting>
  <conditionalFormatting sqref="N411">
    <cfRule type="expression" dxfId="104" priority="85">
      <formula>$N411="Tạm dừng"</formula>
    </cfRule>
  </conditionalFormatting>
  <conditionalFormatting sqref="N411">
    <cfRule type="expression" dxfId="103" priority="86">
      <formula>$N411="Đã hoàn thành"</formula>
    </cfRule>
  </conditionalFormatting>
  <conditionalFormatting sqref="N411">
    <cfRule type="expression" dxfId="102" priority="87">
      <formula>$N411="Đang tiến hành"</formula>
    </cfRule>
  </conditionalFormatting>
  <conditionalFormatting sqref="N411">
    <cfRule type="expression" dxfId="101" priority="88">
      <formula>$N411="Chưa bắt đầu"</formula>
    </cfRule>
  </conditionalFormatting>
  <conditionalFormatting sqref="N411">
    <cfRule type="expression" dxfId="100" priority="82">
      <formula>$N411="Chưa triển khai"</formula>
    </cfRule>
  </conditionalFormatting>
  <conditionalFormatting sqref="O411">
    <cfRule type="expression" dxfId="99" priority="81">
      <formula>$N411="Đến hạn"</formula>
    </cfRule>
  </conditionalFormatting>
  <conditionalFormatting sqref="O411">
    <cfRule type="expression" dxfId="98" priority="75">
      <formula>$N411="Hủy"</formula>
    </cfRule>
  </conditionalFormatting>
  <conditionalFormatting sqref="O411">
    <cfRule type="expression" dxfId="97" priority="76">
      <formula>$N411="Quá hạn"</formula>
    </cfRule>
  </conditionalFormatting>
  <conditionalFormatting sqref="O411">
    <cfRule type="expression" dxfId="96" priority="77">
      <formula>$N411="Tạm dừng"</formula>
    </cfRule>
  </conditionalFormatting>
  <conditionalFormatting sqref="O411">
    <cfRule type="expression" dxfId="95" priority="78">
      <formula>$N411="Đã hoàn thành"</formula>
    </cfRule>
  </conditionalFormatting>
  <conditionalFormatting sqref="O411">
    <cfRule type="expression" dxfId="94" priority="79">
      <formula>$N411="Đang tiến hành"</formula>
    </cfRule>
  </conditionalFormatting>
  <conditionalFormatting sqref="O411">
    <cfRule type="expression" dxfId="93" priority="80">
      <formula>$N411="Chưa bắt đầu"</formula>
    </cfRule>
  </conditionalFormatting>
  <conditionalFormatting sqref="O411">
    <cfRule type="expression" dxfId="92" priority="74">
      <formula>$N411="Chưa triển khai"</formula>
    </cfRule>
  </conditionalFormatting>
  <conditionalFormatting sqref="A1:A1048576">
    <cfRule type="duplicateValues" dxfId="91" priority="65"/>
  </conditionalFormatting>
  <conditionalFormatting sqref="N424:O425">
    <cfRule type="expression" dxfId="90" priority="64">
      <formula>$N424="Đến hạn"</formula>
    </cfRule>
  </conditionalFormatting>
  <conditionalFormatting sqref="N424:O425">
    <cfRule type="expression" dxfId="89" priority="58">
      <formula>$N424="Hủy"</formula>
    </cfRule>
  </conditionalFormatting>
  <conditionalFormatting sqref="N424:O425">
    <cfRule type="expression" dxfId="88" priority="59">
      <formula>$N424="Quá hạn"</formula>
    </cfRule>
  </conditionalFormatting>
  <conditionalFormatting sqref="N424:O425">
    <cfRule type="expression" dxfId="87" priority="60">
      <formula>$N424="Tạm dừng"</formula>
    </cfRule>
  </conditionalFormatting>
  <conditionalFormatting sqref="N424:O425">
    <cfRule type="expression" dxfId="86" priority="61">
      <formula>$N424="Đã hoàn thành"</formula>
    </cfRule>
  </conditionalFormatting>
  <conditionalFormatting sqref="N424:O425">
    <cfRule type="expression" dxfId="85" priority="62">
      <formula>$N424="Đang tiến hành"</formula>
    </cfRule>
  </conditionalFormatting>
  <conditionalFormatting sqref="N424:O425">
    <cfRule type="expression" dxfId="84" priority="63">
      <formula>$N424="Chưa bắt đầu"</formula>
    </cfRule>
  </conditionalFormatting>
  <conditionalFormatting sqref="N424:O425">
    <cfRule type="expression" dxfId="83" priority="57">
      <formula>$N424="Chưa triển khai"</formula>
    </cfRule>
  </conditionalFormatting>
  <conditionalFormatting sqref="N423:O423">
    <cfRule type="expression" dxfId="82" priority="56">
      <formula>$N423="Đến hạn"</formula>
    </cfRule>
  </conditionalFormatting>
  <conditionalFormatting sqref="N423:O423">
    <cfRule type="expression" dxfId="81" priority="50">
      <formula>$N423="Hủy"</formula>
    </cfRule>
  </conditionalFormatting>
  <conditionalFormatting sqref="N423:O423">
    <cfRule type="expression" dxfId="80" priority="51">
      <formula>$N423="Quá hạn"</formula>
    </cfRule>
  </conditionalFormatting>
  <conditionalFormatting sqref="N423:O423">
    <cfRule type="expression" dxfId="79" priority="52">
      <formula>$N423="Tạm dừng"</formula>
    </cfRule>
  </conditionalFormatting>
  <conditionalFormatting sqref="N423:O423">
    <cfRule type="expression" dxfId="78" priority="53">
      <formula>$N423="Đã hoàn thành"</formula>
    </cfRule>
  </conditionalFormatting>
  <conditionalFormatting sqref="N423:O423">
    <cfRule type="expression" dxfId="77" priority="54">
      <formula>$N423="Đang tiến hành"</formula>
    </cfRule>
  </conditionalFormatting>
  <conditionalFormatting sqref="N423:O423">
    <cfRule type="expression" dxfId="76" priority="55">
      <formula>$N423="Chưa bắt đầu"</formula>
    </cfRule>
  </conditionalFormatting>
  <conditionalFormatting sqref="N423:O423">
    <cfRule type="expression" dxfId="75" priority="49">
      <formula>$N423="Chưa triển khai"</formula>
    </cfRule>
  </conditionalFormatting>
  <conditionalFormatting sqref="N421:O421">
    <cfRule type="expression" dxfId="74" priority="48">
      <formula>$N421="Đến hạn"</formula>
    </cfRule>
  </conditionalFormatting>
  <conditionalFormatting sqref="N421:O421">
    <cfRule type="expression" dxfId="73" priority="42">
      <formula>$N421="Hủy"</formula>
    </cfRule>
  </conditionalFormatting>
  <conditionalFormatting sqref="N421:O421">
    <cfRule type="expression" dxfId="72" priority="43">
      <formula>$N421="Quá hạn"</formula>
    </cfRule>
  </conditionalFormatting>
  <conditionalFormatting sqref="N421:O421">
    <cfRule type="expression" dxfId="71" priority="44">
      <formula>$N421="Tạm dừng"</formula>
    </cfRule>
  </conditionalFormatting>
  <conditionalFormatting sqref="N421:O421">
    <cfRule type="expression" dxfId="70" priority="45">
      <formula>$N421="Đã hoàn thành"</formula>
    </cfRule>
  </conditionalFormatting>
  <conditionalFormatting sqref="N421:O421">
    <cfRule type="expression" dxfId="69" priority="46">
      <formula>$N421="Đang tiến hành"</formula>
    </cfRule>
  </conditionalFormatting>
  <conditionalFormatting sqref="N421:O421">
    <cfRule type="expression" dxfId="68" priority="47">
      <formula>$N421="Chưa bắt đầu"</formula>
    </cfRule>
  </conditionalFormatting>
  <conditionalFormatting sqref="N421:O421">
    <cfRule type="expression" dxfId="67" priority="41">
      <formula>$N421="Chưa triển khai"</formula>
    </cfRule>
  </conditionalFormatting>
  <conditionalFormatting sqref="N422:O422">
    <cfRule type="expression" dxfId="66" priority="40">
      <formula>$N422="Đến hạn"</formula>
    </cfRule>
  </conditionalFormatting>
  <conditionalFormatting sqref="N422:O422">
    <cfRule type="expression" dxfId="65" priority="34">
      <formula>$N422="Hủy"</formula>
    </cfRule>
  </conditionalFormatting>
  <conditionalFormatting sqref="N422:O422">
    <cfRule type="expression" dxfId="64" priority="35">
      <formula>$N422="Quá hạn"</formula>
    </cfRule>
  </conditionalFormatting>
  <conditionalFormatting sqref="N422:O422">
    <cfRule type="expression" dxfId="63" priority="36">
      <formula>$N422="Tạm dừng"</formula>
    </cfRule>
  </conditionalFormatting>
  <conditionalFormatting sqref="N422:O422">
    <cfRule type="expression" dxfId="62" priority="37">
      <formula>$N422="Đã hoàn thành"</formula>
    </cfRule>
  </conditionalFormatting>
  <conditionalFormatting sqref="N422:O422">
    <cfRule type="expression" dxfId="61" priority="38">
      <formula>$N422="Đang tiến hành"</formula>
    </cfRule>
  </conditionalFormatting>
  <conditionalFormatting sqref="N422:O422">
    <cfRule type="expression" dxfId="60" priority="39">
      <formula>$N422="Chưa bắt đầu"</formula>
    </cfRule>
  </conditionalFormatting>
  <conditionalFormatting sqref="N422:O422">
    <cfRule type="expression" dxfId="59" priority="33">
      <formula>$N422="Chưa triển khai"</formula>
    </cfRule>
  </conditionalFormatting>
  <conditionalFormatting sqref="N428:O428">
    <cfRule type="expression" dxfId="58" priority="32">
      <formula>$N428="Đến hạn"</formula>
    </cfRule>
  </conditionalFormatting>
  <conditionalFormatting sqref="N428:O428">
    <cfRule type="expression" dxfId="57" priority="26">
      <formula>$N428="Hủy"</formula>
    </cfRule>
  </conditionalFormatting>
  <conditionalFormatting sqref="N428:O428">
    <cfRule type="expression" dxfId="56" priority="27">
      <formula>$N428="Quá hạn"</formula>
    </cfRule>
  </conditionalFormatting>
  <conditionalFormatting sqref="N428:O428">
    <cfRule type="expression" dxfId="55" priority="28">
      <formula>$N428="Tạm dừng"</formula>
    </cfRule>
  </conditionalFormatting>
  <conditionalFormatting sqref="N428:O428">
    <cfRule type="expression" dxfId="54" priority="29">
      <formula>$N428="Đã hoàn thành"</formula>
    </cfRule>
  </conditionalFormatting>
  <conditionalFormatting sqref="N428:O428">
    <cfRule type="expression" dxfId="53" priority="30">
      <formula>$N428="Đang tiến hành"</formula>
    </cfRule>
  </conditionalFormatting>
  <conditionalFormatting sqref="N428:O428">
    <cfRule type="expression" dxfId="52" priority="31">
      <formula>$N428="Chưa bắt đầu"</formula>
    </cfRule>
  </conditionalFormatting>
  <conditionalFormatting sqref="N428:O428">
    <cfRule type="expression" dxfId="51" priority="25">
      <formula>$N428="Chưa triển khai"</formula>
    </cfRule>
  </conditionalFormatting>
  <conditionalFormatting sqref="O426">
    <cfRule type="expression" dxfId="50" priority="24">
      <formula>$N426="Đến hạn"</formula>
    </cfRule>
  </conditionalFormatting>
  <conditionalFormatting sqref="O426">
    <cfRule type="expression" dxfId="49" priority="18">
      <formula>$N426="Hủy"</formula>
    </cfRule>
  </conditionalFormatting>
  <conditionalFormatting sqref="O426">
    <cfRule type="expression" dxfId="48" priority="19">
      <formula>$N426="Quá hạn"</formula>
    </cfRule>
  </conditionalFormatting>
  <conditionalFormatting sqref="O426">
    <cfRule type="expression" dxfId="47" priority="20">
      <formula>$N426="Tạm dừng"</formula>
    </cfRule>
  </conditionalFormatting>
  <conditionalFormatting sqref="O426">
    <cfRule type="expression" dxfId="46" priority="21">
      <formula>$N426="Đã hoàn thành"</formula>
    </cfRule>
  </conditionalFormatting>
  <conditionalFormatting sqref="O426">
    <cfRule type="expression" dxfId="45" priority="22">
      <formula>$N426="Đang tiến hành"</formula>
    </cfRule>
  </conditionalFormatting>
  <conditionalFormatting sqref="O426">
    <cfRule type="expression" dxfId="44" priority="23">
      <formula>$N426="Chưa bắt đầu"</formula>
    </cfRule>
  </conditionalFormatting>
  <conditionalFormatting sqref="O426">
    <cfRule type="expression" dxfId="43" priority="17">
      <formula>$N426="Chưa triển khai"</formula>
    </cfRule>
  </conditionalFormatting>
  <conditionalFormatting sqref="N426">
    <cfRule type="expression" dxfId="42" priority="16">
      <formula>$N426="Đến hạn"</formula>
    </cfRule>
  </conditionalFormatting>
  <conditionalFormatting sqref="N426">
    <cfRule type="expression" dxfId="41" priority="10">
      <formula>$N426="Hủy"</formula>
    </cfRule>
  </conditionalFormatting>
  <conditionalFormatting sqref="N426">
    <cfRule type="expression" dxfId="40" priority="11">
      <formula>$N426="Quá hạn"</formula>
    </cfRule>
  </conditionalFormatting>
  <conditionalFormatting sqref="N426">
    <cfRule type="expression" dxfId="39" priority="12">
      <formula>$N426="Tạm dừng"</formula>
    </cfRule>
  </conditionalFormatting>
  <conditionalFormatting sqref="N426">
    <cfRule type="expression" dxfId="38" priority="13">
      <formula>$N426="Đã hoàn thành"</formula>
    </cfRule>
  </conditionalFormatting>
  <conditionalFormatting sqref="N426">
    <cfRule type="expression" dxfId="37" priority="14">
      <formula>$N426="Đang tiến hành"</formula>
    </cfRule>
  </conditionalFormatting>
  <conditionalFormatting sqref="N426">
    <cfRule type="expression" dxfId="36" priority="15">
      <formula>$N426="Chưa bắt đầu"</formula>
    </cfRule>
  </conditionalFormatting>
  <conditionalFormatting sqref="N426">
    <cfRule type="expression" dxfId="35" priority="9">
      <formula>$N426="Chưa triển khai"</formula>
    </cfRule>
  </conditionalFormatting>
  <conditionalFormatting sqref="N427:O427">
    <cfRule type="expression" dxfId="34" priority="8">
      <formula>$N427="Đến hạn"</formula>
    </cfRule>
  </conditionalFormatting>
  <conditionalFormatting sqref="N427:O427">
    <cfRule type="expression" dxfId="33" priority="2">
      <formula>$N427="Hủy"</formula>
    </cfRule>
  </conditionalFormatting>
  <conditionalFormatting sqref="N427:O427">
    <cfRule type="expression" dxfId="32" priority="3">
      <formula>$N427="Quá hạn"</formula>
    </cfRule>
  </conditionalFormatting>
  <conditionalFormatting sqref="N427:O427">
    <cfRule type="expression" dxfId="31" priority="4">
      <formula>$N427="Tạm dừng"</formula>
    </cfRule>
  </conditionalFormatting>
  <conditionalFormatting sqref="N427:O427">
    <cfRule type="expression" dxfId="30" priority="5">
      <formula>$N427="Đã hoàn thành"</formula>
    </cfRule>
  </conditionalFormatting>
  <conditionalFormatting sqref="N427:O427">
    <cfRule type="expression" dxfId="29" priority="6">
      <formula>$N427="Đang tiến hành"</formula>
    </cfRule>
  </conditionalFormatting>
  <conditionalFormatting sqref="N427:O427">
    <cfRule type="expression" dxfId="28" priority="7">
      <formula>$N427="Chưa bắt đầu"</formula>
    </cfRule>
  </conditionalFormatting>
  <conditionalFormatting sqref="N427:O427">
    <cfRule type="expression" dxfId="27" priority="1">
      <formula>$N427="Chưa triển khai"</formula>
    </cfRule>
  </conditionalFormatting>
  <dataValidations count="1">
    <dataValidation allowBlank="1" showInputMessage="1" showErrorMessage="1" sqref="F1:F2 A1:B2 P1:XFD3 H1:O2" xr:uid="{9EFAA558-C1A1-48D6-80EE-435E576B3055}"/>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8">
        <x14:dataValidation type="list" allowBlank="1" showInputMessage="1" showErrorMessage="1" xr:uid="{CCB493A0-A1E5-4F1E-B0AD-CEF8D5B2B8B8}">
          <x14:formula1>
            <xm:f>Data!$Y$4:$Y$33</xm:f>
          </x14:formula1>
          <xm:sqref>J458:J1048576 K390:M1048576 J349:J456 K349:K388 L187:M388 J187:K348 J3:M186</xm:sqref>
        </x14:dataValidation>
        <x14:dataValidation type="list" allowBlank="1" showInputMessage="1" showErrorMessage="1" xr:uid="{A5F44423-03E9-4AA6-BB50-F4CEB4F536F3}">
          <x14:formula1>
            <xm:f>Data!$X$4:$X$33</xm:f>
          </x14:formula1>
          <xm:sqref>I3:I1048576</xm:sqref>
        </x14:dataValidation>
        <x14:dataValidation type="list" allowBlank="1" showInputMessage="1" showErrorMessage="1" xr:uid="{7751DDED-F7F3-4E7D-A9F2-5EAD99E3EE34}">
          <x14:formula1>
            <xm:f>Data!$V$4:$V$33</xm:f>
          </x14:formula1>
          <xm:sqref>F3:F1048576</xm:sqref>
        </x14:dataValidation>
        <x14:dataValidation type="list" allowBlank="1" showInputMessage="1" showErrorMessage="1" xr:uid="{2A31C39B-D0FB-4676-95D9-21186C5EDEDB}">
          <x14:formula1>
            <xm:f>Data!$H$2</xm:f>
          </x14:formula1>
          <xm:sqref>C1:C1048576</xm:sqref>
        </x14:dataValidation>
        <x14:dataValidation type="list" allowBlank="1" showInputMessage="1" showErrorMessage="1" xr:uid="{3C6ED6D1-F8B4-4333-B2F5-AC774C91881D}">
          <x14:formula1>
            <xm:f>Data!$W$4:$W$118</xm:f>
          </x14:formula1>
          <xm:sqref>H3:H1048576</xm:sqref>
        </x14:dataValidation>
        <x14:dataValidation type="list" allowBlank="1" showInputMessage="1" showErrorMessage="1" xr:uid="{B35F32B2-B8D1-4B3B-B07C-E4CCC4DE395C}">
          <x14:formula1>
            <xm:f>Data!$K$4:$K$118</xm:f>
          </x14:formula1>
          <xm:sqref>G1:G1048576</xm:sqref>
        </x14:dataValidation>
        <x14:dataValidation type="list" allowBlank="1" showInputMessage="1" showErrorMessage="1" xr:uid="{5FACB98E-16C1-4F53-85DB-532BF9B1178E}">
          <x14:formula1>
            <xm:f>Data!$H:$H</xm:f>
          </x14:formula1>
          <xm:sqref>D1:D1048576</xm:sqref>
        </x14:dataValidation>
        <x14:dataValidation type="list" allowBlank="1" showInputMessage="1" showErrorMessage="1" xr:uid="{5B2926D7-692D-4E58-B506-83BBEBE5AA71}">
          <x14:formula1>
            <xm:f>Data!$I:$I</xm:f>
          </x14:formula1>
          <xm:sqref>E1:E1048576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B1889-5BFE-4B93-B5CB-7ED654E74296}">
  <dimension ref="A1:M17"/>
  <sheetViews>
    <sheetView zoomScale="115" zoomScaleNormal="115" workbookViewId="0">
      <pane ySplit="2" topLeftCell="A3" activePane="bottomLeft" state="frozen"/>
      <selection pane="bottomLeft" sqref="A1:XFD1"/>
    </sheetView>
  </sheetViews>
  <sheetFormatPr defaultRowHeight="15"/>
  <cols>
    <col min="1" max="1" width="23" style="12" customWidth="1"/>
    <col min="2" max="2" width="6.85546875" style="12" bestFit="1" customWidth="1"/>
    <col min="3" max="3" width="16" style="12" bestFit="1" customWidth="1"/>
    <col min="4" max="4" width="20" style="12" customWidth="1"/>
    <col min="5" max="5" width="28.140625" style="12" customWidth="1"/>
    <col min="6" max="6" width="9.140625" style="12" customWidth="1"/>
    <col min="7" max="7" width="21.28515625" style="76" bestFit="1" customWidth="1"/>
    <col min="8" max="8" width="15.28515625" style="12" bestFit="1" customWidth="1"/>
    <col min="9" max="11" width="20.42578125" style="76" customWidth="1"/>
    <col min="12" max="13" width="11.85546875" style="77" customWidth="1"/>
    <col min="14" max="14" width="9.140625" style="12" customWidth="1"/>
    <col min="15" max="16384" width="9.140625" style="12"/>
  </cols>
  <sheetData>
    <row r="1" spans="1:13">
      <c r="A1" s="90"/>
      <c r="B1" s="90"/>
      <c r="C1" s="90" t="s">
        <v>507</v>
      </c>
      <c r="D1" s="90"/>
      <c r="E1" s="90"/>
      <c r="F1" s="90"/>
      <c r="G1" s="91"/>
      <c r="H1" s="90"/>
      <c r="I1" s="91"/>
      <c r="J1" s="91"/>
      <c r="K1" s="91"/>
      <c r="L1" s="92"/>
      <c r="M1" s="92"/>
    </row>
    <row r="2" spans="1:13" s="2" customFormat="1">
      <c r="A2" s="17" t="s">
        <v>456</v>
      </c>
      <c r="B2" s="17" t="s">
        <v>457</v>
      </c>
      <c r="C2" s="111" t="s">
        <v>458</v>
      </c>
      <c r="D2" s="17" t="s">
        <v>51</v>
      </c>
      <c r="E2" s="17" t="s">
        <v>52</v>
      </c>
      <c r="F2" s="17" t="s">
        <v>53</v>
      </c>
      <c r="G2" s="40" t="s">
        <v>54</v>
      </c>
      <c r="H2" s="17" t="s">
        <v>88</v>
      </c>
      <c r="I2" s="40" t="s">
        <v>460</v>
      </c>
      <c r="J2" s="40" t="s">
        <v>461</v>
      </c>
      <c r="K2" s="40" t="s">
        <v>462</v>
      </c>
      <c r="L2" s="45" t="s">
        <v>463</v>
      </c>
      <c r="M2" s="45" t="s">
        <v>464</v>
      </c>
    </row>
    <row r="3" spans="1:13">
      <c r="A3" s="28" t="str">
        <f>"4."&amp;D3&amp;"."&amp;B3</f>
        <v>4.B.HNO.VHOHN.SVD.001</v>
      </c>
      <c r="B3" s="110" t="s">
        <v>465</v>
      </c>
      <c r="C3" s="100" t="s">
        <v>11</v>
      </c>
      <c r="D3" s="28" t="s">
        <v>269</v>
      </c>
      <c r="E3" s="28" t="s">
        <v>508</v>
      </c>
      <c r="F3" s="28" t="s">
        <v>103</v>
      </c>
      <c r="G3" s="20" t="s">
        <v>97</v>
      </c>
      <c r="H3" s="69" t="s">
        <v>105</v>
      </c>
      <c r="I3" s="24"/>
      <c r="J3" s="24"/>
      <c r="K3" s="24"/>
      <c r="L3" s="70"/>
      <c r="M3" s="70"/>
    </row>
    <row r="4" spans="1:13">
      <c r="A4" s="28" t="str">
        <f>"4."&amp;D4&amp;"."&amp;B4</f>
        <v>4.B.HYE.PVF.002</v>
      </c>
      <c r="B4" s="110" t="s">
        <v>466</v>
      </c>
      <c r="C4" s="100" t="s">
        <v>11</v>
      </c>
      <c r="D4" s="28" t="s">
        <v>295</v>
      </c>
      <c r="E4" s="28"/>
      <c r="F4" s="28"/>
      <c r="G4" s="20" t="s">
        <v>116</v>
      </c>
      <c r="H4" s="69" t="s">
        <v>105</v>
      </c>
      <c r="I4" s="24"/>
      <c r="J4" s="24"/>
      <c r="K4" s="24"/>
      <c r="L4" s="70"/>
      <c r="M4" s="70"/>
    </row>
    <row r="5" spans="1:13">
      <c r="A5" s="28" t="str">
        <f>"4."&amp;D5&amp;"."&amp;B5</f>
        <v>4..003</v>
      </c>
      <c r="B5" s="110" t="s">
        <v>467</v>
      </c>
      <c r="C5" s="100" t="s">
        <v>11</v>
      </c>
      <c r="D5" s="28"/>
      <c r="E5" s="28"/>
      <c r="F5" s="28"/>
      <c r="G5" s="20" t="s">
        <v>128</v>
      </c>
      <c r="H5" s="69" t="s">
        <v>105</v>
      </c>
      <c r="I5" s="24"/>
      <c r="J5" s="24"/>
      <c r="K5" s="24"/>
      <c r="L5" s="70"/>
      <c r="M5" s="70"/>
    </row>
    <row r="6" spans="1:13">
      <c r="A6" s="28" t="str">
        <f>"4."&amp;D6&amp;"."&amp;B6</f>
        <v>4..004</v>
      </c>
      <c r="B6" s="110" t="s">
        <v>468</v>
      </c>
      <c r="C6" s="100" t="s">
        <v>11</v>
      </c>
      <c r="D6" s="28"/>
      <c r="E6" s="28"/>
      <c r="F6" s="28"/>
      <c r="G6" s="20"/>
      <c r="H6" s="69" t="s">
        <v>105</v>
      </c>
      <c r="I6" s="24"/>
      <c r="J6" s="24"/>
      <c r="K6" s="24"/>
      <c r="L6" s="70"/>
      <c r="M6" s="70"/>
    </row>
    <row r="7" spans="1:13">
      <c r="A7" s="28" t="str">
        <f>"4."&amp;D7&amp;"."&amp;B7</f>
        <v>4..005</v>
      </c>
      <c r="B7" s="110" t="s">
        <v>469</v>
      </c>
      <c r="C7" s="100" t="s">
        <v>11</v>
      </c>
      <c r="D7" s="28"/>
      <c r="E7" s="28"/>
      <c r="F7" s="28"/>
      <c r="G7" s="20"/>
      <c r="H7" s="69" t="s">
        <v>105</v>
      </c>
      <c r="I7" s="24"/>
      <c r="J7" s="24"/>
      <c r="K7" s="24"/>
      <c r="L7" s="70"/>
      <c r="M7" s="70"/>
    </row>
    <row r="8" spans="1:13">
      <c r="A8" s="28" t="str">
        <f>"4."&amp;D8&amp;"."&amp;B8</f>
        <v>4..006</v>
      </c>
      <c r="B8" s="110" t="s">
        <v>470</v>
      </c>
      <c r="C8" s="100" t="s">
        <v>11</v>
      </c>
      <c r="D8" s="28"/>
      <c r="E8" s="28"/>
      <c r="F8" s="28"/>
      <c r="G8" s="19"/>
      <c r="H8" s="69" t="s">
        <v>105</v>
      </c>
      <c r="I8" s="24"/>
      <c r="J8" s="24"/>
      <c r="K8" s="24"/>
      <c r="L8" s="70"/>
      <c r="M8" s="70"/>
    </row>
    <row r="9" spans="1:13">
      <c r="A9" s="28" t="str">
        <f>"4."&amp;D9&amp;"."&amp;B9</f>
        <v>4..007</v>
      </c>
      <c r="B9" s="110" t="s">
        <v>471</v>
      </c>
      <c r="C9" s="100" t="s">
        <v>11</v>
      </c>
      <c r="D9" s="28"/>
      <c r="E9" s="28"/>
      <c r="G9" s="28"/>
      <c r="H9" s="69" t="s">
        <v>105</v>
      </c>
      <c r="I9" s="24"/>
      <c r="J9" s="24"/>
      <c r="K9" s="24"/>
      <c r="L9" s="70"/>
      <c r="M9" s="70"/>
    </row>
    <row r="10" spans="1:13">
      <c r="A10" s="28" t="str">
        <f>"4."&amp;D10&amp;"."&amp;B10</f>
        <v>4..008</v>
      </c>
      <c r="B10" s="110" t="s">
        <v>472</v>
      </c>
      <c r="C10" s="100" t="s">
        <v>11</v>
      </c>
      <c r="D10" s="28"/>
      <c r="E10" s="28"/>
      <c r="F10" s="28"/>
      <c r="G10" s="19"/>
      <c r="H10" s="69" t="s">
        <v>105</v>
      </c>
      <c r="I10" s="24"/>
      <c r="J10" s="24"/>
      <c r="K10" s="24"/>
      <c r="L10" s="70"/>
      <c r="M10" s="70"/>
    </row>
    <row r="11" spans="1:13">
      <c r="A11" s="28" t="str">
        <f>"4."&amp;D11&amp;"."&amp;B11</f>
        <v>4..009</v>
      </c>
      <c r="B11" s="110" t="s">
        <v>473</v>
      </c>
      <c r="C11" s="100" t="s">
        <v>11</v>
      </c>
      <c r="D11" s="28"/>
      <c r="E11" s="28"/>
      <c r="F11" s="28"/>
      <c r="G11" s="19"/>
      <c r="H11" s="69" t="s">
        <v>105</v>
      </c>
      <c r="I11" s="24"/>
      <c r="J11" s="24"/>
      <c r="K11" s="24"/>
      <c r="L11" s="70"/>
      <c r="M11" s="70"/>
    </row>
    <row r="12" spans="1:13">
      <c r="A12" s="28" t="str">
        <f>"4."&amp;D12&amp;"."&amp;B12</f>
        <v>4..010</v>
      </c>
      <c r="B12" s="110" t="s">
        <v>474</v>
      </c>
      <c r="C12" s="100" t="s">
        <v>11</v>
      </c>
      <c r="D12" s="28"/>
      <c r="E12" s="28"/>
      <c r="F12" s="28"/>
      <c r="G12" s="19"/>
      <c r="H12" s="69" t="s">
        <v>105</v>
      </c>
      <c r="I12" s="24"/>
      <c r="J12" s="24"/>
      <c r="K12" s="24"/>
      <c r="L12" s="70"/>
      <c r="M12" s="70"/>
    </row>
    <row r="13" spans="1:13">
      <c r="A13" s="28" t="str">
        <f>"4."&amp;D13&amp;"."&amp;B13</f>
        <v>4..011</v>
      </c>
      <c r="B13" s="110" t="s">
        <v>475</v>
      </c>
      <c r="C13" s="100" t="s">
        <v>11</v>
      </c>
      <c r="D13" s="28"/>
      <c r="E13" s="28"/>
      <c r="F13" s="28"/>
      <c r="G13" s="19"/>
      <c r="H13" s="69" t="s">
        <v>105</v>
      </c>
      <c r="I13" s="24"/>
      <c r="J13" s="24"/>
      <c r="K13" s="24"/>
      <c r="L13" s="70"/>
      <c r="M13" s="70"/>
    </row>
    <row r="14" spans="1:13">
      <c r="A14" s="28" t="str">
        <f>"4."&amp;D14&amp;"."&amp;B14</f>
        <v>4..012</v>
      </c>
      <c r="B14" s="110" t="s">
        <v>476</v>
      </c>
      <c r="C14" s="100" t="s">
        <v>11</v>
      </c>
      <c r="D14" s="28"/>
      <c r="E14" s="28"/>
      <c r="F14" s="28"/>
      <c r="G14" s="19"/>
      <c r="H14" s="69" t="s">
        <v>105</v>
      </c>
      <c r="I14" s="24"/>
      <c r="J14" s="24"/>
      <c r="K14" s="24"/>
      <c r="L14" s="70"/>
      <c r="M14" s="70"/>
    </row>
    <row r="15" spans="1:13">
      <c r="A15" s="28" t="str">
        <f>"4."&amp;D15&amp;"."&amp;B15</f>
        <v>4..013</v>
      </c>
      <c r="B15" s="110" t="s">
        <v>477</v>
      </c>
      <c r="C15" s="100" t="s">
        <v>11</v>
      </c>
      <c r="D15" s="28"/>
      <c r="E15" s="28"/>
      <c r="F15" s="28"/>
      <c r="G15" s="20"/>
      <c r="H15" s="69" t="s">
        <v>105</v>
      </c>
      <c r="I15" s="24"/>
      <c r="J15" s="24"/>
      <c r="K15" s="24"/>
      <c r="L15" s="70"/>
      <c r="M15" s="70"/>
    </row>
    <row r="16" spans="1:13">
      <c r="A16" s="28" t="str">
        <f>"4."&amp;D16&amp;"."&amp;B16</f>
        <v>4..014</v>
      </c>
      <c r="B16" s="110" t="s">
        <v>478</v>
      </c>
      <c r="C16" s="100" t="s">
        <v>11</v>
      </c>
      <c r="D16" s="28"/>
      <c r="E16" s="28"/>
      <c r="F16" s="28"/>
      <c r="G16" s="19"/>
      <c r="H16" s="69" t="s">
        <v>105</v>
      </c>
      <c r="I16" s="25"/>
      <c r="J16" s="25"/>
      <c r="K16" s="25"/>
      <c r="L16" s="70"/>
      <c r="M16" s="70"/>
    </row>
    <row r="17" spans="1:13">
      <c r="A17" s="28" t="str">
        <f>"4."&amp;D17&amp;"."&amp;B17</f>
        <v>4..015</v>
      </c>
      <c r="B17" s="110" t="s">
        <v>479</v>
      </c>
      <c r="C17" s="100" t="s">
        <v>11</v>
      </c>
      <c r="D17" s="28"/>
      <c r="E17" s="28"/>
      <c r="F17" s="28"/>
      <c r="G17" s="19"/>
      <c r="H17" s="69" t="s">
        <v>105</v>
      </c>
      <c r="I17" s="25"/>
      <c r="J17" s="25"/>
      <c r="K17" s="25"/>
      <c r="L17" s="70"/>
      <c r="M17" s="70"/>
    </row>
  </sheetData>
  <phoneticPr fontId="4" type="noConversion"/>
  <dataValidations count="1">
    <dataValidation allowBlank="1" showInputMessage="1" showErrorMessage="1" sqref="I2:K2" xr:uid="{625B7AF6-1A4D-42AC-B1B6-20FAD94C9720}"/>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E20C053E-F4C9-44E8-9558-66B38A122AFC}">
          <x14:formula1>
            <xm:f>Data!$L$4:$L$33</xm:f>
          </x14:formula1>
          <xm:sqref>G1:G1048576</xm:sqref>
        </x14:dataValidation>
        <x14:dataValidation type="list" allowBlank="1" showInputMessage="1" showErrorMessage="1" xr:uid="{C590693A-8655-4629-BCB5-20CD0FFBD4FA}">
          <x14:formula1>
            <xm:f>Data!$X$4:$X$33</xm:f>
          </x14:formula1>
          <xm:sqref>H1:H1048576</xm:sqref>
        </x14:dataValidation>
        <x14:dataValidation type="list" allowBlank="1" showInputMessage="1" showErrorMessage="1" xr:uid="{31B321D4-93B7-4F75-8E6C-4E6937DAA3CC}">
          <x14:formula1>
            <xm:f>Data!$Y$4:$Y$33</xm:f>
          </x14:formula1>
          <xm:sqref>I1:K1 I3:K1048576</xm:sqref>
        </x14:dataValidation>
        <x14:dataValidation type="list" allowBlank="1" showInputMessage="1" showErrorMessage="1" xr:uid="{ED580E8E-88B3-4732-8CBB-006B61EA7051}">
          <x14:formula1>
            <xm:f>Data!$V$4:$V$33</xm:f>
          </x14:formula1>
          <xm:sqref>F1:F8 F10:F1048576 G9</xm:sqref>
        </x14:dataValidation>
        <x14:dataValidation type="list" allowBlank="1" showInputMessage="1" showErrorMessage="1" xr:uid="{DFD01EB6-7898-4373-AD13-B6D7E02322A5}">
          <x14:formula1>
            <xm:f>Data!$H:$H</xm:f>
          </x14:formula1>
          <xm:sqref>D1:D1048576</xm:sqref>
        </x14:dataValidation>
        <x14:dataValidation type="list" allowBlank="1" showInputMessage="1" showErrorMessage="1" xr:uid="{F22FFBC7-8513-48DB-9255-D4F4493C056E}">
          <x14:formula1>
            <xm:f>Data!$I:$I</xm:f>
          </x14:formula1>
          <xm:sqref>E1:E1048576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0C4F3-DC43-4C8B-A857-05F8A1F3BA9F}">
  <dimension ref="A1:M104"/>
  <sheetViews>
    <sheetView zoomScale="115" zoomScaleNormal="115" workbookViewId="0">
      <pane ySplit="2" topLeftCell="A28" activePane="bottomLeft" state="frozen"/>
      <selection pane="bottomLeft" activeCell="O17" sqref="O17"/>
    </sheetView>
  </sheetViews>
  <sheetFormatPr defaultRowHeight="15"/>
  <cols>
    <col min="1" max="1" width="26.85546875" style="12" customWidth="1"/>
    <col min="2" max="2" width="6.85546875" style="12" bestFit="1" customWidth="1"/>
    <col min="3" max="3" width="22.42578125" style="12" bestFit="1" customWidth="1"/>
    <col min="4" max="4" width="29.5703125" style="12" customWidth="1"/>
    <col min="5" max="5" width="37" style="75" customWidth="1"/>
    <col min="6" max="6" width="10.140625" style="89" customWidth="1"/>
    <col min="7" max="7" width="37.5703125" style="75" customWidth="1"/>
    <col min="8" max="8" width="15.28515625" style="12" bestFit="1" customWidth="1"/>
    <col min="9" max="9" width="21.5703125" style="76" bestFit="1" customWidth="1"/>
    <col min="10" max="10" width="20.5703125" style="76" bestFit="1" customWidth="1"/>
    <col min="11" max="11" width="21.5703125" style="76" customWidth="1"/>
    <col min="12" max="13" width="11.28515625" style="77" customWidth="1"/>
    <col min="14" max="14" width="9.140625" style="12" customWidth="1"/>
    <col min="15" max="16384" width="9.140625" style="12"/>
  </cols>
  <sheetData>
    <row r="1" spans="1:13">
      <c r="A1" s="49"/>
      <c r="B1" s="49"/>
      <c r="C1" s="49" t="s">
        <v>509</v>
      </c>
      <c r="D1" s="49"/>
      <c r="E1" s="62"/>
      <c r="F1" s="267"/>
      <c r="G1" s="62"/>
      <c r="H1" s="49"/>
      <c r="I1" s="63"/>
      <c r="J1" s="63"/>
      <c r="K1" s="63"/>
      <c r="L1" s="248"/>
      <c r="M1" s="64"/>
    </row>
    <row r="2" spans="1:13" s="2" customFormat="1" ht="30" customHeight="1">
      <c r="A2" s="17" t="s">
        <v>456</v>
      </c>
      <c r="B2" s="17" t="s">
        <v>457</v>
      </c>
      <c r="C2" s="17" t="s">
        <v>458</v>
      </c>
      <c r="D2" s="17" t="s">
        <v>51</v>
      </c>
      <c r="E2" s="61" t="s">
        <v>52</v>
      </c>
      <c r="F2" s="268" t="s">
        <v>53</v>
      </c>
      <c r="G2" s="61" t="s">
        <v>54</v>
      </c>
      <c r="H2" s="17" t="s">
        <v>88</v>
      </c>
      <c r="I2" s="40" t="s">
        <v>460</v>
      </c>
      <c r="J2" s="40" t="s">
        <v>461</v>
      </c>
      <c r="K2" s="40" t="s">
        <v>462</v>
      </c>
      <c r="L2" s="249" t="s">
        <v>463</v>
      </c>
      <c r="M2" s="43" t="s">
        <v>464</v>
      </c>
    </row>
    <row r="3" spans="1:13">
      <c r="A3" s="28" t="str">
        <f>"5."&amp;D3&amp;"."&amp;B3</f>
        <v>5.Revit.01</v>
      </c>
      <c r="B3" s="110" t="s">
        <v>510</v>
      </c>
      <c r="C3" s="28" t="s">
        <v>12</v>
      </c>
      <c r="D3" s="28" t="s">
        <v>98</v>
      </c>
      <c r="E3" s="67" t="s">
        <v>331</v>
      </c>
      <c r="F3" s="88" t="s">
        <v>80</v>
      </c>
      <c r="G3" s="68" t="s">
        <v>130</v>
      </c>
      <c r="H3" s="28" t="s">
        <v>105</v>
      </c>
      <c r="I3" s="20" t="s">
        <v>267</v>
      </c>
      <c r="J3" s="20"/>
      <c r="K3" s="20"/>
      <c r="L3" s="84">
        <v>46177</v>
      </c>
      <c r="M3" s="70">
        <v>46177</v>
      </c>
    </row>
    <row r="4" spans="1:13">
      <c r="A4" s="28" t="str">
        <f>"5."&amp;D4&amp;"."&amp;B4</f>
        <v>5.Revit.02</v>
      </c>
      <c r="B4" s="110" t="s">
        <v>511</v>
      </c>
      <c r="C4" s="28" t="s">
        <v>12</v>
      </c>
      <c r="D4" s="28" t="s">
        <v>98</v>
      </c>
      <c r="E4" s="67" t="s">
        <v>331</v>
      </c>
      <c r="F4" s="88" t="s">
        <v>80</v>
      </c>
      <c r="G4" s="68" t="s">
        <v>142</v>
      </c>
      <c r="H4" s="28" t="s">
        <v>105</v>
      </c>
      <c r="I4" s="20" t="s">
        <v>267</v>
      </c>
      <c r="J4" s="20"/>
      <c r="K4" s="20"/>
      <c r="L4" s="84">
        <v>46177</v>
      </c>
      <c r="M4" s="70">
        <v>46177</v>
      </c>
    </row>
    <row r="5" spans="1:13">
      <c r="A5" s="28" t="str">
        <f>"5."&amp;D5&amp;"."&amp;B5</f>
        <v>5.Revit.03</v>
      </c>
      <c r="B5" s="110" t="s">
        <v>512</v>
      </c>
      <c r="C5" s="28" t="s">
        <v>12</v>
      </c>
      <c r="D5" s="28" t="s">
        <v>98</v>
      </c>
      <c r="E5" s="67" t="s">
        <v>331</v>
      </c>
      <c r="F5" s="88" t="s">
        <v>80</v>
      </c>
      <c r="G5" s="68" t="s">
        <v>161</v>
      </c>
      <c r="H5" s="28" t="s">
        <v>105</v>
      </c>
      <c r="I5" s="20" t="s">
        <v>267</v>
      </c>
      <c r="J5" s="20"/>
      <c r="K5" s="20"/>
      <c r="L5" s="84">
        <v>46177</v>
      </c>
      <c r="M5" s="70">
        <v>46177</v>
      </c>
    </row>
    <row r="6" spans="1:13">
      <c r="A6" s="28" t="str">
        <f>"5."&amp;D6&amp;"."&amp;B6</f>
        <v>5.Revit.04</v>
      </c>
      <c r="B6" s="110" t="s">
        <v>513</v>
      </c>
      <c r="C6" s="28" t="s">
        <v>12</v>
      </c>
      <c r="D6" s="28" t="s">
        <v>98</v>
      </c>
      <c r="E6" s="67" t="s">
        <v>331</v>
      </c>
      <c r="F6" s="88" t="s">
        <v>80</v>
      </c>
      <c r="G6" s="68" t="s">
        <v>171</v>
      </c>
      <c r="H6" s="28" t="s">
        <v>105</v>
      </c>
      <c r="I6" s="20" t="s">
        <v>267</v>
      </c>
      <c r="J6" s="20"/>
      <c r="K6" s="20"/>
      <c r="L6" s="84">
        <v>46177</v>
      </c>
      <c r="M6" s="70">
        <v>46177</v>
      </c>
    </row>
    <row r="7" spans="1:13">
      <c r="A7" s="28" t="str">
        <f>"5."&amp;D7&amp;"."&amp;B7</f>
        <v>5.Revit.05</v>
      </c>
      <c r="B7" s="110" t="s">
        <v>514</v>
      </c>
      <c r="C7" s="28" t="s">
        <v>12</v>
      </c>
      <c r="D7" s="28" t="s">
        <v>98</v>
      </c>
      <c r="E7" s="313" t="s">
        <v>442</v>
      </c>
      <c r="F7" s="88" t="s">
        <v>80</v>
      </c>
      <c r="G7" s="68" t="s">
        <v>100</v>
      </c>
      <c r="H7" s="28" t="s">
        <v>122</v>
      </c>
      <c r="I7" s="20" t="s">
        <v>267</v>
      </c>
      <c r="J7" s="20"/>
      <c r="K7" s="20"/>
      <c r="L7" s="84">
        <v>46161</v>
      </c>
      <c r="M7" s="70">
        <v>46161</v>
      </c>
    </row>
    <row r="8" spans="1:13">
      <c r="A8" s="28" t="str">
        <f>"5."&amp;D8&amp;"."&amp;B8</f>
        <v>5.Revit.06</v>
      </c>
      <c r="B8" s="110" t="s">
        <v>515</v>
      </c>
      <c r="C8" s="28" t="s">
        <v>12</v>
      </c>
      <c r="D8" s="28" t="s">
        <v>98</v>
      </c>
      <c r="E8" s="313" t="s">
        <v>442</v>
      </c>
      <c r="F8" s="88" t="s">
        <v>80</v>
      </c>
      <c r="G8" s="68" t="s">
        <v>118</v>
      </c>
      <c r="H8" s="28" t="s">
        <v>122</v>
      </c>
      <c r="I8" s="20" t="s">
        <v>267</v>
      </c>
      <c r="J8" s="20"/>
      <c r="K8" s="20"/>
      <c r="L8" s="250"/>
      <c r="M8" s="145"/>
    </row>
    <row r="9" spans="1:13">
      <c r="A9" s="28" t="str">
        <f>"5."&amp;D9&amp;"."&amp;B9</f>
        <v>5.Revit.07</v>
      </c>
      <c r="B9" s="110" t="s">
        <v>516</v>
      </c>
      <c r="C9" s="28" t="s">
        <v>12</v>
      </c>
      <c r="D9" s="28" t="s">
        <v>98</v>
      </c>
      <c r="E9" s="313" t="s">
        <v>442</v>
      </c>
      <c r="F9" s="88" t="s">
        <v>80</v>
      </c>
      <c r="G9" s="68" t="s">
        <v>130</v>
      </c>
      <c r="H9" s="28" t="s">
        <v>122</v>
      </c>
      <c r="I9" s="20" t="s">
        <v>267</v>
      </c>
      <c r="J9" s="20"/>
      <c r="K9" s="20"/>
      <c r="L9" s="84">
        <v>46162</v>
      </c>
      <c r="M9" s="70">
        <v>46174</v>
      </c>
    </row>
    <row r="10" spans="1:13">
      <c r="A10" s="28" t="str">
        <f>"5."&amp;D10&amp;"."&amp;B10</f>
        <v>5.Revit.08</v>
      </c>
      <c r="B10" s="110" t="s">
        <v>517</v>
      </c>
      <c r="C10" s="28" t="s">
        <v>12</v>
      </c>
      <c r="D10" s="28" t="s">
        <v>98</v>
      </c>
      <c r="E10" s="313" t="s">
        <v>442</v>
      </c>
      <c r="F10" s="88" t="s">
        <v>80</v>
      </c>
      <c r="G10" s="68" t="s">
        <v>142</v>
      </c>
      <c r="H10" s="28" t="s">
        <v>122</v>
      </c>
      <c r="I10" s="20" t="s">
        <v>267</v>
      </c>
      <c r="J10" s="20"/>
      <c r="K10" s="20"/>
      <c r="L10" s="84">
        <v>46174</v>
      </c>
      <c r="M10" s="70">
        <v>46174</v>
      </c>
    </row>
    <row r="11" spans="1:13">
      <c r="A11" s="28" t="str">
        <f>"5."&amp;D11&amp;"."&amp;B11</f>
        <v>5.Revit.10</v>
      </c>
      <c r="B11" s="110" t="s">
        <v>518</v>
      </c>
      <c r="C11" s="28" t="s">
        <v>12</v>
      </c>
      <c r="D11" s="28" t="s">
        <v>98</v>
      </c>
      <c r="E11" s="313" t="s">
        <v>442</v>
      </c>
      <c r="F11" s="88" t="s">
        <v>80</v>
      </c>
      <c r="G11" s="68" t="s">
        <v>161</v>
      </c>
      <c r="H11" s="28" t="s">
        <v>122</v>
      </c>
      <c r="I11" s="20" t="s">
        <v>267</v>
      </c>
      <c r="J11" s="20"/>
      <c r="K11" s="20"/>
      <c r="L11" s="84">
        <v>46175</v>
      </c>
      <c r="M11" s="319">
        <v>46175</v>
      </c>
    </row>
    <row r="12" spans="1:13">
      <c r="A12" s="28" t="str">
        <f>"5."&amp;D12&amp;"."&amp;B12</f>
        <v>5.Revit.11</v>
      </c>
      <c r="B12" s="110" t="s">
        <v>519</v>
      </c>
      <c r="C12" s="28" t="s">
        <v>12</v>
      </c>
      <c r="D12" s="28" t="s">
        <v>98</v>
      </c>
      <c r="E12" s="313" t="s">
        <v>442</v>
      </c>
      <c r="F12" s="88" t="s">
        <v>80</v>
      </c>
      <c r="G12" s="68" t="s">
        <v>171</v>
      </c>
      <c r="H12" s="28" t="s">
        <v>122</v>
      </c>
      <c r="I12" s="20" t="s">
        <v>267</v>
      </c>
      <c r="J12" s="20"/>
      <c r="K12" s="20"/>
      <c r="L12" s="84">
        <v>46176</v>
      </c>
      <c r="M12" s="70">
        <v>46176</v>
      </c>
    </row>
    <row r="13" spans="1:13">
      <c r="A13" s="28" t="str">
        <f>"5."&amp;D13&amp;"."&amp;B13</f>
        <v>5.Revit.12</v>
      </c>
      <c r="B13" s="110" t="s">
        <v>520</v>
      </c>
      <c r="C13" s="28" t="s">
        <v>12</v>
      </c>
      <c r="D13" s="28" t="s">
        <v>98</v>
      </c>
      <c r="E13" s="313" t="s">
        <v>441</v>
      </c>
      <c r="F13" s="88" t="s">
        <v>80</v>
      </c>
      <c r="G13" s="68" t="s">
        <v>100</v>
      </c>
      <c r="H13" s="28" t="s">
        <v>105</v>
      </c>
      <c r="I13" s="20" t="s">
        <v>267</v>
      </c>
      <c r="J13" s="20"/>
      <c r="K13" s="20"/>
      <c r="L13" s="84">
        <v>46157</v>
      </c>
      <c r="M13" s="70">
        <v>46157</v>
      </c>
    </row>
    <row r="14" spans="1:13">
      <c r="A14" s="28" t="str">
        <f>"5."&amp;D14&amp;"."&amp;B14</f>
        <v>5.Revit.13</v>
      </c>
      <c r="B14" s="110" t="s">
        <v>521</v>
      </c>
      <c r="C14" s="28" t="s">
        <v>12</v>
      </c>
      <c r="D14" s="28" t="s">
        <v>98</v>
      </c>
      <c r="E14" s="313" t="s">
        <v>441</v>
      </c>
      <c r="F14" s="88" t="s">
        <v>80</v>
      </c>
      <c r="G14" s="68" t="s">
        <v>118</v>
      </c>
      <c r="H14" s="28" t="s">
        <v>105</v>
      </c>
      <c r="I14" s="20" t="s">
        <v>267</v>
      </c>
      <c r="J14" s="20"/>
      <c r="K14" s="20"/>
      <c r="L14" s="84">
        <v>46157</v>
      </c>
      <c r="M14" s="70">
        <v>46157</v>
      </c>
    </row>
    <row r="15" spans="1:13">
      <c r="A15" s="28" t="str">
        <f>"5."&amp;D15&amp;"."&amp;B15</f>
        <v>5.Revit.14</v>
      </c>
      <c r="B15" s="110" t="s">
        <v>522</v>
      </c>
      <c r="C15" s="28" t="s">
        <v>12</v>
      </c>
      <c r="D15" s="28" t="s">
        <v>98</v>
      </c>
      <c r="E15" s="313" t="s">
        <v>441</v>
      </c>
      <c r="F15" s="88" t="s">
        <v>80</v>
      </c>
      <c r="G15" s="68" t="s">
        <v>130</v>
      </c>
      <c r="H15" s="28" t="s">
        <v>105</v>
      </c>
      <c r="I15" s="20" t="s">
        <v>267</v>
      </c>
      <c r="J15" s="20"/>
      <c r="K15" s="20"/>
      <c r="L15" s="84">
        <v>46157</v>
      </c>
      <c r="M15" s="70">
        <v>46160</v>
      </c>
    </row>
    <row r="16" spans="1:13">
      <c r="A16" s="28" t="str">
        <f>"5."&amp;D16&amp;"."&amp;B16</f>
        <v>5.Revit.15</v>
      </c>
      <c r="B16" s="110" t="s">
        <v>523</v>
      </c>
      <c r="C16" s="28" t="s">
        <v>12</v>
      </c>
      <c r="D16" s="28" t="s">
        <v>98</v>
      </c>
      <c r="E16" s="313" t="s">
        <v>441</v>
      </c>
      <c r="F16" s="88" t="s">
        <v>80</v>
      </c>
      <c r="G16" s="68" t="s">
        <v>142</v>
      </c>
      <c r="H16" s="28" t="s">
        <v>105</v>
      </c>
      <c r="I16" s="20" t="s">
        <v>267</v>
      </c>
      <c r="J16" s="20"/>
      <c r="K16" s="20"/>
      <c r="L16" s="84">
        <v>46160</v>
      </c>
      <c r="M16" s="70">
        <v>46175</v>
      </c>
    </row>
    <row r="17" spans="1:13">
      <c r="A17" s="28" t="str">
        <f>"5."&amp;D17&amp;"."&amp;B17</f>
        <v>5.Revit.17</v>
      </c>
      <c r="B17" s="110" t="s">
        <v>524</v>
      </c>
      <c r="C17" s="28" t="s">
        <v>12</v>
      </c>
      <c r="D17" s="28" t="s">
        <v>98</v>
      </c>
      <c r="E17" s="313" t="s">
        <v>441</v>
      </c>
      <c r="F17" s="88" t="s">
        <v>80</v>
      </c>
      <c r="G17" s="68" t="s">
        <v>161</v>
      </c>
      <c r="H17" s="28" t="s">
        <v>105</v>
      </c>
      <c r="I17" s="20" t="s">
        <v>267</v>
      </c>
      <c r="J17" s="20"/>
      <c r="K17" s="20"/>
      <c r="L17" s="84">
        <v>46175</v>
      </c>
      <c r="M17" s="320">
        <v>46175</v>
      </c>
    </row>
    <row r="18" spans="1:13">
      <c r="A18" s="28" t="str">
        <f>"5."&amp;D18&amp;"."&amp;B18</f>
        <v>5.Revit.18</v>
      </c>
      <c r="B18" s="110" t="s">
        <v>525</v>
      </c>
      <c r="C18" s="28" t="s">
        <v>12</v>
      </c>
      <c r="D18" s="28" t="s">
        <v>98</v>
      </c>
      <c r="E18" s="314" t="s">
        <v>441</v>
      </c>
      <c r="F18" s="88" t="s">
        <v>80</v>
      </c>
      <c r="G18" s="68" t="s">
        <v>171</v>
      </c>
      <c r="H18" s="28" t="s">
        <v>105</v>
      </c>
      <c r="I18" s="20" t="s">
        <v>267</v>
      </c>
      <c r="J18" s="20"/>
      <c r="K18" s="20"/>
      <c r="L18" s="84">
        <v>46176</v>
      </c>
      <c r="M18" s="70">
        <v>46176</v>
      </c>
    </row>
    <row r="19" spans="1:13">
      <c r="A19" s="28" t="str">
        <f>"5."&amp;D19&amp;"."&amp;B19</f>
        <v>5.Revit.19</v>
      </c>
      <c r="B19" s="110" t="s">
        <v>526</v>
      </c>
      <c r="C19" s="71" t="s">
        <v>12</v>
      </c>
      <c r="D19" s="28" t="s">
        <v>98</v>
      </c>
      <c r="E19" s="315" t="s">
        <v>443</v>
      </c>
      <c r="F19" s="269" t="s">
        <v>80</v>
      </c>
      <c r="G19" s="68" t="s">
        <v>100</v>
      </c>
      <c r="H19" s="28" t="s">
        <v>105</v>
      </c>
      <c r="I19" s="20" t="s">
        <v>267</v>
      </c>
      <c r="J19" s="20"/>
      <c r="K19" s="20"/>
      <c r="L19" s="250">
        <v>46165</v>
      </c>
      <c r="M19" s="145">
        <v>46165</v>
      </c>
    </row>
    <row r="20" spans="1:13">
      <c r="A20" s="28" t="str">
        <f>"5."&amp;D20&amp;"."&amp;B20</f>
        <v>5.Revit.20</v>
      </c>
      <c r="B20" s="110" t="s">
        <v>527</v>
      </c>
      <c r="C20" s="71" t="s">
        <v>12</v>
      </c>
      <c r="D20" s="28" t="s">
        <v>98</v>
      </c>
      <c r="E20" s="315" t="s">
        <v>443</v>
      </c>
      <c r="F20" s="269" t="s">
        <v>80</v>
      </c>
      <c r="G20" s="68" t="s">
        <v>118</v>
      </c>
      <c r="H20" s="28" t="s">
        <v>105</v>
      </c>
      <c r="I20" s="20" t="s">
        <v>267</v>
      </c>
      <c r="J20" s="20"/>
      <c r="K20" s="168"/>
      <c r="L20" s="251"/>
      <c r="M20" s="70"/>
    </row>
    <row r="21" spans="1:13">
      <c r="A21" s="28" t="str">
        <f>"5."&amp;D21&amp;"."&amp;B21</f>
        <v>5.Revit.21</v>
      </c>
      <c r="B21" s="110" t="s">
        <v>528</v>
      </c>
      <c r="C21" s="71" t="s">
        <v>12</v>
      </c>
      <c r="D21" s="28" t="s">
        <v>98</v>
      </c>
      <c r="E21" s="315" t="s">
        <v>443</v>
      </c>
      <c r="F21" s="269" t="s">
        <v>80</v>
      </c>
      <c r="G21" s="68" t="s">
        <v>130</v>
      </c>
      <c r="H21" s="28" t="s">
        <v>105</v>
      </c>
      <c r="I21" s="20" t="s">
        <v>267</v>
      </c>
      <c r="J21" s="20"/>
      <c r="K21" s="168"/>
      <c r="L21" s="251"/>
      <c r="M21" s="70"/>
    </row>
    <row r="22" spans="1:13">
      <c r="A22" s="28" t="str">
        <f>"5."&amp;D22&amp;"."&amp;B22</f>
        <v>5.Revit.22</v>
      </c>
      <c r="B22" s="110" t="s">
        <v>529</v>
      </c>
      <c r="C22" s="71" t="s">
        <v>12</v>
      </c>
      <c r="D22" s="28" t="s">
        <v>98</v>
      </c>
      <c r="E22" s="315" t="s">
        <v>443</v>
      </c>
      <c r="F22" s="269" t="s">
        <v>80</v>
      </c>
      <c r="G22" s="68" t="s">
        <v>142</v>
      </c>
      <c r="H22" s="28" t="s">
        <v>105</v>
      </c>
      <c r="I22" s="20" t="s">
        <v>267</v>
      </c>
      <c r="J22" s="20"/>
      <c r="K22" s="168"/>
      <c r="L22" s="84">
        <v>46175</v>
      </c>
      <c r="M22" s="70">
        <v>46175</v>
      </c>
    </row>
    <row r="23" spans="1:13">
      <c r="A23" s="28" t="str">
        <f>"5."&amp;D23&amp;"."&amp;B23</f>
        <v>5.Revit.23</v>
      </c>
      <c r="B23" s="110" t="s">
        <v>530</v>
      </c>
      <c r="C23" s="71" t="s">
        <v>12</v>
      </c>
      <c r="D23" s="28" t="s">
        <v>98</v>
      </c>
      <c r="E23" s="315" t="s">
        <v>443</v>
      </c>
      <c r="F23" s="269" t="s">
        <v>80</v>
      </c>
      <c r="G23" s="68" t="s">
        <v>161</v>
      </c>
      <c r="H23" s="28" t="s">
        <v>105</v>
      </c>
      <c r="I23" s="20" t="s">
        <v>267</v>
      </c>
      <c r="J23" s="20"/>
      <c r="K23" s="168"/>
      <c r="L23" s="84">
        <v>46175</v>
      </c>
      <c r="M23" s="70">
        <v>46175</v>
      </c>
    </row>
    <row r="24" spans="1:13">
      <c r="A24" s="28" t="str">
        <f>"5."&amp;D24&amp;"."&amp;B24</f>
        <v>5.Revit.24</v>
      </c>
      <c r="B24" s="110" t="s">
        <v>531</v>
      </c>
      <c r="C24" s="71" t="s">
        <v>12</v>
      </c>
      <c r="D24" s="28" t="s">
        <v>98</v>
      </c>
      <c r="E24" s="315" t="s">
        <v>443</v>
      </c>
      <c r="F24" s="269" t="s">
        <v>80</v>
      </c>
      <c r="G24" s="68" t="s">
        <v>171</v>
      </c>
      <c r="H24" s="28" t="s">
        <v>105</v>
      </c>
      <c r="I24" s="20" t="s">
        <v>267</v>
      </c>
      <c r="J24" s="20"/>
      <c r="K24" s="168"/>
      <c r="L24" s="84">
        <v>46176</v>
      </c>
      <c r="M24" s="84">
        <v>46176</v>
      </c>
    </row>
    <row r="25" spans="1:13">
      <c r="A25" s="28" t="str">
        <f>"5."&amp;D25&amp;"."&amp;B25</f>
        <v>5.Web App.25</v>
      </c>
      <c r="B25" s="110" t="s">
        <v>532</v>
      </c>
      <c r="C25" s="71" t="s">
        <v>12</v>
      </c>
      <c r="D25" s="53" t="s">
        <v>444</v>
      </c>
      <c r="E25" s="101" t="s">
        <v>533</v>
      </c>
      <c r="F25" s="269" t="s">
        <v>80</v>
      </c>
      <c r="G25" s="68" t="s">
        <v>171</v>
      </c>
      <c r="H25" s="28" t="s">
        <v>105</v>
      </c>
      <c r="I25" s="20" t="s">
        <v>267</v>
      </c>
      <c r="J25" s="20"/>
      <c r="K25" s="168"/>
      <c r="L25" s="84">
        <v>46176</v>
      </c>
      <c r="M25" s="145">
        <v>46203</v>
      </c>
    </row>
    <row r="26" spans="1:13">
      <c r="A26" s="28" t="str">
        <f>"5."&amp;D26&amp;"."&amp;B26</f>
        <v>5.Revit.26</v>
      </c>
      <c r="B26" s="110" t="s">
        <v>534</v>
      </c>
      <c r="C26" s="71" t="s">
        <v>12</v>
      </c>
      <c r="D26" s="28" t="s">
        <v>98</v>
      </c>
      <c r="E26" s="102" t="s">
        <v>446</v>
      </c>
      <c r="F26" s="88" t="s">
        <v>80</v>
      </c>
      <c r="G26" s="68" t="s">
        <v>100</v>
      </c>
      <c r="H26" s="28" t="s">
        <v>122</v>
      </c>
      <c r="I26" s="20" t="s">
        <v>211</v>
      </c>
      <c r="J26" s="20"/>
      <c r="K26" s="20"/>
      <c r="L26" s="278">
        <v>46162</v>
      </c>
      <c r="M26" s="70">
        <v>46162</v>
      </c>
    </row>
    <row r="27" spans="1:13">
      <c r="A27" s="28" t="str">
        <f>"5."&amp;D27&amp;"."&amp;B27</f>
        <v>5.Revit.27</v>
      </c>
      <c r="B27" s="110" t="s">
        <v>535</v>
      </c>
      <c r="C27" s="71" t="s">
        <v>12</v>
      </c>
      <c r="D27" s="28" t="s">
        <v>98</v>
      </c>
      <c r="E27" s="67" t="s">
        <v>446</v>
      </c>
      <c r="F27" s="88" t="s">
        <v>80</v>
      </c>
      <c r="G27" s="68" t="s">
        <v>118</v>
      </c>
      <c r="H27" s="28" t="s">
        <v>122</v>
      </c>
      <c r="I27" s="20" t="s">
        <v>211</v>
      </c>
      <c r="J27" s="20"/>
      <c r="K27" s="20"/>
      <c r="L27" s="84">
        <v>46162</v>
      </c>
      <c r="M27" s="70">
        <v>46162</v>
      </c>
    </row>
    <row r="28" spans="1:13">
      <c r="A28" s="28" t="str">
        <f>"5."&amp;D28&amp;"."&amp;B28</f>
        <v>5.Revit.28</v>
      </c>
      <c r="B28" s="110" t="s">
        <v>536</v>
      </c>
      <c r="C28" s="71" t="s">
        <v>12</v>
      </c>
      <c r="D28" s="28" t="s">
        <v>98</v>
      </c>
      <c r="E28" s="67" t="s">
        <v>446</v>
      </c>
      <c r="F28" s="88" t="s">
        <v>80</v>
      </c>
      <c r="G28" s="68" t="s">
        <v>130</v>
      </c>
      <c r="H28" s="28" t="s">
        <v>122</v>
      </c>
      <c r="I28" s="20" t="s">
        <v>211</v>
      </c>
      <c r="J28" s="20"/>
      <c r="K28" s="20"/>
      <c r="L28" s="84">
        <v>46163</v>
      </c>
      <c r="M28" s="70">
        <v>46174</v>
      </c>
    </row>
    <row r="29" spans="1:13">
      <c r="A29" s="28" t="str">
        <f>"5."&amp;D29&amp;"."&amp;B29</f>
        <v>5.Revit.29</v>
      </c>
      <c r="B29" s="110" t="s">
        <v>537</v>
      </c>
      <c r="C29" s="71" t="s">
        <v>12</v>
      </c>
      <c r="D29" s="28" t="s">
        <v>98</v>
      </c>
      <c r="E29" s="67" t="s">
        <v>446</v>
      </c>
      <c r="F29" s="88" t="s">
        <v>80</v>
      </c>
      <c r="G29" s="68" t="s">
        <v>142</v>
      </c>
      <c r="H29" s="28" t="s">
        <v>122</v>
      </c>
      <c r="I29" s="20" t="s">
        <v>211</v>
      </c>
      <c r="J29" s="20"/>
      <c r="K29" s="20"/>
      <c r="L29" s="84">
        <v>46174</v>
      </c>
      <c r="M29" s="70">
        <v>46175</v>
      </c>
    </row>
    <row r="30" spans="1:13">
      <c r="A30" s="28" t="str">
        <f>"5."&amp;D30&amp;"."&amp;B30</f>
        <v>5.Revit.30</v>
      </c>
      <c r="B30" s="110" t="s">
        <v>538</v>
      </c>
      <c r="C30" s="71" t="s">
        <v>12</v>
      </c>
      <c r="D30" s="28" t="s">
        <v>98</v>
      </c>
      <c r="E30" s="67" t="s">
        <v>446</v>
      </c>
      <c r="F30" s="88" t="s">
        <v>80</v>
      </c>
      <c r="G30" s="68" t="s">
        <v>153</v>
      </c>
      <c r="H30" s="28" t="s">
        <v>122</v>
      </c>
      <c r="I30" s="20" t="s">
        <v>211</v>
      </c>
      <c r="J30" s="20"/>
      <c r="K30" s="20"/>
      <c r="L30" s="84">
        <v>46175</v>
      </c>
      <c r="M30" s="70">
        <v>46175</v>
      </c>
    </row>
    <row r="31" spans="1:13">
      <c r="A31" s="28" t="str">
        <f>"5."&amp;D31&amp;"."&amp;B31</f>
        <v>5.Revit.31</v>
      </c>
      <c r="B31" s="110" t="s">
        <v>539</v>
      </c>
      <c r="C31" s="71" t="s">
        <v>12</v>
      </c>
      <c r="D31" s="28" t="s">
        <v>98</v>
      </c>
      <c r="E31" s="67" t="s">
        <v>446</v>
      </c>
      <c r="F31" s="88" t="s">
        <v>80</v>
      </c>
      <c r="G31" s="68" t="s">
        <v>161</v>
      </c>
      <c r="H31" s="28" t="s">
        <v>122</v>
      </c>
      <c r="I31" s="20" t="s">
        <v>211</v>
      </c>
      <c r="J31" s="20"/>
      <c r="K31" s="20"/>
      <c r="L31" s="84">
        <v>46175</v>
      </c>
      <c r="M31" s="70">
        <v>46175</v>
      </c>
    </row>
    <row r="32" spans="1:13">
      <c r="A32" s="28" t="str">
        <f>"5."&amp;D32&amp;"."&amp;B32</f>
        <v>5.Revit.32</v>
      </c>
      <c r="B32" s="110" t="s">
        <v>540</v>
      </c>
      <c r="C32" s="71" t="s">
        <v>12</v>
      </c>
      <c r="D32" s="28" t="s">
        <v>98</v>
      </c>
      <c r="E32" s="67" t="s">
        <v>446</v>
      </c>
      <c r="F32" s="88" t="s">
        <v>80</v>
      </c>
      <c r="G32" s="68" t="s">
        <v>171</v>
      </c>
      <c r="H32" s="28" t="s">
        <v>122</v>
      </c>
      <c r="I32" s="20" t="s">
        <v>211</v>
      </c>
      <c r="J32" s="20"/>
      <c r="K32" s="20"/>
      <c r="L32" s="84">
        <v>46175</v>
      </c>
      <c r="M32" s="277">
        <v>46185</v>
      </c>
    </row>
    <row r="33" spans="1:13">
      <c r="A33" s="28" t="str">
        <f>"5."&amp;D33&amp;"."&amp;B33</f>
        <v>5.CAD.33</v>
      </c>
      <c r="B33" s="110" t="s">
        <v>541</v>
      </c>
      <c r="C33" s="71" t="s">
        <v>12</v>
      </c>
      <c r="D33" s="95" t="s">
        <v>454</v>
      </c>
      <c r="E33" s="316" t="s">
        <v>440</v>
      </c>
      <c r="F33" s="88" t="s">
        <v>80</v>
      </c>
      <c r="G33" s="98" t="s">
        <v>100</v>
      </c>
      <c r="H33" s="95" t="s">
        <v>105</v>
      </c>
      <c r="I33" s="99" t="s">
        <v>211</v>
      </c>
      <c r="J33" s="99"/>
      <c r="K33" s="99"/>
      <c r="L33" s="252">
        <v>46168</v>
      </c>
      <c r="M33" s="70">
        <v>46168</v>
      </c>
    </row>
    <row r="34" spans="1:13">
      <c r="A34" s="28" t="str">
        <f>"5."&amp;D34&amp;"."&amp;B34</f>
        <v>5.CAD.34</v>
      </c>
      <c r="B34" s="110" t="s">
        <v>542</v>
      </c>
      <c r="C34" s="71" t="s">
        <v>12</v>
      </c>
      <c r="D34" s="95" t="s">
        <v>454</v>
      </c>
      <c r="E34" s="316" t="s">
        <v>440</v>
      </c>
      <c r="F34" s="88" t="s">
        <v>80</v>
      </c>
      <c r="G34" s="68" t="s">
        <v>118</v>
      </c>
      <c r="H34" s="95" t="s">
        <v>105</v>
      </c>
      <c r="I34" s="99" t="s">
        <v>211</v>
      </c>
      <c r="J34" s="99"/>
      <c r="K34" s="99"/>
      <c r="L34" s="253">
        <v>46168</v>
      </c>
      <c r="M34" s="70">
        <v>46168</v>
      </c>
    </row>
    <row r="35" spans="1:13">
      <c r="A35" s="28" t="str">
        <f>"5."&amp;D35&amp;"."&amp;B35</f>
        <v>5.CAD.35</v>
      </c>
      <c r="B35" s="110" t="s">
        <v>543</v>
      </c>
      <c r="C35" s="71" t="s">
        <v>12</v>
      </c>
      <c r="D35" s="95" t="s">
        <v>454</v>
      </c>
      <c r="E35" s="316" t="s">
        <v>440</v>
      </c>
      <c r="F35" s="88" t="s">
        <v>80</v>
      </c>
      <c r="G35" s="68" t="s">
        <v>130</v>
      </c>
      <c r="H35" s="95" t="s">
        <v>105</v>
      </c>
      <c r="I35" s="99" t="s">
        <v>211</v>
      </c>
      <c r="J35" s="99"/>
      <c r="K35" s="99"/>
      <c r="L35" s="253">
        <v>46169</v>
      </c>
      <c r="M35" s="70">
        <v>46173</v>
      </c>
    </row>
    <row r="36" spans="1:13">
      <c r="A36" s="28" t="str">
        <f>"5."&amp;D36&amp;"."&amp;B36</f>
        <v>5.CAD.36</v>
      </c>
      <c r="B36" s="110" t="s">
        <v>544</v>
      </c>
      <c r="C36" s="71" t="s">
        <v>12</v>
      </c>
      <c r="D36" s="95" t="s">
        <v>454</v>
      </c>
      <c r="E36" s="316" t="s">
        <v>440</v>
      </c>
      <c r="F36" s="88" t="s">
        <v>80</v>
      </c>
      <c r="G36" s="68" t="s">
        <v>142</v>
      </c>
      <c r="H36" s="95" t="s">
        <v>105</v>
      </c>
      <c r="I36" s="99" t="s">
        <v>211</v>
      </c>
      <c r="J36" s="99"/>
      <c r="K36" s="99"/>
      <c r="L36" s="253">
        <v>46174</v>
      </c>
      <c r="M36" s="70">
        <v>46174</v>
      </c>
    </row>
    <row r="37" spans="1:13">
      <c r="A37" s="28" t="str">
        <f>"5."&amp;D37&amp;"."&amp;B37</f>
        <v>5.CAD.37</v>
      </c>
      <c r="B37" s="110" t="s">
        <v>545</v>
      </c>
      <c r="C37" s="71" t="s">
        <v>12</v>
      </c>
      <c r="D37" s="95" t="s">
        <v>454</v>
      </c>
      <c r="E37" s="316" t="s">
        <v>440</v>
      </c>
      <c r="F37" s="88" t="s">
        <v>80</v>
      </c>
      <c r="G37" s="68" t="s">
        <v>153</v>
      </c>
      <c r="H37" s="95" t="s">
        <v>105</v>
      </c>
      <c r="I37" s="99" t="s">
        <v>211</v>
      </c>
      <c r="J37" s="169"/>
      <c r="K37" s="169"/>
      <c r="L37" s="253">
        <v>46174</v>
      </c>
      <c r="M37" s="70">
        <v>46174</v>
      </c>
    </row>
    <row r="38" spans="1:13">
      <c r="A38" s="28" t="str">
        <f>"5."&amp;D38&amp;"."&amp;B38</f>
        <v>5.CAD.38</v>
      </c>
      <c r="B38" s="110" t="s">
        <v>546</v>
      </c>
      <c r="C38" s="71" t="s">
        <v>12</v>
      </c>
      <c r="D38" s="95" t="s">
        <v>454</v>
      </c>
      <c r="E38" s="316" t="s">
        <v>440</v>
      </c>
      <c r="F38" s="88" t="s">
        <v>80</v>
      </c>
      <c r="G38" s="72" t="s">
        <v>161</v>
      </c>
      <c r="H38" s="95" t="s">
        <v>105</v>
      </c>
      <c r="I38" s="103" t="s">
        <v>211</v>
      </c>
      <c r="J38" s="20"/>
      <c r="K38" s="20"/>
      <c r="L38" s="77">
        <v>46174</v>
      </c>
      <c r="M38" s="70">
        <v>46174</v>
      </c>
    </row>
    <row r="39" spans="1:13">
      <c r="A39" s="28" t="str">
        <f>"5."&amp;D39&amp;"."&amp;B39</f>
        <v>5.CAD.39</v>
      </c>
      <c r="B39" s="110" t="s">
        <v>547</v>
      </c>
      <c r="C39" s="71" t="s">
        <v>12</v>
      </c>
      <c r="D39" s="95" t="s">
        <v>454</v>
      </c>
      <c r="E39" s="316" t="s">
        <v>440</v>
      </c>
      <c r="F39" s="270" t="s">
        <v>80</v>
      </c>
      <c r="G39" s="68" t="s">
        <v>171</v>
      </c>
      <c r="H39" s="95" t="s">
        <v>105</v>
      </c>
      <c r="I39" s="103" t="s">
        <v>211</v>
      </c>
      <c r="J39" s="20"/>
      <c r="K39" s="20"/>
      <c r="L39" s="254">
        <v>46174</v>
      </c>
      <c r="M39" s="145">
        <v>46174</v>
      </c>
    </row>
    <row r="40" spans="1:13">
      <c r="A40" s="28" t="str">
        <f>"5."&amp;D40&amp;"."&amp;B40</f>
        <v>5.Didital Twin.40</v>
      </c>
      <c r="B40" s="110" t="s">
        <v>548</v>
      </c>
      <c r="C40" s="71" t="s">
        <v>12</v>
      </c>
      <c r="D40" s="28" t="s">
        <v>549</v>
      </c>
      <c r="E40" s="68" t="s">
        <v>448</v>
      </c>
      <c r="F40" s="88" t="s">
        <v>80</v>
      </c>
      <c r="G40" s="171" t="s">
        <v>100</v>
      </c>
      <c r="H40" s="28" t="s">
        <v>105</v>
      </c>
      <c r="I40" s="25" t="s">
        <v>211</v>
      </c>
      <c r="J40" s="103"/>
      <c r="K40" s="103"/>
      <c r="L40" s="255">
        <v>46153</v>
      </c>
      <c r="M40" s="30">
        <v>46159</v>
      </c>
    </row>
    <row r="41" spans="1:13">
      <c r="A41" s="28" t="str">
        <f t="shared" ref="A41:A74" si="0">"5."&amp;D41&amp;"."&amp;B41</f>
        <v>5.Didital Twin.41</v>
      </c>
      <c r="B41" s="110" t="s">
        <v>550</v>
      </c>
      <c r="C41" s="28" t="s">
        <v>12</v>
      </c>
      <c r="D41" s="28" t="s">
        <v>549</v>
      </c>
      <c r="E41" s="68" t="s">
        <v>448</v>
      </c>
      <c r="F41" s="88" t="s">
        <v>80</v>
      </c>
      <c r="G41" s="172" t="s">
        <v>118</v>
      </c>
      <c r="H41" s="28" t="s">
        <v>105</v>
      </c>
      <c r="I41" s="25" t="s">
        <v>211</v>
      </c>
      <c r="J41" s="25"/>
      <c r="K41" s="25"/>
      <c r="L41" s="31">
        <v>46160</v>
      </c>
      <c r="M41" s="30">
        <v>46166</v>
      </c>
    </row>
    <row r="42" spans="1:13">
      <c r="A42" s="28" t="str">
        <f t="shared" si="0"/>
        <v>5.Didital Twin.42</v>
      </c>
      <c r="B42" s="110" t="s">
        <v>551</v>
      </c>
      <c r="C42" s="28" t="s">
        <v>12</v>
      </c>
      <c r="D42" s="28" t="s">
        <v>549</v>
      </c>
      <c r="E42" s="68" t="s">
        <v>448</v>
      </c>
      <c r="F42" s="88" t="s">
        <v>80</v>
      </c>
      <c r="G42" s="68" t="s">
        <v>130</v>
      </c>
      <c r="H42" s="28" t="s">
        <v>105</v>
      </c>
      <c r="I42" s="25" t="s">
        <v>211</v>
      </c>
      <c r="J42" s="25"/>
      <c r="K42" s="25"/>
      <c r="L42" s="31">
        <v>46167</v>
      </c>
      <c r="M42" s="30">
        <v>46201</v>
      </c>
    </row>
    <row r="43" spans="1:13">
      <c r="A43" s="28" t="str">
        <f t="shared" si="0"/>
        <v>5.Didital Twin.43</v>
      </c>
      <c r="B43" s="110" t="s">
        <v>552</v>
      </c>
      <c r="C43" s="28" t="s">
        <v>12</v>
      </c>
      <c r="D43" s="28" t="s">
        <v>549</v>
      </c>
      <c r="E43" s="68" t="s">
        <v>448</v>
      </c>
      <c r="F43" s="88" t="s">
        <v>80</v>
      </c>
      <c r="G43" s="68" t="s">
        <v>142</v>
      </c>
      <c r="H43" s="28" t="s">
        <v>105</v>
      </c>
      <c r="I43" s="25" t="s">
        <v>211</v>
      </c>
      <c r="J43" s="25"/>
      <c r="K43" s="25"/>
      <c r="L43" s="31">
        <v>46202</v>
      </c>
      <c r="M43" s="30">
        <v>46206</v>
      </c>
    </row>
    <row r="44" spans="1:13">
      <c r="A44" s="28" t="str">
        <f t="shared" si="0"/>
        <v>5.Didital Twin.44</v>
      </c>
      <c r="B44" s="110" t="s">
        <v>553</v>
      </c>
      <c r="C44" s="28" t="s">
        <v>12</v>
      </c>
      <c r="D44" s="28" t="s">
        <v>549</v>
      </c>
      <c r="E44" s="68" t="s">
        <v>448</v>
      </c>
      <c r="F44" s="88" t="s">
        <v>80</v>
      </c>
      <c r="G44" s="68" t="s">
        <v>153</v>
      </c>
      <c r="H44" s="28" t="s">
        <v>105</v>
      </c>
      <c r="I44" s="25" t="s">
        <v>211</v>
      </c>
      <c r="J44" s="25"/>
      <c r="K44" s="25"/>
      <c r="L44" s="31">
        <v>46207</v>
      </c>
      <c r="M44" s="30">
        <v>46210</v>
      </c>
    </row>
    <row r="45" spans="1:13">
      <c r="A45" s="28" t="str">
        <f t="shared" si="0"/>
        <v>5.Didital Twin.45</v>
      </c>
      <c r="B45" s="110" t="s">
        <v>554</v>
      </c>
      <c r="C45" s="28" t="s">
        <v>12</v>
      </c>
      <c r="D45" s="28" t="s">
        <v>549</v>
      </c>
      <c r="E45" s="68" t="s">
        <v>448</v>
      </c>
      <c r="F45" s="88" t="s">
        <v>80</v>
      </c>
      <c r="G45" s="72" t="s">
        <v>161</v>
      </c>
      <c r="H45" s="28" t="s">
        <v>105</v>
      </c>
      <c r="I45" s="25" t="s">
        <v>211</v>
      </c>
      <c r="J45" s="25"/>
      <c r="K45" s="25"/>
      <c r="L45" s="31">
        <v>46211</v>
      </c>
      <c r="M45" s="30">
        <v>46212</v>
      </c>
    </row>
    <row r="46" spans="1:13">
      <c r="A46" s="28" t="str">
        <f t="shared" si="0"/>
        <v>5.Didital Twin.46</v>
      </c>
      <c r="B46" s="110" t="s">
        <v>555</v>
      </c>
      <c r="C46" s="28" t="s">
        <v>12</v>
      </c>
      <c r="D46" s="28" t="s">
        <v>549</v>
      </c>
      <c r="E46" s="68" t="s">
        <v>448</v>
      </c>
      <c r="F46" s="271" t="s">
        <v>80</v>
      </c>
      <c r="G46" s="68" t="s">
        <v>171</v>
      </c>
      <c r="H46" s="100" t="s">
        <v>105</v>
      </c>
      <c r="I46" s="25" t="s">
        <v>211</v>
      </c>
      <c r="J46" s="25"/>
      <c r="K46" s="25"/>
      <c r="L46" s="31">
        <v>46213</v>
      </c>
      <c r="M46" s="170">
        <v>46214</v>
      </c>
    </row>
    <row r="47" spans="1:13">
      <c r="A47" s="28" t="str">
        <f t="shared" si="0"/>
        <v>5.Didital Twin.47</v>
      </c>
      <c r="B47" s="110" t="s">
        <v>556</v>
      </c>
      <c r="C47" s="142" t="s">
        <v>12</v>
      </c>
      <c r="D47" s="141" t="s">
        <v>549</v>
      </c>
      <c r="E47" s="193" t="s">
        <v>449</v>
      </c>
      <c r="F47" s="272" t="s">
        <v>80</v>
      </c>
      <c r="G47" s="194" t="s">
        <v>100</v>
      </c>
      <c r="H47" s="141" t="s">
        <v>105</v>
      </c>
      <c r="I47" s="195" t="s">
        <v>211</v>
      </c>
      <c r="J47" s="196" t="s">
        <v>557</v>
      </c>
      <c r="K47" s="196" t="s">
        <v>557</v>
      </c>
      <c r="L47" s="256">
        <v>46216</v>
      </c>
      <c r="M47" s="197">
        <v>46218</v>
      </c>
    </row>
    <row r="48" spans="1:13">
      <c r="A48" s="28" t="str">
        <f t="shared" si="0"/>
        <v>5.Didital Twin.48</v>
      </c>
      <c r="B48" s="110" t="s">
        <v>558</v>
      </c>
      <c r="C48" s="142" t="s">
        <v>12</v>
      </c>
      <c r="D48" s="198" t="s">
        <v>549</v>
      </c>
      <c r="E48" s="194" t="s">
        <v>449</v>
      </c>
      <c r="F48" s="273" t="s">
        <v>80</v>
      </c>
      <c r="G48" s="194" t="s">
        <v>118</v>
      </c>
      <c r="H48" s="198" t="s">
        <v>105</v>
      </c>
      <c r="I48" s="199" t="s">
        <v>211</v>
      </c>
      <c r="J48" s="196" t="s">
        <v>557</v>
      </c>
      <c r="K48" s="196" t="s">
        <v>557</v>
      </c>
      <c r="L48" s="257">
        <v>46219</v>
      </c>
      <c r="M48" s="197">
        <v>46221</v>
      </c>
    </row>
    <row r="49" spans="1:13">
      <c r="A49" s="28" t="str">
        <f t="shared" si="0"/>
        <v>5.Didital Twin.49</v>
      </c>
      <c r="B49" s="110" t="s">
        <v>559</v>
      </c>
      <c r="C49" s="142" t="s">
        <v>12</v>
      </c>
      <c r="D49" s="198" t="s">
        <v>549</v>
      </c>
      <c r="E49" s="194" t="s">
        <v>449</v>
      </c>
      <c r="F49" s="273" t="s">
        <v>80</v>
      </c>
      <c r="G49" s="194" t="s">
        <v>130</v>
      </c>
      <c r="H49" s="198" t="s">
        <v>105</v>
      </c>
      <c r="I49" s="199" t="s">
        <v>211</v>
      </c>
      <c r="J49" s="196" t="s">
        <v>557</v>
      </c>
      <c r="K49" s="196" t="s">
        <v>557</v>
      </c>
      <c r="L49" s="257">
        <v>46223</v>
      </c>
      <c r="M49" s="197">
        <v>46244</v>
      </c>
    </row>
    <row r="50" spans="1:13">
      <c r="A50" s="28" t="str">
        <f t="shared" si="0"/>
        <v>5.Didital Twin.50</v>
      </c>
      <c r="B50" s="110" t="s">
        <v>560</v>
      </c>
      <c r="C50" s="142" t="s">
        <v>12</v>
      </c>
      <c r="D50" s="198" t="s">
        <v>549</v>
      </c>
      <c r="E50" s="194" t="s">
        <v>449</v>
      </c>
      <c r="F50" s="273" t="s">
        <v>80</v>
      </c>
      <c r="G50" s="194" t="s">
        <v>142</v>
      </c>
      <c r="H50" s="198" t="s">
        <v>105</v>
      </c>
      <c r="I50" s="199" t="s">
        <v>211</v>
      </c>
      <c r="J50" s="196" t="s">
        <v>557</v>
      </c>
      <c r="K50" s="196" t="s">
        <v>557</v>
      </c>
      <c r="L50" s="257">
        <v>46245</v>
      </c>
      <c r="M50" s="197">
        <v>46247</v>
      </c>
    </row>
    <row r="51" spans="1:13">
      <c r="A51" s="28" t="str">
        <f t="shared" si="0"/>
        <v>5.Didital Twin.51</v>
      </c>
      <c r="B51" s="110" t="s">
        <v>561</v>
      </c>
      <c r="C51" s="142" t="s">
        <v>12</v>
      </c>
      <c r="D51" s="198" t="s">
        <v>549</v>
      </c>
      <c r="E51" s="194" t="s">
        <v>449</v>
      </c>
      <c r="F51" s="273" t="s">
        <v>80</v>
      </c>
      <c r="G51" s="194" t="s">
        <v>153</v>
      </c>
      <c r="H51" s="198" t="s">
        <v>105</v>
      </c>
      <c r="I51" s="199" t="s">
        <v>211</v>
      </c>
      <c r="J51" s="196" t="s">
        <v>557</v>
      </c>
      <c r="K51" s="196" t="s">
        <v>557</v>
      </c>
      <c r="L51" s="257">
        <v>46248</v>
      </c>
      <c r="M51" s="197">
        <v>46249</v>
      </c>
    </row>
    <row r="52" spans="1:13">
      <c r="A52" s="28" t="str">
        <f t="shared" si="0"/>
        <v>5.Didital Twin.52</v>
      </c>
      <c r="B52" s="110" t="s">
        <v>562</v>
      </c>
      <c r="C52" s="142" t="s">
        <v>12</v>
      </c>
      <c r="D52" s="198" t="s">
        <v>549</v>
      </c>
      <c r="E52" s="194" t="s">
        <v>449</v>
      </c>
      <c r="F52" s="273" t="s">
        <v>80</v>
      </c>
      <c r="G52" s="194" t="s">
        <v>161</v>
      </c>
      <c r="H52" s="198" t="s">
        <v>105</v>
      </c>
      <c r="I52" s="199" t="s">
        <v>211</v>
      </c>
      <c r="J52" s="196" t="s">
        <v>557</v>
      </c>
      <c r="K52" s="196" t="s">
        <v>557</v>
      </c>
      <c r="L52" s="257">
        <v>46251</v>
      </c>
      <c r="M52" s="197">
        <v>46251</v>
      </c>
    </row>
    <row r="53" spans="1:13">
      <c r="A53" s="28" t="str">
        <f t="shared" si="0"/>
        <v>5.Didital Twin.53</v>
      </c>
      <c r="B53" s="110" t="s">
        <v>563</v>
      </c>
      <c r="C53" s="142" t="s">
        <v>12</v>
      </c>
      <c r="D53" s="198" t="s">
        <v>549</v>
      </c>
      <c r="E53" s="194" t="s">
        <v>449</v>
      </c>
      <c r="F53" s="273" t="s">
        <v>80</v>
      </c>
      <c r="G53" s="194" t="s">
        <v>171</v>
      </c>
      <c r="H53" s="198" t="s">
        <v>105</v>
      </c>
      <c r="I53" s="199" t="s">
        <v>211</v>
      </c>
      <c r="J53" s="196" t="s">
        <v>557</v>
      </c>
      <c r="K53" s="196" t="s">
        <v>557</v>
      </c>
      <c r="L53" s="257">
        <v>46252</v>
      </c>
      <c r="M53" s="197">
        <v>46252</v>
      </c>
    </row>
    <row r="54" spans="1:13">
      <c r="A54" s="28" t="str">
        <f t="shared" si="0"/>
        <v>5.Didital Twin.54</v>
      </c>
      <c r="B54" s="110" t="s">
        <v>564</v>
      </c>
      <c r="C54" s="142" t="s">
        <v>12</v>
      </c>
      <c r="D54" s="198" t="s">
        <v>549</v>
      </c>
      <c r="E54" s="194" t="s">
        <v>450</v>
      </c>
      <c r="F54" s="273" t="s">
        <v>80</v>
      </c>
      <c r="G54" s="194" t="s">
        <v>100</v>
      </c>
      <c r="H54" s="198" t="s">
        <v>105</v>
      </c>
      <c r="I54" s="199" t="s">
        <v>211</v>
      </c>
      <c r="J54" s="196" t="s">
        <v>557</v>
      </c>
      <c r="K54" s="196" t="s">
        <v>557</v>
      </c>
      <c r="L54" s="257">
        <v>46253</v>
      </c>
      <c r="M54" s="197">
        <v>46255</v>
      </c>
    </row>
    <row r="55" spans="1:13">
      <c r="A55" s="28" t="str">
        <f t="shared" si="0"/>
        <v>5.Didital Twin.55</v>
      </c>
      <c r="B55" s="110" t="s">
        <v>565</v>
      </c>
      <c r="C55" s="142" t="s">
        <v>12</v>
      </c>
      <c r="D55" s="198" t="s">
        <v>549</v>
      </c>
      <c r="E55" s="194" t="s">
        <v>450</v>
      </c>
      <c r="F55" s="273" t="s">
        <v>80</v>
      </c>
      <c r="G55" s="194" t="s">
        <v>118</v>
      </c>
      <c r="H55" s="198" t="s">
        <v>105</v>
      </c>
      <c r="I55" s="199" t="s">
        <v>211</v>
      </c>
      <c r="J55" s="196" t="s">
        <v>557</v>
      </c>
      <c r="K55" s="196" t="s">
        <v>557</v>
      </c>
      <c r="L55" s="257">
        <v>46256</v>
      </c>
      <c r="M55" s="197">
        <v>46259</v>
      </c>
    </row>
    <row r="56" spans="1:13">
      <c r="A56" s="28" t="str">
        <f t="shared" si="0"/>
        <v>5.Didital Twin.56</v>
      </c>
      <c r="B56" s="110" t="s">
        <v>566</v>
      </c>
      <c r="C56" s="142" t="s">
        <v>12</v>
      </c>
      <c r="D56" s="198" t="s">
        <v>549</v>
      </c>
      <c r="E56" s="194" t="s">
        <v>450</v>
      </c>
      <c r="F56" s="273" t="s">
        <v>80</v>
      </c>
      <c r="G56" s="194" t="s">
        <v>130</v>
      </c>
      <c r="H56" s="198" t="s">
        <v>105</v>
      </c>
      <c r="I56" s="199" t="s">
        <v>211</v>
      </c>
      <c r="J56" s="196" t="s">
        <v>557</v>
      </c>
      <c r="K56" s="196" t="s">
        <v>557</v>
      </c>
      <c r="L56" s="257">
        <v>46260</v>
      </c>
      <c r="M56" s="197">
        <v>46281</v>
      </c>
    </row>
    <row r="57" spans="1:13">
      <c r="A57" s="28" t="str">
        <f t="shared" si="0"/>
        <v>5.Didital Twin.57</v>
      </c>
      <c r="B57" s="110" t="s">
        <v>567</v>
      </c>
      <c r="C57" s="142" t="s">
        <v>12</v>
      </c>
      <c r="D57" s="198" t="s">
        <v>549</v>
      </c>
      <c r="E57" s="194" t="s">
        <v>450</v>
      </c>
      <c r="F57" s="273" t="s">
        <v>80</v>
      </c>
      <c r="G57" s="194" t="s">
        <v>142</v>
      </c>
      <c r="H57" s="198" t="s">
        <v>105</v>
      </c>
      <c r="I57" s="199" t="s">
        <v>211</v>
      </c>
      <c r="J57" s="196" t="s">
        <v>557</v>
      </c>
      <c r="K57" s="196" t="s">
        <v>557</v>
      </c>
      <c r="L57" s="257">
        <v>46282</v>
      </c>
      <c r="M57" s="197">
        <v>46284</v>
      </c>
    </row>
    <row r="58" spans="1:13">
      <c r="A58" s="28" t="str">
        <f t="shared" si="0"/>
        <v>5.Didital Twin.58</v>
      </c>
      <c r="B58" s="110" t="s">
        <v>568</v>
      </c>
      <c r="C58" s="142" t="s">
        <v>12</v>
      </c>
      <c r="D58" s="198" t="s">
        <v>549</v>
      </c>
      <c r="E58" s="194" t="s">
        <v>450</v>
      </c>
      <c r="F58" s="273" t="s">
        <v>80</v>
      </c>
      <c r="G58" s="194" t="s">
        <v>153</v>
      </c>
      <c r="H58" s="198" t="s">
        <v>105</v>
      </c>
      <c r="I58" s="199" t="s">
        <v>211</v>
      </c>
      <c r="J58" s="196" t="s">
        <v>557</v>
      </c>
      <c r="K58" s="196" t="s">
        <v>557</v>
      </c>
      <c r="L58" s="257">
        <v>46286</v>
      </c>
      <c r="M58" s="197">
        <v>46287</v>
      </c>
    </row>
    <row r="59" spans="1:13">
      <c r="A59" s="28" t="str">
        <f t="shared" si="0"/>
        <v>5.Didital Twin.59</v>
      </c>
      <c r="B59" s="110" t="s">
        <v>569</v>
      </c>
      <c r="C59" s="142" t="s">
        <v>12</v>
      </c>
      <c r="D59" s="198" t="s">
        <v>549</v>
      </c>
      <c r="E59" s="194" t="s">
        <v>450</v>
      </c>
      <c r="F59" s="273" t="s">
        <v>80</v>
      </c>
      <c r="G59" s="194" t="s">
        <v>161</v>
      </c>
      <c r="H59" s="198" t="s">
        <v>105</v>
      </c>
      <c r="I59" s="199" t="s">
        <v>211</v>
      </c>
      <c r="J59" s="196" t="s">
        <v>557</v>
      </c>
      <c r="K59" s="196" t="s">
        <v>557</v>
      </c>
      <c r="L59" s="257">
        <v>46288</v>
      </c>
      <c r="M59" s="197">
        <v>46288</v>
      </c>
    </row>
    <row r="60" spans="1:13">
      <c r="A60" s="28" t="str">
        <f t="shared" si="0"/>
        <v>5.Didital Twin.60</v>
      </c>
      <c r="B60" s="110" t="s">
        <v>570</v>
      </c>
      <c r="C60" s="142" t="s">
        <v>12</v>
      </c>
      <c r="D60" s="198" t="s">
        <v>549</v>
      </c>
      <c r="E60" s="194" t="s">
        <v>450</v>
      </c>
      <c r="F60" s="273" t="s">
        <v>80</v>
      </c>
      <c r="G60" s="194" t="s">
        <v>171</v>
      </c>
      <c r="H60" s="198" t="s">
        <v>105</v>
      </c>
      <c r="I60" s="199" t="s">
        <v>211</v>
      </c>
      <c r="J60" s="196" t="s">
        <v>557</v>
      </c>
      <c r="K60" s="196" t="s">
        <v>557</v>
      </c>
      <c r="L60" s="257">
        <v>46289</v>
      </c>
      <c r="M60" s="197">
        <v>46289</v>
      </c>
    </row>
    <row r="61" spans="1:13">
      <c r="A61" s="28" t="str">
        <f t="shared" si="0"/>
        <v>5.Didital Twin.61</v>
      </c>
      <c r="B61" s="110" t="s">
        <v>571</v>
      </c>
      <c r="C61" s="142" t="s">
        <v>12</v>
      </c>
      <c r="D61" s="198" t="s">
        <v>549</v>
      </c>
      <c r="E61" s="194" t="s">
        <v>451</v>
      </c>
      <c r="F61" s="273" t="s">
        <v>80</v>
      </c>
      <c r="G61" s="194" t="s">
        <v>100</v>
      </c>
      <c r="H61" s="198" t="s">
        <v>105</v>
      </c>
      <c r="I61" s="199" t="s">
        <v>211</v>
      </c>
      <c r="J61" s="196" t="s">
        <v>557</v>
      </c>
      <c r="K61" s="196" t="s">
        <v>557</v>
      </c>
      <c r="L61" s="257">
        <v>46290</v>
      </c>
      <c r="M61" s="197">
        <v>46293</v>
      </c>
    </row>
    <row r="62" spans="1:13">
      <c r="A62" s="28" t="str">
        <f t="shared" si="0"/>
        <v>5.Didital Twin.62</v>
      </c>
      <c r="B62" s="110" t="s">
        <v>572</v>
      </c>
      <c r="C62" s="142" t="s">
        <v>12</v>
      </c>
      <c r="D62" s="198" t="s">
        <v>549</v>
      </c>
      <c r="E62" s="194" t="s">
        <v>451</v>
      </c>
      <c r="F62" s="273" t="s">
        <v>80</v>
      </c>
      <c r="G62" s="194" t="s">
        <v>118</v>
      </c>
      <c r="H62" s="198" t="s">
        <v>105</v>
      </c>
      <c r="I62" s="199" t="s">
        <v>211</v>
      </c>
      <c r="J62" s="196" t="s">
        <v>557</v>
      </c>
      <c r="K62" s="196" t="s">
        <v>557</v>
      </c>
      <c r="L62" s="257">
        <v>46294</v>
      </c>
      <c r="M62" s="197">
        <v>46296</v>
      </c>
    </row>
    <row r="63" spans="1:13">
      <c r="A63" s="28" t="str">
        <f t="shared" si="0"/>
        <v>5.Didital Twin.63</v>
      </c>
      <c r="B63" s="110" t="s">
        <v>573</v>
      </c>
      <c r="C63" s="142" t="s">
        <v>12</v>
      </c>
      <c r="D63" s="200" t="s">
        <v>549</v>
      </c>
      <c r="E63" s="201" t="s">
        <v>451</v>
      </c>
      <c r="F63" s="274" t="s">
        <v>80</v>
      </c>
      <c r="G63" s="201" t="s">
        <v>130</v>
      </c>
      <c r="H63" s="200" t="s">
        <v>105</v>
      </c>
      <c r="I63" s="202" t="s">
        <v>211</v>
      </c>
      <c r="J63" s="203" t="s">
        <v>557</v>
      </c>
      <c r="K63" s="203" t="s">
        <v>557</v>
      </c>
      <c r="L63" s="258">
        <v>46297</v>
      </c>
      <c r="M63" s="197">
        <v>46318</v>
      </c>
    </row>
    <row r="64" spans="1:13">
      <c r="A64" s="28" t="str">
        <f t="shared" si="0"/>
        <v>5.Didital Twin.64</v>
      </c>
      <c r="B64" s="110" t="s">
        <v>574</v>
      </c>
      <c r="C64" s="204" t="s">
        <v>12</v>
      </c>
      <c r="D64" s="204" t="s">
        <v>549</v>
      </c>
      <c r="E64" s="205" t="s">
        <v>451</v>
      </c>
      <c r="F64" s="275" t="s">
        <v>80</v>
      </c>
      <c r="G64" s="205" t="s">
        <v>142</v>
      </c>
      <c r="H64" s="204" t="s">
        <v>105</v>
      </c>
      <c r="I64" s="204" t="s">
        <v>211</v>
      </c>
      <c r="J64" s="204" t="s">
        <v>557</v>
      </c>
      <c r="K64" s="204" t="s">
        <v>557</v>
      </c>
      <c r="L64" s="259">
        <v>46319</v>
      </c>
      <c r="M64" s="197">
        <v>46322</v>
      </c>
    </row>
    <row r="65" spans="1:13">
      <c r="A65" s="28" t="str">
        <f t="shared" si="0"/>
        <v>5.Didital Twin.65</v>
      </c>
      <c r="B65" s="110" t="s">
        <v>575</v>
      </c>
      <c r="C65" s="206" t="s">
        <v>12</v>
      </c>
      <c r="D65" s="206" t="s">
        <v>549</v>
      </c>
      <c r="E65" s="207" t="s">
        <v>451</v>
      </c>
      <c r="F65" s="276" t="s">
        <v>80</v>
      </c>
      <c r="G65" s="207" t="s">
        <v>153</v>
      </c>
      <c r="H65" s="206" t="s">
        <v>105</v>
      </c>
      <c r="I65" s="206" t="s">
        <v>211</v>
      </c>
      <c r="J65" s="206" t="s">
        <v>557</v>
      </c>
      <c r="K65" s="206" t="s">
        <v>557</v>
      </c>
      <c r="L65" s="260">
        <v>46323</v>
      </c>
      <c r="M65" s="317">
        <v>46324</v>
      </c>
    </row>
    <row r="66" spans="1:13">
      <c r="A66" s="28" t="str">
        <f t="shared" si="0"/>
        <v>5.Didital Twin.66</v>
      </c>
      <c r="B66" s="110" t="s">
        <v>576</v>
      </c>
      <c r="C66" s="206" t="s">
        <v>12</v>
      </c>
      <c r="D66" s="206" t="s">
        <v>549</v>
      </c>
      <c r="E66" s="207" t="s">
        <v>451</v>
      </c>
      <c r="F66" s="276" t="s">
        <v>80</v>
      </c>
      <c r="G66" s="207" t="s">
        <v>161</v>
      </c>
      <c r="H66" s="206" t="s">
        <v>105</v>
      </c>
      <c r="I66" s="206" t="s">
        <v>211</v>
      </c>
      <c r="J66" s="206" t="s">
        <v>557</v>
      </c>
      <c r="K66" s="206" t="s">
        <v>557</v>
      </c>
      <c r="L66" s="260">
        <v>46325</v>
      </c>
      <c r="M66" s="197">
        <v>46325</v>
      </c>
    </row>
    <row r="67" spans="1:13">
      <c r="A67" s="28" t="str">
        <f t="shared" si="0"/>
        <v>5.Didital Twin.67</v>
      </c>
      <c r="B67" s="110" t="s">
        <v>577</v>
      </c>
      <c r="C67" s="206" t="s">
        <v>12</v>
      </c>
      <c r="D67" s="206" t="s">
        <v>549</v>
      </c>
      <c r="E67" s="207" t="s">
        <v>451</v>
      </c>
      <c r="F67" s="276" t="s">
        <v>80</v>
      </c>
      <c r="G67" s="207" t="s">
        <v>171</v>
      </c>
      <c r="H67" s="206" t="s">
        <v>105</v>
      </c>
      <c r="I67" s="206" t="s">
        <v>211</v>
      </c>
      <c r="J67" s="206" t="s">
        <v>557</v>
      </c>
      <c r="K67" s="206" t="s">
        <v>557</v>
      </c>
      <c r="L67" s="260">
        <v>46326</v>
      </c>
      <c r="M67" s="197">
        <v>46326</v>
      </c>
    </row>
    <row r="68" spans="1:13">
      <c r="A68" s="28" t="str">
        <f t="shared" si="0"/>
        <v>5.Revit.68</v>
      </c>
      <c r="B68" s="110" t="s">
        <v>578</v>
      </c>
      <c r="C68" s="206" t="s">
        <v>12</v>
      </c>
      <c r="D68" s="28" t="s">
        <v>98</v>
      </c>
      <c r="E68" s="101" t="s">
        <v>447</v>
      </c>
      <c r="F68" s="271" t="s">
        <v>80</v>
      </c>
      <c r="G68" s="68" t="s">
        <v>100</v>
      </c>
      <c r="H68" s="100" t="s">
        <v>105</v>
      </c>
      <c r="I68" s="25" t="s">
        <v>267</v>
      </c>
      <c r="J68" s="25"/>
      <c r="K68" s="25"/>
      <c r="L68" s="279">
        <v>46176</v>
      </c>
      <c r="M68" s="30">
        <v>46176</v>
      </c>
    </row>
    <row r="69" spans="1:13">
      <c r="A69" s="28" t="str">
        <f t="shared" si="0"/>
        <v>5.Revit.69</v>
      </c>
      <c r="B69" s="110" t="s">
        <v>579</v>
      </c>
      <c r="C69" s="206" t="s">
        <v>12</v>
      </c>
      <c r="D69" s="28" t="s">
        <v>98</v>
      </c>
      <c r="E69" s="101" t="s">
        <v>447</v>
      </c>
      <c r="F69" s="271" t="s">
        <v>80</v>
      </c>
      <c r="G69" s="68" t="s">
        <v>118</v>
      </c>
      <c r="H69" s="100" t="s">
        <v>105</v>
      </c>
      <c r="I69" s="25" t="s">
        <v>267</v>
      </c>
      <c r="J69" s="25"/>
      <c r="K69" s="25"/>
      <c r="L69" s="31">
        <v>46176</v>
      </c>
      <c r="M69" s="30">
        <v>46176</v>
      </c>
    </row>
    <row r="70" spans="1:13">
      <c r="A70" s="28" t="str">
        <f t="shared" si="0"/>
        <v>5.Revit.70</v>
      </c>
      <c r="B70" s="110" t="s">
        <v>580</v>
      </c>
      <c r="C70" s="206" t="s">
        <v>12</v>
      </c>
      <c r="D70" s="28" t="s">
        <v>98</v>
      </c>
      <c r="E70" s="101" t="s">
        <v>447</v>
      </c>
      <c r="F70" s="271" t="s">
        <v>80</v>
      </c>
      <c r="G70" s="68" t="s">
        <v>130</v>
      </c>
      <c r="H70" s="100" t="s">
        <v>105</v>
      </c>
      <c r="I70" s="25" t="s">
        <v>267</v>
      </c>
      <c r="J70" s="25"/>
      <c r="K70" s="25"/>
      <c r="L70" s="255"/>
      <c r="M70" s="170"/>
    </row>
    <row r="71" spans="1:13">
      <c r="A71" s="28" t="str">
        <f t="shared" si="0"/>
        <v>5.Revit.71</v>
      </c>
      <c r="B71" s="110" t="s">
        <v>581</v>
      </c>
      <c r="C71" s="206" t="s">
        <v>12</v>
      </c>
      <c r="D71" s="28" t="s">
        <v>98</v>
      </c>
      <c r="E71" s="101" t="s">
        <v>447</v>
      </c>
      <c r="F71" s="271" t="s">
        <v>80</v>
      </c>
      <c r="G71" s="68" t="s">
        <v>142</v>
      </c>
      <c r="H71" s="100" t="s">
        <v>105</v>
      </c>
      <c r="I71" s="25" t="s">
        <v>267</v>
      </c>
      <c r="J71" s="25"/>
      <c r="K71" s="25"/>
      <c r="L71" s="170"/>
      <c r="M71" s="318"/>
    </row>
    <row r="72" spans="1:13">
      <c r="A72" s="28" t="str">
        <f t="shared" si="0"/>
        <v>5.Revit.72</v>
      </c>
      <c r="B72" s="110" t="s">
        <v>582</v>
      </c>
      <c r="C72" s="206" t="s">
        <v>12</v>
      </c>
      <c r="D72" s="28" t="s">
        <v>98</v>
      </c>
      <c r="E72" s="101" t="s">
        <v>447</v>
      </c>
      <c r="F72" s="271" t="s">
        <v>80</v>
      </c>
      <c r="G72" s="68" t="s">
        <v>153</v>
      </c>
      <c r="H72" s="100" t="s">
        <v>105</v>
      </c>
      <c r="I72" s="25" t="s">
        <v>267</v>
      </c>
      <c r="J72" s="25"/>
      <c r="K72" s="25"/>
      <c r="L72" s="170"/>
      <c r="M72" s="170"/>
    </row>
    <row r="73" spans="1:13">
      <c r="A73" s="28" t="str">
        <f t="shared" si="0"/>
        <v>5.Revit.73</v>
      </c>
      <c r="B73" s="110" t="s">
        <v>583</v>
      </c>
      <c r="C73" s="206" t="s">
        <v>12</v>
      </c>
      <c r="D73" s="28" t="s">
        <v>98</v>
      </c>
      <c r="E73" s="101" t="s">
        <v>447</v>
      </c>
      <c r="F73" s="271" t="s">
        <v>80</v>
      </c>
      <c r="G73" s="68" t="s">
        <v>161</v>
      </c>
      <c r="H73" s="100" t="s">
        <v>105</v>
      </c>
      <c r="I73" s="25" t="s">
        <v>267</v>
      </c>
      <c r="J73" s="25"/>
      <c r="K73" s="25"/>
      <c r="L73" s="170"/>
      <c r="M73" s="170"/>
    </row>
    <row r="74" spans="1:13">
      <c r="A74" s="28" t="str">
        <f t="shared" si="0"/>
        <v>5.Revit.74</v>
      </c>
      <c r="B74" s="110" t="s">
        <v>584</v>
      </c>
      <c r="C74" s="206" t="s">
        <v>12</v>
      </c>
      <c r="D74" s="28" t="s">
        <v>98</v>
      </c>
      <c r="E74" s="101" t="s">
        <v>447</v>
      </c>
      <c r="F74" s="271" t="s">
        <v>80</v>
      </c>
      <c r="G74" s="68" t="s">
        <v>171</v>
      </c>
      <c r="H74" s="100" t="s">
        <v>105</v>
      </c>
      <c r="I74" s="25" t="s">
        <v>267</v>
      </c>
      <c r="J74" s="25"/>
      <c r="K74" s="25"/>
      <c r="L74" s="170"/>
      <c r="M74" s="280">
        <v>46178</v>
      </c>
    </row>
    <row r="75" spans="1:13">
      <c r="A75" s="28" t="str">
        <f>"5."&amp;D75&amp;"."&amp;B75</f>
        <v>5.Web App.75</v>
      </c>
      <c r="B75" s="110" t="s">
        <v>585</v>
      </c>
      <c r="C75" s="206" t="s">
        <v>12</v>
      </c>
      <c r="D75" s="28" t="s">
        <v>444</v>
      </c>
      <c r="E75" s="68" t="s">
        <v>452</v>
      </c>
      <c r="F75" s="271" t="s">
        <v>80</v>
      </c>
      <c r="G75" s="68" t="s">
        <v>130</v>
      </c>
      <c r="H75" s="100" t="s">
        <v>105</v>
      </c>
      <c r="I75" s="25" t="s">
        <v>211</v>
      </c>
      <c r="J75" s="25"/>
      <c r="K75" s="25"/>
      <c r="L75" s="280">
        <v>46176</v>
      </c>
      <c r="M75" s="170"/>
    </row>
    <row r="76" spans="1:13">
      <c r="A76" s="28" t="str">
        <f t="shared" ref="A76" si="1">"5."&amp;D76&amp;"."&amp;B76</f>
        <v>5.Web App.76</v>
      </c>
      <c r="B76" s="110" t="s">
        <v>586</v>
      </c>
      <c r="C76" s="206" t="s">
        <v>12</v>
      </c>
      <c r="D76" s="28" t="s">
        <v>444</v>
      </c>
      <c r="E76" s="68" t="s">
        <v>452</v>
      </c>
      <c r="F76" s="271" t="s">
        <v>80</v>
      </c>
      <c r="G76" s="68" t="s">
        <v>142</v>
      </c>
      <c r="H76" s="100" t="s">
        <v>105</v>
      </c>
      <c r="I76" s="25" t="s">
        <v>211</v>
      </c>
      <c r="J76" s="25"/>
      <c r="K76" s="25"/>
      <c r="L76" s="170"/>
      <c r="M76" s="280">
        <v>46179</v>
      </c>
    </row>
    <row r="77" spans="1:13">
      <c r="A77" s="28"/>
      <c r="B77" s="110"/>
      <c r="C77" s="28"/>
      <c r="D77" s="28" t="s">
        <v>422</v>
      </c>
      <c r="E77" s="68" t="s">
        <v>453</v>
      </c>
      <c r="F77" s="271" t="s">
        <v>80</v>
      </c>
      <c r="G77" s="68" t="s">
        <v>100</v>
      </c>
      <c r="H77" s="100" t="s">
        <v>122</v>
      </c>
      <c r="I77" s="25" t="s">
        <v>267</v>
      </c>
      <c r="J77" s="25"/>
      <c r="K77" s="25"/>
      <c r="L77" s="30">
        <v>46181</v>
      </c>
      <c r="M77" s="30">
        <v>46181</v>
      </c>
    </row>
    <row r="78" spans="1:13">
      <c r="A78" s="28"/>
      <c r="B78" s="110"/>
      <c r="C78" s="28"/>
      <c r="D78" s="28"/>
      <c r="E78" s="68"/>
      <c r="F78" s="271"/>
      <c r="G78" s="68"/>
      <c r="H78" s="100"/>
      <c r="I78" s="25"/>
      <c r="J78" s="25"/>
      <c r="K78" s="25"/>
      <c r="L78" s="30"/>
      <c r="M78" s="30"/>
    </row>
    <row r="79" spans="1:13">
      <c r="A79" s="28"/>
      <c r="B79" s="110"/>
      <c r="C79" s="28"/>
      <c r="D79" s="28"/>
      <c r="E79" s="68"/>
      <c r="F79" s="271"/>
      <c r="G79" s="68"/>
      <c r="H79" s="100"/>
      <c r="I79" s="25"/>
      <c r="J79" s="25"/>
      <c r="K79" s="25"/>
      <c r="L79" s="30"/>
      <c r="M79" s="30"/>
    </row>
    <row r="80" spans="1:13">
      <c r="A80" s="28"/>
      <c r="B80" s="110"/>
      <c r="C80" s="28"/>
      <c r="D80" s="71"/>
      <c r="E80" s="72"/>
      <c r="F80" s="270"/>
      <c r="G80" s="72"/>
      <c r="H80" s="139"/>
      <c r="I80" s="143"/>
      <c r="J80" s="143"/>
      <c r="K80" s="143"/>
      <c r="L80" s="144"/>
      <c r="M80" s="144"/>
    </row>
    <row r="81" spans="1:13">
      <c r="A81" s="28"/>
      <c r="B81" s="110"/>
      <c r="C81" s="28"/>
      <c r="D81" s="71"/>
      <c r="E81" s="72"/>
      <c r="F81" s="270"/>
      <c r="G81" s="72"/>
      <c r="H81" s="139"/>
      <c r="I81" s="143"/>
      <c r="J81" s="143"/>
      <c r="K81" s="143"/>
      <c r="L81" s="144"/>
      <c r="M81" s="144"/>
    </row>
    <row r="82" spans="1:13">
      <c r="A82" s="28"/>
      <c r="B82" s="110"/>
      <c r="C82" s="28"/>
      <c r="D82" s="71"/>
      <c r="E82" s="72"/>
      <c r="F82" s="270"/>
      <c r="G82" s="72"/>
      <c r="H82" s="139"/>
      <c r="I82" s="143"/>
      <c r="J82" s="143"/>
      <c r="K82" s="143"/>
      <c r="L82" s="144"/>
      <c r="M82" s="144"/>
    </row>
    <row r="83" spans="1:13">
      <c r="A83" s="28"/>
      <c r="B83" s="110"/>
      <c r="C83" s="28"/>
      <c r="D83" s="71"/>
      <c r="E83" s="72"/>
      <c r="F83" s="270"/>
      <c r="G83" s="72"/>
      <c r="H83" s="139"/>
      <c r="I83" s="143"/>
      <c r="J83" s="143"/>
      <c r="K83" s="143"/>
      <c r="L83" s="144"/>
      <c r="M83" s="144"/>
    </row>
    <row r="84" spans="1:13">
      <c r="A84" s="28"/>
      <c r="B84" s="110"/>
      <c r="C84" s="28"/>
      <c r="D84" s="71"/>
      <c r="E84" s="72"/>
      <c r="F84" s="270"/>
      <c r="G84" s="72"/>
      <c r="H84" s="139"/>
      <c r="I84" s="143"/>
      <c r="J84" s="143"/>
      <c r="K84" s="143"/>
      <c r="L84" s="144"/>
      <c r="M84" s="144"/>
    </row>
    <row r="85" spans="1:13">
      <c r="A85" s="28"/>
      <c r="B85" s="110"/>
      <c r="C85" s="28"/>
      <c r="D85" s="71"/>
      <c r="E85" s="72"/>
      <c r="F85" s="270"/>
      <c r="G85" s="72"/>
      <c r="H85" s="139"/>
      <c r="I85" s="143"/>
      <c r="J85" s="143"/>
      <c r="K85" s="143"/>
      <c r="L85" s="144"/>
      <c r="M85" s="144"/>
    </row>
    <row r="86" spans="1:13">
      <c r="A86" s="28"/>
      <c r="B86" s="110"/>
      <c r="C86" s="53"/>
      <c r="D86" s="71"/>
      <c r="E86" s="72"/>
      <c r="F86" s="270"/>
      <c r="G86" s="72"/>
      <c r="H86" s="139"/>
      <c r="I86" s="143"/>
      <c r="J86" s="143"/>
      <c r="K86" s="143"/>
      <c r="L86" s="144"/>
      <c r="M86" s="144"/>
    </row>
    <row r="87" spans="1:13">
      <c r="A87" s="28"/>
      <c r="B87" s="110"/>
      <c r="C87" s="53"/>
      <c r="D87" s="71"/>
      <c r="E87" s="72"/>
      <c r="F87" s="270"/>
      <c r="G87" s="72"/>
      <c r="H87" s="139"/>
      <c r="I87" s="143"/>
      <c r="J87" s="143"/>
      <c r="K87" s="143"/>
      <c r="L87" s="144"/>
      <c r="M87" s="144"/>
    </row>
    <row r="88" spans="1:13">
      <c r="A88" s="28"/>
      <c r="B88" s="110"/>
      <c r="C88" s="53"/>
      <c r="D88" s="71"/>
      <c r="E88" s="72"/>
      <c r="F88" s="270"/>
      <c r="G88" s="72"/>
      <c r="H88" s="139"/>
      <c r="I88" s="143"/>
      <c r="J88" s="143"/>
      <c r="K88" s="143"/>
      <c r="L88" s="144"/>
      <c r="M88" s="144"/>
    </row>
    <row r="89" spans="1:13">
      <c r="A89" s="28"/>
      <c r="B89" s="110"/>
      <c r="C89" s="53"/>
      <c r="D89" s="71"/>
      <c r="E89" s="72"/>
      <c r="F89" s="270"/>
      <c r="G89" s="72"/>
      <c r="H89" s="139"/>
      <c r="I89" s="143"/>
      <c r="J89" s="143"/>
      <c r="K89" s="143"/>
      <c r="L89" s="144"/>
      <c r="M89" s="144"/>
    </row>
    <row r="90" spans="1:13">
      <c r="A90" s="28"/>
      <c r="B90" s="110"/>
      <c r="C90" s="53"/>
      <c r="D90" s="71"/>
      <c r="E90" s="72"/>
      <c r="F90" s="270"/>
      <c r="G90" s="72"/>
      <c r="H90" s="139"/>
      <c r="I90" s="143"/>
      <c r="J90" s="143"/>
      <c r="K90" s="143"/>
      <c r="L90" s="144"/>
      <c r="M90" s="144"/>
    </row>
    <row r="91" spans="1:13">
      <c r="A91" s="71"/>
      <c r="B91" s="324"/>
      <c r="C91" s="54"/>
      <c r="D91" s="71"/>
      <c r="E91" s="72"/>
      <c r="F91" s="270"/>
      <c r="G91" s="72"/>
      <c r="H91" s="139"/>
      <c r="I91" s="143"/>
      <c r="J91" s="143"/>
      <c r="K91" s="143"/>
      <c r="L91" s="144"/>
      <c r="M91" s="144"/>
    </row>
    <row r="92" spans="1:13">
      <c r="A92" s="28"/>
      <c r="B92" s="110"/>
      <c r="C92" s="28"/>
      <c r="D92" s="28"/>
      <c r="E92" s="68"/>
      <c r="F92" s="88"/>
      <c r="G92" s="68"/>
      <c r="H92" s="28"/>
      <c r="I92" s="20"/>
      <c r="J92" s="20"/>
      <c r="K92" s="20"/>
      <c r="L92" s="70"/>
      <c r="M92" s="70"/>
    </row>
    <row r="93" spans="1:13">
      <c r="A93" s="28"/>
      <c r="B93" s="28"/>
      <c r="C93" s="28"/>
      <c r="D93" s="28"/>
      <c r="E93" s="68"/>
      <c r="F93" s="88"/>
      <c r="G93" s="68"/>
      <c r="H93" s="28"/>
      <c r="I93" s="20"/>
      <c r="J93" s="20"/>
      <c r="K93" s="20"/>
      <c r="L93" s="70"/>
      <c r="M93" s="70"/>
    </row>
    <row r="94" spans="1:13">
      <c r="A94" s="28"/>
      <c r="B94" s="28"/>
      <c r="C94" s="28"/>
      <c r="D94" s="28"/>
      <c r="E94" s="68"/>
      <c r="F94" s="88"/>
      <c r="G94" s="68"/>
      <c r="H94" s="28"/>
      <c r="I94" s="20"/>
      <c r="J94" s="20"/>
      <c r="K94" s="20"/>
      <c r="L94" s="70"/>
      <c r="M94" s="70"/>
    </row>
    <row r="95" spans="1:13">
      <c r="A95" s="28"/>
      <c r="B95" s="28"/>
      <c r="C95" s="28"/>
      <c r="D95" s="28"/>
      <c r="E95" s="68"/>
      <c r="F95" s="88"/>
      <c r="G95" s="68"/>
      <c r="H95" s="28"/>
      <c r="I95" s="20"/>
      <c r="J95" s="20"/>
      <c r="K95" s="20"/>
      <c r="L95" s="70"/>
      <c r="M95" s="70"/>
    </row>
    <row r="96" spans="1:13">
      <c r="A96" s="28"/>
      <c r="B96" s="28"/>
      <c r="C96" s="28"/>
      <c r="D96" s="28"/>
      <c r="E96" s="68"/>
      <c r="F96" s="88"/>
      <c r="G96" s="68"/>
      <c r="H96" s="28"/>
      <c r="I96" s="20"/>
      <c r="J96" s="20"/>
      <c r="K96" s="20"/>
      <c r="L96" s="70"/>
      <c r="M96" s="70"/>
    </row>
    <row r="97" spans="1:13">
      <c r="A97" s="28"/>
      <c r="B97" s="28"/>
      <c r="C97" s="28"/>
      <c r="D97" s="28"/>
      <c r="E97" s="68"/>
      <c r="F97" s="88"/>
      <c r="G97" s="68"/>
      <c r="H97" s="28"/>
      <c r="I97" s="20"/>
      <c r="J97" s="20"/>
      <c r="K97" s="20"/>
      <c r="L97" s="70"/>
      <c r="M97" s="70"/>
    </row>
    <row r="98" spans="1:13">
      <c r="A98" s="28"/>
      <c r="B98" s="28"/>
      <c r="C98" s="28"/>
      <c r="D98" s="28"/>
      <c r="E98" s="68"/>
      <c r="F98" s="88"/>
      <c r="G98" s="68"/>
      <c r="H98" s="28"/>
      <c r="I98" s="20"/>
      <c r="J98" s="20"/>
      <c r="K98" s="20"/>
      <c r="L98" s="70"/>
      <c r="M98" s="70"/>
    </row>
    <row r="99" spans="1:13">
      <c r="A99" s="28"/>
      <c r="B99" s="28"/>
      <c r="C99" s="28"/>
      <c r="D99" s="28"/>
      <c r="E99" s="68"/>
      <c r="F99" s="88"/>
      <c r="G99" s="68"/>
      <c r="H99" s="28"/>
      <c r="I99" s="20"/>
      <c r="J99" s="20"/>
      <c r="K99" s="20"/>
      <c r="L99" s="70"/>
      <c r="M99" s="70"/>
    </row>
    <row r="100" spans="1:13">
      <c r="A100" s="28"/>
      <c r="B100" s="28"/>
      <c r="C100" s="28"/>
      <c r="D100" s="28"/>
      <c r="E100" s="68"/>
      <c r="F100" s="88"/>
      <c r="G100" s="68"/>
      <c r="H100" s="28"/>
      <c r="I100" s="20"/>
      <c r="J100" s="20"/>
      <c r="K100" s="20"/>
      <c r="L100" s="70"/>
      <c r="M100" s="70"/>
    </row>
    <row r="101" spans="1:13">
      <c r="A101" s="28"/>
      <c r="B101" s="28"/>
      <c r="C101" s="28"/>
      <c r="D101" s="28"/>
      <c r="E101" s="68"/>
      <c r="F101" s="88"/>
      <c r="G101" s="68"/>
      <c r="H101" s="28"/>
      <c r="I101" s="20"/>
      <c r="J101" s="20"/>
      <c r="K101" s="20"/>
      <c r="L101" s="70"/>
      <c r="M101" s="70"/>
    </row>
    <row r="102" spans="1:13">
      <c r="A102" s="28"/>
      <c r="B102" s="28"/>
      <c r="C102" s="28"/>
      <c r="D102" s="28"/>
      <c r="E102" s="68"/>
      <c r="F102" s="88"/>
      <c r="G102" s="68"/>
      <c r="H102" s="28"/>
      <c r="I102" s="20"/>
      <c r="J102" s="20"/>
      <c r="K102" s="20"/>
      <c r="L102" s="70"/>
      <c r="M102" s="70"/>
    </row>
    <row r="103" spans="1:13">
      <c r="A103" s="28"/>
      <c r="B103" s="28"/>
      <c r="C103" s="28"/>
      <c r="D103" s="28"/>
      <c r="E103" s="68"/>
      <c r="F103" s="88"/>
      <c r="G103" s="68"/>
      <c r="H103" s="28"/>
      <c r="I103" s="20"/>
      <c r="J103" s="20"/>
      <c r="K103" s="20"/>
      <c r="L103" s="70"/>
      <c r="M103" s="70"/>
    </row>
    <row r="104" spans="1:13">
      <c r="A104" s="28"/>
      <c r="B104" s="28"/>
      <c r="C104" s="28"/>
      <c r="D104" s="28"/>
      <c r="E104" s="68"/>
      <c r="F104" s="88"/>
      <c r="G104" s="68"/>
      <c r="H104" s="28"/>
      <c r="I104" s="20"/>
      <c r="J104" s="20"/>
      <c r="K104" s="20"/>
      <c r="L104" s="70"/>
      <c r="M104" s="70"/>
    </row>
  </sheetData>
  <dataValidations count="1">
    <dataValidation allowBlank="1" showInputMessage="1" showErrorMessage="1" sqref="F2:XFD2 A2:B2" xr:uid="{F3675570-6029-4A0B-B569-F1F63CC8F417}"/>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7">
        <x14:dataValidation type="list" allowBlank="1" showInputMessage="1" showErrorMessage="1" xr:uid="{9E398984-BDB4-4421-B9D5-283D40E2669A}">
          <x14:formula1>
            <xm:f>Data!$V$4:$V$33</xm:f>
          </x14:formula1>
          <xm:sqref>F1 F68:F1048576 F3:F46</xm:sqref>
        </x14:dataValidation>
        <x14:dataValidation type="list" allowBlank="1" showInputMessage="1" showErrorMessage="1" xr:uid="{B4F7252A-7942-4842-B703-583BAB929D73}">
          <x14:formula1>
            <xm:f>Data!$X$4:$X$33</xm:f>
          </x14:formula1>
          <xm:sqref>H1 H68:H1048576 H3:H46</xm:sqref>
        </x14:dataValidation>
        <x14:dataValidation type="list" allowBlank="1" showInputMessage="1" showErrorMessage="1" xr:uid="{5A11C4F2-A3E5-4A47-B685-85A223779983}">
          <x14:formula1>
            <xm:f>Data!$Y$4:$Y$33</xm:f>
          </x14:formula1>
          <xm:sqref>I1:K1 I68:K1048576 I3:K46</xm:sqref>
        </x14:dataValidation>
        <x14:dataValidation type="list" allowBlank="1" showInputMessage="1" showErrorMessage="1" xr:uid="{19BAB2C2-BB18-4E1A-A59D-F809BF8FDD03}">
          <x14:formula1>
            <xm:f>Data!$O$4:$O$33</xm:f>
          </x14:formula1>
          <xm:sqref>G1 G68:G1048576 G3:G46</xm:sqref>
        </x14:dataValidation>
        <x14:dataValidation type="list" allowBlank="1" showInputMessage="1" showErrorMessage="1" xr:uid="{F835E886-3141-4EDD-AE78-D7C3260C4081}">
          <x14:formula1>
            <xm:f>Data!$M$2</xm:f>
          </x14:formula1>
          <xm:sqref>C1:C1048576</xm:sqref>
        </x14:dataValidation>
        <x14:dataValidation type="list" allowBlank="1" showInputMessage="1" showErrorMessage="1" xr:uid="{E1EF241C-364D-4D44-899B-E9396C058FAE}">
          <x14:formula1>
            <xm:f>Data!$M:$M</xm:f>
          </x14:formula1>
          <xm:sqref>D1:D1048576</xm:sqref>
        </x14:dataValidation>
        <x14:dataValidation type="list" allowBlank="1" showInputMessage="1" showErrorMessage="1" xr:uid="{7605467E-1FCC-464E-AA78-8AB448EC8C00}">
          <x14:formula1>
            <xm:f>Data!$N:$N</xm:f>
          </x14:formula1>
          <xm:sqref>E1:E1048576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58090-BBF1-4B7D-9B87-F5DDB00C91A1}">
  <dimension ref="A1:N17"/>
  <sheetViews>
    <sheetView zoomScale="115" zoomScaleNormal="115" workbookViewId="0">
      <pane ySplit="2" topLeftCell="A3" activePane="bottomLeft" state="frozen"/>
      <selection pane="bottomLeft" activeCell="I30" sqref="I30"/>
    </sheetView>
  </sheetViews>
  <sheetFormatPr defaultRowHeight="15"/>
  <cols>
    <col min="1" max="1" width="23.28515625" style="12" customWidth="1"/>
    <col min="2" max="2" width="6.85546875" style="12" bestFit="1" customWidth="1"/>
    <col min="3" max="3" width="20.28515625" style="12" bestFit="1" customWidth="1"/>
    <col min="4" max="4" width="17.85546875" style="12" customWidth="1"/>
    <col min="5" max="5" width="26.140625" style="12" customWidth="1"/>
    <col min="6" max="6" width="9.140625" style="12" customWidth="1"/>
    <col min="7" max="7" width="34.140625" style="12" bestFit="1" customWidth="1"/>
    <col min="8" max="8" width="15.28515625" style="12" bestFit="1" customWidth="1"/>
    <col min="9" max="9" width="18" style="76" bestFit="1" customWidth="1"/>
    <col min="10" max="12" width="12.42578125" style="77" customWidth="1"/>
    <col min="13" max="14" width="12.42578125" style="12" customWidth="1"/>
    <col min="15" max="16382" width="9.140625" style="12" customWidth="1"/>
    <col min="16383" max="16384" width="9.140625" style="12"/>
  </cols>
  <sheetData>
    <row r="1" spans="1:14">
      <c r="A1" s="49"/>
      <c r="B1" s="49"/>
      <c r="C1" s="78" t="s">
        <v>587</v>
      </c>
      <c r="D1" s="78"/>
      <c r="E1" s="78"/>
      <c r="F1" s="78"/>
      <c r="G1" s="78"/>
      <c r="H1" s="78"/>
      <c r="I1" s="79"/>
      <c r="J1" s="80"/>
      <c r="K1" s="80"/>
      <c r="L1" s="80"/>
      <c r="M1" s="65"/>
      <c r="N1" s="65"/>
    </row>
    <row r="2" spans="1:14" s="2" customFormat="1" ht="30" customHeight="1">
      <c r="A2" s="17" t="s">
        <v>456</v>
      </c>
      <c r="B2" s="17" t="s">
        <v>457</v>
      </c>
      <c r="C2" s="59" t="s">
        <v>458</v>
      </c>
      <c r="D2" s="3" t="s">
        <v>51</v>
      </c>
      <c r="E2" s="3" t="s">
        <v>52</v>
      </c>
      <c r="F2" s="3" t="s">
        <v>53</v>
      </c>
      <c r="G2" s="3" t="s">
        <v>54</v>
      </c>
      <c r="H2" s="3" t="s">
        <v>88</v>
      </c>
      <c r="I2" s="41" t="s">
        <v>588</v>
      </c>
      <c r="J2" s="45" t="s">
        <v>463</v>
      </c>
      <c r="K2" s="58" t="s">
        <v>464</v>
      </c>
      <c r="L2" s="107" t="s">
        <v>589</v>
      </c>
      <c r="M2" s="17" t="s">
        <v>590</v>
      </c>
      <c r="N2" s="61" t="s">
        <v>591</v>
      </c>
    </row>
    <row r="3" spans="1:14">
      <c r="A3" s="28" t="str">
        <f>"6."&amp;D3&amp;"."&amp;B3</f>
        <v>6..001</v>
      </c>
      <c r="B3" s="110" t="s">
        <v>465</v>
      </c>
      <c r="C3" s="81" t="s">
        <v>13</v>
      </c>
      <c r="D3" s="82"/>
      <c r="E3" s="82" t="s">
        <v>592</v>
      </c>
      <c r="F3" s="82" t="s">
        <v>80</v>
      </c>
      <c r="G3" s="82" t="s">
        <v>101</v>
      </c>
      <c r="H3" s="83" t="s">
        <v>105</v>
      </c>
      <c r="I3" s="23" t="s">
        <v>261</v>
      </c>
      <c r="J3" s="70"/>
      <c r="K3" s="84"/>
      <c r="L3" s="70"/>
      <c r="M3" s="28"/>
      <c r="N3" s="28"/>
    </row>
    <row r="4" spans="1:14">
      <c r="A4" s="28" t="str">
        <f>"6."&amp;D4&amp;"."&amp;B4</f>
        <v>6..002</v>
      </c>
      <c r="B4" s="110" t="s">
        <v>466</v>
      </c>
      <c r="C4" s="81" t="s">
        <v>13</v>
      </c>
      <c r="D4" s="82"/>
      <c r="E4" s="82" t="s">
        <v>593</v>
      </c>
      <c r="F4" s="82" t="s">
        <v>80</v>
      </c>
      <c r="G4" s="82"/>
      <c r="H4" s="85" t="s">
        <v>122</v>
      </c>
      <c r="I4" s="23" t="s">
        <v>261</v>
      </c>
      <c r="J4" s="70"/>
      <c r="K4" s="84"/>
      <c r="L4" s="70"/>
      <c r="M4" s="28"/>
      <c r="N4" s="28"/>
    </row>
    <row r="5" spans="1:14">
      <c r="A5" s="28" t="str">
        <f>"6."&amp;D5&amp;"."&amp;B5</f>
        <v>6..003</v>
      </c>
      <c r="B5" s="110" t="s">
        <v>467</v>
      </c>
      <c r="C5" s="81" t="s">
        <v>13</v>
      </c>
      <c r="D5" s="82"/>
      <c r="E5" s="82" t="s">
        <v>594</v>
      </c>
      <c r="F5" s="82" t="s">
        <v>80</v>
      </c>
      <c r="G5" s="82"/>
      <c r="H5" s="86" t="s">
        <v>134</v>
      </c>
      <c r="I5" s="23" t="s">
        <v>261</v>
      </c>
      <c r="J5" s="70"/>
      <c r="K5" s="84"/>
      <c r="L5" s="70"/>
      <c r="M5" s="28"/>
      <c r="N5" s="28"/>
    </row>
    <row r="6" spans="1:14">
      <c r="A6" s="28" t="str">
        <f>"6."&amp;D6&amp;"."&amp;B6</f>
        <v>6..004</v>
      </c>
      <c r="B6" s="110" t="s">
        <v>468</v>
      </c>
      <c r="C6" s="81" t="s">
        <v>13</v>
      </c>
      <c r="D6" s="82"/>
      <c r="E6" s="82" t="s">
        <v>595</v>
      </c>
      <c r="F6" s="82" t="s">
        <v>80</v>
      </c>
      <c r="G6" s="82"/>
      <c r="H6" s="82"/>
      <c r="I6" s="23" t="s">
        <v>261</v>
      </c>
      <c r="J6" s="70"/>
      <c r="K6" s="84"/>
      <c r="L6" s="70"/>
      <c r="M6" s="28"/>
      <c r="N6" s="28"/>
    </row>
    <row r="7" spans="1:14">
      <c r="A7" s="28" t="str">
        <f>"6."&amp;D7&amp;"."&amp;B7</f>
        <v>6..005</v>
      </c>
      <c r="B7" s="110" t="s">
        <v>469</v>
      </c>
      <c r="C7" s="81" t="s">
        <v>13</v>
      </c>
      <c r="D7" s="82"/>
      <c r="E7" s="82" t="s">
        <v>596</v>
      </c>
      <c r="F7" s="82" t="s">
        <v>80</v>
      </c>
      <c r="G7" s="82"/>
      <c r="H7" s="83"/>
      <c r="I7" s="23" t="s">
        <v>261</v>
      </c>
      <c r="J7" s="70"/>
      <c r="K7" s="84"/>
      <c r="L7" s="70"/>
      <c r="M7" s="28"/>
      <c r="N7" s="28"/>
    </row>
    <row r="8" spans="1:14">
      <c r="A8" s="28" t="str">
        <f>"6."&amp;D8&amp;"."&amp;B8</f>
        <v>6..006</v>
      </c>
      <c r="B8" s="110" t="s">
        <v>470</v>
      </c>
      <c r="C8" s="81" t="s">
        <v>13</v>
      </c>
      <c r="D8" s="82"/>
      <c r="E8" s="82" t="s">
        <v>597</v>
      </c>
      <c r="F8" s="82" t="s">
        <v>80</v>
      </c>
      <c r="G8" s="82"/>
      <c r="H8" s="16"/>
      <c r="I8" s="23" t="s">
        <v>261</v>
      </c>
      <c r="J8" s="70"/>
      <c r="K8" s="84"/>
      <c r="L8" s="70"/>
      <c r="M8" s="28"/>
      <c r="N8" s="28"/>
    </row>
    <row r="9" spans="1:14">
      <c r="A9" s="28" t="str">
        <f>"6."&amp;D9&amp;"."&amp;B9</f>
        <v>6..007</v>
      </c>
      <c r="B9" s="110" t="s">
        <v>471</v>
      </c>
      <c r="C9" s="81" t="s">
        <v>13</v>
      </c>
      <c r="D9" s="82"/>
      <c r="E9" s="82" t="s">
        <v>598</v>
      </c>
      <c r="F9" s="82" t="s">
        <v>80</v>
      </c>
      <c r="G9" s="82"/>
      <c r="H9" s="16"/>
      <c r="I9" s="23" t="s">
        <v>261</v>
      </c>
      <c r="J9" s="70"/>
      <c r="K9" s="84"/>
      <c r="L9" s="70"/>
      <c r="M9" s="28"/>
      <c r="N9" s="28"/>
    </row>
    <row r="10" spans="1:14">
      <c r="A10" s="28" t="str">
        <f>"6."&amp;D10&amp;"."&amp;B10</f>
        <v>6..008</v>
      </c>
      <c r="B10" s="110" t="s">
        <v>472</v>
      </c>
      <c r="C10" s="81" t="s">
        <v>13</v>
      </c>
      <c r="D10" s="82"/>
      <c r="E10" s="82" t="s">
        <v>599</v>
      </c>
      <c r="F10" s="82" t="s">
        <v>80</v>
      </c>
      <c r="G10" s="82"/>
      <c r="H10" s="16"/>
      <c r="I10" s="23" t="s">
        <v>261</v>
      </c>
      <c r="J10" s="70"/>
      <c r="K10" s="84"/>
      <c r="L10" s="70"/>
      <c r="M10" s="28"/>
      <c r="N10" s="28"/>
    </row>
    <row r="11" spans="1:14">
      <c r="A11" s="28" t="str">
        <f>"6."&amp;D11&amp;"."&amp;B11</f>
        <v>6..009</v>
      </c>
      <c r="B11" s="110" t="s">
        <v>473</v>
      </c>
      <c r="C11" s="81" t="s">
        <v>13</v>
      </c>
      <c r="D11" s="82"/>
      <c r="E11" s="82" t="s">
        <v>600</v>
      </c>
      <c r="F11" s="82" t="s">
        <v>80</v>
      </c>
      <c r="G11" s="82"/>
      <c r="H11" s="16"/>
      <c r="I11" s="23" t="s">
        <v>261</v>
      </c>
      <c r="J11" s="70"/>
      <c r="K11" s="84"/>
      <c r="L11" s="70"/>
      <c r="M11" s="28"/>
      <c r="N11" s="28"/>
    </row>
    <row r="12" spans="1:14">
      <c r="A12" s="28" t="str">
        <f>"6."&amp;D12&amp;"."&amp;B12</f>
        <v>6..010</v>
      </c>
      <c r="B12" s="110" t="s">
        <v>474</v>
      </c>
      <c r="C12" s="81" t="s">
        <v>13</v>
      </c>
      <c r="D12" s="82"/>
      <c r="E12" s="82" t="s">
        <v>601</v>
      </c>
      <c r="F12" s="82" t="s">
        <v>80</v>
      </c>
      <c r="G12" s="16"/>
      <c r="H12" s="16"/>
      <c r="I12" s="23" t="s">
        <v>261</v>
      </c>
      <c r="J12" s="70"/>
      <c r="K12" s="84"/>
      <c r="L12" s="70"/>
      <c r="M12" s="28"/>
      <c r="N12" s="28"/>
    </row>
    <row r="13" spans="1:14">
      <c r="A13" s="28" t="str">
        <f>"6."&amp;D13&amp;"."&amp;B13</f>
        <v>6..011</v>
      </c>
      <c r="B13" s="110" t="s">
        <v>475</v>
      </c>
      <c r="C13" s="81" t="s">
        <v>13</v>
      </c>
      <c r="D13" s="82"/>
      <c r="E13" s="82" t="s">
        <v>602</v>
      </c>
      <c r="F13" s="82" t="s">
        <v>80</v>
      </c>
      <c r="G13" s="16"/>
      <c r="H13" s="16"/>
      <c r="I13" s="23" t="s">
        <v>261</v>
      </c>
      <c r="J13" s="70"/>
      <c r="K13" s="84"/>
      <c r="L13" s="70"/>
      <c r="M13" s="28"/>
      <c r="N13" s="28"/>
    </row>
    <row r="14" spans="1:14">
      <c r="A14" s="28" t="str">
        <f>"6."&amp;D14&amp;"."&amp;B14</f>
        <v>6..012</v>
      </c>
      <c r="B14" s="110" t="s">
        <v>476</v>
      </c>
      <c r="C14" s="81" t="s">
        <v>13</v>
      </c>
      <c r="D14" s="82"/>
      <c r="E14" s="82" t="s">
        <v>603</v>
      </c>
      <c r="F14" s="82" t="s">
        <v>80</v>
      </c>
      <c r="G14" s="16"/>
      <c r="H14" s="16"/>
      <c r="I14" s="23" t="s">
        <v>261</v>
      </c>
      <c r="J14" s="70"/>
      <c r="K14" s="84"/>
      <c r="L14" s="70"/>
      <c r="M14" s="28"/>
      <c r="N14" s="28"/>
    </row>
    <row r="15" spans="1:14">
      <c r="A15" s="28" t="str">
        <f>"6."&amp;D15&amp;"."&amp;B15</f>
        <v>6..013</v>
      </c>
      <c r="B15" s="110" t="s">
        <v>477</v>
      </c>
      <c r="C15" s="81" t="s">
        <v>13</v>
      </c>
      <c r="D15" s="82"/>
      <c r="E15" s="82" t="s">
        <v>604</v>
      </c>
      <c r="F15" s="82" t="s">
        <v>80</v>
      </c>
      <c r="G15" s="6"/>
      <c r="H15" s="6"/>
      <c r="I15" s="23" t="s">
        <v>261</v>
      </c>
      <c r="J15" s="70"/>
      <c r="K15" s="84"/>
      <c r="L15" s="70"/>
      <c r="M15" s="28"/>
      <c r="N15" s="28"/>
    </row>
    <row r="16" spans="1:14">
      <c r="A16" s="28" t="str">
        <f>"6."&amp;D16&amp;"."&amp;B16</f>
        <v>6..014</v>
      </c>
      <c r="B16" s="110" t="s">
        <v>478</v>
      </c>
      <c r="C16" s="81" t="s">
        <v>13</v>
      </c>
      <c r="D16" s="82"/>
      <c r="E16" s="82" t="s">
        <v>605</v>
      </c>
      <c r="F16" s="82" t="s">
        <v>80</v>
      </c>
      <c r="G16" s="16"/>
      <c r="H16" s="16"/>
      <c r="I16" s="23" t="s">
        <v>261</v>
      </c>
      <c r="J16" s="70"/>
      <c r="K16" s="84"/>
      <c r="L16" s="70"/>
      <c r="M16" s="28"/>
      <c r="N16" s="28"/>
    </row>
    <row r="17" spans="1:14">
      <c r="A17" s="28" t="str">
        <f>"6."&amp;D17&amp;"."&amp;B17</f>
        <v>6..015</v>
      </c>
      <c r="B17" s="110" t="s">
        <v>479</v>
      </c>
      <c r="C17" s="81" t="s">
        <v>13</v>
      </c>
      <c r="D17" s="82"/>
      <c r="E17" s="82" t="s">
        <v>606</v>
      </c>
      <c r="F17" s="82" t="s">
        <v>80</v>
      </c>
      <c r="G17" s="16"/>
      <c r="H17" s="16"/>
      <c r="I17" s="23" t="s">
        <v>261</v>
      </c>
      <c r="J17" s="70"/>
      <c r="K17" s="84"/>
      <c r="L17" s="70"/>
      <c r="M17" s="28"/>
      <c r="N17" s="28"/>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2922DD43-3A49-48B9-8CAD-76C5679AC0C3}">
          <x14:formula1>
            <xm:f>Data!$V$4:$V$33</xm:f>
          </x14:formula1>
          <xm:sqref>F1:F1048576</xm:sqref>
        </x14:dataValidation>
        <x14:dataValidation type="list" allowBlank="1" showInputMessage="1" showErrorMessage="1" xr:uid="{7CB8C359-3203-4409-ABF2-BDDEF1149B27}">
          <x14:formula1>
            <xm:f>Data!$R$4:$R$33</xm:f>
          </x14:formula1>
          <xm:sqref>G1:G1048576</xm:sqref>
        </x14:dataValidation>
        <x14:dataValidation type="list" allowBlank="1" showInputMessage="1" showErrorMessage="1" xr:uid="{7D0CB9D7-2CC8-429F-907C-1F221FC82AC0}">
          <x14:formula1>
            <xm:f>Data!$X$4:$X$33</xm:f>
          </x14:formula1>
          <xm:sqref>H1:H1048576</xm:sqref>
        </x14:dataValidation>
        <x14:dataValidation type="list" allowBlank="1" showInputMessage="1" showErrorMessage="1" xr:uid="{E53B26EE-F914-4433-ADBE-8C4A71BCB5CA}">
          <x14:formula1>
            <xm:f>Data!$Y$4:$Y$33</xm:f>
          </x14:formula1>
          <xm:sqref>I1:I1048576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A6A32-EE2B-4F95-A9A7-351E53AABD02}">
  <dimension ref="A1:P34"/>
  <sheetViews>
    <sheetView zoomScale="115" zoomScaleNormal="115" workbookViewId="0">
      <pane ySplit="2" topLeftCell="A3" activePane="bottomLeft" state="frozen"/>
      <selection pane="bottomLeft" activeCell="G14" sqref="G14"/>
    </sheetView>
  </sheetViews>
  <sheetFormatPr defaultRowHeight="15" customHeight="1"/>
  <cols>
    <col min="1" max="1" width="19.7109375" bestFit="1" customWidth="1"/>
    <col min="2" max="2" width="6.85546875" bestFit="1" customWidth="1"/>
    <col min="3" max="3" width="21.85546875" bestFit="1" customWidth="1"/>
    <col min="4" max="4" width="16.28515625" customWidth="1"/>
    <col min="5" max="5" width="15.7109375" customWidth="1"/>
    <col min="6" max="6" width="9.140625" customWidth="1"/>
    <col min="7" max="7" width="29.85546875" customWidth="1"/>
    <col min="8" max="8" width="18.42578125" style="180" customWidth="1"/>
    <col min="9" max="11" width="23.28515625" customWidth="1"/>
    <col min="12" max="14" width="18.42578125" style="44" customWidth="1"/>
    <col min="15" max="16" width="18.42578125" customWidth="1"/>
    <col min="17" max="17" width="9.140625" customWidth="1"/>
  </cols>
  <sheetData>
    <row r="1" spans="1:16">
      <c r="A1" s="27"/>
      <c r="B1" s="27"/>
      <c r="C1" s="37" t="s">
        <v>607</v>
      </c>
      <c r="D1" s="27"/>
      <c r="E1" s="27"/>
      <c r="F1" s="27"/>
      <c r="G1" s="27"/>
      <c r="H1" s="178"/>
      <c r="I1" s="27"/>
      <c r="J1" s="27"/>
      <c r="K1" s="27"/>
      <c r="L1" s="42"/>
      <c r="M1" s="42"/>
      <c r="N1" s="42"/>
      <c r="O1" s="57"/>
      <c r="P1" s="57"/>
    </row>
    <row r="2" spans="1:16" s="2" customFormat="1">
      <c r="A2" s="3" t="s">
        <v>456</v>
      </c>
      <c r="B2" s="3" t="s">
        <v>457</v>
      </c>
      <c r="C2" s="3" t="s">
        <v>458</v>
      </c>
      <c r="D2" s="3" t="s">
        <v>51</v>
      </c>
      <c r="E2" s="3" t="s">
        <v>52</v>
      </c>
      <c r="F2" s="3" t="s">
        <v>53</v>
      </c>
      <c r="G2" s="3" t="s">
        <v>54</v>
      </c>
      <c r="H2" s="41" t="s">
        <v>88</v>
      </c>
      <c r="I2" s="13" t="s">
        <v>460</v>
      </c>
      <c r="J2" s="13" t="s">
        <v>461</v>
      </c>
      <c r="K2" s="13" t="s">
        <v>462</v>
      </c>
      <c r="L2" s="43" t="s">
        <v>463</v>
      </c>
      <c r="M2" s="43" t="s">
        <v>464</v>
      </c>
      <c r="N2" s="43" t="s">
        <v>589</v>
      </c>
      <c r="O2" s="17" t="s">
        <v>590</v>
      </c>
      <c r="P2" s="17" t="s">
        <v>591</v>
      </c>
    </row>
    <row r="3" spans="1:16">
      <c r="A3" s="28" t="str">
        <f>"1."&amp;D3&amp;"."&amp;B3</f>
        <v>1.Công việc khác.001</v>
      </c>
      <c r="B3" s="108" t="s">
        <v>465</v>
      </c>
      <c r="C3" s="109" t="s">
        <v>83</v>
      </c>
      <c r="D3" s="109" t="s">
        <v>83</v>
      </c>
      <c r="E3" s="109" t="s">
        <v>83</v>
      </c>
      <c r="F3" s="4" t="s">
        <v>103</v>
      </c>
      <c r="G3" s="4" t="s">
        <v>120</v>
      </c>
      <c r="H3" s="179" t="s">
        <v>122</v>
      </c>
      <c r="I3" s="21" t="s">
        <v>94</v>
      </c>
      <c r="J3" s="21"/>
      <c r="K3" s="21"/>
      <c r="L3" s="30"/>
      <c r="M3" s="30"/>
      <c r="N3" s="30"/>
      <c r="O3" s="18"/>
      <c r="P3" s="18"/>
    </row>
    <row r="4" spans="1:16">
      <c r="A4" s="28" t="str">
        <f>"1."&amp;D4&amp;"."&amp;B4</f>
        <v>1.Công việc khác.002</v>
      </c>
      <c r="B4" s="108" t="s">
        <v>466</v>
      </c>
      <c r="C4" s="109" t="s">
        <v>83</v>
      </c>
      <c r="D4" s="109" t="s">
        <v>83</v>
      </c>
      <c r="E4" s="109" t="s">
        <v>83</v>
      </c>
      <c r="F4" s="4" t="s">
        <v>103</v>
      </c>
      <c r="G4" s="4" t="s">
        <v>102</v>
      </c>
      <c r="H4" s="179" t="s">
        <v>105</v>
      </c>
      <c r="I4" s="21" t="s">
        <v>94</v>
      </c>
      <c r="J4" s="21"/>
      <c r="K4" s="21"/>
      <c r="L4" s="30"/>
      <c r="M4" s="30"/>
      <c r="N4" s="30"/>
      <c r="O4" s="18"/>
      <c r="P4" s="18"/>
    </row>
    <row r="5" spans="1:16">
      <c r="A5" s="28" t="str">
        <f>"1."&amp;D5&amp;"."&amp;B5</f>
        <v>1.Công việc khác.003</v>
      </c>
      <c r="B5" s="108" t="s">
        <v>467</v>
      </c>
      <c r="C5" s="109" t="s">
        <v>83</v>
      </c>
      <c r="D5" s="109" t="s">
        <v>83</v>
      </c>
      <c r="E5" s="109" t="s">
        <v>83</v>
      </c>
      <c r="F5" s="4" t="s">
        <v>103</v>
      </c>
      <c r="G5" s="4" t="s">
        <v>144</v>
      </c>
      <c r="H5" s="179" t="s">
        <v>105</v>
      </c>
      <c r="I5" s="21" t="s">
        <v>94</v>
      </c>
      <c r="J5" s="21"/>
      <c r="K5" s="21"/>
      <c r="L5" s="30"/>
      <c r="M5" s="30"/>
      <c r="N5" s="30"/>
      <c r="O5" s="18"/>
      <c r="P5" s="18"/>
    </row>
    <row r="6" spans="1:16">
      <c r="A6" s="28" t="str">
        <f>"1."&amp;D6&amp;"."&amp;B6</f>
        <v>1.Công việc khác.004</v>
      </c>
      <c r="B6" s="108" t="s">
        <v>468</v>
      </c>
      <c r="C6" s="109" t="s">
        <v>83</v>
      </c>
      <c r="D6" s="109" t="s">
        <v>83</v>
      </c>
      <c r="E6" s="109" t="s">
        <v>83</v>
      </c>
      <c r="F6" s="4" t="s">
        <v>103</v>
      </c>
      <c r="G6" s="4" t="s">
        <v>155</v>
      </c>
      <c r="H6" s="179" t="s">
        <v>105</v>
      </c>
      <c r="I6" s="21" t="s">
        <v>94</v>
      </c>
      <c r="J6" s="21"/>
      <c r="K6" s="21"/>
      <c r="L6" s="30"/>
      <c r="M6" s="30"/>
      <c r="N6" s="30"/>
      <c r="O6" s="18"/>
      <c r="P6" s="18"/>
    </row>
    <row r="7" spans="1:16">
      <c r="A7" s="28" t="str">
        <f>"1."&amp;D7&amp;"."&amp;B7</f>
        <v>1.Công việc khác.005</v>
      </c>
      <c r="B7" s="108" t="s">
        <v>469</v>
      </c>
      <c r="C7" s="109" t="s">
        <v>83</v>
      </c>
      <c r="D7" s="109" t="s">
        <v>83</v>
      </c>
      <c r="E7" s="109" t="s">
        <v>83</v>
      </c>
      <c r="F7" s="4" t="s">
        <v>103</v>
      </c>
      <c r="G7" s="4" t="s">
        <v>163</v>
      </c>
      <c r="H7" s="179" t="s">
        <v>105</v>
      </c>
      <c r="I7" s="21" t="s">
        <v>94</v>
      </c>
      <c r="J7" s="21"/>
      <c r="K7" s="21"/>
      <c r="L7" s="30"/>
      <c r="M7" s="30"/>
      <c r="N7" s="30"/>
      <c r="O7" s="18"/>
      <c r="P7" s="18"/>
    </row>
    <row r="8" spans="1:16">
      <c r="A8" s="28" t="str">
        <f>"1."&amp;D8&amp;"."&amp;B8</f>
        <v>1.Công việc khác.006</v>
      </c>
      <c r="B8" s="108" t="s">
        <v>470</v>
      </c>
      <c r="C8" s="109" t="s">
        <v>83</v>
      </c>
      <c r="D8" s="109" t="s">
        <v>83</v>
      </c>
      <c r="E8" s="109" t="s">
        <v>83</v>
      </c>
      <c r="F8" s="4" t="s">
        <v>103</v>
      </c>
      <c r="G8" s="4" t="s">
        <v>173</v>
      </c>
      <c r="H8" s="179" t="s">
        <v>134</v>
      </c>
      <c r="I8" s="21" t="s">
        <v>94</v>
      </c>
      <c r="J8" s="21"/>
      <c r="K8" s="21"/>
      <c r="L8" s="30"/>
      <c r="M8" s="30"/>
      <c r="N8" s="30"/>
      <c r="O8" s="18"/>
      <c r="P8" s="18"/>
    </row>
    <row r="9" spans="1:16">
      <c r="A9" s="28"/>
      <c r="B9" s="108"/>
      <c r="C9" s="109"/>
      <c r="D9" s="109"/>
      <c r="E9" s="109"/>
      <c r="F9" s="4"/>
      <c r="G9" s="4"/>
      <c r="H9" s="179"/>
      <c r="I9" s="21"/>
      <c r="J9" s="21"/>
      <c r="K9" s="21"/>
      <c r="L9" s="30"/>
      <c r="M9" s="30"/>
      <c r="N9" s="30"/>
      <c r="O9" s="18"/>
      <c r="P9" s="18"/>
    </row>
    <row r="10" spans="1:16">
      <c r="A10" s="28"/>
      <c r="B10" s="108"/>
      <c r="C10" s="109"/>
      <c r="D10" s="109"/>
      <c r="E10" s="109"/>
      <c r="F10" s="4"/>
      <c r="G10" s="4"/>
      <c r="H10" s="179"/>
      <c r="I10" s="21"/>
      <c r="J10" s="21"/>
      <c r="K10" s="21"/>
      <c r="L10" s="30"/>
      <c r="M10" s="30"/>
      <c r="N10" s="30"/>
      <c r="O10" s="18"/>
      <c r="P10" s="18"/>
    </row>
    <row r="11" spans="1:16">
      <c r="A11" s="28"/>
      <c r="B11" s="108"/>
      <c r="C11" s="109"/>
      <c r="D11" s="109"/>
      <c r="E11" s="109"/>
      <c r="F11" s="4"/>
      <c r="G11" s="4"/>
      <c r="H11" s="179"/>
      <c r="I11" s="21"/>
      <c r="J11" s="21"/>
      <c r="K11" s="21"/>
      <c r="L11" s="30"/>
      <c r="M11" s="30"/>
      <c r="N11" s="30"/>
      <c r="O11" s="18"/>
      <c r="P11" s="18"/>
    </row>
    <row r="12" spans="1:16">
      <c r="A12" s="28"/>
      <c r="B12" s="108"/>
      <c r="C12" s="109"/>
      <c r="D12" s="109"/>
      <c r="E12" s="109"/>
      <c r="F12" s="4"/>
      <c r="G12" s="4"/>
      <c r="H12" s="179"/>
      <c r="I12" s="21"/>
      <c r="J12" s="21"/>
      <c r="K12" s="21"/>
      <c r="L12" s="30"/>
      <c r="M12" s="30"/>
      <c r="N12" s="30"/>
      <c r="O12" s="18"/>
      <c r="P12" s="18"/>
    </row>
    <row r="13" spans="1:16">
      <c r="A13" s="28"/>
      <c r="B13" s="108"/>
      <c r="C13" s="109"/>
      <c r="D13" s="109"/>
      <c r="E13" s="109"/>
      <c r="F13" s="4"/>
      <c r="G13" s="4"/>
      <c r="H13" s="179"/>
      <c r="I13" s="21"/>
      <c r="J13" s="21"/>
      <c r="K13" s="21"/>
      <c r="L13" s="30"/>
      <c r="M13" s="30"/>
      <c r="N13" s="30"/>
      <c r="O13" s="18"/>
      <c r="P13" s="18"/>
    </row>
    <row r="14" spans="1:16">
      <c r="A14" s="28"/>
      <c r="B14" s="108"/>
      <c r="C14" s="109"/>
      <c r="D14" s="109"/>
      <c r="E14" s="109"/>
      <c r="F14" s="4"/>
      <c r="G14" s="4"/>
      <c r="H14" s="179"/>
      <c r="I14" s="21"/>
      <c r="J14" s="21"/>
      <c r="K14" s="21"/>
      <c r="L14" s="30"/>
      <c r="M14" s="30"/>
      <c r="N14" s="30"/>
      <c r="O14" s="18"/>
      <c r="P14" s="18"/>
    </row>
    <row r="15" spans="1:16">
      <c r="A15" s="28"/>
      <c r="B15" s="108"/>
      <c r="C15" s="109"/>
      <c r="D15" s="109"/>
      <c r="E15" s="109"/>
      <c r="F15" s="4"/>
      <c r="G15" s="4"/>
      <c r="H15" s="179"/>
      <c r="I15" s="21"/>
      <c r="J15" s="21"/>
      <c r="K15" s="21"/>
      <c r="L15" s="30"/>
      <c r="M15" s="30"/>
      <c r="N15" s="30"/>
      <c r="O15" s="18"/>
      <c r="P15" s="18"/>
    </row>
    <row r="16" spans="1:16">
      <c r="A16" s="28"/>
      <c r="B16" s="108"/>
      <c r="C16" s="109"/>
      <c r="D16" s="109"/>
      <c r="E16" s="109"/>
      <c r="F16" s="4"/>
      <c r="G16" s="4"/>
      <c r="H16" s="179"/>
      <c r="I16" s="21"/>
      <c r="J16" s="21"/>
      <c r="K16" s="21"/>
      <c r="L16" s="30"/>
      <c r="M16" s="30"/>
      <c r="N16" s="30"/>
      <c r="O16" s="38"/>
      <c r="P16" s="38"/>
    </row>
    <row r="17" spans="1:16">
      <c r="A17" s="28"/>
      <c r="B17" s="108"/>
      <c r="C17" s="109"/>
      <c r="D17" s="109"/>
      <c r="E17" s="109"/>
      <c r="F17" s="4"/>
      <c r="G17" s="4"/>
      <c r="H17" s="179"/>
      <c r="I17" s="21"/>
      <c r="J17" s="21"/>
      <c r="K17" s="21"/>
      <c r="L17" s="30"/>
      <c r="M17" s="30"/>
      <c r="N17" s="31"/>
      <c r="O17" s="18"/>
      <c r="P17" s="18"/>
    </row>
    <row r="18" spans="1:16">
      <c r="A18" s="28"/>
      <c r="B18" s="108"/>
      <c r="C18" s="109"/>
      <c r="D18" s="109"/>
      <c r="E18" s="109"/>
      <c r="F18" s="4"/>
      <c r="G18" s="4"/>
      <c r="H18" s="179"/>
      <c r="I18" s="21"/>
      <c r="J18" s="21"/>
      <c r="K18" s="21"/>
      <c r="L18" s="30"/>
      <c r="M18" s="30"/>
      <c r="N18" s="31"/>
      <c r="O18" s="18"/>
      <c r="P18" s="18"/>
    </row>
    <row r="19" spans="1:16">
      <c r="A19" s="28"/>
      <c r="B19" s="108"/>
      <c r="C19" s="109"/>
      <c r="D19" s="109"/>
      <c r="E19" s="109"/>
      <c r="F19" s="4"/>
      <c r="G19" s="4"/>
      <c r="H19" s="179"/>
      <c r="I19" s="21"/>
      <c r="J19" s="21"/>
      <c r="K19" s="21"/>
      <c r="L19" s="30"/>
      <c r="M19" s="30"/>
      <c r="N19" s="31"/>
      <c r="O19" s="18"/>
      <c r="P19" s="18"/>
    </row>
    <row r="20" spans="1:16">
      <c r="A20" s="28"/>
      <c r="B20" s="108"/>
      <c r="C20" s="109"/>
      <c r="D20" s="109"/>
      <c r="E20" s="109"/>
      <c r="F20" s="4"/>
      <c r="G20" s="4"/>
      <c r="H20" s="179"/>
      <c r="I20" s="21"/>
      <c r="J20" s="21"/>
      <c r="K20" s="21"/>
      <c r="L20" s="30"/>
      <c r="M20" s="30"/>
      <c r="N20" s="31"/>
      <c r="O20" s="18"/>
      <c r="P20" s="18"/>
    </row>
    <row r="21" spans="1:16">
      <c r="A21" s="28"/>
      <c r="B21" s="108"/>
      <c r="C21" s="109"/>
      <c r="D21" s="109"/>
      <c r="E21" s="109"/>
      <c r="F21" s="4"/>
      <c r="G21" s="4"/>
      <c r="H21" s="179"/>
      <c r="I21" s="21"/>
      <c r="J21" s="21"/>
      <c r="K21" s="21"/>
      <c r="L21" s="30"/>
      <c r="M21" s="30"/>
      <c r="N21" s="31"/>
      <c r="O21" s="18"/>
      <c r="P21" s="18"/>
    </row>
    <row r="22" spans="1:16">
      <c r="A22" s="28"/>
      <c r="B22" s="108"/>
      <c r="C22" s="109"/>
      <c r="D22" s="109"/>
      <c r="E22" s="109"/>
      <c r="F22" s="4"/>
      <c r="G22" s="4"/>
      <c r="H22" s="179"/>
      <c r="I22" s="21"/>
      <c r="J22" s="21"/>
      <c r="K22" s="21"/>
      <c r="L22" s="30"/>
      <c r="M22" s="30"/>
      <c r="N22" s="31"/>
      <c r="O22" s="18"/>
      <c r="P22" s="18"/>
    </row>
    <row r="23" spans="1:16">
      <c r="A23" s="28"/>
      <c r="B23" s="108"/>
      <c r="C23" s="109"/>
      <c r="D23" s="109"/>
      <c r="E23" s="109"/>
      <c r="F23" s="4"/>
      <c r="G23" s="4"/>
      <c r="H23" s="179"/>
      <c r="I23" s="21"/>
      <c r="J23" s="21"/>
      <c r="K23" s="21"/>
      <c r="L23" s="30"/>
      <c r="M23" s="30"/>
      <c r="N23" s="31"/>
      <c r="O23" s="18"/>
      <c r="P23" s="18"/>
    </row>
    <row r="24" spans="1:16">
      <c r="A24" s="28"/>
      <c r="B24" s="108"/>
      <c r="C24" s="109"/>
      <c r="D24" s="109"/>
      <c r="E24" s="109"/>
      <c r="F24" s="4"/>
      <c r="G24" s="4"/>
      <c r="H24" s="179"/>
      <c r="I24" s="21"/>
      <c r="J24" s="21"/>
      <c r="K24" s="21"/>
      <c r="L24" s="30"/>
      <c r="M24" s="30"/>
      <c r="N24" s="31"/>
      <c r="O24" s="18"/>
      <c r="P24" s="18"/>
    </row>
    <row r="25" spans="1:16">
      <c r="A25" s="28"/>
      <c r="B25" s="108"/>
      <c r="C25" s="109"/>
      <c r="D25" s="109"/>
      <c r="E25" s="109"/>
      <c r="F25" s="4"/>
      <c r="G25" s="4"/>
      <c r="H25" s="179"/>
      <c r="I25" s="21"/>
      <c r="J25" s="21"/>
      <c r="K25" s="21"/>
      <c r="L25" s="30"/>
      <c r="M25" s="30"/>
      <c r="N25" s="31"/>
      <c r="O25" s="18"/>
      <c r="P25" s="18"/>
    </row>
    <row r="26" spans="1:16">
      <c r="A26" s="28"/>
      <c r="B26" s="108"/>
      <c r="C26" s="109"/>
      <c r="D26" s="109"/>
      <c r="E26" s="109"/>
      <c r="F26" s="4"/>
      <c r="G26" s="4"/>
      <c r="H26" s="179"/>
      <c r="I26" s="21"/>
      <c r="J26" s="21"/>
      <c r="K26" s="21"/>
      <c r="L26" s="30"/>
      <c r="M26" s="30"/>
      <c r="N26" s="31"/>
      <c r="O26" s="18"/>
      <c r="P26" s="18"/>
    </row>
    <row r="27" spans="1:16">
      <c r="A27" s="28"/>
      <c r="B27" s="108"/>
      <c r="C27" s="109"/>
      <c r="D27" s="109"/>
      <c r="E27" s="109"/>
      <c r="F27" s="4"/>
      <c r="G27" s="4"/>
      <c r="H27" s="179"/>
      <c r="I27" s="21"/>
      <c r="J27" s="21"/>
      <c r="K27" s="21"/>
      <c r="L27" s="30"/>
      <c r="M27" s="30"/>
      <c r="N27" s="31"/>
      <c r="O27" s="18"/>
      <c r="P27" s="18"/>
    </row>
    <row r="28" spans="1:16">
      <c r="A28" s="28"/>
      <c r="B28" s="108"/>
      <c r="C28" s="109"/>
      <c r="D28" s="109"/>
      <c r="E28" s="109"/>
      <c r="F28" s="4"/>
      <c r="G28" s="4"/>
      <c r="H28" s="179"/>
      <c r="I28" s="21"/>
      <c r="J28" s="21"/>
      <c r="K28" s="21"/>
      <c r="L28" s="30"/>
      <c r="M28" s="30"/>
      <c r="N28" s="31"/>
      <c r="O28" s="18"/>
      <c r="P28" s="18"/>
    </row>
    <row r="29" spans="1:16">
      <c r="A29" s="28"/>
      <c r="B29" s="108"/>
      <c r="C29" s="109"/>
      <c r="D29" s="109"/>
      <c r="E29" s="109"/>
      <c r="F29" s="4"/>
      <c r="G29" s="4"/>
      <c r="H29" s="179"/>
      <c r="I29" s="21"/>
      <c r="J29" s="21"/>
      <c r="K29" s="21"/>
      <c r="L29" s="30"/>
      <c r="M29" s="30"/>
      <c r="N29" s="31"/>
      <c r="O29" s="18"/>
      <c r="P29" s="18"/>
    </row>
    <row r="30" spans="1:16">
      <c r="A30" s="28"/>
      <c r="B30" s="108"/>
      <c r="C30" s="109"/>
      <c r="D30" s="109"/>
      <c r="E30" s="109"/>
      <c r="F30" s="4"/>
      <c r="G30" s="4"/>
      <c r="H30" s="179"/>
      <c r="I30" s="21"/>
      <c r="J30" s="21"/>
      <c r="K30" s="21"/>
      <c r="L30" s="30"/>
      <c r="M30" s="30"/>
      <c r="N30" s="31"/>
      <c r="O30" s="18"/>
      <c r="P30" s="18"/>
    </row>
    <row r="31" spans="1:16">
      <c r="A31" s="28"/>
      <c r="B31" s="108"/>
      <c r="C31" s="109"/>
      <c r="D31" s="109"/>
      <c r="E31" s="109"/>
      <c r="F31" s="4"/>
      <c r="G31" s="4"/>
      <c r="H31" s="179"/>
      <c r="I31" s="21"/>
      <c r="J31" s="21"/>
      <c r="K31" s="21"/>
      <c r="L31" s="30"/>
      <c r="M31" s="30"/>
      <c r="N31" s="31"/>
      <c r="O31" s="18"/>
      <c r="P31" s="18"/>
    </row>
    <row r="32" spans="1:16">
      <c r="A32" s="28"/>
      <c r="B32" s="108"/>
      <c r="C32" s="109"/>
      <c r="D32" s="109"/>
      <c r="E32" s="109"/>
      <c r="F32" s="4"/>
      <c r="G32" s="4"/>
      <c r="H32" s="179"/>
      <c r="I32" s="21"/>
      <c r="J32" s="21"/>
      <c r="K32" s="21"/>
      <c r="L32" s="30"/>
      <c r="M32" s="30"/>
      <c r="N32" s="31"/>
      <c r="O32" s="18"/>
      <c r="P32" s="18"/>
    </row>
    <row r="33" spans="1:16">
      <c r="A33" s="28"/>
      <c r="B33" s="108"/>
      <c r="C33" s="109"/>
      <c r="D33" s="109"/>
      <c r="E33" s="109"/>
      <c r="F33" s="4"/>
      <c r="G33" s="4"/>
      <c r="H33" s="179"/>
      <c r="I33" s="21"/>
      <c r="J33" s="21"/>
      <c r="K33" s="21"/>
      <c r="L33" s="30"/>
      <c r="M33" s="30"/>
      <c r="N33" s="31"/>
      <c r="O33" s="18"/>
      <c r="P33" s="18"/>
    </row>
    <row r="34" spans="1:16">
      <c r="A34" s="28"/>
      <c r="B34" s="108"/>
      <c r="C34" s="109"/>
      <c r="D34" s="109"/>
      <c r="E34" s="109"/>
      <c r="F34" s="4"/>
      <c r="G34" s="4"/>
      <c r="H34" s="179"/>
      <c r="I34" s="21"/>
      <c r="J34" s="21"/>
      <c r="K34" s="21"/>
      <c r="L34" s="30"/>
      <c r="M34" s="30"/>
      <c r="N34" s="31"/>
      <c r="O34" s="18"/>
      <c r="P34" s="18"/>
    </row>
  </sheetData>
  <phoneticPr fontId="4" type="noConversion"/>
  <dataValidations count="1">
    <dataValidation allowBlank="1" showInputMessage="1" showErrorMessage="1" sqref="A1:XFD2" xr:uid="{0382CE88-8BD2-4D0E-B21B-DBF579245231}"/>
  </dataValidations>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7">
        <x14:dataValidation type="list" allowBlank="1" showInputMessage="1" showErrorMessage="1" xr:uid="{05981619-6FB4-45CD-A8D6-FEE13F07308F}">
          <x14:formula1>
            <xm:f>Data!$V$4:$V$33</xm:f>
          </x14:formula1>
          <xm:sqref>F3:F1048576</xm:sqref>
        </x14:dataValidation>
        <x14:dataValidation type="list" allowBlank="1" showInputMessage="1" showErrorMessage="1" xr:uid="{9F517A3A-488C-4AA9-965A-7D8964E1963B}">
          <x14:formula1>
            <xm:f>Data!$X$4:$X$33</xm:f>
          </x14:formula1>
          <xm:sqref>H3:H1048576</xm:sqref>
        </x14:dataValidation>
        <x14:dataValidation type="list" allowBlank="1" showInputMessage="1" showErrorMessage="1" xr:uid="{E8D58982-B879-489F-8D42-2503E560F3A3}">
          <x14:formula1>
            <xm:f>Data!$Y$4:$Y$33</xm:f>
          </x14:formula1>
          <xm:sqref>I3:K1048576</xm:sqref>
        </x14:dataValidation>
        <x14:dataValidation type="list" allowBlank="1" showInputMessage="1" showErrorMessage="1" xr:uid="{DB144C17-B519-4582-B3BA-5428532F3FC3}">
          <x14:formula1>
            <xm:f>Data!$S$2</xm:f>
          </x14:formula1>
          <xm:sqref>C3:C1048576</xm:sqref>
        </x14:dataValidation>
        <x14:dataValidation type="list" allowBlank="1" showInputMessage="1" showErrorMessage="1" xr:uid="{C7D21049-D93C-4E4F-BFA3-6F8C31892289}">
          <x14:formula1>
            <xm:f>Data!$S$4:$S$53</xm:f>
          </x14:formula1>
          <xm:sqref>D3:D1048576</xm:sqref>
        </x14:dataValidation>
        <x14:dataValidation type="list" allowBlank="1" showInputMessage="1" showErrorMessage="1" xr:uid="{20D3D0CB-10CB-4B4D-BB81-939CE1F50729}">
          <x14:formula1>
            <xm:f>Data!$T$4:$T$118</xm:f>
          </x14:formula1>
          <xm:sqref>E3:E1048576</xm:sqref>
        </x14:dataValidation>
        <x14:dataValidation type="list" allowBlank="1" showInputMessage="1" showErrorMessage="1" xr:uid="{7D893C4A-A902-4397-A0D9-1DF5AB6C9AE6}">
          <x14:formula1>
            <xm:f>Data!$U$4:$U$118</xm:f>
          </x14:formula1>
          <xm:sqref>G3:G1048576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3A0FA-CA4F-40AA-9A54-94B52F4D86CE}">
  <dimension ref="A1:I39"/>
  <sheetViews>
    <sheetView workbookViewId="0">
      <selection activeCell="F4" sqref="F4"/>
    </sheetView>
  </sheetViews>
  <sheetFormatPr defaultRowHeight="15" customHeight="1"/>
  <cols>
    <col min="1" max="1" width="8.5703125" style="10" customWidth="1"/>
    <col min="2" max="2" width="20" customWidth="1"/>
    <col min="3" max="3" width="33.85546875" customWidth="1"/>
    <col min="4" max="4" width="33.7109375" style="9" customWidth="1"/>
    <col min="5" max="5" width="20.85546875" style="7" customWidth="1"/>
  </cols>
  <sheetData>
    <row r="1" spans="1:9" s="12" customFormat="1" ht="19.899999999999999" customHeight="1">
      <c r="A1" s="350" t="s">
        <v>608</v>
      </c>
      <c r="B1" s="350"/>
      <c r="C1" s="350"/>
      <c r="D1" s="350"/>
      <c r="E1" s="351"/>
      <c r="F1" s="28"/>
      <c r="G1" s="28"/>
      <c r="H1" s="28"/>
      <c r="I1" s="28"/>
    </row>
    <row r="2" spans="1:9">
      <c r="A2" s="3" t="s">
        <v>609</v>
      </c>
      <c r="B2" s="3" t="s">
        <v>2</v>
      </c>
      <c r="C2" s="3" t="s">
        <v>610</v>
      </c>
      <c r="D2" s="3" t="s">
        <v>58</v>
      </c>
      <c r="E2" s="13" t="s">
        <v>611</v>
      </c>
      <c r="F2" s="18"/>
      <c r="G2" s="18"/>
      <c r="H2" s="18"/>
      <c r="I2" s="18"/>
    </row>
    <row r="3" spans="1:9">
      <c r="A3" s="349" t="s">
        <v>612</v>
      </c>
      <c r="B3" s="349" t="s">
        <v>8</v>
      </c>
      <c r="C3" s="4" t="s">
        <v>90</v>
      </c>
      <c r="D3" s="8" t="s">
        <v>613</v>
      </c>
      <c r="E3" s="358" t="s">
        <v>94</v>
      </c>
      <c r="F3" s="18"/>
      <c r="G3" s="18"/>
      <c r="H3" s="18"/>
      <c r="I3" s="18"/>
    </row>
    <row r="4" spans="1:9">
      <c r="A4" s="349"/>
      <c r="B4" s="349"/>
      <c r="C4" s="4" t="s">
        <v>614</v>
      </c>
      <c r="D4" s="8"/>
      <c r="E4" s="358"/>
      <c r="F4" s="18"/>
      <c r="G4" s="18"/>
      <c r="H4" s="18"/>
      <c r="I4" s="18"/>
    </row>
    <row r="5" spans="1:9">
      <c r="A5" s="352" t="s">
        <v>615</v>
      </c>
      <c r="B5" s="352" t="s">
        <v>9</v>
      </c>
      <c r="C5" s="4" t="s">
        <v>92</v>
      </c>
      <c r="D5" s="8"/>
      <c r="E5" s="355" t="s">
        <v>94</v>
      </c>
      <c r="F5" s="18"/>
      <c r="G5" s="18"/>
      <c r="H5" s="18"/>
      <c r="I5" s="18"/>
    </row>
    <row r="6" spans="1:9">
      <c r="A6" s="353"/>
      <c r="B6" s="353"/>
      <c r="C6" s="4" t="s">
        <v>109</v>
      </c>
      <c r="D6" s="8"/>
      <c r="E6" s="356"/>
      <c r="F6" s="18"/>
      <c r="G6" s="18"/>
      <c r="H6" s="18"/>
      <c r="I6" s="18"/>
    </row>
    <row r="7" spans="1:9">
      <c r="A7" s="353"/>
      <c r="B7" s="353"/>
      <c r="C7" s="4" t="s">
        <v>147</v>
      </c>
      <c r="D7" s="8"/>
      <c r="E7" s="356"/>
      <c r="F7" s="18"/>
      <c r="G7" s="18"/>
      <c r="H7" s="18"/>
      <c r="I7" s="18"/>
    </row>
    <row r="8" spans="1:9">
      <c r="A8" s="353"/>
      <c r="B8" s="353"/>
      <c r="C8" s="4" t="s">
        <v>616</v>
      </c>
      <c r="D8" s="8"/>
      <c r="E8" s="356"/>
      <c r="F8" s="18"/>
      <c r="G8" s="18"/>
      <c r="H8" s="18"/>
      <c r="I8" s="18"/>
    </row>
    <row r="9" spans="1:9">
      <c r="A9" s="354"/>
      <c r="B9" s="354"/>
      <c r="C9" s="4" t="s">
        <v>185</v>
      </c>
      <c r="D9" s="8"/>
      <c r="E9" s="357"/>
      <c r="F9" s="18"/>
      <c r="G9" s="18"/>
      <c r="H9" s="18"/>
      <c r="I9" s="18"/>
    </row>
    <row r="10" spans="1:9">
      <c r="A10" s="359" t="s">
        <v>617</v>
      </c>
      <c r="B10" s="349" t="s">
        <v>10</v>
      </c>
      <c r="C10" s="4" t="s">
        <v>96</v>
      </c>
      <c r="D10" s="359" t="s">
        <v>618</v>
      </c>
      <c r="E10" s="14" t="s">
        <v>619</v>
      </c>
      <c r="F10" s="18"/>
      <c r="G10" s="18"/>
      <c r="H10" s="18"/>
      <c r="I10" s="18"/>
    </row>
    <row r="11" spans="1:9">
      <c r="A11" s="359"/>
      <c r="B11" s="349"/>
      <c r="C11" s="4" t="s">
        <v>115</v>
      </c>
      <c r="D11" s="359"/>
      <c r="E11" s="14" t="s">
        <v>94</v>
      </c>
      <c r="F11" s="18"/>
      <c r="G11" s="18"/>
      <c r="H11" s="18"/>
      <c r="I11" s="18"/>
    </row>
    <row r="12" spans="1:9">
      <c r="A12" s="359"/>
      <c r="B12" s="349"/>
      <c r="C12" s="4" t="s">
        <v>127</v>
      </c>
      <c r="D12" s="359"/>
      <c r="E12" s="14" t="s">
        <v>619</v>
      </c>
      <c r="F12" s="18"/>
      <c r="G12" s="18"/>
      <c r="H12" s="18"/>
      <c r="I12" s="18"/>
    </row>
    <row r="13" spans="1:9">
      <c r="A13" s="359"/>
      <c r="B13" s="349"/>
      <c r="C13" s="4" t="s">
        <v>140</v>
      </c>
      <c r="D13" s="359"/>
      <c r="E13" s="14" t="s">
        <v>94</v>
      </c>
      <c r="F13" s="18"/>
      <c r="G13" s="18"/>
      <c r="H13" s="18"/>
      <c r="I13" s="18"/>
    </row>
    <row r="14" spans="1:9">
      <c r="A14" s="359"/>
      <c r="B14" s="349"/>
      <c r="C14" s="4" t="s">
        <v>151</v>
      </c>
      <c r="D14" s="359"/>
      <c r="E14" s="14" t="s">
        <v>620</v>
      </c>
      <c r="F14" s="18"/>
      <c r="G14" s="18"/>
      <c r="H14" s="18"/>
      <c r="I14" s="18"/>
    </row>
    <row r="15" spans="1:9">
      <c r="A15" s="359"/>
      <c r="B15" s="349"/>
      <c r="C15" s="1" t="s">
        <v>18</v>
      </c>
      <c r="D15" s="359"/>
      <c r="E15" s="14" t="s">
        <v>620</v>
      </c>
      <c r="F15" s="18"/>
      <c r="G15" s="18"/>
      <c r="H15" s="18"/>
      <c r="I15" s="18"/>
    </row>
    <row r="16" spans="1:9">
      <c r="A16" s="359"/>
      <c r="B16" s="349"/>
      <c r="C16" s="1" t="s">
        <v>169</v>
      </c>
      <c r="D16" s="359"/>
      <c r="E16" s="14" t="s">
        <v>620</v>
      </c>
      <c r="F16" s="18"/>
      <c r="G16" s="18"/>
      <c r="H16" s="18"/>
      <c r="I16" s="18"/>
    </row>
    <row r="17" spans="1:9">
      <c r="A17" s="359"/>
      <c r="B17" s="349"/>
      <c r="C17" s="1" t="s">
        <v>22</v>
      </c>
      <c r="D17" s="359"/>
      <c r="E17" s="14" t="s">
        <v>620</v>
      </c>
      <c r="F17" s="18"/>
      <c r="G17" s="18"/>
      <c r="H17" s="18"/>
      <c r="I17" s="18"/>
    </row>
    <row r="18" spans="1:9">
      <c r="A18" s="359"/>
      <c r="B18" s="349"/>
      <c r="C18" s="1" t="s">
        <v>23</v>
      </c>
      <c r="D18" s="359"/>
      <c r="E18" s="14" t="s">
        <v>620</v>
      </c>
      <c r="F18" s="18"/>
      <c r="G18" s="18"/>
      <c r="H18" s="18"/>
      <c r="I18" s="18"/>
    </row>
    <row r="19" spans="1:9">
      <c r="A19" s="359"/>
      <c r="B19" s="349"/>
      <c r="C19" s="1" t="s">
        <v>193</v>
      </c>
      <c r="D19" s="359"/>
      <c r="E19" s="14" t="s">
        <v>620</v>
      </c>
      <c r="F19" s="18"/>
      <c r="G19" s="18"/>
      <c r="H19" s="18"/>
      <c r="I19" s="18"/>
    </row>
    <row r="20" spans="1:9">
      <c r="A20" s="359"/>
      <c r="B20" s="349"/>
      <c r="C20" s="1" t="s">
        <v>24</v>
      </c>
      <c r="D20" s="359"/>
      <c r="E20" s="14" t="s">
        <v>621</v>
      </c>
      <c r="F20" s="18"/>
      <c r="G20" s="18"/>
      <c r="H20" s="18"/>
      <c r="I20" s="18"/>
    </row>
    <row r="21" spans="1:9">
      <c r="A21" s="359"/>
      <c r="B21" s="349"/>
      <c r="C21" s="1" t="s">
        <v>25</v>
      </c>
      <c r="D21" s="359"/>
      <c r="E21" s="14" t="s">
        <v>621</v>
      </c>
      <c r="F21" s="18"/>
      <c r="G21" s="18"/>
      <c r="H21" s="18"/>
      <c r="I21" s="18"/>
    </row>
    <row r="22" spans="1:9">
      <c r="A22" s="359"/>
      <c r="B22" s="349"/>
      <c r="C22" s="6" t="s">
        <v>622</v>
      </c>
      <c r="D22" s="359"/>
      <c r="E22" s="14" t="s">
        <v>620</v>
      </c>
      <c r="F22" s="18"/>
      <c r="G22" s="18"/>
      <c r="H22" s="18"/>
      <c r="I22" s="18"/>
    </row>
    <row r="23" spans="1:9">
      <c r="A23" s="359"/>
      <c r="B23" s="349"/>
      <c r="C23" s="1" t="s">
        <v>27</v>
      </c>
      <c r="D23" s="359"/>
      <c r="E23" s="14" t="s">
        <v>620</v>
      </c>
      <c r="F23" s="18"/>
      <c r="G23" s="18"/>
      <c r="H23" s="18"/>
      <c r="I23" s="18"/>
    </row>
    <row r="24" spans="1:9">
      <c r="A24" s="359"/>
      <c r="B24" s="349"/>
      <c r="C24" s="1" t="s">
        <v>28</v>
      </c>
      <c r="D24" s="359"/>
      <c r="E24" s="14" t="s">
        <v>620</v>
      </c>
      <c r="F24" s="18"/>
      <c r="G24" s="18"/>
      <c r="H24" s="18"/>
      <c r="I24" s="18"/>
    </row>
    <row r="25" spans="1:9">
      <c r="A25" s="11" t="s">
        <v>623</v>
      </c>
      <c r="B25" s="5" t="s">
        <v>624</v>
      </c>
      <c r="C25" s="4"/>
      <c r="D25" s="359"/>
      <c r="E25" s="14" t="s">
        <v>94</v>
      </c>
      <c r="F25" s="18"/>
      <c r="G25" s="18"/>
      <c r="H25" s="18"/>
      <c r="I25" s="18"/>
    </row>
    <row r="26" spans="1:9">
      <c r="A26" s="349" t="s">
        <v>625</v>
      </c>
      <c r="B26" s="359" t="s">
        <v>12</v>
      </c>
      <c r="C26" s="4" t="s">
        <v>626</v>
      </c>
      <c r="D26" s="8"/>
      <c r="E26" s="355" t="s">
        <v>627</v>
      </c>
      <c r="F26" s="18"/>
      <c r="G26" s="18"/>
      <c r="H26" s="18"/>
      <c r="I26" s="18"/>
    </row>
    <row r="27" spans="1:9">
      <c r="A27" s="349"/>
      <c r="B27" s="359"/>
      <c r="C27" s="4" t="s">
        <v>628</v>
      </c>
      <c r="D27" s="8"/>
      <c r="E27" s="356"/>
      <c r="F27" s="18"/>
      <c r="G27" s="18"/>
      <c r="H27" s="18"/>
      <c r="I27" s="18"/>
    </row>
    <row r="28" spans="1:9">
      <c r="A28" s="349"/>
      <c r="B28" s="359"/>
      <c r="C28" s="4" t="s">
        <v>629</v>
      </c>
      <c r="D28" s="8"/>
      <c r="E28" s="356"/>
      <c r="F28" s="18"/>
      <c r="G28" s="18"/>
      <c r="H28" s="18"/>
      <c r="I28" s="18"/>
    </row>
    <row r="29" spans="1:9">
      <c r="A29" s="349"/>
      <c r="B29" s="359"/>
      <c r="C29" s="4" t="s">
        <v>630</v>
      </c>
      <c r="D29" s="8"/>
      <c r="E29" s="357"/>
      <c r="F29" s="18"/>
      <c r="G29" s="18"/>
      <c r="H29" s="18"/>
      <c r="I29" s="18"/>
    </row>
    <row r="30" spans="1:9">
      <c r="A30" s="349" t="s">
        <v>631</v>
      </c>
      <c r="B30" s="349" t="s">
        <v>13</v>
      </c>
      <c r="C30" s="4" t="s">
        <v>101</v>
      </c>
      <c r="D30" s="359" t="s">
        <v>632</v>
      </c>
      <c r="E30" s="358" t="s">
        <v>633</v>
      </c>
      <c r="F30" s="18"/>
      <c r="G30" s="18"/>
      <c r="H30" s="18"/>
      <c r="I30" s="18"/>
    </row>
    <row r="31" spans="1:9">
      <c r="A31" s="349"/>
      <c r="B31" s="349"/>
      <c r="C31" s="4" t="s">
        <v>119</v>
      </c>
      <c r="D31" s="359"/>
      <c r="E31" s="358"/>
      <c r="F31" s="18"/>
      <c r="G31" s="18"/>
      <c r="H31" s="18"/>
      <c r="I31" s="18"/>
    </row>
    <row r="32" spans="1:9">
      <c r="A32" s="349"/>
      <c r="B32" s="349"/>
      <c r="C32" s="4" t="s">
        <v>131</v>
      </c>
      <c r="D32" s="359"/>
      <c r="E32" s="358"/>
      <c r="F32" s="18"/>
      <c r="G32" s="18"/>
      <c r="H32" s="18"/>
      <c r="I32" s="18"/>
    </row>
    <row r="33" spans="1:9">
      <c r="A33" s="349"/>
      <c r="B33" s="349"/>
      <c r="C33" s="4" t="s">
        <v>143</v>
      </c>
      <c r="D33" s="359" t="s">
        <v>634</v>
      </c>
      <c r="E33" s="15" t="s">
        <v>635</v>
      </c>
      <c r="F33" s="18"/>
      <c r="G33" s="18"/>
      <c r="H33" s="18"/>
      <c r="I33" s="18"/>
    </row>
    <row r="34" spans="1:9">
      <c r="A34" s="349"/>
      <c r="B34" s="349"/>
      <c r="C34" s="4" t="s">
        <v>154</v>
      </c>
      <c r="D34" s="359"/>
      <c r="E34" s="355" t="s">
        <v>619</v>
      </c>
      <c r="F34" s="18"/>
      <c r="G34" s="18"/>
      <c r="H34" s="18"/>
      <c r="I34" s="18"/>
    </row>
    <row r="35" spans="1:9">
      <c r="A35" s="349"/>
      <c r="B35" s="349"/>
      <c r="C35" s="4" t="s">
        <v>162</v>
      </c>
      <c r="D35" s="359"/>
      <c r="E35" s="356"/>
      <c r="F35" s="18"/>
      <c r="G35" s="18"/>
      <c r="H35" s="18"/>
      <c r="I35" s="18"/>
    </row>
    <row r="36" spans="1:9">
      <c r="A36" s="349"/>
      <c r="B36" s="349"/>
      <c r="C36" s="4" t="s">
        <v>172</v>
      </c>
      <c r="D36" s="359"/>
      <c r="E36" s="356"/>
      <c r="F36" s="18"/>
      <c r="G36" s="18"/>
      <c r="H36" s="18"/>
      <c r="I36" s="18"/>
    </row>
    <row r="37" spans="1:9">
      <c r="A37" s="349"/>
      <c r="B37" s="349"/>
      <c r="C37" s="4" t="s">
        <v>181</v>
      </c>
      <c r="D37" s="359"/>
      <c r="E37" s="356"/>
      <c r="F37" s="18"/>
      <c r="G37" s="18"/>
      <c r="H37" s="18"/>
      <c r="I37" s="18"/>
    </row>
    <row r="38" spans="1:9">
      <c r="A38" s="349"/>
      <c r="B38" s="349"/>
      <c r="C38" s="4" t="s">
        <v>189</v>
      </c>
      <c r="D38" s="359"/>
      <c r="E38" s="357"/>
      <c r="F38" s="18"/>
      <c r="G38" s="18"/>
      <c r="H38" s="18"/>
      <c r="I38" s="18"/>
    </row>
    <row r="39" spans="1:9"/>
  </sheetData>
  <mergeCells count="19">
    <mergeCell ref="E26:E29"/>
    <mergeCell ref="E34:E38"/>
    <mergeCell ref="D10:D25"/>
    <mergeCell ref="D30:D32"/>
    <mergeCell ref="D33:D38"/>
    <mergeCell ref="E30:E32"/>
    <mergeCell ref="B30:B38"/>
    <mergeCell ref="A30:A38"/>
    <mergeCell ref="B26:B29"/>
    <mergeCell ref="A26:A29"/>
    <mergeCell ref="B10:B24"/>
    <mergeCell ref="A10:A24"/>
    <mergeCell ref="A3:A4"/>
    <mergeCell ref="B3:B4"/>
    <mergeCell ref="A1:E1"/>
    <mergeCell ref="B5:B9"/>
    <mergeCell ref="A5:A9"/>
    <mergeCell ref="E5:E9"/>
    <mergeCell ref="E3:E4"/>
  </mergeCell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015DE-D1F2-49CB-BB0A-DEC642B2460A}">
  <dimension ref="A1:BN228"/>
  <sheetViews>
    <sheetView tabSelected="1" workbookViewId="0">
      <pane xSplit="8" ySplit="3" topLeftCell="I91" activePane="bottomRight" state="frozen"/>
      <selection pane="bottomRight" activeCell="A130" sqref="A130:XFD130"/>
      <selection pane="bottomLeft"/>
      <selection pane="topRight"/>
    </sheetView>
  </sheetViews>
  <sheetFormatPr defaultColWidth="9.140625" defaultRowHeight="15" outlineLevelRow="1" outlineLevelCol="2"/>
  <cols>
    <col min="1" max="1" width="17.5703125" bestFit="1" customWidth="1"/>
    <col min="2" max="2" width="30.140625" bestFit="1" customWidth="1"/>
    <col min="3" max="3" width="15.140625" customWidth="1"/>
    <col min="4" max="4" width="25.85546875" customWidth="1"/>
    <col min="5" max="5" width="48.85546875" style="129" bestFit="1" customWidth="1"/>
    <col min="6" max="6" width="7.7109375" bestFit="1" customWidth="1"/>
    <col min="7" max="7" width="38.140625" style="129" customWidth="1"/>
    <col min="8" max="8" width="14.140625" customWidth="1"/>
    <col min="9" max="9" width="9.140625" customWidth="1"/>
    <col min="10" max="10" width="9.140625" customWidth="1" outlineLevel="1"/>
    <col min="11" max="11" width="49.42578125" style="129" hidden="1" customWidth="1" outlineLevel="2"/>
    <col min="12" max="12" width="12.42578125" style="165" hidden="1" customWidth="1" outlineLevel="2"/>
    <col min="13" max="13" width="9.140625" customWidth="1" outlineLevel="1" collapsed="1"/>
    <col min="14" max="14" width="43.28515625" style="129" hidden="1" customWidth="1" outlineLevel="2"/>
    <col min="15" max="15" width="12.42578125" hidden="1" customWidth="1" outlineLevel="2"/>
    <col min="16" max="16" width="9.140625" customWidth="1" outlineLevel="1" collapsed="1"/>
    <col min="17" max="17" width="50" style="129" hidden="1" customWidth="1" outlineLevel="2"/>
    <col min="18" max="18" width="9.140625" hidden="1" customWidth="1" outlineLevel="2"/>
    <col min="19" max="19" width="9.140625" customWidth="1" outlineLevel="1" collapsed="1"/>
    <col min="20" max="20" width="48.85546875" hidden="1" customWidth="1" outlineLevel="2"/>
    <col min="21" max="21" width="12.42578125" hidden="1" customWidth="1" outlineLevel="2"/>
    <col min="22" max="22" width="9.140625" customWidth="1" outlineLevel="1" collapsed="1"/>
    <col min="23" max="24" width="12.42578125" customWidth="1" outlineLevel="2"/>
    <col min="25" max="25" width="9.140625" customWidth="1" outlineLevel="1"/>
    <col min="26" max="26" width="45" customWidth="1" outlineLevel="2"/>
    <col min="27" max="27" width="9.140625" customWidth="1" outlineLevel="2"/>
    <col min="28" max="28" width="9.140625" customWidth="1"/>
    <col min="29" max="29" width="12.42578125" hidden="1" customWidth="1" outlineLevel="1"/>
    <col min="30" max="31" width="12.42578125" hidden="1" customWidth="1" outlineLevel="2"/>
    <col min="32" max="32" width="12.42578125" hidden="1" customWidth="1" outlineLevel="1" collapsed="1"/>
    <col min="33" max="34" width="12.42578125" hidden="1" customWidth="1" outlineLevel="2"/>
    <col min="35" max="35" width="12.42578125" hidden="1" customWidth="1" outlineLevel="1" collapsed="1"/>
    <col min="36" max="37" width="12.42578125" hidden="1" customWidth="1" outlineLevel="2"/>
    <col min="38" max="38" width="12.42578125" hidden="1" customWidth="1" outlineLevel="1" collapsed="1"/>
    <col min="39" max="40" width="12.42578125" hidden="1" customWidth="1" outlineLevel="2"/>
    <col min="41" max="41" width="12.42578125" hidden="1" customWidth="1" outlineLevel="1" collapsed="1"/>
    <col min="42" max="43" width="12.42578125" hidden="1" customWidth="1" outlineLevel="2"/>
    <col min="44" max="44" width="12.42578125" hidden="1" customWidth="1" outlineLevel="1" collapsed="1"/>
    <col min="45" max="46" width="12.42578125" hidden="1" customWidth="1" outlineLevel="2"/>
    <col min="47" max="47" width="9.140625" customWidth="1" collapsed="1"/>
    <col min="48" max="48" width="12.42578125" hidden="1" customWidth="1" outlineLevel="1"/>
    <col min="49" max="49" width="12.42578125" style="129" hidden="1" customWidth="1" outlineLevel="2"/>
    <col min="50" max="50" width="12.42578125" hidden="1" customWidth="1" outlineLevel="2"/>
    <col min="51" max="51" width="12.42578125" hidden="1" customWidth="1" outlineLevel="1" collapsed="1"/>
    <col min="52" max="53" width="12.42578125" hidden="1" customWidth="1" outlineLevel="2"/>
    <col min="54" max="54" width="12.42578125" hidden="1" customWidth="1" outlineLevel="1" collapsed="1"/>
    <col min="55" max="56" width="12.42578125" hidden="1" customWidth="1" outlineLevel="2"/>
    <col min="57" max="57" width="12.42578125" hidden="1" customWidth="1" outlineLevel="1" collapsed="1"/>
    <col min="58" max="59" width="12.42578125" hidden="1" customWidth="1" outlineLevel="2"/>
    <col min="60" max="60" width="12.42578125" hidden="1" customWidth="1" outlineLevel="1" collapsed="1"/>
    <col min="61" max="62" width="12.42578125" hidden="1" customWidth="1" outlineLevel="2"/>
    <col min="63" max="63" width="12.42578125" hidden="1" customWidth="1" outlineLevel="1" collapsed="1"/>
    <col min="64" max="65" width="12.42578125" hidden="1" customWidth="1" outlineLevel="2"/>
    <col min="66" max="66" width="9.140625" collapsed="1"/>
  </cols>
  <sheetData>
    <row r="1" spans="1:65" ht="15.75">
      <c r="A1" s="329" t="s">
        <v>636</v>
      </c>
      <c r="B1" s="329"/>
      <c r="C1" s="329"/>
      <c r="D1" s="329"/>
      <c r="E1" s="329"/>
      <c r="F1" s="329"/>
      <c r="G1" s="329"/>
      <c r="H1" s="329"/>
      <c r="I1" s="65"/>
      <c r="J1" s="65"/>
      <c r="K1" s="66"/>
      <c r="L1" s="160"/>
      <c r="M1" s="65"/>
      <c r="N1" s="66"/>
      <c r="O1" s="65"/>
      <c r="P1" s="65"/>
      <c r="Q1" s="66"/>
      <c r="R1" s="65"/>
      <c r="S1" s="65"/>
      <c r="T1" s="65"/>
      <c r="U1" s="65"/>
      <c r="V1" s="65"/>
      <c r="W1" s="65"/>
      <c r="X1" s="65"/>
      <c r="Y1" s="65"/>
      <c r="Z1" s="65"/>
      <c r="AA1" s="65"/>
      <c r="AB1" s="65"/>
      <c r="AC1" s="65"/>
      <c r="AD1" s="65"/>
      <c r="AE1" s="65"/>
      <c r="AF1" s="65"/>
      <c r="AG1" s="65"/>
      <c r="AH1" s="65"/>
      <c r="AI1" s="65"/>
      <c r="AJ1" s="65"/>
      <c r="AK1" s="65"/>
      <c r="AL1" s="65"/>
      <c r="AM1" s="65"/>
      <c r="AN1" s="65"/>
      <c r="AO1" s="65"/>
      <c r="AP1" s="65"/>
      <c r="AQ1" s="65"/>
      <c r="AR1" s="65"/>
      <c r="AS1" s="65"/>
      <c r="AT1" s="65"/>
      <c r="AU1" s="65"/>
      <c r="AV1" s="65"/>
      <c r="AW1" s="66"/>
      <c r="AX1" s="65"/>
      <c r="AY1" s="65"/>
      <c r="AZ1" s="65"/>
      <c r="BA1" s="65"/>
      <c r="BB1" s="65"/>
      <c r="BC1" s="65"/>
      <c r="BD1" s="65"/>
      <c r="BE1" s="65"/>
      <c r="BF1" s="65"/>
      <c r="BG1" s="65"/>
      <c r="BH1" s="65"/>
      <c r="BI1" s="65"/>
      <c r="BJ1" s="65"/>
      <c r="BK1" s="65"/>
      <c r="BL1" s="65"/>
      <c r="BM1" s="65"/>
    </row>
    <row r="2" spans="1:65" s="129" customFormat="1" ht="64.5">
      <c r="A2" s="124" t="s">
        <v>16</v>
      </c>
      <c r="B2" s="124" t="s">
        <v>637</v>
      </c>
      <c r="C2" s="124" t="s">
        <v>458</v>
      </c>
      <c r="D2" s="124" t="s">
        <v>51</v>
      </c>
      <c r="E2" s="124" t="s">
        <v>52</v>
      </c>
      <c r="F2" s="124" t="s">
        <v>53</v>
      </c>
      <c r="G2" s="124" t="s">
        <v>54</v>
      </c>
      <c r="H2" s="112" t="s">
        <v>638</v>
      </c>
      <c r="I2" s="125" t="s">
        <v>639</v>
      </c>
      <c r="J2" s="125" t="s">
        <v>640</v>
      </c>
      <c r="K2" s="126" t="s">
        <v>641</v>
      </c>
      <c r="L2" s="161" t="s">
        <v>642</v>
      </c>
      <c r="M2" s="125" t="s">
        <v>640</v>
      </c>
      <c r="N2" s="126" t="s">
        <v>641</v>
      </c>
      <c r="O2" s="126" t="s">
        <v>642</v>
      </c>
      <c r="P2" s="125" t="s">
        <v>640</v>
      </c>
      <c r="Q2" s="126" t="s">
        <v>641</v>
      </c>
      <c r="R2" s="126" t="s">
        <v>642</v>
      </c>
      <c r="S2" s="125" t="s">
        <v>640</v>
      </c>
      <c r="T2" s="126" t="s">
        <v>641</v>
      </c>
      <c r="U2" s="126" t="s">
        <v>642</v>
      </c>
      <c r="V2" s="125" t="s">
        <v>640</v>
      </c>
      <c r="W2" s="126" t="s">
        <v>641</v>
      </c>
      <c r="X2" s="126" t="s">
        <v>642</v>
      </c>
      <c r="Y2" s="125" t="s">
        <v>640</v>
      </c>
      <c r="Z2" s="126" t="s">
        <v>641</v>
      </c>
      <c r="AA2" s="126" t="s">
        <v>642</v>
      </c>
      <c r="AB2" s="127" t="s">
        <v>643</v>
      </c>
      <c r="AC2" s="127" t="s">
        <v>640</v>
      </c>
      <c r="AD2" s="128" t="s">
        <v>641</v>
      </c>
      <c r="AE2" s="128" t="s">
        <v>642</v>
      </c>
      <c r="AF2" s="127" t="s">
        <v>640</v>
      </c>
      <c r="AG2" s="128" t="s">
        <v>641</v>
      </c>
      <c r="AH2" s="128" t="s">
        <v>642</v>
      </c>
      <c r="AI2" s="127" t="s">
        <v>640</v>
      </c>
      <c r="AJ2" s="128" t="s">
        <v>641</v>
      </c>
      <c r="AK2" s="128" t="s">
        <v>642</v>
      </c>
      <c r="AL2" s="127" t="s">
        <v>640</v>
      </c>
      <c r="AM2" s="128" t="s">
        <v>641</v>
      </c>
      <c r="AN2" s="128" t="s">
        <v>642</v>
      </c>
      <c r="AO2" s="127" t="s">
        <v>640</v>
      </c>
      <c r="AP2" s="128" t="s">
        <v>641</v>
      </c>
      <c r="AQ2" s="128" t="s">
        <v>642</v>
      </c>
      <c r="AR2" s="127" t="s">
        <v>640</v>
      </c>
      <c r="AS2" s="128" t="s">
        <v>641</v>
      </c>
      <c r="AT2" s="128" t="s">
        <v>642</v>
      </c>
      <c r="AU2" s="125" t="s">
        <v>644</v>
      </c>
      <c r="AV2" s="125" t="s">
        <v>640</v>
      </c>
      <c r="AW2" s="126" t="s">
        <v>641</v>
      </c>
      <c r="AX2" s="126" t="s">
        <v>642</v>
      </c>
      <c r="AY2" s="125" t="s">
        <v>640</v>
      </c>
      <c r="AZ2" s="126" t="s">
        <v>641</v>
      </c>
      <c r="BA2" s="126" t="s">
        <v>642</v>
      </c>
      <c r="BB2" s="125" t="s">
        <v>640</v>
      </c>
      <c r="BC2" s="126" t="s">
        <v>641</v>
      </c>
      <c r="BD2" s="126" t="s">
        <v>642</v>
      </c>
      <c r="BE2" s="125" t="s">
        <v>640</v>
      </c>
      <c r="BF2" s="126" t="s">
        <v>641</v>
      </c>
      <c r="BG2" s="126" t="s">
        <v>642</v>
      </c>
      <c r="BH2" s="125" t="s">
        <v>640</v>
      </c>
      <c r="BI2" s="126" t="s">
        <v>641</v>
      </c>
      <c r="BJ2" s="126" t="s">
        <v>642</v>
      </c>
      <c r="BK2" s="125" t="s">
        <v>640</v>
      </c>
      <c r="BL2" s="126" t="s">
        <v>641</v>
      </c>
      <c r="BM2" s="126" t="s">
        <v>642</v>
      </c>
    </row>
    <row r="3" spans="1:65">
      <c r="A3" s="113"/>
      <c r="B3" s="113"/>
      <c r="C3" s="114"/>
      <c r="D3" s="115"/>
      <c r="E3" s="149"/>
      <c r="F3" s="114"/>
      <c r="G3" s="151"/>
      <c r="H3" s="116"/>
      <c r="I3" s="117"/>
      <c r="J3" s="117">
        <v>46174</v>
      </c>
      <c r="K3" s="146" t="s">
        <v>557</v>
      </c>
      <c r="L3" s="162" t="s">
        <v>557</v>
      </c>
      <c r="M3" s="117">
        <f>J3+1</f>
        <v>46175</v>
      </c>
      <c r="N3" s="146" t="s">
        <v>557</v>
      </c>
      <c r="O3" s="118" t="s">
        <v>557</v>
      </c>
      <c r="P3" s="117">
        <f>J3+2</f>
        <v>46176</v>
      </c>
      <c r="Q3" s="146" t="s">
        <v>557</v>
      </c>
      <c r="R3" s="118" t="s">
        <v>557</v>
      </c>
      <c r="S3" s="117">
        <f>J3+3</f>
        <v>46177</v>
      </c>
      <c r="T3" s="118" t="s">
        <v>557</v>
      </c>
      <c r="U3" s="118" t="s">
        <v>557</v>
      </c>
      <c r="V3" s="117">
        <f>J3+4</f>
        <v>46178</v>
      </c>
      <c r="W3" s="118" t="s">
        <v>557</v>
      </c>
      <c r="X3" s="118" t="s">
        <v>557</v>
      </c>
      <c r="Y3" s="117">
        <f>J3+5</f>
        <v>46179</v>
      </c>
      <c r="Z3" s="118" t="s">
        <v>557</v>
      </c>
      <c r="AA3" s="118" t="s">
        <v>557</v>
      </c>
      <c r="AB3" s="119"/>
      <c r="AC3" s="119">
        <v>46181</v>
      </c>
      <c r="AD3" s="120" t="s">
        <v>557</v>
      </c>
      <c r="AE3" s="120" t="s">
        <v>557</v>
      </c>
      <c r="AF3" s="130">
        <f>AC3+1</f>
        <v>46182</v>
      </c>
      <c r="AG3" s="131" t="s">
        <v>557</v>
      </c>
      <c r="AH3" s="131" t="s">
        <v>557</v>
      </c>
      <c r="AI3" s="130">
        <f>AC3+2</f>
        <v>46183</v>
      </c>
      <c r="AJ3" s="131" t="s">
        <v>557</v>
      </c>
      <c r="AK3" s="131" t="s">
        <v>557</v>
      </c>
      <c r="AL3" s="130">
        <f>AC3+3</f>
        <v>46184</v>
      </c>
      <c r="AM3" s="131" t="s">
        <v>557</v>
      </c>
      <c r="AN3" s="131" t="s">
        <v>557</v>
      </c>
      <c r="AO3" s="130">
        <f>AC3+4</f>
        <v>46185</v>
      </c>
      <c r="AP3" s="131" t="s">
        <v>557</v>
      </c>
      <c r="AQ3" s="131" t="s">
        <v>557</v>
      </c>
      <c r="AR3" s="130">
        <f>AC3+5</f>
        <v>46186</v>
      </c>
      <c r="AS3" s="120" t="s">
        <v>557</v>
      </c>
      <c r="AT3" s="120" t="s">
        <v>557</v>
      </c>
      <c r="AU3" s="117"/>
      <c r="AV3" s="117">
        <v>46188</v>
      </c>
      <c r="AW3" s="146" t="s">
        <v>557</v>
      </c>
      <c r="AX3" s="118" t="s">
        <v>557</v>
      </c>
      <c r="AY3" s="117">
        <f>AV3+1</f>
        <v>46189</v>
      </c>
      <c r="AZ3" s="118" t="s">
        <v>557</v>
      </c>
      <c r="BA3" s="118" t="s">
        <v>557</v>
      </c>
      <c r="BB3" s="117">
        <f>AV3+2</f>
        <v>46190</v>
      </c>
      <c r="BC3" s="118" t="s">
        <v>557</v>
      </c>
      <c r="BD3" s="118" t="s">
        <v>557</v>
      </c>
      <c r="BE3" s="117">
        <f>AV3+3</f>
        <v>46191</v>
      </c>
      <c r="BF3" s="118" t="s">
        <v>557</v>
      </c>
      <c r="BG3" s="118" t="s">
        <v>557</v>
      </c>
      <c r="BH3" s="117">
        <f>AV3+4</f>
        <v>46192</v>
      </c>
      <c r="BI3" s="118" t="s">
        <v>557</v>
      </c>
      <c r="BJ3" s="118" t="s">
        <v>557</v>
      </c>
      <c r="BK3" s="117">
        <f>AV3+5</f>
        <v>46193</v>
      </c>
      <c r="BL3" s="118" t="s">
        <v>557</v>
      </c>
      <c r="BM3" s="118" t="s">
        <v>557</v>
      </c>
    </row>
    <row r="4" spans="1:65">
      <c r="A4" s="290" t="s">
        <v>31</v>
      </c>
      <c r="B4" s="291"/>
      <c r="C4" s="292" t="str">
        <f>IF($B4="","",INDEX('All Bảng'!C:C,MATCH($B4,'All Bảng'!$A:$A,0)))</f>
        <v/>
      </c>
      <c r="D4" s="292" t="str">
        <f>IF($B4="","",INDEX('All Bảng'!D:D,MATCH($B4,'All Bảng'!$A:$A,0)))</f>
        <v/>
      </c>
      <c r="E4" s="292" t="str">
        <f>IF($B4="","",INDEX('All Bảng'!E:E,MATCH($B4,'All Bảng'!$A:$A,0)))</f>
        <v/>
      </c>
      <c r="F4" s="292" t="str">
        <f>IF($B4="","",INDEX('All Bảng'!F:F,MATCH($B4,'All Bảng'!$A:$A,0)))</f>
        <v/>
      </c>
      <c r="G4" s="292" t="str">
        <f>IF($B4="","",INDEX('All Bảng'!G:G,MATCH($B4,'All Bảng'!$A:$A,0)))</f>
        <v/>
      </c>
      <c r="H4" s="293"/>
      <c r="I4" s="294"/>
      <c r="J4" s="294">
        <f>J$3</f>
        <v>46174</v>
      </c>
      <c r="K4" s="295" t="s">
        <v>557</v>
      </c>
      <c r="L4" s="296">
        <f>SUM(L5:L36)</f>
        <v>10.25</v>
      </c>
      <c r="M4" s="294">
        <f>M$3</f>
        <v>46175</v>
      </c>
      <c r="N4" s="297" t="s">
        <v>557</v>
      </c>
      <c r="O4" s="298">
        <f>SUM(O5:O36)</f>
        <v>9</v>
      </c>
      <c r="P4" s="294">
        <f>P$3</f>
        <v>46176</v>
      </c>
      <c r="Q4" s="297" t="s">
        <v>557</v>
      </c>
      <c r="R4" s="298">
        <f>SUM(R5:R36)</f>
        <v>8</v>
      </c>
      <c r="S4" s="294">
        <f>S$3</f>
        <v>46177</v>
      </c>
      <c r="T4" s="299" t="s">
        <v>557</v>
      </c>
      <c r="U4" s="298">
        <f>SUM(U5:U36)</f>
        <v>8.25</v>
      </c>
      <c r="V4" s="294">
        <f>V$3</f>
        <v>46178</v>
      </c>
      <c r="W4" s="299" t="s">
        <v>557</v>
      </c>
      <c r="X4" s="298">
        <f>SUM(X5:X36)</f>
        <v>0</v>
      </c>
      <c r="Y4" s="294">
        <f>Y$3</f>
        <v>46179</v>
      </c>
      <c r="Z4" s="299" t="s">
        <v>557</v>
      </c>
      <c r="AA4" s="298">
        <f>SUM(AA5:AA36)</f>
        <v>0</v>
      </c>
      <c r="AB4" s="294"/>
      <c r="AC4" s="294">
        <f>AC$3</f>
        <v>46181</v>
      </c>
      <c r="AD4" s="299" t="s">
        <v>557</v>
      </c>
      <c r="AE4" s="298">
        <f>SUM(AE5:AE36)</f>
        <v>0</v>
      </c>
      <c r="AF4" s="294">
        <f>AF$3</f>
        <v>46182</v>
      </c>
      <c r="AG4" s="299" t="s">
        <v>557</v>
      </c>
      <c r="AH4" s="298">
        <f>SUM(AH5:AH36)</f>
        <v>0</v>
      </c>
      <c r="AI4" s="294">
        <f>AI$3</f>
        <v>46183</v>
      </c>
      <c r="AJ4" s="299" t="s">
        <v>557</v>
      </c>
      <c r="AK4" s="298">
        <f>SUM(AK5:AK36)</f>
        <v>0</v>
      </c>
      <c r="AL4" s="294">
        <f>AL$3</f>
        <v>46184</v>
      </c>
      <c r="AM4" s="299" t="s">
        <v>557</v>
      </c>
      <c r="AN4" s="298">
        <f>SUM(AN5:AN36)</f>
        <v>0</v>
      </c>
      <c r="AO4" s="294">
        <f>AO$3</f>
        <v>46185</v>
      </c>
      <c r="AP4" s="299" t="s">
        <v>557</v>
      </c>
      <c r="AQ4" s="298">
        <f>SUM(AQ5:AQ36)</f>
        <v>0</v>
      </c>
      <c r="AR4" s="294">
        <f>AR$3</f>
        <v>46186</v>
      </c>
      <c r="AS4" s="299" t="s">
        <v>557</v>
      </c>
      <c r="AT4" s="298">
        <f>SUM(AT5:AT36)</f>
        <v>0</v>
      </c>
      <c r="AU4" s="294"/>
      <c r="AV4" s="294">
        <f>AV$3</f>
        <v>46188</v>
      </c>
      <c r="AW4" s="297" t="s">
        <v>557</v>
      </c>
      <c r="AX4" s="298">
        <f>SUM(AX5:AX36)</f>
        <v>0</v>
      </c>
      <c r="AY4" s="294">
        <f>AY$3</f>
        <v>46189</v>
      </c>
      <c r="AZ4" s="299" t="s">
        <v>557</v>
      </c>
      <c r="BA4" s="298">
        <f>SUM(BA5:BA36)</f>
        <v>0</v>
      </c>
      <c r="BB4" s="294">
        <f>BB$3</f>
        <v>46190</v>
      </c>
      <c r="BC4" s="299" t="s">
        <v>557</v>
      </c>
      <c r="BD4" s="298">
        <f>SUM(BD5:BD36)</f>
        <v>0</v>
      </c>
      <c r="BE4" s="294">
        <f>BE$3</f>
        <v>46191</v>
      </c>
      <c r="BF4" s="299" t="s">
        <v>557</v>
      </c>
      <c r="BG4" s="298">
        <f>SUM(BG5:BG36)</f>
        <v>0</v>
      </c>
      <c r="BH4" s="294">
        <f>BH$3</f>
        <v>46192</v>
      </c>
      <c r="BI4" s="299" t="s">
        <v>557</v>
      </c>
      <c r="BJ4" s="298">
        <f>SUM(BJ5:BJ36)</f>
        <v>0</v>
      </c>
      <c r="BK4" s="294">
        <f>BK$3</f>
        <v>46193</v>
      </c>
      <c r="BL4" s="299" t="s">
        <v>557</v>
      </c>
      <c r="BM4" s="298">
        <f>SUM(BM5:BM36)</f>
        <v>0</v>
      </c>
    </row>
    <row r="5" spans="1:65" outlineLevel="1">
      <c r="A5" s="122" t="str">
        <f>$A$4</f>
        <v>Lý Huy Thành</v>
      </c>
      <c r="B5" s="28" t="str">
        <f>'Bảng 3'!A3</f>
        <v>3.All.001</v>
      </c>
      <c r="C5" s="81" t="str">
        <f>IF($B5="","",INDEX('All Bảng'!C:C,MATCH($B5,'All Bảng'!$A:$A,0)))</f>
        <v>Quản lý BIM</v>
      </c>
      <c r="D5" s="81" t="str">
        <f>IF($B5="","",INDEX('All Bảng'!D:D,MATCH($B5,'All Bảng'!$A:$A,0)))</f>
        <v>All</v>
      </c>
      <c r="E5" s="81" t="str">
        <f>IF($B5="","",INDEX('All Bảng'!E:E,MATCH($B5,'All Bảng'!$A:$A,0)))</f>
        <v>All</v>
      </c>
      <c r="F5" s="81" t="str">
        <f>IF($B5="","",INDEX('All Bảng'!F:F,MATCH($B5,'All Bảng'!$A:$A,0)))</f>
        <v>BIM</v>
      </c>
      <c r="G5" s="81" t="str">
        <f>IF($B5="","",INDEX('All Bảng'!G:G,MATCH($B5,'All Bảng'!$A:$A,0)))</f>
        <v>Điều phối CDE</v>
      </c>
      <c r="H5" s="282"/>
      <c r="I5" s="281"/>
      <c r="J5" s="266">
        <v>46174</v>
      </c>
      <c r="K5" s="148" t="s">
        <v>645</v>
      </c>
      <c r="L5" s="163">
        <v>1.75</v>
      </c>
      <c r="M5" s="135">
        <f>M$3</f>
        <v>46175</v>
      </c>
      <c r="N5" s="148" t="s">
        <v>646</v>
      </c>
      <c r="O5" s="137">
        <v>4</v>
      </c>
      <c r="P5" s="135">
        <f>P$3</f>
        <v>46176</v>
      </c>
      <c r="Q5" s="148" t="s">
        <v>647</v>
      </c>
      <c r="R5" s="137">
        <v>1.5</v>
      </c>
      <c r="S5" s="135">
        <f>S$3</f>
        <v>46177</v>
      </c>
      <c r="T5" s="136" t="s">
        <v>648</v>
      </c>
      <c r="U5" s="137">
        <v>1.5</v>
      </c>
      <c r="V5" s="135">
        <f>V$3</f>
        <v>46178</v>
      </c>
      <c r="W5" s="136" t="s">
        <v>557</v>
      </c>
      <c r="X5" s="137" t="s">
        <v>557</v>
      </c>
      <c r="Y5" s="135">
        <f>Y$3</f>
        <v>46179</v>
      </c>
      <c r="Z5" s="136" t="s">
        <v>557</v>
      </c>
      <c r="AA5" s="137" t="s">
        <v>557</v>
      </c>
      <c r="AB5" s="135"/>
      <c r="AC5" s="135">
        <f>AC$3</f>
        <v>46181</v>
      </c>
      <c r="AD5" s="136" t="s">
        <v>557</v>
      </c>
      <c r="AE5" s="137" t="s">
        <v>557</v>
      </c>
      <c r="AF5" s="135">
        <f>AF$3</f>
        <v>46182</v>
      </c>
      <c r="AG5" s="136" t="s">
        <v>557</v>
      </c>
      <c r="AH5" s="137" t="s">
        <v>557</v>
      </c>
      <c r="AI5" s="135">
        <f>AI$3</f>
        <v>46183</v>
      </c>
      <c r="AJ5" s="136" t="s">
        <v>557</v>
      </c>
      <c r="AK5" s="137" t="s">
        <v>557</v>
      </c>
      <c r="AL5" s="135">
        <f>AL$3</f>
        <v>46184</v>
      </c>
      <c r="AM5" s="136" t="s">
        <v>557</v>
      </c>
      <c r="AN5" s="137" t="s">
        <v>557</v>
      </c>
      <c r="AO5" s="135">
        <f>AO$3</f>
        <v>46185</v>
      </c>
      <c r="AP5" s="136" t="s">
        <v>557</v>
      </c>
      <c r="AQ5" s="137" t="s">
        <v>557</v>
      </c>
      <c r="AR5" s="135">
        <f>AR$3</f>
        <v>46186</v>
      </c>
      <c r="AS5" s="136" t="s">
        <v>557</v>
      </c>
      <c r="AT5" s="137" t="s">
        <v>557</v>
      </c>
      <c r="AU5" s="135"/>
      <c r="AV5" s="135">
        <f>AV$3</f>
        <v>46188</v>
      </c>
      <c r="AW5" s="148" t="s">
        <v>557</v>
      </c>
      <c r="AX5" s="137" t="s">
        <v>557</v>
      </c>
      <c r="AY5" s="135">
        <f>AY$3</f>
        <v>46189</v>
      </c>
      <c r="AZ5" s="136" t="s">
        <v>557</v>
      </c>
      <c r="BA5" s="137" t="s">
        <v>557</v>
      </c>
      <c r="BB5" s="135">
        <f>BB$3</f>
        <v>46190</v>
      </c>
      <c r="BC5" s="136" t="s">
        <v>557</v>
      </c>
      <c r="BD5" s="137" t="s">
        <v>557</v>
      </c>
      <c r="BE5" s="135">
        <f>BE$3</f>
        <v>46191</v>
      </c>
      <c r="BF5" s="136" t="s">
        <v>557</v>
      </c>
      <c r="BG5" s="137" t="s">
        <v>557</v>
      </c>
      <c r="BH5" s="135">
        <f>BH$3</f>
        <v>46192</v>
      </c>
      <c r="BI5" s="136" t="s">
        <v>557</v>
      </c>
      <c r="BJ5" s="137" t="s">
        <v>557</v>
      </c>
      <c r="BK5" s="135">
        <f>BK$3</f>
        <v>46193</v>
      </c>
      <c r="BL5" s="136" t="s">
        <v>557</v>
      </c>
      <c r="BM5" s="137" t="s">
        <v>557</v>
      </c>
    </row>
    <row r="6" spans="1:65" outlineLevel="1">
      <c r="A6" s="122" t="str">
        <f>$A$4</f>
        <v>Lý Huy Thành</v>
      </c>
      <c r="B6" s="82" t="str">
        <f>'Bảng 3'!A417</f>
        <v>3.N.HCM.Q9.VP.101</v>
      </c>
      <c r="C6" s="81" t="str">
        <f>IF($B6="","",INDEX('All Bảng'!C:C,MATCH($B6,'All Bảng'!$A:$A,0)))</f>
        <v>Quản lý BIM</v>
      </c>
      <c r="D6" s="81" t="str">
        <f>IF($B6="","",INDEX('All Bảng'!D:D,MATCH($B6,'All Bảng'!$A:$A,0)))</f>
        <v>N.HCM.Q9.VP</v>
      </c>
      <c r="E6" s="81" t="str">
        <f>IF($B6="","",INDEX('All Bảng'!E:E,MATCH($B6,'All Bảng'!$A:$A,0)))</f>
        <v>Toà văn phòng 43 tầng</v>
      </c>
      <c r="F6" s="81" t="str">
        <f>IF($B6="","",INDEX('All Bảng'!F:F,MATCH($B6,'All Bảng'!$A:$A,0)))</f>
        <v>KT</v>
      </c>
      <c r="G6" s="81" t="str">
        <f>IF($B6="","",INDEX('All Bảng'!G:G,MATCH($B6,'All Bảng'!$A:$A,0)))</f>
        <v>Xuất khối lượng từ mô hình BIM</v>
      </c>
      <c r="H6" s="121">
        <v>46174</v>
      </c>
      <c r="I6" s="135"/>
      <c r="J6" s="135">
        <f>J$3</f>
        <v>46174</v>
      </c>
      <c r="K6" s="148" t="s">
        <v>649</v>
      </c>
      <c r="L6" s="163">
        <v>1</v>
      </c>
      <c r="M6" s="135">
        <f>M$3</f>
        <v>46175</v>
      </c>
      <c r="N6" s="148" t="s">
        <v>557</v>
      </c>
      <c r="O6" s="137" t="s">
        <v>557</v>
      </c>
      <c r="P6" s="135">
        <f>P$3</f>
        <v>46176</v>
      </c>
      <c r="Q6" s="148" t="s">
        <v>557</v>
      </c>
      <c r="R6" s="137" t="s">
        <v>557</v>
      </c>
      <c r="S6" s="135">
        <f>S$3</f>
        <v>46177</v>
      </c>
      <c r="T6" s="136" t="s">
        <v>557</v>
      </c>
      <c r="U6" s="137" t="s">
        <v>557</v>
      </c>
      <c r="V6" s="135">
        <f>V$3</f>
        <v>46178</v>
      </c>
      <c r="W6" s="136" t="s">
        <v>557</v>
      </c>
      <c r="X6" s="137" t="s">
        <v>557</v>
      </c>
      <c r="Y6" s="135">
        <f>Y$3</f>
        <v>46179</v>
      </c>
      <c r="Z6" s="136" t="s">
        <v>557</v>
      </c>
      <c r="AA6" s="137" t="s">
        <v>557</v>
      </c>
      <c r="AB6" s="135"/>
      <c r="AC6" s="135">
        <f>AC$3</f>
        <v>46181</v>
      </c>
      <c r="AD6" s="136" t="s">
        <v>557</v>
      </c>
      <c r="AE6" s="137" t="s">
        <v>557</v>
      </c>
      <c r="AF6" s="135">
        <f>AF$3</f>
        <v>46182</v>
      </c>
      <c r="AG6" s="136" t="s">
        <v>557</v>
      </c>
      <c r="AH6" s="137" t="s">
        <v>557</v>
      </c>
      <c r="AI6" s="135">
        <f>AI$3</f>
        <v>46183</v>
      </c>
      <c r="AJ6" s="136" t="s">
        <v>557</v>
      </c>
      <c r="AK6" s="137" t="s">
        <v>557</v>
      </c>
      <c r="AL6" s="135">
        <f>AL$3</f>
        <v>46184</v>
      </c>
      <c r="AM6" s="136" t="s">
        <v>557</v>
      </c>
      <c r="AN6" s="137" t="s">
        <v>557</v>
      </c>
      <c r="AO6" s="135">
        <f>AO$3</f>
        <v>46185</v>
      </c>
      <c r="AP6" s="136" t="s">
        <v>557</v>
      </c>
      <c r="AQ6" s="137" t="s">
        <v>557</v>
      </c>
      <c r="AR6" s="135">
        <f>AR$3</f>
        <v>46186</v>
      </c>
      <c r="AS6" s="136" t="s">
        <v>557</v>
      </c>
      <c r="AT6" s="137" t="s">
        <v>557</v>
      </c>
      <c r="AU6" s="135"/>
      <c r="AV6" s="135">
        <f>AV$3</f>
        <v>46188</v>
      </c>
      <c r="AW6" s="148" t="s">
        <v>557</v>
      </c>
      <c r="AX6" s="137" t="s">
        <v>557</v>
      </c>
      <c r="AY6" s="135">
        <f>AY$3</f>
        <v>46189</v>
      </c>
      <c r="AZ6" s="136" t="s">
        <v>557</v>
      </c>
      <c r="BA6" s="137" t="s">
        <v>557</v>
      </c>
      <c r="BB6" s="135">
        <f>BB$3</f>
        <v>46190</v>
      </c>
      <c r="BC6" s="136" t="s">
        <v>557</v>
      </c>
      <c r="BD6" s="137" t="s">
        <v>557</v>
      </c>
      <c r="BE6" s="135">
        <f>BE$3</f>
        <v>46191</v>
      </c>
      <c r="BF6" s="136" t="s">
        <v>557</v>
      </c>
      <c r="BG6" s="137" t="s">
        <v>557</v>
      </c>
      <c r="BH6" s="135">
        <f>BH$3</f>
        <v>46192</v>
      </c>
      <c r="BI6" s="136" t="s">
        <v>557</v>
      </c>
      <c r="BJ6" s="137" t="s">
        <v>557</v>
      </c>
      <c r="BK6" s="135">
        <f>BK$3</f>
        <v>46193</v>
      </c>
      <c r="BL6" s="136" t="s">
        <v>557</v>
      </c>
      <c r="BM6" s="137" t="s">
        <v>557</v>
      </c>
    </row>
    <row r="7" spans="1:65" outlineLevel="1">
      <c r="A7" s="122" t="str">
        <f>$A$4</f>
        <v>Lý Huy Thành</v>
      </c>
      <c r="B7" s="82" t="str">
        <f>'Bảng 3'!A418</f>
        <v>3.N.HCM.Q9.VP.102</v>
      </c>
      <c r="C7" s="81" t="str">
        <f>IF($B7="","",INDEX('All Bảng'!C:C,MATCH($B7,'All Bảng'!$A:$A,0)))</f>
        <v>Quản lý BIM</v>
      </c>
      <c r="D7" s="81" t="str">
        <f>IF($B7="","",INDEX('All Bảng'!D:D,MATCH($B7,'All Bảng'!$A:$A,0)))</f>
        <v>N.HCM.Q9.VP</v>
      </c>
      <c r="E7" s="81" t="str">
        <f>IF($B7="","",INDEX('All Bảng'!E:E,MATCH($B7,'All Bảng'!$A:$A,0)))</f>
        <v>Toà văn phòng 43 tầng</v>
      </c>
      <c r="F7" s="81" t="str">
        <f>IF($B7="","",INDEX('All Bảng'!F:F,MATCH($B7,'All Bảng'!$A:$A,0)))</f>
        <v>KT</v>
      </c>
      <c r="G7" s="81" t="str">
        <f>IF($B7="","",INDEX('All Bảng'!G:G,MATCH($B7,'All Bảng'!$A:$A,0)))</f>
        <v>Cập nhật thông tin mô hình BIM</v>
      </c>
      <c r="H7" s="121">
        <v>46174</v>
      </c>
      <c r="I7" s="135"/>
      <c r="J7" s="135">
        <f>J$3</f>
        <v>46174</v>
      </c>
      <c r="K7" s="148" t="s">
        <v>650</v>
      </c>
      <c r="L7" s="163">
        <v>7</v>
      </c>
      <c r="M7" s="135">
        <f>M$3</f>
        <v>46175</v>
      </c>
      <c r="N7" s="148" t="s">
        <v>557</v>
      </c>
      <c r="O7" s="137"/>
      <c r="P7" s="135">
        <f>P$3</f>
        <v>46176</v>
      </c>
      <c r="Q7" s="148" t="s">
        <v>557</v>
      </c>
      <c r="R7" s="137" t="s">
        <v>557</v>
      </c>
      <c r="S7" s="135">
        <f>S$3</f>
        <v>46177</v>
      </c>
      <c r="T7" s="136" t="s">
        <v>557</v>
      </c>
      <c r="U7" s="137" t="s">
        <v>557</v>
      </c>
      <c r="V7" s="135">
        <f>V$3</f>
        <v>46178</v>
      </c>
      <c r="W7" s="136" t="s">
        <v>557</v>
      </c>
      <c r="X7" s="137" t="s">
        <v>557</v>
      </c>
      <c r="Y7" s="135">
        <f>Y$3</f>
        <v>46179</v>
      </c>
      <c r="Z7" s="136" t="s">
        <v>557</v>
      </c>
      <c r="AA7" s="137" t="s">
        <v>557</v>
      </c>
      <c r="AB7" s="135"/>
      <c r="AC7" s="135">
        <f>AC$3</f>
        <v>46181</v>
      </c>
      <c r="AD7" s="136" t="s">
        <v>557</v>
      </c>
      <c r="AE7" s="137" t="s">
        <v>557</v>
      </c>
      <c r="AF7" s="135">
        <f>AF$3</f>
        <v>46182</v>
      </c>
      <c r="AG7" s="136" t="s">
        <v>557</v>
      </c>
      <c r="AH7" s="137" t="s">
        <v>557</v>
      </c>
      <c r="AI7" s="135">
        <f>AI$3</f>
        <v>46183</v>
      </c>
      <c r="AJ7" s="136" t="s">
        <v>557</v>
      </c>
      <c r="AK7" s="137" t="s">
        <v>557</v>
      </c>
      <c r="AL7" s="135">
        <f>AL$3</f>
        <v>46184</v>
      </c>
      <c r="AM7" s="136" t="s">
        <v>557</v>
      </c>
      <c r="AN7" s="137" t="s">
        <v>557</v>
      </c>
      <c r="AO7" s="135">
        <f>AO$3</f>
        <v>46185</v>
      </c>
      <c r="AP7" s="136" t="s">
        <v>557</v>
      </c>
      <c r="AQ7" s="137" t="s">
        <v>557</v>
      </c>
      <c r="AR7" s="135">
        <f>AR$3</f>
        <v>46186</v>
      </c>
      <c r="AS7" s="136" t="s">
        <v>557</v>
      </c>
      <c r="AT7" s="137" t="s">
        <v>557</v>
      </c>
      <c r="AU7" s="135"/>
      <c r="AV7" s="135">
        <f>AV$3</f>
        <v>46188</v>
      </c>
      <c r="AW7" s="148" t="s">
        <v>557</v>
      </c>
      <c r="AX7" s="137" t="s">
        <v>557</v>
      </c>
      <c r="AY7" s="135">
        <f>AY$3</f>
        <v>46189</v>
      </c>
      <c r="AZ7" s="136" t="s">
        <v>557</v>
      </c>
      <c r="BA7" s="137" t="s">
        <v>557</v>
      </c>
      <c r="BB7" s="135">
        <f>BB$3</f>
        <v>46190</v>
      </c>
      <c r="BC7" s="136" t="s">
        <v>557</v>
      </c>
      <c r="BD7" s="137" t="s">
        <v>557</v>
      </c>
      <c r="BE7" s="135">
        <f>BE$3</f>
        <v>46191</v>
      </c>
      <c r="BF7" s="136" t="s">
        <v>557</v>
      </c>
      <c r="BG7" s="137" t="s">
        <v>557</v>
      </c>
      <c r="BH7" s="135">
        <f>BH$3</f>
        <v>46192</v>
      </c>
      <c r="BI7" s="136" t="s">
        <v>557</v>
      </c>
      <c r="BJ7" s="137" t="s">
        <v>557</v>
      </c>
      <c r="BK7" s="135">
        <f>BK$3</f>
        <v>46193</v>
      </c>
      <c r="BL7" s="136" t="s">
        <v>557</v>
      </c>
      <c r="BM7" s="137" t="s">
        <v>557</v>
      </c>
    </row>
    <row r="8" spans="1:65" outlineLevel="1">
      <c r="A8" s="122" t="str">
        <f>$A$4</f>
        <v>Lý Huy Thành</v>
      </c>
      <c r="B8" s="28" t="str">
        <f>'Bảng 3'!A270</f>
        <v>3.B.TQU.VPTQ.VP.101</v>
      </c>
      <c r="C8" s="81" t="str">
        <f>IF($B8="","",INDEX('All Bảng'!C:C,MATCH($B8,'All Bảng'!$A:$A,0)))</f>
        <v>Quản lý BIM</v>
      </c>
      <c r="D8" s="81" t="str">
        <f>IF($B8="","",INDEX('All Bảng'!D:D,MATCH($B8,'All Bảng'!$A:$A,0)))</f>
        <v>B.TQU.VPTQ.VP</v>
      </c>
      <c r="E8" s="81" t="str">
        <f>IF($B8="","",INDEX('All Bảng'!E:E,MATCH($B8,'All Bảng'!$A:$A,0)))</f>
        <v>Lô C.TM11</v>
      </c>
      <c r="F8" s="81" t="str">
        <f>IF($B8="","",INDEX('All Bảng'!F:F,MATCH($B8,'All Bảng'!$A:$A,0)))</f>
        <v>KT</v>
      </c>
      <c r="G8" s="81" t="str">
        <f>IF($B8="","",INDEX('All Bảng'!G:G,MATCH($B8,'All Bảng'!$A:$A,0)))</f>
        <v>Xuất khối lượng từ mô hình BIM</v>
      </c>
      <c r="H8" s="121">
        <v>46176</v>
      </c>
      <c r="I8" s="135"/>
      <c r="J8" s="135">
        <f>J$3</f>
        <v>46174</v>
      </c>
      <c r="K8" s="148" t="s">
        <v>557</v>
      </c>
      <c r="L8" s="163" t="s">
        <v>557</v>
      </c>
      <c r="M8" s="135">
        <f>M$3</f>
        <v>46175</v>
      </c>
      <c r="N8" s="148" t="s">
        <v>651</v>
      </c>
      <c r="O8" s="137">
        <v>2</v>
      </c>
      <c r="P8" s="135">
        <f>P$3</f>
        <v>46176</v>
      </c>
      <c r="Q8" s="148" t="s">
        <v>652</v>
      </c>
      <c r="R8" s="137">
        <v>2</v>
      </c>
      <c r="S8" s="135">
        <f>S$3</f>
        <v>46177</v>
      </c>
      <c r="T8" s="136" t="s">
        <v>557</v>
      </c>
      <c r="U8" s="137" t="s">
        <v>557</v>
      </c>
      <c r="V8" s="135">
        <f>V$3</f>
        <v>46178</v>
      </c>
      <c r="W8" s="136" t="s">
        <v>557</v>
      </c>
      <c r="X8" s="137" t="s">
        <v>557</v>
      </c>
      <c r="Y8" s="135">
        <f>Y$3</f>
        <v>46179</v>
      </c>
      <c r="Z8" s="136" t="s">
        <v>557</v>
      </c>
      <c r="AA8" s="137" t="s">
        <v>557</v>
      </c>
      <c r="AB8" s="135"/>
      <c r="AC8" s="135">
        <f>AC$3</f>
        <v>46181</v>
      </c>
      <c r="AD8" s="136" t="s">
        <v>557</v>
      </c>
      <c r="AE8" s="137" t="s">
        <v>557</v>
      </c>
      <c r="AF8" s="135">
        <f>AF$3</f>
        <v>46182</v>
      </c>
      <c r="AG8" s="136" t="s">
        <v>557</v>
      </c>
      <c r="AH8" s="137" t="s">
        <v>557</v>
      </c>
      <c r="AI8" s="135">
        <f>AI$3</f>
        <v>46183</v>
      </c>
      <c r="AJ8" s="136" t="s">
        <v>557</v>
      </c>
      <c r="AK8" s="137" t="s">
        <v>557</v>
      </c>
      <c r="AL8" s="135">
        <f>AL$3</f>
        <v>46184</v>
      </c>
      <c r="AM8" s="136" t="s">
        <v>557</v>
      </c>
      <c r="AN8" s="137" t="s">
        <v>557</v>
      </c>
      <c r="AO8" s="135">
        <f>AO$3</f>
        <v>46185</v>
      </c>
      <c r="AP8" s="136" t="s">
        <v>557</v>
      </c>
      <c r="AQ8" s="137" t="s">
        <v>557</v>
      </c>
      <c r="AR8" s="135">
        <f>AR$3</f>
        <v>46186</v>
      </c>
      <c r="AS8" s="136" t="s">
        <v>557</v>
      </c>
      <c r="AT8" s="137" t="s">
        <v>557</v>
      </c>
      <c r="AU8" s="135"/>
      <c r="AV8" s="135">
        <f>AV$3</f>
        <v>46188</v>
      </c>
      <c r="AW8" s="148" t="s">
        <v>557</v>
      </c>
      <c r="AX8" s="137" t="s">
        <v>557</v>
      </c>
      <c r="AY8" s="135">
        <f>AY$3</f>
        <v>46189</v>
      </c>
      <c r="AZ8" s="136" t="s">
        <v>557</v>
      </c>
      <c r="BA8" s="137" t="s">
        <v>557</v>
      </c>
      <c r="BB8" s="135">
        <f>BB$3</f>
        <v>46190</v>
      </c>
      <c r="BC8" s="136" t="s">
        <v>557</v>
      </c>
      <c r="BD8" s="137" t="s">
        <v>557</v>
      </c>
      <c r="BE8" s="135">
        <f>BE$3</f>
        <v>46191</v>
      </c>
      <c r="BF8" s="136" t="s">
        <v>557</v>
      </c>
      <c r="BG8" s="137" t="s">
        <v>557</v>
      </c>
      <c r="BH8" s="135">
        <f>BH$3</f>
        <v>46192</v>
      </c>
      <c r="BI8" s="136" t="s">
        <v>557</v>
      </c>
      <c r="BJ8" s="137" t="s">
        <v>557</v>
      </c>
      <c r="BK8" s="135">
        <f>BK$3</f>
        <v>46193</v>
      </c>
      <c r="BL8" s="136" t="s">
        <v>557</v>
      </c>
      <c r="BM8" s="137" t="s">
        <v>557</v>
      </c>
    </row>
    <row r="9" spans="1:65" outlineLevel="1">
      <c r="A9" s="122" t="str">
        <f>$A$4</f>
        <v>Lý Huy Thành</v>
      </c>
      <c r="B9" s="28" t="str">
        <f>'Bảng 3'!A11</f>
        <v>3.B.DSHNQN.DMF.102</v>
      </c>
      <c r="C9" s="81" t="str">
        <f>IF($B9="","",INDEX('All Bảng'!C:C,MATCH($B9,'All Bảng'!$A:$A,0)))</f>
        <v>Quản lý BIM</v>
      </c>
      <c r="D9" s="81" t="str">
        <f>IF($B9="","",INDEX('All Bảng'!D:D,MATCH($B9,'All Bảng'!$A:$A,0)))</f>
        <v>B.DSHNQN.DMF</v>
      </c>
      <c r="E9" s="81" t="str">
        <f>IF($B9="","",INDEX('All Bảng'!E:E,MATCH($B9,'All Bảng'!$A:$A,0)))</f>
        <v>Depot Hạ Long Xanh</v>
      </c>
      <c r="F9" s="81" t="str">
        <f>IF($B9="","",INDEX('All Bảng'!F:F,MATCH($B9,'All Bảng'!$A:$A,0)))</f>
        <v>KT</v>
      </c>
      <c r="G9" s="81" t="str">
        <f>IF($B9="","",INDEX('All Bảng'!G:G,MATCH($B9,'All Bảng'!$A:$A,0)))</f>
        <v>Tạo lập mô hình BIM</v>
      </c>
      <c r="H9" s="121"/>
      <c r="I9" s="283"/>
      <c r="J9" s="135">
        <f>J$3</f>
        <v>46174</v>
      </c>
      <c r="K9" s="148" t="s">
        <v>557</v>
      </c>
      <c r="L9" s="163" t="s">
        <v>557</v>
      </c>
      <c r="M9" s="135">
        <f>M$3</f>
        <v>46175</v>
      </c>
      <c r="N9" s="148" t="s">
        <v>557</v>
      </c>
      <c r="O9" s="137" t="s">
        <v>557</v>
      </c>
      <c r="P9" s="135">
        <f>P$3</f>
        <v>46176</v>
      </c>
      <c r="Q9" s="148" t="s">
        <v>557</v>
      </c>
      <c r="R9" s="137" t="s">
        <v>557</v>
      </c>
      <c r="S9" s="135">
        <f>S$3</f>
        <v>46177</v>
      </c>
      <c r="T9" s="136" t="s">
        <v>557</v>
      </c>
      <c r="U9" s="137" t="s">
        <v>557</v>
      </c>
      <c r="V9" s="135">
        <f>V$3</f>
        <v>46178</v>
      </c>
      <c r="W9" s="136" t="s">
        <v>557</v>
      </c>
      <c r="X9" s="137" t="s">
        <v>557</v>
      </c>
      <c r="Y9" s="135">
        <f>Y$3</f>
        <v>46179</v>
      </c>
      <c r="Z9" s="136" t="s">
        <v>557</v>
      </c>
      <c r="AA9" s="137" t="s">
        <v>557</v>
      </c>
      <c r="AB9" s="135"/>
      <c r="AC9" s="135">
        <f>AC$3</f>
        <v>46181</v>
      </c>
      <c r="AD9" s="136" t="s">
        <v>557</v>
      </c>
      <c r="AE9" s="137" t="s">
        <v>557</v>
      </c>
      <c r="AF9" s="135">
        <f>AF$3</f>
        <v>46182</v>
      </c>
      <c r="AG9" s="136" t="s">
        <v>557</v>
      </c>
      <c r="AH9" s="137" t="s">
        <v>557</v>
      </c>
      <c r="AI9" s="135">
        <f>AI$3</f>
        <v>46183</v>
      </c>
      <c r="AJ9" s="136" t="s">
        <v>557</v>
      </c>
      <c r="AK9" s="137" t="s">
        <v>557</v>
      </c>
      <c r="AL9" s="135">
        <f>AL$3</f>
        <v>46184</v>
      </c>
      <c r="AM9" s="136" t="s">
        <v>557</v>
      </c>
      <c r="AN9" s="137" t="s">
        <v>557</v>
      </c>
      <c r="AO9" s="135">
        <f>AO$3</f>
        <v>46185</v>
      </c>
      <c r="AP9" s="136" t="s">
        <v>557</v>
      </c>
      <c r="AQ9" s="137" t="s">
        <v>557</v>
      </c>
      <c r="AR9" s="135">
        <f>AR$3</f>
        <v>46186</v>
      </c>
      <c r="AS9" s="136" t="s">
        <v>557</v>
      </c>
      <c r="AT9" s="137" t="s">
        <v>557</v>
      </c>
      <c r="AU9" s="135"/>
      <c r="AV9" s="135">
        <f>AV$3</f>
        <v>46188</v>
      </c>
      <c r="AW9" s="148" t="s">
        <v>557</v>
      </c>
      <c r="AX9" s="137" t="s">
        <v>557</v>
      </c>
      <c r="AY9" s="135">
        <f>AY$3</f>
        <v>46189</v>
      </c>
      <c r="AZ9" s="136" t="s">
        <v>557</v>
      </c>
      <c r="BA9" s="137" t="s">
        <v>557</v>
      </c>
      <c r="BB9" s="135">
        <f>BB$3</f>
        <v>46190</v>
      </c>
      <c r="BC9" s="136" t="s">
        <v>557</v>
      </c>
      <c r="BD9" s="137" t="s">
        <v>557</v>
      </c>
      <c r="BE9" s="135">
        <f>BE$3</f>
        <v>46191</v>
      </c>
      <c r="BF9" s="136" t="s">
        <v>557</v>
      </c>
      <c r="BG9" s="137" t="s">
        <v>557</v>
      </c>
      <c r="BH9" s="135">
        <f>BH$3</f>
        <v>46192</v>
      </c>
      <c r="BI9" s="136" t="s">
        <v>557</v>
      </c>
      <c r="BJ9" s="137" t="s">
        <v>557</v>
      </c>
      <c r="BK9" s="135">
        <f>BK$3</f>
        <v>46193</v>
      </c>
      <c r="BL9" s="136" t="s">
        <v>557</v>
      </c>
      <c r="BM9" s="137" t="s">
        <v>557</v>
      </c>
    </row>
    <row r="10" spans="1:65" outlineLevel="1">
      <c r="A10" s="122" t="str">
        <f>$A$4</f>
        <v>Lý Huy Thành</v>
      </c>
      <c r="B10" s="28" t="str">
        <f>'Bảng 3'!A12</f>
        <v>3.B.DSHNQN.DMF.202</v>
      </c>
      <c r="C10" s="81" t="str">
        <f>IF($B10="","",INDEX('All Bảng'!C:C,MATCH($B10,'All Bảng'!$A:$A,0)))</f>
        <v>Quản lý BIM</v>
      </c>
      <c r="D10" s="81" t="str">
        <f>IF($B10="","",INDEX('All Bảng'!D:D,MATCH($B10,'All Bảng'!$A:$A,0)))</f>
        <v>B.DSHNQN.DMF</v>
      </c>
      <c r="E10" s="81" t="str">
        <f>IF($B10="","",INDEX('All Bảng'!E:E,MATCH($B10,'All Bảng'!$A:$A,0)))</f>
        <v>Depot Hạ Long Xanh</v>
      </c>
      <c r="F10" s="81" t="str">
        <f>IF($B10="","",INDEX('All Bảng'!F:F,MATCH($B10,'All Bảng'!$A:$A,0)))</f>
        <v>KC</v>
      </c>
      <c r="G10" s="81" t="str">
        <f>IF($B10="","",INDEX('All Bảng'!G:G,MATCH($B10,'All Bảng'!$A:$A,0)))</f>
        <v>Tạo lập mô hình BIM</v>
      </c>
      <c r="H10" s="282"/>
      <c r="I10" s="281"/>
      <c r="J10" s="266">
        <f>J$3</f>
        <v>46174</v>
      </c>
      <c r="K10" s="148" t="s">
        <v>557</v>
      </c>
      <c r="L10" s="163" t="s">
        <v>557</v>
      </c>
      <c r="M10" s="135">
        <f>M$3</f>
        <v>46175</v>
      </c>
      <c r="N10" s="148" t="s">
        <v>557</v>
      </c>
      <c r="O10" s="137" t="s">
        <v>557</v>
      </c>
      <c r="P10" s="135">
        <f>P$3</f>
        <v>46176</v>
      </c>
      <c r="Q10" s="148" t="s">
        <v>557</v>
      </c>
      <c r="R10" s="137" t="s">
        <v>557</v>
      </c>
      <c r="S10" s="135">
        <f>S$3</f>
        <v>46177</v>
      </c>
      <c r="T10" s="136" t="s">
        <v>557</v>
      </c>
      <c r="U10" s="137" t="s">
        <v>557</v>
      </c>
      <c r="V10" s="135">
        <f>V$3</f>
        <v>46178</v>
      </c>
      <c r="W10" s="136" t="s">
        <v>557</v>
      </c>
      <c r="X10" s="137" t="s">
        <v>557</v>
      </c>
      <c r="Y10" s="135">
        <f>Y$3</f>
        <v>46179</v>
      </c>
      <c r="Z10" s="136" t="s">
        <v>557</v>
      </c>
      <c r="AA10" s="137" t="s">
        <v>557</v>
      </c>
      <c r="AB10" s="135"/>
      <c r="AC10" s="135">
        <f>AC$3</f>
        <v>46181</v>
      </c>
      <c r="AD10" s="136" t="s">
        <v>557</v>
      </c>
      <c r="AE10" s="137" t="s">
        <v>557</v>
      </c>
      <c r="AF10" s="135">
        <f>AF$3</f>
        <v>46182</v>
      </c>
      <c r="AG10" s="136" t="s">
        <v>557</v>
      </c>
      <c r="AH10" s="137" t="s">
        <v>557</v>
      </c>
      <c r="AI10" s="135">
        <f>AI$3</f>
        <v>46183</v>
      </c>
      <c r="AJ10" s="136" t="s">
        <v>557</v>
      </c>
      <c r="AK10" s="137" t="s">
        <v>557</v>
      </c>
      <c r="AL10" s="135">
        <f>AL$3</f>
        <v>46184</v>
      </c>
      <c r="AM10" s="136" t="s">
        <v>557</v>
      </c>
      <c r="AN10" s="137" t="s">
        <v>557</v>
      </c>
      <c r="AO10" s="135">
        <f>AO$3</f>
        <v>46185</v>
      </c>
      <c r="AP10" s="136" t="s">
        <v>557</v>
      </c>
      <c r="AQ10" s="137" t="s">
        <v>557</v>
      </c>
      <c r="AR10" s="135">
        <f>AR$3</f>
        <v>46186</v>
      </c>
      <c r="AS10" s="136" t="s">
        <v>557</v>
      </c>
      <c r="AT10" s="137" t="s">
        <v>557</v>
      </c>
      <c r="AU10" s="135"/>
      <c r="AV10" s="135">
        <f>AV$3</f>
        <v>46188</v>
      </c>
      <c r="AW10" s="148" t="s">
        <v>557</v>
      </c>
      <c r="AX10" s="137" t="s">
        <v>557</v>
      </c>
      <c r="AY10" s="135">
        <f>AY$3</f>
        <v>46189</v>
      </c>
      <c r="AZ10" s="136" t="s">
        <v>557</v>
      </c>
      <c r="BA10" s="137" t="s">
        <v>557</v>
      </c>
      <c r="BB10" s="135">
        <f>BB$3</f>
        <v>46190</v>
      </c>
      <c r="BC10" s="136" t="s">
        <v>557</v>
      </c>
      <c r="BD10" s="137" t="s">
        <v>557</v>
      </c>
      <c r="BE10" s="135">
        <f>BE$3</f>
        <v>46191</v>
      </c>
      <c r="BF10" s="136" t="s">
        <v>557</v>
      </c>
      <c r="BG10" s="137" t="s">
        <v>557</v>
      </c>
      <c r="BH10" s="135">
        <f>BH$3</f>
        <v>46192</v>
      </c>
      <c r="BI10" s="136" t="s">
        <v>557</v>
      </c>
      <c r="BJ10" s="137" t="s">
        <v>557</v>
      </c>
      <c r="BK10" s="135">
        <f>BK$3</f>
        <v>46193</v>
      </c>
      <c r="BL10" s="136" t="s">
        <v>557</v>
      </c>
      <c r="BM10" s="137" t="s">
        <v>557</v>
      </c>
    </row>
    <row r="11" spans="1:65" outlineLevel="1">
      <c r="A11" s="122" t="str">
        <f>$A$4</f>
        <v>Lý Huy Thành</v>
      </c>
      <c r="B11" s="28" t="str">
        <f>'Bảng 3'!A4</f>
        <v>3.B.DSHNQN.DMF.101</v>
      </c>
      <c r="C11" s="81" t="str">
        <f>IF($B11="","",INDEX('All Bảng'!C:C,MATCH($B11,'All Bảng'!$A:$A,0)))</f>
        <v>Quản lý BIM</v>
      </c>
      <c r="D11" s="81" t="str">
        <f>IF($B11="","",INDEX('All Bảng'!D:D,MATCH($B11,'All Bảng'!$A:$A,0)))</f>
        <v>B.DSHNQN.DMF</v>
      </c>
      <c r="E11" s="81" t="str">
        <f>IF($B11="","",INDEX('All Bảng'!E:E,MATCH($B11,'All Bảng'!$A:$A,0)))</f>
        <v>Bãi đỗ tàu qua đêm Cổ Loa</v>
      </c>
      <c r="F11" s="81" t="str">
        <f>IF($B11="","",INDEX('All Bảng'!F:F,MATCH($B11,'All Bảng'!$A:$A,0)))</f>
        <v>KT</v>
      </c>
      <c r="G11" s="81" t="str">
        <f>IF($B11="","",INDEX('All Bảng'!G:G,MATCH($B11,'All Bảng'!$A:$A,0)))</f>
        <v>Tạo lập mô hình BIM</v>
      </c>
      <c r="H11" s="282"/>
      <c r="I11" s="18"/>
      <c r="J11" s="266">
        <f>J$3</f>
        <v>46174</v>
      </c>
      <c r="K11" s="148" t="s">
        <v>557</v>
      </c>
      <c r="L11" s="163" t="s">
        <v>557</v>
      </c>
      <c r="M11" s="135">
        <f>M$3</f>
        <v>46175</v>
      </c>
      <c r="N11" s="148" t="s">
        <v>557</v>
      </c>
      <c r="O11" s="137" t="s">
        <v>557</v>
      </c>
      <c r="P11" s="135">
        <f>P$3</f>
        <v>46176</v>
      </c>
      <c r="Q11" s="148" t="s">
        <v>557</v>
      </c>
      <c r="R11" s="137" t="s">
        <v>557</v>
      </c>
      <c r="S11" s="135">
        <f>S$3</f>
        <v>46177</v>
      </c>
      <c r="T11" s="136" t="s">
        <v>557</v>
      </c>
      <c r="U11" s="137" t="s">
        <v>557</v>
      </c>
      <c r="V11" s="135">
        <f>V$3</f>
        <v>46178</v>
      </c>
      <c r="W11" s="136" t="s">
        <v>557</v>
      </c>
      <c r="X11" s="137" t="s">
        <v>557</v>
      </c>
      <c r="Y11" s="135">
        <f>Y$3</f>
        <v>46179</v>
      </c>
      <c r="Z11" s="136" t="s">
        <v>557</v>
      </c>
      <c r="AA11" s="137" t="s">
        <v>557</v>
      </c>
      <c r="AB11" s="135"/>
      <c r="AC11" s="135">
        <f>AC$3</f>
        <v>46181</v>
      </c>
      <c r="AD11" s="136" t="s">
        <v>557</v>
      </c>
      <c r="AE11" s="137" t="s">
        <v>557</v>
      </c>
      <c r="AF11" s="135">
        <f>AF$3</f>
        <v>46182</v>
      </c>
      <c r="AG11" s="136" t="s">
        <v>557</v>
      </c>
      <c r="AH11" s="137" t="s">
        <v>557</v>
      </c>
      <c r="AI11" s="135">
        <f>AI$3</f>
        <v>46183</v>
      </c>
      <c r="AJ11" s="136" t="s">
        <v>557</v>
      </c>
      <c r="AK11" s="137" t="s">
        <v>557</v>
      </c>
      <c r="AL11" s="135">
        <f>AL$3</f>
        <v>46184</v>
      </c>
      <c r="AM11" s="136" t="s">
        <v>557</v>
      </c>
      <c r="AN11" s="137" t="s">
        <v>557</v>
      </c>
      <c r="AO11" s="135">
        <f>AO$3</f>
        <v>46185</v>
      </c>
      <c r="AP11" s="136" t="s">
        <v>557</v>
      </c>
      <c r="AQ11" s="137" t="s">
        <v>557</v>
      </c>
      <c r="AR11" s="135">
        <f>AR$3</f>
        <v>46186</v>
      </c>
      <c r="AS11" s="136" t="s">
        <v>557</v>
      </c>
      <c r="AT11" s="137" t="s">
        <v>557</v>
      </c>
      <c r="AU11" s="135"/>
      <c r="AV11" s="135">
        <f>AV$3</f>
        <v>46188</v>
      </c>
      <c r="AW11" s="148" t="s">
        <v>557</v>
      </c>
      <c r="AX11" s="137" t="s">
        <v>557</v>
      </c>
      <c r="AY11" s="135">
        <f>AY$3</f>
        <v>46189</v>
      </c>
      <c r="AZ11" s="136" t="s">
        <v>557</v>
      </c>
      <c r="BA11" s="137" t="s">
        <v>557</v>
      </c>
      <c r="BB11" s="135">
        <f>BB$3</f>
        <v>46190</v>
      </c>
      <c r="BC11" s="136" t="s">
        <v>557</v>
      </c>
      <c r="BD11" s="137" t="s">
        <v>557</v>
      </c>
      <c r="BE11" s="135">
        <f>BE$3</f>
        <v>46191</v>
      </c>
      <c r="BF11" s="136" t="s">
        <v>557</v>
      </c>
      <c r="BG11" s="137" t="s">
        <v>557</v>
      </c>
      <c r="BH11" s="135">
        <f>BH$3</f>
        <v>46192</v>
      </c>
      <c r="BI11" s="136" t="s">
        <v>557</v>
      </c>
      <c r="BJ11" s="137" t="s">
        <v>557</v>
      </c>
      <c r="BK11" s="135">
        <f>BK$3</f>
        <v>46193</v>
      </c>
      <c r="BL11" s="136" t="s">
        <v>557</v>
      </c>
      <c r="BM11" s="137" t="s">
        <v>557</v>
      </c>
    </row>
    <row r="12" spans="1:65" outlineLevel="1">
      <c r="A12" s="122" t="str">
        <f>$A$4</f>
        <v>Lý Huy Thành</v>
      </c>
      <c r="B12" s="28" t="str">
        <f>'Bảng 3'!A5</f>
        <v>3.B.DSHNQN.DMF.201</v>
      </c>
      <c r="C12" s="81" t="str">
        <f>IF($B12="","",INDEX('All Bảng'!C:C,MATCH($B12,'All Bảng'!$A:$A,0)))</f>
        <v>Quản lý BIM</v>
      </c>
      <c r="D12" s="81" t="str">
        <f>IF($B12="","",INDEX('All Bảng'!D:D,MATCH($B12,'All Bảng'!$A:$A,0)))</f>
        <v>B.DSHNQN.DMF</v>
      </c>
      <c r="E12" s="81" t="str">
        <f>IF($B12="","",INDEX('All Bảng'!E:E,MATCH($B12,'All Bảng'!$A:$A,0)))</f>
        <v>Bãi đỗ tàu qua đêm Cổ Loa</v>
      </c>
      <c r="F12" s="81" t="str">
        <f>IF($B12="","",INDEX('All Bảng'!F:F,MATCH($B12,'All Bảng'!$A:$A,0)))</f>
        <v>KC</v>
      </c>
      <c r="G12" s="81" t="str">
        <f>IF($B12="","",INDEX('All Bảng'!G:G,MATCH($B12,'All Bảng'!$A:$A,0)))</f>
        <v>Tạo lập mô hình BIM</v>
      </c>
      <c r="H12" s="282"/>
      <c r="I12" s="281"/>
      <c r="J12" s="266">
        <f>J$3</f>
        <v>46174</v>
      </c>
      <c r="K12" s="148" t="s">
        <v>557</v>
      </c>
      <c r="L12" s="163" t="s">
        <v>557</v>
      </c>
      <c r="M12" s="135">
        <f>M$3</f>
        <v>46175</v>
      </c>
      <c r="N12" s="148" t="s">
        <v>557</v>
      </c>
      <c r="O12" s="137" t="s">
        <v>557</v>
      </c>
      <c r="P12" s="135">
        <f>P$3</f>
        <v>46176</v>
      </c>
      <c r="Q12" s="148" t="s">
        <v>557</v>
      </c>
      <c r="R12" s="137" t="s">
        <v>557</v>
      </c>
      <c r="S12" s="135">
        <f>S$3</f>
        <v>46177</v>
      </c>
      <c r="T12" s="136" t="s">
        <v>557</v>
      </c>
      <c r="U12" s="137" t="s">
        <v>557</v>
      </c>
      <c r="V12" s="135">
        <f>V$3</f>
        <v>46178</v>
      </c>
      <c r="W12" s="136" t="s">
        <v>557</v>
      </c>
      <c r="X12" s="137" t="s">
        <v>557</v>
      </c>
      <c r="Y12" s="135">
        <f>Y$3</f>
        <v>46179</v>
      </c>
      <c r="Z12" s="136" t="s">
        <v>557</v>
      </c>
      <c r="AA12" s="137" t="s">
        <v>557</v>
      </c>
      <c r="AB12" s="135"/>
      <c r="AC12" s="135">
        <f>AC$3</f>
        <v>46181</v>
      </c>
      <c r="AD12" s="136" t="s">
        <v>557</v>
      </c>
      <c r="AE12" s="137" t="s">
        <v>557</v>
      </c>
      <c r="AF12" s="135">
        <f>AF$3</f>
        <v>46182</v>
      </c>
      <c r="AG12" s="136" t="s">
        <v>557</v>
      </c>
      <c r="AH12" s="137" t="s">
        <v>557</v>
      </c>
      <c r="AI12" s="135">
        <f>AI$3</f>
        <v>46183</v>
      </c>
      <c r="AJ12" s="136" t="s">
        <v>557</v>
      </c>
      <c r="AK12" s="137" t="s">
        <v>557</v>
      </c>
      <c r="AL12" s="135">
        <f>AL$3</f>
        <v>46184</v>
      </c>
      <c r="AM12" s="136" t="s">
        <v>557</v>
      </c>
      <c r="AN12" s="137" t="s">
        <v>557</v>
      </c>
      <c r="AO12" s="135">
        <f>AO$3</f>
        <v>46185</v>
      </c>
      <c r="AP12" s="136" t="s">
        <v>557</v>
      </c>
      <c r="AQ12" s="137" t="s">
        <v>557</v>
      </c>
      <c r="AR12" s="135">
        <f>AR$3</f>
        <v>46186</v>
      </c>
      <c r="AS12" s="136" t="s">
        <v>557</v>
      </c>
      <c r="AT12" s="137" t="s">
        <v>557</v>
      </c>
      <c r="AU12" s="135"/>
      <c r="AV12" s="135">
        <f>AV$3</f>
        <v>46188</v>
      </c>
      <c r="AW12" s="148" t="s">
        <v>557</v>
      </c>
      <c r="AX12" s="137" t="s">
        <v>557</v>
      </c>
      <c r="AY12" s="135">
        <f>AY$3</f>
        <v>46189</v>
      </c>
      <c r="AZ12" s="136" t="s">
        <v>557</v>
      </c>
      <c r="BA12" s="137" t="s">
        <v>557</v>
      </c>
      <c r="BB12" s="135">
        <f>BB$3</f>
        <v>46190</v>
      </c>
      <c r="BC12" s="136" t="s">
        <v>557</v>
      </c>
      <c r="BD12" s="137" t="s">
        <v>557</v>
      </c>
      <c r="BE12" s="135">
        <f>BE$3</f>
        <v>46191</v>
      </c>
      <c r="BF12" s="136" t="s">
        <v>557</v>
      </c>
      <c r="BG12" s="137" t="s">
        <v>557</v>
      </c>
      <c r="BH12" s="135">
        <f>BH$3</f>
        <v>46192</v>
      </c>
      <c r="BI12" s="136" t="s">
        <v>557</v>
      </c>
      <c r="BJ12" s="137" t="s">
        <v>557</v>
      </c>
      <c r="BK12" s="135">
        <f>BK$3</f>
        <v>46193</v>
      </c>
      <c r="BL12" s="136" t="s">
        <v>557</v>
      </c>
      <c r="BM12" s="137" t="s">
        <v>557</v>
      </c>
    </row>
    <row r="13" spans="1:65" outlineLevel="1">
      <c r="A13" s="122" t="str">
        <f>$A$4</f>
        <v>Lý Huy Thành</v>
      </c>
      <c r="B13" s="28" t="str">
        <f>'Bảng 3'!A274</f>
        <v>3.N.DSHCMCG.DMF.101</v>
      </c>
      <c r="C13" s="81" t="str">
        <f>IF($B13="","",INDEX('All Bảng'!C:C,MATCH($B13,'All Bảng'!$A:$A,0)))</f>
        <v>Quản lý BIM</v>
      </c>
      <c r="D13" s="81" t="str">
        <f>IF($B13="","",INDEX('All Bảng'!D:D,MATCH($B13,'All Bảng'!$A:$A,0)))</f>
        <v>N.DSHCMCG.DMF</v>
      </c>
      <c r="E13" s="81" t="str">
        <f>IF($B13="","",INDEX('All Bảng'!E:E,MATCH($B13,'All Bảng'!$A:$A,0)))</f>
        <v>Depot</v>
      </c>
      <c r="F13" s="81" t="str">
        <f>IF($B13="","",INDEX('All Bảng'!F:F,MATCH($B13,'All Bảng'!$A:$A,0)))</f>
        <v>KT</v>
      </c>
      <c r="G13" s="81" t="str">
        <f>IF($B13="","",INDEX('All Bảng'!G:G,MATCH($B13,'All Bảng'!$A:$A,0)))</f>
        <v>Tạo lập mô hình BIM</v>
      </c>
      <c r="H13" s="282"/>
      <c r="I13" s="281"/>
      <c r="J13" s="266">
        <v>46174</v>
      </c>
      <c r="K13" s="148"/>
      <c r="L13" s="163"/>
      <c r="M13" s="135">
        <f>M$3</f>
        <v>46175</v>
      </c>
      <c r="N13" s="148" t="s">
        <v>557</v>
      </c>
      <c r="O13" s="137" t="s">
        <v>557</v>
      </c>
      <c r="P13" s="135">
        <f>P$3</f>
        <v>46176</v>
      </c>
      <c r="Q13" s="148" t="s">
        <v>557</v>
      </c>
      <c r="R13" s="137" t="s">
        <v>557</v>
      </c>
      <c r="S13" s="135">
        <f>S$3</f>
        <v>46177</v>
      </c>
      <c r="T13" s="136" t="s">
        <v>557</v>
      </c>
      <c r="U13" s="137" t="s">
        <v>557</v>
      </c>
      <c r="V13" s="135">
        <f>V$3</f>
        <v>46178</v>
      </c>
      <c r="W13" s="136" t="s">
        <v>557</v>
      </c>
      <c r="X13" s="137" t="s">
        <v>557</v>
      </c>
      <c r="Y13" s="135">
        <f>Y$3</f>
        <v>46179</v>
      </c>
      <c r="Z13" s="136" t="s">
        <v>557</v>
      </c>
      <c r="AA13" s="137" t="s">
        <v>557</v>
      </c>
      <c r="AB13" s="135"/>
      <c r="AC13" s="135">
        <f>AC$3</f>
        <v>46181</v>
      </c>
      <c r="AD13" s="136" t="s">
        <v>557</v>
      </c>
      <c r="AE13" s="137" t="s">
        <v>557</v>
      </c>
      <c r="AF13" s="135">
        <f>AF$3</f>
        <v>46182</v>
      </c>
      <c r="AG13" s="136" t="s">
        <v>557</v>
      </c>
      <c r="AH13" s="137" t="s">
        <v>557</v>
      </c>
      <c r="AI13" s="135">
        <f>AI$3</f>
        <v>46183</v>
      </c>
      <c r="AJ13" s="136" t="s">
        <v>557</v>
      </c>
      <c r="AK13" s="137" t="s">
        <v>557</v>
      </c>
      <c r="AL13" s="135">
        <f>AL$3</f>
        <v>46184</v>
      </c>
      <c r="AM13" s="136" t="s">
        <v>557</v>
      </c>
      <c r="AN13" s="137" t="s">
        <v>557</v>
      </c>
      <c r="AO13" s="135">
        <f>AO$3</f>
        <v>46185</v>
      </c>
      <c r="AP13" s="136" t="s">
        <v>557</v>
      </c>
      <c r="AQ13" s="137" t="s">
        <v>557</v>
      </c>
      <c r="AR13" s="135">
        <f>AR$3</f>
        <v>46186</v>
      </c>
      <c r="AS13" s="136" t="s">
        <v>557</v>
      </c>
      <c r="AT13" s="137" t="s">
        <v>557</v>
      </c>
      <c r="AU13" s="135"/>
      <c r="AV13" s="135">
        <f>AV$3</f>
        <v>46188</v>
      </c>
      <c r="AW13" s="148" t="s">
        <v>557</v>
      </c>
      <c r="AX13" s="137" t="s">
        <v>557</v>
      </c>
      <c r="AY13" s="135">
        <f>AY$3</f>
        <v>46189</v>
      </c>
      <c r="AZ13" s="136" t="s">
        <v>557</v>
      </c>
      <c r="BA13" s="137" t="s">
        <v>557</v>
      </c>
      <c r="BB13" s="135">
        <f>BB$3</f>
        <v>46190</v>
      </c>
      <c r="BC13" s="136" t="s">
        <v>557</v>
      </c>
      <c r="BD13" s="137" t="s">
        <v>557</v>
      </c>
      <c r="BE13" s="135">
        <f>BE$3</f>
        <v>46191</v>
      </c>
      <c r="BF13" s="136" t="s">
        <v>557</v>
      </c>
      <c r="BG13" s="137" t="s">
        <v>557</v>
      </c>
      <c r="BH13" s="135">
        <f>BH$3</f>
        <v>46192</v>
      </c>
      <c r="BI13" s="136" t="s">
        <v>557</v>
      </c>
      <c r="BJ13" s="137" t="s">
        <v>557</v>
      </c>
      <c r="BK13" s="135">
        <f>BK$3</f>
        <v>46193</v>
      </c>
      <c r="BL13" s="136" t="s">
        <v>557</v>
      </c>
      <c r="BM13" s="137" t="s">
        <v>557</v>
      </c>
    </row>
    <row r="14" spans="1:65" outlineLevel="1">
      <c r="A14" s="122" t="str">
        <f>$A$4</f>
        <v>Lý Huy Thành</v>
      </c>
      <c r="B14" s="28" t="str">
        <f>'Bảng 3'!A276</f>
        <v>3.N.DSHCMCG.DMF.201</v>
      </c>
      <c r="C14" s="81" t="str">
        <f>IF($B14="","",INDEX('All Bảng'!C:C,MATCH($B14,'All Bảng'!$A:$A,0)))</f>
        <v>Quản lý BIM</v>
      </c>
      <c r="D14" s="81" t="str">
        <f>IF($B14="","",INDEX('All Bảng'!D:D,MATCH($B14,'All Bảng'!$A:$A,0)))</f>
        <v>N.DSHCMCG.DMF</v>
      </c>
      <c r="E14" s="81" t="str">
        <f>IF($B14="","",INDEX('All Bảng'!E:E,MATCH($B14,'All Bảng'!$A:$A,0)))</f>
        <v>Depot</v>
      </c>
      <c r="F14" s="81" t="str">
        <f>IF($B14="","",INDEX('All Bảng'!F:F,MATCH($B14,'All Bảng'!$A:$A,0)))</f>
        <v>KC</v>
      </c>
      <c r="G14" s="81" t="str">
        <f>IF($B14="","",INDEX('All Bảng'!G:G,MATCH($B14,'All Bảng'!$A:$A,0)))</f>
        <v>Tạo lập mô hình BIM</v>
      </c>
      <c r="H14" s="282"/>
      <c r="I14" s="281"/>
      <c r="J14" s="266">
        <v>46174</v>
      </c>
      <c r="K14" s="148"/>
      <c r="L14" s="163"/>
      <c r="M14" s="135">
        <f>M$3</f>
        <v>46175</v>
      </c>
      <c r="N14" s="148" t="s">
        <v>557</v>
      </c>
      <c r="O14" s="137" t="s">
        <v>557</v>
      </c>
      <c r="P14" s="135">
        <f>P$3</f>
        <v>46176</v>
      </c>
      <c r="Q14" s="148" t="s">
        <v>557</v>
      </c>
      <c r="R14" s="137" t="s">
        <v>557</v>
      </c>
      <c r="S14" s="135">
        <f>S$3</f>
        <v>46177</v>
      </c>
      <c r="T14" s="136" t="s">
        <v>557</v>
      </c>
      <c r="U14" s="137" t="s">
        <v>557</v>
      </c>
      <c r="V14" s="135">
        <f>V$3</f>
        <v>46178</v>
      </c>
      <c r="W14" s="136" t="s">
        <v>557</v>
      </c>
      <c r="X14" s="137" t="s">
        <v>557</v>
      </c>
      <c r="Y14" s="135">
        <f>Y$3</f>
        <v>46179</v>
      </c>
      <c r="Z14" s="136" t="s">
        <v>557</v>
      </c>
      <c r="AA14" s="137" t="s">
        <v>557</v>
      </c>
      <c r="AB14" s="135"/>
      <c r="AC14" s="135">
        <f>AC$3</f>
        <v>46181</v>
      </c>
      <c r="AD14" s="136" t="s">
        <v>557</v>
      </c>
      <c r="AE14" s="137" t="s">
        <v>557</v>
      </c>
      <c r="AF14" s="135">
        <f>AF$3</f>
        <v>46182</v>
      </c>
      <c r="AG14" s="136" t="s">
        <v>557</v>
      </c>
      <c r="AH14" s="137" t="s">
        <v>557</v>
      </c>
      <c r="AI14" s="135">
        <f>AI$3</f>
        <v>46183</v>
      </c>
      <c r="AJ14" s="136" t="s">
        <v>557</v>
      </c>
      <c r="AK14" s="137" t="s">
        <v>557</v>
      </c>
      <c r="AL14" s="135">
        <f>AL$3</f>
        <v>46184</v>
      </c>
      <c r="AM14" s="136" t="s">
        <v>557</v>
      </c>
      <c r="AN14" s="137" t="s">
        <v>557</v>
      </c>
      <c r="AO14" s="135">
        <f>AO$3</f>
        <v>46185</v>
      </c>
      <c r="AP14" s="136" t="s">
        <v>557</v>
      </c>
      <c r="AQ14" s="137" t="s">
        <v>557</v>
      </c>
      <c r="AR14" s="135">
        <f>AR$3</f>
        <v>46186</v>
      </c>
      <c r="AS14" s="136" t="s">
        <v>557</v>
      </c>
      <c r="AT14" s="137" t="s">
        <v>557</v>
      </c>
      <c r="AU14" s="135"/>
      <c r="AV14" s="135">
        <f>AV$3</f>
        <v>46188</v>
      </c>
      <c r="AW14" s="148" t="s">
        <v>557</v>
      </c>
      <c r="AX14" s="137" t="s">
        <v>557</v>
      </c>
      <c r="AY14" s="135">
        <f>AY$3</f>
        <v>46189</v>
      </c>
      <c r="AZ14" s="136" t="s">
        <v>557</v>
      </c>
      <c r="BA14" s="137" t="s">
        <v>557</v>
      </c>
      <c r="BB14" s="135">
        <f>BB$3</f>
        <v>46190</v>
      </c>
      <c r="BC14" s="136" t="s">
        <v>557</v>
      </c>
      <c r="BD14" s="137" t="s">
        <v>557</v>
      </c>
      <c r="BE14" s="135">
        <f>BE$3</f>
        <v>46191</v>
      </c>
      <c r="BF14" s="136" t="s">
        <v>557</v>
      </c>
      <c r="BG14" s="137" t="s">
        <v>557</v>
      </c>
      <c r="BH14" s="135">
        <f>BH$3</f>
        <v>46192</v>
      </c>
      <c r="BI14" s="136" t="s">
        <v>557</v>
      </c>
      <c r="BJ14" s="137" t="s">
        <v>557</v>
      </c>
      <c r="BK14" s="135">
        <f>BK$3</f>
        <v>46193</v>
      </c>
      <c r="BL14" s="136" t="s">
        <v>557</v>
      </c>
      <c r="BM14" s="137" t="s">
        <v>557</v>
      </c>
    </row>
    <row r="15" spans="1:65" outlineLevel="1">
      <c r="A15" s="122" t="str">
        <f>$A$4</f>
        <v>Lý Huy Thành</v>
      </c>
      <c r="B15" s="28" t="str">
        <f>'Bảng 3'!A297</f>
        <v>3.N.DSHCMCG.SUP.101</v>
      </c>
      <c r="C15" s="81" t="str">
        <f>IF($B15="","",INDEX('All Bảng'!C:C,MATCH($B15,'All Bảng'!$A:$A,0)))</f>
        <v>Quản lý BIM</v>
      </c>
      <c r="D15" s="81" t="str">
        <f>IF($B15="","",INDEX('All Bảng'!D:D,MATCH($B15,'All Bảng'!$A:$A,0)))</f>
        <v>N.DSHCMCG.SUP</v>
      </c>
      <c r="E15" s="81" t="str">
        <f>IF($B15="","",INDEX('All Bảng'!E:E,MATCH($B15,'All Bảng'!$A:$A,0)))</f>
        <v>Bãi đúc dầm 01</v>
      </c>
      <c r="F15" s="81" t="str">
        <f>IF($B15="","",INDEX('All Bảng'!F:F,MATCH($B15,'All Bảng'!$A:$A,0)))</f>
        <v>KT</v>
      </c>
      <c r="G15" s="81" t="str">
        <f>IF($B15="","",INDEX('All Bảng'!G:G,MATCH($B15,'All Bảng'!$A:$A,0)))</f>
        <v>Tạo lập mô hình BIM</v>
      </c>
      <c r="H15" s="282"/>
      <c r="I15" s="18"/>
      <c r="J15" s="266">
        <f>J$3</f>
        <v>46174</v>
      </c>
      <c r="K15" s="148" t="s">
        <v>557</v>
      </c>
      <c r="L15" s="163" t="s">
        <v>557</v>
      </c>
      <c r="M15" s="135">
        <f>M$3</f>
        <v>46175</v>
      </c>
      <c r="N15" s="148" t="s">
        <v>557</v>
      </c>
      <c r="O15" s="137" t="s">
        <v>557</v>
      </c>
      <c r="P15" s="135">
        <f>P$3</f>
        <v>46176</v>
      </c>
      <c r="Q15" s="148" t="s">
        <v>557</v>
      </c>
      <c r="R15" s="137" t="s">
        <v>557</v>
      </c>
      <c r="S15" s="135">
        <f>S$3</f>
        <v>46177</v>
      </c>
      <c r="T15" s="136" t="s">
        <v>653</v>
      </c>
      <c r="U15" s="137">
        <v>0.25</v>
      </c>
      <c r="V15" s="135">
        <f>V$3</f>
        <v>46178</v>
      </c>
      <c r="W15" s="136" t="s">
        <v>557</v>
      </c>
      <c r="X15" s="137" t="s">
        <v>557</v>
      </c>
      <c r="Y15" s="135">
        <f>Y$3</f>
        <v>46179</v>
      </c>
      <c r="Z15" s="136" t="s">
        <v>557</v>
      </c>
      <c r="AA15" s="137" t="s">
        <v>557</v>
      </c>
      <c r="AB15" s="135"/>
      <c r="AC15" s="135">
        <f>AC$3</f>
        <v>46181</v>
      </c>
      <c r="AD15" s="136" t="s">
        <v>557</v>
      </c>
      <c r="AE15" s="137" t="s">
        <v>557</v>
      </c>
      <c r="AF15" s="135">
        <f>AF$3</f>
        <v>46182</v>
      </c>
      <c r="AG15" s="136" t="s">
        <v>557</v>
      </c>
      <c r="AH15" s="137" t="s">
        <v>557</v>
      </c>
      <c r="AI15" s="135">
        <f>AI$3</f>
        <v>46183</v>
      </c>
      <c r="AJ15" s="136" t="s">
        <v>557</v>
      </c>
      <c r="AK15" s="137" t="s">
        <v>557</v>
      </c>
      <c r="AL15" s="135">
        <f>AL$3</f>
        <v>46184</v>
      </c>
      <c r="AM15" s="136" t="s">
        <v>557</v>
      </c>
      <c r="AN15" s="137" t="s">
        <v>557</v>
      </c>
      <c r="AO15" s="135">
        <f>AO$3</f>
        <v>46185</v>
      </c>
      <c r="AP15" s="136" t="s">
        <v>557</v>
      </c>
      <c r="AQ15" s="137" t="s">
        <v>557</v>
      </c>
      <c r="AR15" s="135">
        <f>AR$3</f>
        <v>46186</v>
      </c>
      <c r="AS15" s="136" t="s">
        <v>557</v>
      </c>
      <c r="AT15" s="137" t="s">
        <v>557</v>
      </c>
      <c r="AU15" s="135"/>
      <c r="AV15" s="135">
        <f>AV$3</f>
        <v>46188</v>
      </c>
      <c r="AW15" s="148" t="s">
        <v>557</v>
      </c>
      <c r="AX15" s="137" t="s">
        <v>557</v>
      </c>
      <c r="AY15" s="135">
        <f>AY$3</f>
        <v>46189</v>
      </c>
      <c r="AZ15" s="136" t="s">
        <v>557</v>
      </c>
      <c r="BA15" s="137" t="s">
        <v>557</v>
      </c>
      <c r="BB15" s="135">
        <f>BB$3</f>
        <v>46190</v>
      </c>
      <c r="BC15" s="136" t="s">
        <v>557</v>
      </c>
      <c r="BD15" s="137" t="s">
        <v>557</v>
      </c>
      <c r="BE15" s="135">
        <f>BE$3</f>
        <v>46191</v>
      </c>
      <c r="BF15" s="136" t="s">
        <v>557</v>
      </c>
      <c r="BG15" s="137" t="s">
        <v>557</v>
      </c>
      <c r="BH15" s="135">
        <f>BH$3</f>
        <v>46192</v>
      </c>
      <c r="BI15" s="136" t="s">
        <v>557</v>
      </c>
      <c r="BJ15" s="137" t="s">
        <v>557</v>
      </c>
      <c r="BK15" s="135">
        <f>BK$3</f>
        <v>46193</v>
      </c>
      <c r="BL15" s="136" t="s">
        <v>557</v>
      </c>
      <c r="BM15" s="137" t="s">
        <v>557</v>
      </c>
    </row>
    <row r="16" spans="1:65" outlineLevel="1">
      <c r="A16" s="122" t="str">
        <f>$A$4</f>
        <v>Lý Huy Thành</v>
      </c>
      <c r="B16" s="28" t="str">
        <f>'Bảng 3'!A298</f>
        <v>3.N.DSHCMCG.SUP.102</v>
      </c>
      <c r="C16" s="81" t="str">
        <f>IF($B16="","",INDEX('All Bảng'!C:C,MATCH($B16,'All Bảng'!$A:$A,0)))</f>
        <v>Quản lý BIM</v>
      </c>
      <c r="D16" s="81" t="str">
        <f>IF($B16="","",INDEX('All Bảng'!D:D,MATCH($B16,'All Bảng'!$A:$A,0)))</f>
        <v>N.DSHCMCG.SUP</v>
      </c>
      <c r="E16" s="81" t="str">
        <f>IF($B16="","",INDEX('All Bảng'!E:E,MATCH($B16,'All Bảng'!$A:$A,0)))</f>
        <v>Bãi đúc dầm 02</v>
      </c>
      <c r="F16" s="81" t="str">
        <f>IF($B16="","",INDEX('All Bảng'!F:F,MATCH($B16,'All Bảng'!$A:$A,0)))</f>
        <v>KT</v>
      </c>
      <c r="G16" s="81" t="str">
        <f>IF($B16="","",INDEX('All Bảng'!G:G,MATCH($B16,'All Bảng'!$A:$A,0)))</f>
        <v>Tạo lập mô hình BIM</v>
      </c>
      <c r="H16" s="282"/>
      <c r="I16" s="18"/>
      <c r="J16" s="266">
        <f>J$3</f>
        <v>46174</v>
      </c>
      <c r="K16" s="148" t="s">
        <v>557</v>
      </c>
      <c r="L16" s="163" t="s">
        <v>557</v>
      </c>
      <c r="M16" s="135">
        <f>M$3</f>
        <v>46175</v>
      </c>
      <c r="N16" s="148" t="s">
        <v>557</v>
      </c>
      <c r="O16" s="137" t="s">
        <v>557</v>
      </c>
      <c r="P16" s="135">
        <f>P$3</f>
        <v>46176</v>
      </c>
      <c r="Q16" s="148" t="s">
        <v>557</v>
      </c>
      <c r="R16" s="137" t="s">
        <v>557</v>
      </c>
      <c r="S16" s="135">
        <f>S$3</f>
        <v>46177</v>
      </c>
      <c r="T16" s="136" t="s">
        <v>653</v>
      </c>
      <c r="U16" s="137">
        <v>0.25</v>
      </c>
      <c r="V16" s="135">
        <f>V$3</f>
        <v>46178</v>
      </c>
      <c r="W16" s="136" t="s">
        <v>557</v>
      </c>
      <c r="X16" s="137" t="s">
        <v>557</v>
      </c>
      <c r="Y16" s="135">
        <f>Y$3</f>
        <v>46179</v>
      </c>
      <c r="Z16" s="136" t="s">
        <v>557</v>
      </c>
      <c r="AA16" s="137" t="s">
        <v>557</v>
      </c>
      <c r="AB16" s="135"/>
      <c r="AC16" s="135">
        <f>AC$3</f>
        <v>46181</v>
      </c>
      <c r="AD16" s="136" t="s">
        <v>557</v>
      </c>
      <c r="AE16" s="137" t="s">
        <v>557</v>
      </c>
      <c r="AF16" s="135">
        <f>AF$3</f>
        <v>46182</v>
      </c>
      <c r="AG16" s="136" t="s">
        <v>557</v>
      </c>
      <c r="AH16" s="137" t="s">
        <v>557</v>
      </c>
      <c r="AI16" s="135">
        <f>AI$3</f>
        <v>46183</v>
      </c>
      <c r="AJ16" s="136" t="s">
        <v>557</v>
      </c>
      <c r="AK16" s="137" t="s">
        <v>557</v>
      </c>
      <c r="AL16" s="135">
        <f>AL$3</f>
        <v>46184</v>
      </c>
      <c r="AM16" s="136" t="s">
        <v>557</v>
      </c>
      <c r="AN16" s="137" t="s">
        <v>557</v>
      </c>
      <c r="AO16" s="135">
        <f>AO$3</f>
        <v>46185</v>
      </c>
      <c r="AP16" s="136" t="s">
        <v>557</v>
      </c>
      <c r="AQ16" s="137" t="s">
        <v>557</v>
      </c>
      <c r="AR16" s="135">
        <f>AR$3</f>
        <v>46186</v>
      </c>
      <c r="AS16" s="136" t="s">
        <v>557</v>
      </c>
      <c r="AT16" s="137" t="s">
        <v>557</v>
      </c>
      <c r="AU16" s="135"/>
      <c r="AV16" s="135">
        <f>AV$3</f>
        <v>46188</v>
      </c>
      <c r="AW16" s="148" t="s">
        <v>557</v>
      </c>
      <c r="AX16" s="137" t="s">
        <v>557</v>
      </c>
      <c r="AY16" s="135">
        <f>AY$3</f>
        <v>46189</v>
      </c>
      <c r="AZ16" s="136" t="s">
        <v>557</v>
      </c>
      <c r="BA16" s="137" t="s">
        <v>557</v>
      </c>
      <c r="BB16" s="135">
        <f>BB$3</f>
        <v>46190</v>
      </c>
      <c r="BC16" s="136" t="s">
        <v>557</v>
      </c>
      <c r="BD16" s="137" t="s">
        <v>557</v>
      </c>
      <c r="BE16" s="135">
        <f>BE$3</f>
        <v>46191</v>
      </c>
      <c r="BF16" s="136" t="s">
        <v>557</v>
      </c>
      <c r="BG16" s="137" t="s">
        <v>557</v>
      </c>
      <c r="BH16" s="135">
        <f>BH$3</f>
        <v>46192</v>
      </c>
      <c r="BI16" s="136" t="s">
        <v>557</v>
      </c>
      <c r="BJ16" s="137" t="s">
        <v>557</v>
      </c>
      <c r="BK16" s="135">
        <f>BK$3</f>
        <v>46193</v>
      </c>
      <c r="BL16" s="136" t="s">
        <v>557</v>
      </c>
      <c r="BM16" s="137" t="s">
        <v>557</v>
      </c>
    </row>
    <row r="17" spans="1:65" outlineLevel="1">
      <c r="A17" s="122" t="str">
        <f>$A$4</f>
        <v>Lý Huy Thành</v>
      </c>
      <c r="B17" s="28" t="str">
        <f>'Bảng 3'!A299</f>
        <v>3.N.DSHCMCG.SUP.201</v>
      </c>
      <c r="C17" s="81" t="str">
        <f>IF($B17="","",INDEX('All Bảng'!C:C,MATCH($B17,'All Bảng'!$A:$A,0)))</f>
        <v>Quản lý BIM</v>
      </c>
      <c r="D17" s="81" t="str">
        <f>IF($B17="","",INDEX('All Bảng'!D:D,MATCH($B17,'All Bảng'!$A:$A,0)))</f>
        <v>N.DSHCMCG.SUP</v>
      </c>
      <c r="E17" s="81" t="str">
        <f>IF($B17="","",INDEX('All Bảng'!E:E,MATCH($B17,'All Bảng'!$A:$A,0)))</f>
        <v>Bãi đúc dầm 01</v>
      </c>
      <c r="F17" s="81" t="str">
        <f>IF($B17="","",INDEX('All Bảng'!F:F,MATCH($B17,'All Bảng'!$A:$A,0)))</f>
        <v>KC</v>
      </c>
      <c r="G17" s="81" t="str">
        <f>IF($B17="","",INDEX('All Bảng'!G:G,MATCH($B17,'All Bảng'!$A:$A,0)))</f>
        <v>Tạo lập mô hình BIM</v>
      </c>
      <c r="H17" s="282"/>
      <c r="I17" s="281"/>
      <c r="J17" s="266">
        <f>J$3</f>
        <v>46174</v>
      </c>
      <c r="K17" s="148" t="s">
        <v>557</v>
      </c>
      <c r="L17" s="163" t="s">
        <v>557</v>
      </c>
      <c r="M17" s="135">
        <f>M$3</f>
        <v>46175</v>
      </c>
      <c r="N17" s="148" t="s">
        <v>557</v>
      </c>
      <c r="O17" s="137" t="s">
        <v>557</v>
      </c>
      <c r="P17" s="135">
        <f>P$3</f>
        <v>46176</v>
      </c>
      <c r="Q17" s="148" t="s">
        <v>557</v>
      </c>
      <c r="R17" s="137" t="s">
        <v>557</v>
      </c>
      <c r="S17" s="135">
        <f>S$3</f>
        <v>46177</v>
      </c>
      <c r="T17" s="136" t="s">
        <v>653</v>
      </c>
      <c r="U17" s="137">
        <v>0.25</v>
      </c>
      <c r="V17" s="135">
        <f>V$3</f>
        <v>46178</v>
      </c>
      <c r="W17" s="136" t="s">
        <v>557</v>
      </c>
      <c r="X17" s="137" t="s">
        <v>557</v>
      </c>
      <c r="Y17" s="135">
        <f>Y$3</f>
        <v>46179</v>
      </c>
      <c r="Z17" s="136" t="s">
        <v>557</v>
      </c>
      <c r="AA17" s="137" t="s">
        <v>557</v>
      </c>
      <c r="AB17" s="135"/>
      <c r="AC17" s="135">
        <f>AC$3</f>
        <v>46181</v>
      </c>
      <c r="AD17" s="136" t="s">
        <v>557</v>
      </c>
      <c r="AE17" s="137" t="s">
        <v>557</v>
      </c>
      <c r="AF17" s="135">
        <f>AF$3</f>
        <v>46182</v>
      </c>
      <c r="AG17" s="136" t="s">
        <v>557</v>
      </c>
      <c r="AH17" s="137" t="s">
        <v>557</v>
      </c>
      <c r="AI17" s="135">
        <f>AI$3</f>
        <v>46183</v>
      </c>
      <c r="AJ17" s="136" t="s">
        <v>557</v>
      </c>
      <c r="AK17" s="137" t="s">
        <v>557</v>
      </c>
      <c r="AL17" s="135">
        <f>AL$3</f>
        <v>46184</v>
      </c>
      <c r="AM17" s="136" t="s">
        <v>557</v>
      </c>
      <c r="AN17" s="137" t="s">
        <v>557</v>
      </c>
      <c r="AO17" s="135">
        <f>AO$3</f>
        <v>46185</v>
      </c>
      <c r="AP17" s="136" t="s">
        <v>557</v>
      </c>
      <c r="AQ17" s="137" t="s">
        <v>557</v>
      </c>
      <c r="AR17" s="135">
        <f>AR$3</f>
        <v>46186</v>
      </c>
      <c r="AS17" s="136" t="s">
        <v>557</v>
      </c>
      <c r="AT17" s="137" t="s">
        <v>557</v>
      </c>
      <c r="AU17" s="135"/>
      <c r="AV17" s="135">
        <f>AV$3</f>
        <v>46188</v>
      </c>
      <c r="AW17" s="148" t="s">
        <v>557</v>
      </c>
      <c r="AX17" s="137" t="s">
        <v>557</v>
      </c>
      <c r="AY17" s="135">
        <f>AY$3</f>
        <v>46189</v>
      </c>
      <c r="AZ17" s="136" t="s">
        <v>557</v>
      </c>
      <c r="BA17" s="137" t="s">
        <v>557</v>
      </c>
      <c r="BB17" s="135">
        <f>BB$3</f>
        <v>46190</v>
      </c>
      <c r="BC17" s="136" t="s">
        <v>557</v>
      </c>
      <c r="BD17" s="137" t="s">
        <v>557</v>
      </c>
      <c r="BE17" s="135">
        <f>BE$3</f>
        <v>46191</v>
      </c>
      <c r="BF17" s="136" t="s">
        <v>557</v>
      </c>
      <c r="BG17" s="137" t="s">
        <v>557</v>
      </c>
      <c r="BH17" s="135">
        <f>BH$3</f>
        <v>46192</v>
      </c>
      <c r="BI17" s="136" t="s">
        <v>557</v>
      </c>
      <c r="BJ17" s="137" t="s">
        <v>557</v>
      </c>
      <c r="BK17" s="135">
        <f>BK$3</f>
        <v>46193</v>
      </c>
      <c r="BL17" s="136" t="s">
        <v>557</v>
      </c>
      <c r="BM17" s="137" t="s">
        <v>557</v>
      </c>
    </row>
    <row r="18" spans="1:65" outlineLevel="1">
      <c r="A18" s="122" t="str">
        <f>$A$4</f>
        <v>Lý Huy Thành</v>
      </c>
      <c r="B18" s="28" t="str">
        <f>'Bảng 3'!A300</f>
        <v>3.N.DSHCMCG.SUP.202</v>
      </c>
      <c r="C18" s="81" t="str">
        <f>IF($B18="","",INDEX('All Bảng'!C:C,MATCH($B18,'All Bảng'!$A:$A,0)))</f>
        <v>Quản lý BIM</v>
      </c>
      <c r="D18" s="81" t="str">
        <f>IF($B18="","",INDEX('All Bảng'!D:D,MATCH($B18,'All Bảng'!$A:$A,0)))</f>
        <v>N.DSHCMCG.SUP</v>
      </c>
      <c r="E18" s="81" t="str">
        <f>IF($B18="","",INDEX('All Bảng'!E:E,MATCH($B18,'All Bảng'!$A:$A,0)))</f>
        <v>Bãi đúc dầm 02</v>
      </c>
      <c r="F18" s="81" t="str">
        <f>IF($B18="","",INDEX('All Bảng'!F:F,MATCH($B18,'All Bảng'!$A:$A,0)))</f>
        <v>KC</v>
      </c>
      <c r="G18" s="81" t="str">
        <f>IF($B18="","",INDEX('All Bảng'!G:G,MATCH($B18,'All Bảng'!$A:$A,0)))</f>
        <v>Tạo lập mô hình BIM</v>
      </c>
      <c r="H18" s="282"/>
      <c r="I18" s="281"/>
      <c r="J18" s="266">
        <v>46174</v>
      </c>
      <c r="K18" s="148"/>
      <c r="L18" s="163"/>
      <c r="M18" s="135">
        <f>M$3</f>
        <v>46175</v>
      </c>
      <c r="N18" s="148" t="s">
        <v>557</v>
      </c>
      <c r="O18" s="137" t="s">
        <v>557</v>
      </c>
      <c r="P18" s="135">
        <f>P$3</f>
        <v>46176</v>
      </c>
      <c r="Q18" s="148" t="s">
        <v>557</v>
      </c>
      <c r="R18" s="137" t="s">
        <v>557</v>
      </c>
      <c r="S18" s="135">
        <f>S$3</f>
        <v>46177</v>
      </c>
      <c r="T18" s="136" t="s">
        <v>653</v>
      </c>
      <c r="U18" s="137">
        <v>0.25</v>
      </c>
      <c r="V18" s="135">
        <f>V$3</f>
        <v>46178</v>
      </c>
      <c r="W18" s="136" t="s">
        <v>557</v>
      </c>
      <c r="X18" s="137" t="s">
        <v>557</v>
      </c>
      <c r="Y18" s="135">
        <f>Y$3</f>
        <v>46179</v>
      </c>
      <c r="Z18" s="136" t="s">
        <v>557</v>
      </c>
      <c r="AA18" s="137" t="s">
        <v>557</v>
      </c>
      <c r="AB18" s="135"/>
      <c r="AC18" s="135">
        <f>AC$3</f>
        <v>46181</v>
      </c>
      <c r="AD18" s="136" t="s">
        <v>557</v>
      </c>
      <c r="AE18" s="137" t="s">
        <v>557</v>
      </c>
      <c r="AF18" s="135">
        <f>AF$3</f>
        <v>46182</v>
      </c>
      <c r="AG18" s="136" t="s">
        <v>557</v>
      </c>
      <c r="AH18" s="137" t="s">
        <v>557</v>
      </c>
      <c r="AI18" s="135">
        <f>AI$3</f>
        <v>46183</v>
      </c>
      <c r="AJ18" s="136" t="s">
        <v>557</v>
      </c>
      <c r="AK18" s="137" t="s">
        <v>557</v>
      </c>
      <c r="AL18" s="135">
        <f>AL$3</f>
        <v>46184</v>
      </c>
      <c r="AM18" s="136" t="s">
        <v>557</v>
      </c>
      <c r="AN18" s="137" t="s">
        <v>557</v>
      </c>
      <c r="AO18" s="135">
        <f>AO$3</f>
        <v>46185</v>
      </c>
      <c r="AP18" s="136" t="s">
        <v>557</v>
      </c>
      <c r="AQ18" s="137" t="s">
        <v>557</v>
      </c>
      <c r="AR18" s="135">
        <f>AR$3</f>
        <v>46186</v>
      </c>
      <c r="AS18" s="136" t="s">
        <v>557</v>
      </c>
      <c r="AT18" s="137" t="s">
        <v>557</v>
      </c>
      <c r="AU18" s="135"/>
      <c r="AV18" s="135">
        <f>AV$3</f>
        <v>46188</v>
      </c>
      <c r="AW18" s="148" t="s">
        <v>557</v>
      </c>
      <c r="AX18" s="137" t="s">
        <v>557</v>
      </c>
      <c r="AY18" s="135">
        <f>AY$3</f>
        <v>46189</v>
      </c>
      <c r="AZ18" s="136" t="s">
        <v>557</v>
      </c>
      <c r="BA18" s="137" t="s">
        <v>557</v>
      </c>
      <c r="BB18" s="135">
        <f>BB$3</f>
        <v>46190</v>
      </c>
      <c r="BC18" s="136" t="s">
        <v>557</v>
      </c>
      <c r="BD18" s="137" t="s">
        <v>557</v>
      </c>
      <c r="BE18" s="135">
        <f>BE$3</f>
        <v>46191</v>
      </c>
      <c r="BF18" s="136" t="s">
        <v>557</v>
      </c>
      <c r="BG18" s="137" t="s">
        <v>557</v>
      </c>
      <c r="BH18" s="135">
        <f>BH$3</f>
        <v>46192</v>
      </c>
      <c r="BI18" s="136" t="s">
        <v>557</v>
      </c>
      <c r="BJ18" s="137" t="s">
        <v>557</v>
      </c>
      <c r="BK18" s="135">
        <f>BK$3</f>
        <v>46193</v>
      </c>
      <c r="BL18" s="136" t="s">
        <v>557</v>
      </c>
      <c r="BM18" s="137" t="s">
        <v>557</v>
      </c>
    </row>
    <row r="19" spans="1:65" outlineLevel="1">
      <c r="A19" s="122" t="str">
        <f>$A$4</f>
        <v>Lý Huy Thành</v>
      </c>
      <c r="B19" s="28" t="str">
        <f>'Bảng 3'!A146</f>
        <v>3.B.HNO.VHOHN.KS.101</v>
      </c>
      <c r="C19" s="81" t="str">
        <f>IF($B19="","",INDEX('All Bảng'!C:C,MATCH($B19,'All Bảng'!$A:$A,0)))</f>
        <v>Quản lý BIM</v>
      </c>
      <c r="D19" s="81" t="str">
        <f>IF($B19="","",INDEX('All Bảng'!D:D,MATCH($B19,'All Bảng'!$A:$A,0)))</f>
        <v>B.HNO.VHOHN.KS</v>
      </c>
      <c r="E19" s="81" t="str">
        <f>IF($B19="","",INDEX('All Bảng'!E:E,MATCH($B19,'All Bảng'!$A:$A,0)))</f>
        <v>Lô đất B9-DV-02</v>
      </c>
      <c r="F19" s="81" t="str">
        <f>IF($B19="","",INDEX('All Bảng'!F:F,MATCH($B19,'All Bảng'!$A:$A,0)))</f>
        <v>KT</v>
      </c>
      <c r="G19" s="81" t="str">
        <f>IF($B19="","",INDEX('All Bảng'!G:G,MATCH($B19,'All Bảng'!$A:$A,0)))</f>
        <v>Khởi tạo mô hình BIM</v>
      </c>
      <c r="H19" s="282"/>
      <c r="I19" s="281"/>
      <c r="J19" s="266">
        <v>46174</v>
      </c>
      <c r="K19" s="148"/>
      <c r="L19" s="163"/>
      <c r="M19" s="135">
        <f>M$3</f>
        <v>46175</v>
      </c>
      <c r="N19" s="148" t="s">
        <v>557</v>
      </c>
      <c r="O19" s="137" t="s">
        <v>557</v>
      </c>
      <c r="P19" s="135">
        <f>P$3</f>
        <v>46176</v>
      </c>
      <c r="Q19" s="148" t="s">
        <v>557</v>
      </c>
      <c r="R19" s="137" t="s">
        <v>557</v>
      </c>
      <c r="S19" s="135">
        <f>S$3</f>
        <v>46177</v>
      </c>
      <c r="T19" s="136" t="s">
        <v>654</v>
      </c>
      <c r="U19" s="137">
        <v>1.5</v>
      </c>
      <c r="V19" s="135">
        <f>V$3</f>
        <v>46178</v>
      </c>
      <c r="W19" s="136" t="s">
        <v>557</v>
      </c>
      <c r="X19" s="137" t="s">
        <v>557</v>
      </c>
      <c r="Y19" s="135">
        <f>Y$3</f>
        <v>46179</v>
      </c>
      <c r="Z19" s="136" t="s">
        <v>557</v>
      </c>
      <c r="AA19" s="137" t="s">
        <v>557</v>
      </c>
      <c r="AB19" s="135"/>
      <c r="AC19" s="135">
        <f>AC$3</f>
        <v>46181</v>
      </c>
      <c r="AD19" s="136" t="s">
        <v>557</v>
      </c>
      <c r="AE19" s="137" t="s">
        <v>557</v>
      </c>
      <c r="AF19" s="135">
        <f>AF$3</f>
        <v>46182</v>
      </c>
      <c r="AG19" s="136" t="s">
        <v>557</v>
      </c>
      <c r="AH19" s="137" t="s">
        <v>557</v>
      </c>
      <c r="AI19" s="135">
        <f>AI$3</f>
        <v>46183</v>
      </c>
      <c r="AJ19" s="136" t="s">
        <v>557</v>
      </c>
      <c r="AK19" s="137" t="s">
        <v>557</v>
      </c>
      <c r="AL19" s="135">
        <f>AL$3</f>
        <v>46184</v>
      </c>
      <c r="AM19" s="136" t="s">
        <v>557</v>
      </c>
      <c r="AN19" s="137" t="s">
        <v>557</v>
      </c>
      <c r="AO19" s="135">
        <f>AO$3</f>
        <v>46185</v>
      </c>
      <c r="AP19" s="136" t="s">
        <v>557</v>
      </c>
      <c r="AQ19" s="137" t="s">
        <v>557</v>
      </c>
      <c r="AR19" s="135">
        <f>AR$3</f>
        <v>46186</v>
      </c>
      <c r="AS19" s="136" t="s">
        <v>557</v>
      </c>
      <c r="AT19" s="137" t="s">
        <v>557</v>
      </c>
      <c r="AU19" s="135"/>
      <c r="AV19" s="135">
        <f>AV$3</f>
        <v>46188</v>
      </c>
      <c r="AW19" s="148" t="s">
        <v>557</v>
      </c>
      <c r="AX19" s="137" t="s">
        <v>557</v>
      </c>
      <c r="AY19" s="135">
        <f>AY$3</f>
        <v>46189</v>
      </c>
      <c r="AZ19" s="136" t="s">
        <v>557</v>
      </c>
      <c r="BA19" s="137" t="s">
        <v>557</v>
      </c>
      <c r="BB19" s="135">
        <f>BB$3</f>
        <v>46190</v>
      </c>
      <c r="BC19" s="136" t="s">
        <v>557</v>
      </c>
      <c r="BD19" s="137" t="s">
        <v>557</v>
      </c>
      <c r="BE19" s="135">
        <f>BE$3</f>
        <v>46191</v>
      </c>
      <c r="BF19" s="136" t="s">
        <v>557</v>
      </c>
      <c r="BG19" s="137" t="s">
        <v>557</v>
      </c>
      <c r="BH19" s="135">
        <f>BH$3</f>
        <v>46192</v>
      </c>
      <c r="BI19" s="136" t="s">
        <v>557</v>
      </c>
      <c r="BJ19" s="137" t="s">
        <v>557</v>
      </c>
      <c r="BK19" s="135">
        <f>BK$3</f>
        <v>46193</v>
      </c>
      <c r="BL19" s="136" t="s">
        <v>557</v>
      </c>
      <c r="BM19" s="137" t="s">
        <v>557</v>
      </c>
    </row>
    <row r="20" spans="1:65" outlineLevel="1">
      <c r="A20" s="122" t="str">
        <f>$A$4</f>
        <v>Lý Huy Thành</v>
      </c>
      <c r="B20" s="28" t="str">
        <f>'Bảng 3'!A147</f>
        <v>3.B.HNO.VHOHN.KS.102</v>
      </c>
      <c r="C20" s="81" t="str">
        <f>IF($B20="","",INDEX('All Bảng'!C:C,MATCH($B20,'All Bảng'!$A:$A,0)))</f>
        <v>Quản lý BIM</v>
      </c>
      <c r="D20" s="81" t="str">
        <f>IF($B20="","",INDEX('All Bảng'!D:D,MATCH($B20,'All Bảng'!$A:$A,0)))</f>
        <v>B.HNO.VHOHN.KS</v>
      </c>
      <c r="E20" s="81" t="str">
        <f>IF($B20="","",INDEX('All Bảng'!E:E,MATCH($B20,'All Bảng'!$A:$A,0)))</f>
        <v>Lô đất B9-DV-02</v>
      </c>
      <c r="F20" s="81" t="str">
        <f>IF($B20="","",INDEX('All Bảng'!F:F,MATCH($B20,'All Bảng'!$A:$A,0)))</f>
        <v>KT</v>
      </c>
      <c r="G20" s="81" t="str">
        <f>IF($B20="","",INDEX('All Bảng'!G:G,MATCH($B20,'All Bảng'!$A:$A,0)))</f>
        <v>KSCL mô hình BIM</v>
      </c>
      <c r="H20" s="282"/>
      <c r="I20" s="18"/>
      <c r="J20" s="266">
        <f>J$3</f>
        <v>46174</v>
      </c>
      <c r="K20" s="148" t="s">
        <v>557</v>
      </c>
      <c r="L20" s="163" t="s">
        <v>557</v>
      </c>
      <c r="M20" s="135">
        <f>M$3</f>
        <v>46175</v>
      </c>
      <c r="N20" s="148" t="s">
        <v>557</v>
      </c>
      <c r="O20" s="137" t="s">
        <v>557</v>
      </c>
      <c r="P20" s="135">
        <f>P$3</f>
        <v>46176</v>
      </c>
      <c r="Q20" s="148" t="s">
        <v>557</v>
      </c>
      <c r="R20" s="137" t="s">
        <v>557</v>
      </c>
      <c r="S20" s="135">
        <f>S$3</f>
        <v>46177</v>
      </c>
      <c r="T20" s="136" t="s">
        <v>557</v>
      </c>
      <c r="U20" s="137" t="s">
        <v>557</v>
      </c>
      <c r="V20" s="135">
        <f>V$3</f>
        <v>46178</v>
      </c>
      <c r="W20" s="136" t="s">
        <v>557</v>
      </c>
      <c r="X20" s="137" t="s">
        <v>557</v>
      </c>
      <c r="Y20" s="135">
        <f>Y$3</f>
        <v>46179</v>
      </c>
      <c r="Z20" s="136" t="s">
        <v>557</v>
      </c>
      <c r="AA20" s="137" t="s">
        <v>557</v>
      </c>
      <c r="AB20" s="135"/>
      <c r="AC20" s="135">
        <f>AC$3</f>
        <v>46181</v>
      </c>
      <c r="AD20" s="136" t="s">
        <v>557</v>
      </c>
      <c r="AE20" s="137" t="s">
        <v>557</v>
      </c>
      <c r="AF20" s="135">
        <f>AF$3</f>
        <v>46182</v>
      </c>
      <c r="AG20" s="136" t="s">
        <v>557</v>
      </c>
      <c r="AH20" s="137" t="s">
        <v>557</v>
      </c>
      <c r="AI20" s="135">
        <f>AI$3</f>
        <v>46183</v>
      </c>
      <c r="AJ20" s="136" t="s">
        <v>557</v>
      </c>
      <c r="AK20" s="137" t="s">
        <v>557</v>
      </c>
      <c r="AL20" s="135">
        <f>AL$3</f>
        <v>46184</v>
      </c>
      <c r="AM20" s="136" t="s">
        <v>557</v>
      </c>
      <c r="AN20" s="137" t="s">
        <v>557</v>
      </c>
      <c r="AO20" s="135">
        <f>AO$3</f>
        <v>46185</v>
      </c>
      <c r="AP20" s="136" t="s">
        <v>557</v>
      </c>
      <c r="AQ20" s="137" t="s">
        <v>557</v>
      </c>
      <c r="AR20" s="135">
        <f>AR$3</f>
        <v>46186</v>
      </c>
      <c r="AS20" s="136" t="s">
        <v>557</v>
      </c>
      <c r="AT20" s="137" t="s">
        <v>557</v>
      </c>
      <c r="AU20" s="135"/>
      <c r="AV20" s="135">
        <f>AV$3</f>
        <v>46188</v>
      </c>
      <c r="AW20" s="148" t="s">
        <v>557</v>
      </c>
      <c r="AX20" s="137" t="s">
        <v>557</v>
      </c>
      <c r="AY20" s="135">
        <f>AY$3</f>
        <v>46189</v>
      </c>
      <c r="AZ20" s="136" t="s">
        <v>557</v>
      </c>
      <c r="BA20" s="137" t="s">
        <v>557</v>
      </c>
      <c r="BB20" s="135">
        <f>BB$3</f>
        <v>46190</v>
      </c>
      <c r="BC20" s="136" t="s">
        <v>557</v>
      </c>
      <c r="BD20" s="137" t="s">
        <v>557</v>
      </c>
      <c r="BE20" s="135">
        <f>BE$3</f>
        <v>46191</v>
      </c>
      <c r="BF20" s="136" t="s">
        <v>557</v>
      </c>
      <c r="BG20" s="137" t="s">
        <v>557</v>
      </c>
      <c r="BH20" s="135">
        <f>BH$3</f>
        <v>46192</v>
      </c>
      <c r="BI20" s="136" t="s">
        <v>557</v>
      </c>
      <c r="BJ20" s="137" t="s">
        <v>557</v>
      </c>
      <c r="BK20" s="135">
        <f>BK$3</f>
        <v>46193</v>
      </c>
      <c r="BL20" s="136" t="s">
        <v>557</v>
      </c>
      <c r="BM20" s="137" t="s">
        <v>557</v>
      </c>
    </row>
    <row r="21" spans="1:65" outlineLevel="1">
      <c r="A21" s="122" t="str">
        <f>$A$4</f>
        <v>Lý Huy Thành</v>
      </c>
      <c r="B21" s="28" t="str">
        <f>'Bảng 3'!A148</f>
        <v>3.B.HNO.VHOHN.KS.201</v>
      </c>
      <c r="C21" s="81" t="str">
        <f>IF($B21="","",INDEX('All Bảng'!C:C,MATCH($B21,'All Bảng'!$A:$A,0)))</f>
        <v>Quản lý BIM</v>
      </c>
      <c r="D21" s="81" t="str">
        <f>IF($B21="","",INDEX('All Bảng'!D:D,MATCH($B21,'All Bảng'!$A:$A,0)))</f>
        <v>B.HNO.VHOHN.KS</v>
      </c>
      <c r="E21" s="81" t="str">
        <f>IF($B21="","",INDEX('All Bảng'!E:E,MATCH($B21,'All Bảng'!$A:$A,0)))</f>
        <v>Lô đất B9-DV-02</v>
      </c>
      <c r="F21" s="81" t="str">
        <f>IF($B21="","",INDEX('All Bảng'!F:F,MATCH($B21,'All Bảng'!$A:$A,0)))</f>
        <v>KC</v>
      </c>
      <c r="G21" s="81" t="str">
        <f>IF($B21="","",INDEX('All Bảng'!G:G,MATCH($B21,'All Bảng'!$A:$A,0)))</f>
        <v>Khởi tạo mô hình BIM</v>
      </c>
      <c r="H21" s="282"/>
      <c r="I21" s="281"/>
      <c r="J21" s="266">
        <f>J$3</f>
        <v>46174</v>
      </c>
      <c r="K21" s="148" t="s">
        <v>557</v>
      </c>
      <c r="L21" s="163" t="s">
        <v>557</v>
      </c>
      <c r="M21" s="135">
        <f>M$3</f>
        <v>46175</v>
      </c>
      <c r="N21" s="148" t="s">
        <v>557</v>
      </c>
      <c r="O21" s="137" t="s">
        <v>557</v>
      </c>
      <c r="P21" s="135">
        <f>P$3</f>
        <v>46176</v>
      </c>
      <c r="Q21" s="148" t="s">
        <v>557</v>
      </c>
      <c r="R21" s="137" t="s">
        <v>557</v>
      </c>
      <c r="S21" s="135">
        <f>S$3</f>
        <v>46177</v>
      </c>
      <c r="T21" s="136" t="s">
        <v>557</v>
      </c>
      <c r="U21" s="137">
        <v>0.5</v>
      </c>
      <c r="V21" s="135">
        <f>V$3</f>
        <v>46178</v>
      </c>
      <c r="W21" s="136" t="s">
        <v>557</v>
      </c>
      <c r="X21" s="137" t="s">
        <v>557</v>
      </c>
      <c r="Y21" s="135">
        <f>Y$3</f>
        <v>46179</v>
      </c>
      <c r="Z21" s="136" t="s">
        <v>557</v>
      </c>
      <c r="AA21" s="137" t="s">
        <v>557</v>
      </c>
      <c r="AB21" s="135"/>
      <c r="AC21" s="135">
        <f>AC$3</f>
        <v>46181</v>
      </c>
      <c r="AD21" s="136" t="s">
        <v>557</v>
      </c>
      <c r="AE21" s="137" t="s">
        <v>557</v>
      </c>
      <c r="AF21" s="135">
        <f>AF$3</f>
        <v>46182</v>
      </c>
      <c r="AG21" s="136" t="s">
        <v>557</v>
      </c>
      <c r="AH21" s="137" t="s">
        <v>557</v>
      </c>
      <c r="AI21" s="135">
        <f>AI$3</f>
        <v>46183</v>
      </c>
      <c r="AJ21" s="136" t="s">
        <v>557</v>
      </c>
      <c r="AK21" s="137" t="s">
        <v>557</v>
      </c>
      <c r="AL21" s="135">
        <f>AL$3</f>
        <v>46184</v>
      </c>
      <c r="AM21" s="136" t="s">
        <v>557</v>
      </c>
      <c r="AN21" s="137" t="s">
        <v>557</v>
      </c>
      <c r="AO21" s="135">
        <f>AO$3</f>
        <v>46185</v>
      </c>
      <c r="AP21" s="136" t="s">
        <v>557</v>
      </c>
      <c r="AQ21" s="137" t="s">
        <v>557</v>
      </c>
      <c r="AR21" s="135">
        <f>AR$3</f>
        <v>46186</v>
      </c>
      <c r="AS21" s="136" t="s">
        <v>557</v>
      </c>
      <c r="AT21" s="137" t="s">
        <v>557</v>
      </c>
      <c r="AU21" s="135"/>
      <c r="AV21" s="135">
        <f>AV$3</f>
        <v>46188</v>
      </c>
      <c r="AW21" s="148" t="s">
        <v>557</v>
      </c>
      <c r="AX21" s="137" t="s">
        <v>557</v>
      </c>
      <c r="AY21" s="135">
        <f>AY$3</f>
        <v>46189</v>
      </c>
      <c r="AZ21" s="136" t="s">
        <v>557</v>
      </c>
      <c r="BA21" s="137" t="s">
        <v>557</v>
      </c>
      <c r="BB21" s="135">
        <f>BB$3</f>
        <v>46190</v>
      </c>
      <c r="BC21" s="136" t="s">
        <v>557</v>
      </c>
      <c r="BD21" s="137" t="s">
        <v>557</v>
      </c>
      <c r="BE21" s="135">
        <f>BE$3</f>
        <v>46191</v>
      </c>
      <c r="BF21" s="136" t="s">
        <v>557</v>
      </c>
      <c r="BG21" s="137" t="s">
        <v>557</v>
      </c>
      <c r="BH21" s="135">
        <f>BH$3</f>
        <v>46192</v>
      </c>
      <c r="BI21" s="136" t="s">
        <v>557</v>
      </c>
      <c r="BJ21" s="137" t="s">
        <v>557</v>
      </c>
      <c r="BK21" s="135">
        <f>BK$3</f>
        <v>46193</v>
      </c>
      <c r="BL21" s="136" t="s">
        <v>557</v>
      </c>
      <c r="BM21" s="137" t="s">
        <v>557</v>
      </c>
    </row>
    <row r="22" spans="1:65" outlineLevel="1">
      <c r="A22" s="122" t="str">
        <f>$A$4</f>
        <v>Lý Huy Thành</v>
      </c>
      <c r="B22" s="28" t="str">
        <f>'Bảng 3'!A149</f>
        <v>3.B.HNO.VHOHN.KS.202</v>
      </c>
      <c r="C22" s="81" t="str">
        <f>IF($B22="","",INDEX('All Bảng'!C:C,MATCH($B22,'All Bảng'!$A:$A,0)))</f>
        <v>Quản lý BIM</v>
      </c>
      <c r="D22" s="81" t="str">
        <f>IF($B22="","",INDEX('All Bảng'!D:D,MATCH($B22,'All Bảng'!$A:$A,0)))</f>
        <v>B.HNO.VHOHN.KS</v>
      </c>
      <c r="E22" s="81" t="str">
        <f>IF($B22="","",INDEX('All Bảng'!E:E,MATCH($B22,'All Bảng'!$A:$A,0)))</f>
        <v>Lô đất B9-DV-02</v>
      </c>
      <c r="F22" s="81" t="str">
        <f>IF($B22="","",INDEX('All Bảng'!F:F,MATCH($B22,'All Bảng'!$A:$A,0)))</f>
        <v>KC</v>
      </c>
      <c r="G22" s="81" t="str">
        <f>IF($B22="","",INDEX('All Bảng'!G:G,MATCH($B22,'All Bảng'!$A:$A,0)))</f>
        <v>KSCL mô hình BIM</v>
      </c>
      <c r="H22" s="282"/>
      <c r="I22" s="281"/>
      <c r="J22" s="266">
        <v>46174</v>
      </c>
      <c r="K22" s="148"/>
      <c r="L22" s="163"/>
      <c r="M22" s="135">
        <f>M$3</f>
        <v>46175</v>
      </c>
      <c r="N22" s="148" t="s">
        <v>557</v>
      </c>
      <c r="O22" s="137" t="s">
        <v>557</v>
      </c>
      <c r="P22" s="135">
        <f>P$3</f>
        <v>46176</v>
      </c>
      <c r="Q22" s="148" t="s">
        <v>557</v>
      </c>
      <c r="R22" s="137" t="s">
        <v>557</v>
      </c>
      <c r="S22" s="135">
        <f>S$3</f>
        <v>46177</v>
      </c>
      <c r="T22" s="136" t="s">
        <v>557</v>
      </c>
      <c r="U22" s="137" t="s">
        <v>557</v>
      </c>
      <c r="V22" s="135">
        <f>V$3</f>
        <v>46178</v>
      </c>
      <c r="W22" s="136" t="s">
        <v>557</v>
      </c>
      <c r="X22" s="137" t="s">
        <v>557</v>
      </c>
      <c r="Y22" s="135">
        <f>Y$3</f>
        <v>46179</v>
      </c>
      <c r="Z22" s="136" t="s">
        <v>557</v>
      </c>
      <c r="AA22" s="137" t="s">
        <v>557</v>
      </c>
      <c r="AB22" s="135"/>
      <c r="AC22" s="135">
        <f>AC$3</f>
        <v>46181</v>
      </c>
      <c r="AD22" s="136" t="s">
        <v>557</v>
      </c>
      <c r="AE22" s="137" t="s">
        <v>557</v>
      </c>
      <c r="AF22" s="135">
        <f>AF$3</f>
        <v>46182</v>
      </c>
      <c r="AG22" s="136" t="s">
        <v>557</v>
      </c>
      <c r="AH22" s="137" t="s">
        <v>557</v>
      </c>
      <c r="AI22" s="135">
        <f>AI$3</f>
        <v>46183</v>
      </c>
      <c r="AJ22" s="136" t="s">
        <v>557</v>
      </c>
      <c r="AK22" s="137" t="s">
        <v>557</v>
      </c>
      <c r="AL22" s="135">
        <f>AL$3</f>
        <v>46184</v>
      </c>
      <c r="AM22" s="136" t="s">
        <v>557</v>
      </c>
      <c r="AN22" s="137" t="s">
        <v>557</v>
      </c>
      <c r="AO22" s="135">
        <f>AO$3</f>
        <v>46185</v>
      </c>
      <c r="AP22" s="136" t="s">
        <v>557</v>
      </c>
      <c r="AQ22" s="137" t="s">
        <v>557</v>
      </c>
      <c r="AR22" s="135">
        <f>AR$3</f>
        <v>46186</v>
      </c>
      <c r="AS22" s="136" t="s">
        <v>557</v>
      </c>
      <c r="AT22" s="137" t="s">
        <v>557</v>
      </c>
      <c r="AU22" s="135"/>
      <c r="AV22" s="135">
        <f>AV$3</f>
        <v>46188</v>
      </c>
      <c r="AW22" s="148" t="s">
        <v>557</v>
      </c>
      <c r="AX22" s="137" t="s">
        <v>557</v>
      </c>
      <c r="AY22" s="135">
        <f>AY$3</f>
        <v>46189</v>
      </c>
      <c r="AZ22" s="136" t="s">
        <v>557</v>
      </c>
      <c r="BA22" s="137" t="s">
        <v>557</v>
      </c>
      <c r="BB22" s="135">
        <f>BB$3</f>
        <v>46190</v>
      </c>
      <c r="BC22" s="136" t="s">
        <v>557</v>
      </c>
      <c r="BD22" s="137" t="s">
        <v>557</v>
      </c>
      <c r="BE22" s="135">
        <f>BE$3</f>
        <v>46191</v>
      </c>
      <c r="BF22" s="136" t="s">
        <v>557</v>
      </c>
      <c r="BG22" s="137" t="s">
        <v>557</v>
      </c>
      <c r="BH22" s="135">
        <f>BH$3</f>
        <v>46192</v>
      </c>
      <c r="BI22" s="136" t="s">
        <v>557</v>
      </c>
      <c r="BJ22" s="137" t="s">
        <v>557</v>
      </c>
      <c r="BK22" s="135">
        <f>BK$3</f>
        <v>46193</v>
      </c>
      <c r="BL22" s="136" t="s">
        <v>557</v>
      </c>
      <c r="BM22" s="137" t="s">
        <v>557</v>
      </c>
    </row>
    <row r="23" spans="1:65" outlineLevel="1">
      <c r="A23" s="122" t="str">
        <f>$A$4</f>
        <v>Lý Huy Thành</v>
      </c>
      <c r="B23" s="28"/>
      <c r="C23" s="81" t="str">
        <f>IF($B23="","",INDEX('All Bảng'!C:C,MATCH($B23,'All Bảng'!$A:$A,0)))</f>
        <v/>
      </c>
      <c r="D23" s="81" t="str">
        <f>IF($B23="","",INDEX('All Bảng'!D:D,MATCH($B23,'All Bảng'!$A:$A,0)))</f>
        <v/>
      </c>
      <c r="E23" s="81" t="str">
        <f>IF($B23="","",INDEX('All Bảng'!E:E,MATCH($B23,'All Bảng'!$A:$A,0)))</f>
        <v/>
      </c>
      <c r="F23" s="81" t="str">
        <f>IF($B23="","",INDEX('All Bảng'!F:F,MATCH($B23,'All Bảng'!$A:$A,0)))</f>
        <v/>
      </c>
      <c r="G23" s="81" t="str">
        <f>IF($B23="","",INDEX('All Bảng'!G:G,MATCH($B23,'All Bảng'!$A:$A,0)))</f>
        <v/>
      </c>
      <c r="H23" s="282"/>
      <c r="I23" s="281"/>
      <c r="J23" s="266">
        <v>46174</v>
      </c>
      <c r="K23" s="148"/>
      <c r="L23" s="163"/>
      <c r="M23" s="135">
        <f>M$3</f>
        <v>46175</v>
      </c>
      <c r="N23" s="148" t="s">
        <v>557</v>
      </c>
      <c r="O23" s="137" t="s">
        <v>557</v>
      </c>
      <c r="P23" s="135">
        <f>P$3</f>
        <v>46176</v>
      </c>
      <c r="Q23" s="148" t="s">
        <v>557</v>
      </c>
      <c r="R23" s="137" t="s">
        <v>557</v>
      </c>
      <c r="S23" s="135">
        <f>S$3</f>
        <v>46177</v>
      </c>
      <c r="T23" s="136" t="s">
        <v>557</v>
      </c>
      <c r="U23" s="137" t="s">
        <v>557</v>
      </c>
      <c r="V23" s="135">
        <f>V$3</f>
        <v>46178</v>
      </c>
      <c r="W23" s="136" t="s">
        <v>557</v>
      </c>
      <c r="X23" s="137" t="s">
        <v>557</v>
      </c>
      <c r="Y23" s="135">
        <f>Y$3</f>
        <v>46179</v>
      </c>
      <c r="Z23" s="136" t="s">
        <v>557</v>
      </c>
      <c r="AA23" s="137" t="s">
        <v>557</v>
      </c>
      <c r="AB23" s="135"/>
      <c r="AC23" s="135">
        <f>AC$3</f>
        <v>46181</v>
      </c>
      <c r="AD23" s="136" t="s">
        <v>557</v>
      </c>
      <c r="AE23" s="137" t="s">
        <v>557</v>
      </c>
      <c r="AF23" s="135">
        <f>AF$3</f>
        <v>46182</v>
      </c>
      <c r="AG23" s="136" t="s">
        <v>557</v>
      </c>
      <c r="AH23" s="137" t="s">
        <v>557</v>
      </c>
      <c r="AI23" s="135">
        <f>AI$3</f>
        <v>46183</v>
      </c>
      <c r="AJ23" s="136" t="s">
        <v>557</v>
      </c>
      <c r="AK23" s="137" t="s">
        <v>557</v>
      </c>
      <c r="AL23" s="135">
        <f>AL$3</f>
        <v>46184</v>
      </c>
      <c r="AM23" s="136" t="s">
        <v>557</v>
      </c>
      <c r="AN23" s="137" t="s">
        <v>557</v>
      </c>
      <c r="AO23" s="135">
        <f>AO$3</f>
        <v>46185</v>
      </c>
      <c r="AP23" s="136" t="s">
        <v>557</v>
      </c>
      <c r="AQ23" s="137" t="s">
        <v>557</v>
      </c>
      <c r="AR23" s="135">
        <f>AR$3</f>
        <v>46186</v>
      </c>
      <c r="AS23" s="136" t="s">
        <v>557</v>
      </c>
      <c r="AT23" s="137" t="s">
        <v>557</v>
      </c>
      <c r="AU23" s="135"/>
      <c r="AV23" s="135">
        <f>AV$3</f>
        <v>46188</v>
      </c>
      <c r="AW23" s="148" t="s">
        <v>557</v>
      </c>
      <c r="AX23" s="137" t="s">
        <v>557</v>
      </c>
      <c r="AY23" s="135">
        <f>AY$3</f>
        <v>46189</v>
      </c>
      <c r="AZ23" s="136" t="s">
        <v>557</v>
      </c>
      <c r="BA23" s="137" t="s">
        <v>557</v>
      </c>
      <c r="BB23" s="135">
        <f>BB$3</f>
        <v>46190</v>
      </c>
      <c r="BC23" s="136" t="s">
        <v>557</v>
      </c>
      <c r="BD23" s="137" t="s">
        <v>557</v>
      </c>
      <c r="BE23" s="135">
        <f>BE$3</f>
        <v>46191</v>
      </c>
      <c r="BF23" s="136" t="s">
        <v>557</v>
      </c>
      <c r="BG23" s="137" t="s">
        <v>557</v>
      </c>
      <c r="BH23" s="135">
        <f>BH$3</f>
        <v>46192</v>
      </c>
      <c r="BI23" s="136" t="s">
        <v>557</v>
      </c>
      <c r="BJ23" s="137" t="s">
        <v>557</v>
      </c>
      <c r="BK23" s="135">
        <f>BK$3</f>
        <v>46193</v>
      </c>
      <c r="BL23" s="136" t="s">
        <v>557</v>
      </c>
      <c r="BM23" s="137" t="s">
        <v>557</v>
      </c>
    </row>
    <row r="24" spans="1:65" outlineLevel="1">
      <c r="A24" s="122" t="str">
        <f>$A$4</f>
        <v>Lý Huy Thành</v>
      </c>
      <c r="B24" s="28"/>
      <c r="C24" s="81" t="str">
        <f>IF($B24="","",INDEX('All Bảng'!C:C,MATCH($B24,'All Bảng'!$A:$A,0)))</f>
        <v/>
      </c>
      <c r="D24" s="81" t="str">
        <f>IF($B24="","",INDEX('All Bảng'!D:D,MATCH($B24,'All Bảng'!$A:$A,0)))</f>
        <v/>
      </c>
      <c r="E24" s="81" t="str">
        <f>IF($B24="","",INDEX('All Bảng'!E:E,MATCH($B24,'All Bảng'!$A:$A,0)))</f>
        <v/>
      </c>
      <c r="F24" s="81" t="str">
        <f>IF($B24="","",INDEX('All Bảng'!F:F,MATCH($B24,'All Bảng'!$A:$A,0)))</f>
        <v/>
      </c>
      <c r="G24" s="81" t="str">
        <f>IF($B24="","",INDEX('All Bảng'!G:G,MATCH($B24,'All Bảng'!$A:$A,0)))</f>
        <v/>
      </c>
      <c r="H24" s="282"/>
      <c r="I24" s="281"/>
      <c r="J24" s="266">
        <v>46174</v>
      </c>
      <c r="K24" s="148"/>
      <c r="L24" s="163"/>
      <c r="M24" s="135">
        <f>M$3</f>
        <v>46175</v>
      </c>
      <c r="N24" s="148" t="s">
        <v>557</v>
      </c>
      <c r="O24" s="137" t="s">
        <v>557</v>
      </c>
      <c r="P24" s="135">
        <f>P$3</f>
        <v>46176</v>
      </c>
      <c r="Q24" s="148" t="s">
        <v>557</v>
      </c>
      <c r="R24" s="137" t="s">
        <v>557</v>
      </c>
      <c r="S24" s="135">
        <f>S$3</f>
        <v>46177</v>
      </c>
      <c r="T24" s="136" t="s">
        <v>557</v>
      </c>
      <c r="U24" s="137" t="s">
        <v>557</v>
      </c>
      <c r="V24" s="135">
        <f>V$3</f>
        <v>46178</v>
      </c>
      <c r="W24" s="136" t="s">
        <v>557</v>
      </c>
      <c r="X24" s="137" t="s">
        <v>557</v>
      </c>
      <c r="Y24" s="135">
        <f>Y$3</f>
        <v>46179</v>
      </c>
      <c r="Z24" s="136" t="s">
        <v>557</v>
      </c>
      <c r="AA24" s="137" t="s">
        <v>557</v>
      </c>
      <c r="AB24" s="135"/>
      <c r="AC24" s="135">
        <f>AC$3</f>
        <v>46181</v>
      </c>
      <c r="AD24" s="136" t="s">
        <v>557</v>
      </c>
      <c r="AE24" s="137" t="s">
        <v>557</v>
      </c>
      <c r="AF24" s="135">
        <f>AF$3</f>
        <v>46182</v>
      </c>
      <c r="AG24" s="136" t="s">
        <v>557</v>
      </c>
      <c r="AH24" s="137" t="s">
        <v>557</v>
      </c>
      <c r="AI24" s="135">
        <f>AI$3</f>
        <v>46183</v>
      </c>
      <c r="AJ24" s="136" t="s">
        <v>557</v>
      </c>
      <c r="AK24" s="137" t="s">
        <v>557</v>
      </c>
      <c r="AL24" s="135">
        <f>AL$3</f>
        <v>46184</v>
      </c>
      <c r="AM24" s="136" t="s">
        <v>557</v>
      </c>
      <c r="AN24" s="137" t="s">
        <v>557</v>
      </c>
      <c r="AO24" s="135">
        <f>AO$3</f>
        <v>46185</v>
      </c>
      <c r="AP24" s="136" t="s">
        <v>557</v>
      </c>
      <c r="AQ24" s="137" t="s">
        <v>557</v>
      </c>
      <c r="AR24" s="135">
        <f>AR$3</f>
        <v>46186</v>
      </c>
      <c r="AS24" s="136" t="s">
        <v>557</v>
      </c>
      <c r="AT24" s="137" t="s">
        <v>557</v>
      </c>
      <c r="AU24" s="135"/>
      <c r="AV24" s="135">
        <f>AV$3</f>
        <v>46188</v>
      </c>
      <c r="AW24" s="148" t="s">
        <v>557</v>
      </c>
      <c r="AX24" s="137" t="s">
        <v>557</v>
      </c>
      <c r="AY24" s="135">
        <f>AY$3</f>
        <v>46189</v>
      </c>
      <c r="AZ24" s="136" t="s">
        <v>557</v>
      </c>
      <c r="BA24" s="137" t="s">
        <v>557</v>
      </c>
      <c r="BB24" s="135">
        <f>BB$3</f>
        <v>46190</v>
      </c>
      <c r="BC24" s="136" t="s">
        <v>557</v>
      </c>
      <c r="BD24" s="137" t="s">
        <v>557</v>
      </c>
      <c r="BE24" s="135">
        <f>BE$3</f>
        <v>46191</v>
      </c>
      <c r="BF24" s="136" t="s">
        <v>557</v>
      </c>
      <c r="BG24" s="137" t="s">
        <v>557</v>
      </c>
      <c r="BH24" s="135">
        <f>BH$3</f>
        <v>46192</v>
      </c>
      <c r="BI24" s="136" t="s">
        <v>557</v>
      </c>
      <c r="BJ24" s="137" t="s">
        <v>557</v>
      </c>
      <c r="BK24" s="135">
        <f>BK$3</f>
        <v>46193</v>
      </c>
      <c r="BL24" s="136" t="s">
        <v>557</v>
      </c>
      <c r="BM24" s="137" t="s">
        <v>557</v>
      </c>
    </row>
    <row r="25" spans="1:65" outlineLevel="1">
      <c r="A25" s="122" t="str">
        <f>$A$4</f>
        <v>Lý Huy Thành</v>
      </c>
      <c r="B25" s="28"/>
      <c r="C25" s="81" t="str">
        <f>IF($B25="","",INDEX('All Bảng'!C:C,MATCH($B25,'All Bảng'!$A:$A,0)))</f>
        <v/>
      </c>
      <c r="D25" s="81" t="str">
        <f>IF($B25="","",INDEX('All Bảng'!D:D,MATCH($B25,'All Bảng'!$A:$A,0)))</f>
        <v/>
      </c>
      <c r="E25" s="81" t="str">
        <f>IF($B25="","",INDEX('All Bảng'!E:E,MATCH($B25,'All Bảng'!$A:$A,0)))</f>
        <v/>
      </c>
      <c r="F25" s="81" t="str">
        <f>IF($B25="","",INDEX('All Bảng'!F:F,MATCH($B25,'All Bảng'!$A:$A,0)))</f>
        <v/>
      </c>
      <c r="G25" s="81" t="str">
        <f>IF($B25="","",INDEX('All Bảng'!G:G,MATCH($B25,'All Bảng'!$A:$A,0)))</f>
        <v/>
      </c>
      <c r="H25" s="282"/>
      <c r="I25" s="281"/>
      <c r="J25" s="266">
        <v>46174</v>
      </c>
      <c r="K25" s="148"/>
      <c r="L25" s="163"/>
      <c r="M25" s="135">
        <f>M$3</f>
        <v>46175</v>
      </c>
      <c r="N25" s="148" t="s">
        <v>557</v>
      </c>
      <c r="O25" s="137" t="s">
        <v>557</v>
      </c>
      <c r="P25" s="135">
        <f>P$3</f>
        <v>46176</v>
      </c>
      <c r="Q25" s="148" t="s">
        <v>557</v>
      </c>
      <c r="R25" s="137" t="s">
        <v>557</v>
      </c>
      <c r="S25" s="135">
        <f>S$3</f>
        <v>46177</v>
      </c>
      <c r="T25" s="136" t="s">
        <v>557</v>
      </c>
      <c r="U25" s="137" t="s">
        <v>557</v>
      </c>
      <c r="V25" s="135">
        <f>V$3</f>
        <v>46178</v>
      </c>
      <c r="W25" s="136" t="s">
        <v>557</v>
      </c>
      <c r="X25" s="137" t="s">
        <v>557</v>
      </c>
      <c r="Y25" s="135">
        <f>Y$3</f>
        <v>46179</v>
      </c>
      <c r="Z25" s="136" t="s">
        <v>557</v>
      </c>
      <c r="AA25" s="137" t="s">
        <v>557</v>
      </c>
      <c r="AB25" s="135"/>
      <c r="AC25" s="135">
        <f>AC$3</f>
        <v>46181</v>
      </c>
      <c r="AD25" s="136" t="s">
        <v>557</v>
      </c>
      <c r="AE25" s="137" t="s">
        <v>557</v>
      </c>
      <c r="AF25" s="135">
        <f>AF$3</f>
        <v>46182</v>
      </c>
      <c r="AG25" s="136" t="s">
        <v>557</v>
      </c>
      <c r="AH25" s="137" t="s">
        <v>557</v>
      </c>
      <c r="AI25" s="135">
        <f>AI$3</f>
        <v>46183</v>
      </c>
      <c r="AJ25" s="136" t="s">
        <v>557</v>
      </c>
      <c r="AK25" s="137" t="s">
        <v>557</v>
      </c>
      <c r="AL25" s="135">
        <f>AL$3</f>
        <v>46184</v>
      </c>
      <c r="AM25" s="136" t="s">
        <v>557</v>
      </c>
      <c r="AN25" s="137" t="s">
        <v>557</v>
      </c>
      <c r="AO25" s="135">
        <f>AO$3</f>
        <v>46185</v>
      </c>
      <c r="AP25" s="136" t="s">
        <v>557</v>
      </c>
      <c r="AQ25" s="137" t="s">
        <v>557</v>
      </c>
      <c r="AR25" s="135">
        <f>AR$3</f>
        <v>46186</v>
      </c>
      <c r="AS25" s="136" t="s">
        <v>557</v>
      </c>
      <c r="AT25" s="137" t="s">
        <v>557</v>
      </c>
      <c r="AU25" s="135"/>
      <c r="AV25" s="135">
        <f>AV$3</f>
        <v>46188</v>
      </c>
      <c r="AW25" s="148" t="s">
        <v>557</v>
      </c>
      <c r="AX25" s="137" t="s">
        <v>557</v>
      </c>
      <c r="AY25" s="135">
        <f>AY$3</f>
        <v>46189</v>
      </c>
      <c r="AZ25" s="136" t="s">
        <v>557</v>
      </c>
      <c r="BA25" s="137" t="s">
        <v>557</v>
      </c>
      <c r="BB25" s="135">
        <f>BB$3</f>
        <v>46190</v>
      </c>
      <c r="BC25" s="136" t="s">
        <v>557</v>
      </c>
      <c r="BD25" s="137" t="s">
        <v>557</v>
      </c>
      <c r="BE25" s="135">
        <f>BE$3</f>
        <v>46191</v>
      </c>
      <c r="BF25" s="136" t="s">
        <v>557</v>
      </c>
      <c r="BG25" s="137" t="s">
        <v>557</v>
      </c>
      <c r="BH25" s="135">
        <f>BH$3</f>
        <v>46192</v>
      </c>
      <c r="BI25" s="136" t="s">
        <v>557</v>
      </c>
      <c r="BJ25" s="137" t="s">
        <v>557</v>
      </c>
      <c r="BK25" s="135">
        <f>BK$3</f>
        <v>46193</v>
      </c>
      <c r="BL25" s="136" t="s">
        <v>557</v>
      </c>
      <c r="BM25" s="137" t="s">
        <v>557</v>
      </c>
    </row>
    <row r="26" spans="1:65" outlineLevel="1">
      <c r="A26" s="122" t="str">
        <f>$A$4</f>
        <v>Lý Huy Thành</v>
      </c>
      <c r="B26" s="28"/>
      <c r="C26" s="81" t="str">
        <f>IF($B26="","",INDEX('All Bảng'!C:C,MATCH($B26,'All Bảng'!$A:$A,0)))</f>
        <v/>
      </c>
      <c r="D26" s="81" t="str">
        <f>IF($B26="","",INDEX('All Bảng'!D:D,MATCH($B26,'All Bảng'!$A:$A,0)))</f>
        <v/>
      </c>
      <c r="E26" s="81" t="str">
        <f>IF($B26="","",INDEX('All Bảng'!E:E,MATCH($B26,'All Bảng'!$A:$A,0)))</f>
        <v/>
      </c>
      <c r="F26" s="81" t="str">
        <f>IF($B26="","",INDEX('All Bảng'!F:F,MATCH($B26,'All Bảng'!$A:$A,0)))</f>
        <v/>
      </c>
      <c r="G26" s="81" t="str">
        <f>IF($B26="","",INDEX('All Bảng'!G:G,MATCH($B26,'All Bảng'!$A:$A,0)))</f>
        <v/>
      </c>
      <c r="H26" s="282"/>
      <c r="I26" s="281"/>
      <c r="J26" s="266">
        <v>46174</v>
      </c>
      <c r="K26" s="148"/>
      <c r="L26" s="163"/>
      <c r="M26" s="135">
        <f>M$3</f>
        <v>46175</v>
      </c>
      <c r="N26" s="148" t="s">
        <v>557</v>
      </c>
      <c r="O26" s="137" t="s">
        <v>557</v>
      </c>
      <c r="P26" s="135">
        <f>P$3</f>
        <v>46176</v>
      </c>
      <c r="Q26" s="148" t="s">
        <v>557</v>
      </c>
      <c r="R26" s="137" t="s">
        <v>557</v>
      </c>
      <c r="S26" s="135">
        <f>S$3</f>
        <v>46177</v>
      </c>
      <c r="T26" s="136" t="s">
        <v>557</v>
      </c>
      <c r="U26" s="137" t="s">
        <v>557</v>
      </c>
      <c r="V26" s="135">
        <f>V$3</f>
        <v>46178</v>
      </c>
      <c r="W26" s="136" t="s">
        <v>557</v>
      </c>
      <c r="X26" s="137" t="s">
        <v>557</v>
      </c>
      <c r="Y26" s="135">
        <f>Y$3</f>
        <v>46179</v>
      </c>
      <c r="Z26" s="136" t="s">
        <v>557</v>
      </c>
      <c r="AA26" s="137" t="s">
        <v>557</v>
      </c>
      <c r="AB26" s="135"/>
      <c r="AC26" s="135">
        <f>AC$3</f>
        <v>46181</v>
      </c>
      <c r="AD26" s="136" t="s">
        <v>557</v>
      </c>
      <c r="AE26" s="137" t="s">
        <v>557</v>
      </c>
      <c r="AF26" s="135">
        <f>AF$3</f>
        <v>46182</v>
      </c>
      <c r="AG26" s="136" t="s">
        <v>557</v>
      </c>
      <c r="AH26" s="137" t="s">
        <v>557</v>
      </c>
      <c r="AI26" s="135">
        <f>AI$3</f>
        <v>46183</v>
      </c>
      <c r="AJ26" s="136" t="s">
        <v>557</v>
      </c>
      <c r="AK26" s="137" t="s">
        <v>557</v>
      </c>
      <c r="AL26" s="135">
        <f>AL$3</f>
        <v>46184</v>
      </c>
      <c r="AM26" s="136" t="s">
        <v>557</v>
      </c>
      <c r="AN26" s="137" t="s">
        <v>557</v>
      </c>
      <c r="AO26" s="135">
        <f>AO$3</f>
        <v>46185</v>
      </c>
      <c r="AP26" s="136" t="s">
        <v>557</v>
      </c>
      <c r="AQ26" s="137" t="s">
        <v>557</v>
      </c>
      <c r="AR26" s="135">
        <f>AR$3</f>
        <v>46186</v>
      </c>
      <c r="AS26" s="136" t="s">
        <v>557</v>
      </c>
      <c r="AT26" s="137" t="s">
        <v>557</v>
      </c>
      <c r="AU26" s="135"/>
      <c r="AV26" s="135">
        <f>AV$3</f>
        <v>46188</v>
      </c>
      <c r="AW26" s="148" t="s">
        <v>557</v>
      </c>
      <c r="AX26" s="137" t="s">
        <v>557</v>
      </c>
      <c r="AY26" s="135">
        <f>AY$3</f>
        <v>46189</v>
      </c>
      <c r="AZ26" s="136" t="s">
        <v>557</v>
      </c>
      <c r="BA26" s="137" t="s">
        <v>557</v>
      </c>
      <c r="BB26" s="135">
        <f>BB$3</f>
        <v>46190</v>
      </c>
      <c r="BC26" s="136" t="s">
        <v>557</v>
      </c>
      <c r="BD26" s="137" t="s">
        <v>557</v>
      </c>
      <c r="BE26" s="135">
        <f>BE$3</f>
        <v>46191</v>
      </c>
      <c r="BF26" s="136" t="s">
        <v>557</v>
      </c>
      <c r="BG26" s="137" t="s">
        <v>557</v>
      </c>
      <c r="BH26" s="135">
        <f>BH$3</f>
        <v>46192</v>
      </c>
      <c r="BI26" s="136" t="s">
        <v>557</v>
      </c>
      <c r="BJ26" s="137" t="s">
        <v>557</v>
      </c>
      <c r="BK26" s="135">
        <f>BK$3</f>
        <v>46193</v>
      </c>
      <c r="BL26" s="136" t="s">
        <v>557</v>
      </c>
      <c r="BM26" s="137" t="s">
        <v>557</v>
      </c>
    </row>
    <row r="27" spans="1:65" outlineLevel="1">
      <c r="A27" s="122" t="str">
        <f>$A$4</f>
        <v>Lý Huy Thành</v>
      </c>
      <c r="B27" s="28" t="str">
        <f>'Bảng 2'!A9</f>
        <v>2.CDE.001</v>
      </c>
      <c r="C27" s="81" t="str">
        <f>IF($B27="","",INDEX('All Bảng'!C:C,MATCH($B27,'All Bảng'!$A:$A,0)))</f>
        <v>Đào tạo BIM</v>
      </c>
      <c r="D27" s="81" t="str">
        <f>IF($B27="","",INDEX('All Bảng'!D:D,MATCH($B27,'All Bảng'!$A:$A,0)))</f>
        <v>CDE</v>
      </c>
      <c r="E27" s="81" t="str">
        <f>IF($B27="","",INDEX('All Bảng'!E:E,MATCH($B27,'All Bảng'!$A:$A,0)))</f>
        <v>Quản lý HSTK</v>
      </c>
      <c r="F27" s="81" t="str">
        <f>IF($B27="","",INDEX('All Bảng'!F:F,MATCH($B27,'All Bảng'!$A:$A,0)))</f>
        <v>BIM</v>
      </c>
      <c r="G27" s="81" t="str">
        <f>IF($B27="","",INDEX('All Bảng'!G:G,MATCH($B27,'All Bảng'!$A:$A,0)))</f>
        <v>Khảo sát nhu cầu</v>
      </c>
      <c r="H27" s="282"/>
      <c r="I27" s="281"/>
      <c r="J27" s="266">
        <v>46174</v>
      </c>
      <c r="K27" s="148"/>
      <c r="L27" s="163"/>
      <c r="M27" s="135">
        <f>M$3</f>
        <v>46175</v>
      </c>
      <c r="N27" s="148" t="s">
        <v>557</v>
      </c>
      <c r="O27" s="137" t="s">
        <v>557</v>
      </c>
      <c r="P27" s="135">
        <f>P$3</f>
        <v>46176</v>
      </c>
      <c r="Q27" s="148" t="s">
        <v>557</v>
      </c>
      <c r="R27" s="137" t="s">
        <v>557</v>
      </c>
      <c r="S27" s="135">
        <f>S$3</f>
        <v>46177</v>
      </c>
      <c r="T27" s="136" t="s">
        <v>557</v>
      </c>
      <c r="U27" s="137" t="s">
        <v>557</v>
      </c>
      <c r="V27" s="135">
        <f>V$3</f>
        <v>46178</v>
      </c>
      <c r="W27" s="136" t="s">
        <v>557</v>
      </c>
      <c r="X27" s="137" t="s">
        <v>557</v>
      </c>
      <c r="Y27" s="135">
        <f>Y$3</f>
        <v>46179</v>
      </c>
      <c r="Z27" s="136" t="s">
        <v>557</v>
      </c>
      <c r="AA27" s="137" t="s">
        <v>557</v>
      </c>
      <c r="AB27" s="135"/>
      <c r="AC27" s="135">
        <f>AC$3</f>
        <v>46181</v>
      </c>
      <c r="AD27" s="136" t="s">
        <v>557</v>
      </c>
      <c r="AE27" s="137" t="s">
        <v>557</v>
      </c>
      <c r="AF27" s="135">
        <f>AF$3</f>
        <v>46182</v>
      </c>
      <c r="AG27" s="136" t="s">
        <v>557</v>
      </c>
      <c r="AH27" s="137" t="s">
        <v>557</v>
      </c>
      <c r="AI27" s="135">
        <f>AI$3</f>
        <v>46183</v>
      </c>
      <c r="AJ27" s="136" t="s">
        <v>557</v>
      </c>
      <c r="AK27" s="137" t="s">
        <v>557</v>
      </c>
      <c r="AL27" s="135">
        <f>AL$3</f>
        <v>46184</v>
      </c>
      <c r="AM27" s="136" t="s">
        <v>557</v>
      </c>
      <c r="AN27" s="137" t="s">
        <v>557</v>
      </c>
      <c r="AO27" s="135">
        <f>AO$3</f>
        <v>46185</v>
      </c>
      <c r="AP27" s="136" t="s">
        <v>557</v>
      </c>
      <c r="AQ27" s="137" t="s">
        <v>557</v>
      </c>
      <c r="AR27" s="135">
        <f>AR$3</f>
        <v>46186</v>
      </c>
      <c r="AS27" s="136" t="s">
        <v>557</v>
      </c>
      <c r="AT27" s="137" t="s">
        <v>557</v>
      </c>
      <c r="AU27" s="135"/>
      <c r="AV27" s="135">
        <f>AV$3</f>
        <v>46188</v>
      </c>
      <c r="AW27" s="148" t="s">
        <v>557</v>
      </c>
      <c r="AX27" s="137" t="s">
        <v>557</v>
      </c>
      <c r="AY27" s="135">
        <f>AY$3</f>
        <v>46189</v>
      </c>
      <c r="AZ27" s="136" t="s">
        <v>557</v>
      </c>
      <c r="BA27" s="137" t="s">
        <v>557</v>
      </c>
      <c r="BB27" s="135">
        <f>BB$3</f>
        <v>46190</v>
      </c>
      <c r="BC27" s="136" t="s">
        <v>557</v>
      </c>
      <c r="BD27" s="137" t="s">
        <v>557</v>
      </c>
      <c r="BE27" s="135">
        <f>BE$3</f>
        <v>46191</v>
      </c>
      <c r="BF27" s="136" t="s">
        <v>557</v>
      </c>
      <c r="BG27" s="137" t="s">
        <v>557</v>
      </c>
      <c r="BH27" s="135">
        <f>BH$3</f>
        <v>46192</v>
      </c>
      <c r="BI27" s="136" t="s">
        <v>557</v>
      </c>
      <c r="BJ27" s="137" t="s">
        <v>557</v>
      </c>
      <c r="BK27" s="135">
        <f>BK$3</f>
        <v>46193</v>
      </c>
      <c r="BL27" s="136" t="s">
        <v>557</v>
      </c>
      <c r="BM27" s="137" t="s">
        <v>557</v>
      </c>
    </row>
    <row r="28" spans="1:65" outlineLevel="1">
      <c r="A28" s="122" t="str">
        <f>$A$4</f>
        <v>Lý Huy Thành</v>
      </c>
      <c r="B28" s="28" t="str">
        <f>'Bảng 2'!A13</f>
        <v>2.Công cụ phối hợp mô hình.001</v>
      </c>
      <c r="C28" s="81" t="str">
        <f>IF($B28="","",INDEX('All Bảng'!C:C,MATCH($B28,'All Bảng'!$A:$A,0)))</f>
        <v>Đào tạo BIM</v>
      </c>
      <c r="D28" s="81" t="str">
        <f>IF($B28="","",INDEX('All Bảng'!D:D,MATCH($B28,'All Bảng'!$A:$A,0)))</f>
        <v>Công cụ phối hợp mô hình</v>
      </c>
      <c r="E28" s="81" t="str">
        <f>IF($B28="","",INDEX('All Bảng'!E:E,MATCH($B28,'All Bảng'!$A:$A,0)))</f>
        <v>Navisworks</v>
      </c>
      <c r="F28" s="81" t="str">
        <f>IF($B28="","",INDEX('All Bảng'!F:F,MATCH($B28,'All Bảng'!$A:$A,0)))</f>
        <v>BIM</v>
      </c>
      <c r="G28" s="81" t="str">
        <f>IF($B28="","",INDEX('All Bảng'!G:G,MATCH($B28,'All Bảng'!$A:$A,0)))</f>
        <v>Khảo sát nhu cầu</v>
      </c>
      <c r="H28" s="282"/>
      <c r="I28" s="281"/>
      <c r="J28" s="266">
        <v>46174</v>
      </c>
      <c r="K28" s="148"/>
      <c r="L28" s="163"/>
      <c r="M28" s="135">
        <f>M$3</f>
        <v>46175</v>
      </c>
      <c r="N28" s="148" t="s">
        <v>557</v>
      </c>
      <c r="O28" s="137" t="s">
        <v>557</v>
      </c>
      <c r="P28" s="135">
        <f>P$3</f>
        <v>46176</v>
      </c>
      <c r="Q28" s="148" t="s">
        <v>557</v>
      </c>
      <c r="R28" s="137" t="s">
        <v>557</v>
      </c>
      <c r="S28" s="135">
        <f>S$3</f>
        <v>46177</v>
      </c>
      <c r="T28" s="136" t="s">
        <v>557</v>
      </c>
      <c r="U28" s="137" t="s">
        <v>557</v>
      </c>
      <c r="V28" s="135">
        <f>V$3</f>
        <v>46178</v>
      </c>
      <c r="W28" s="136" t="s">
        <v>557</v>
      </c>
      <c r="X28" s="137" t="s">
        <v>557</v>
      </c>
      <c r="Y28" s="135">
        <f>Y$3</f>
        <v>46179</v>
      </c>
      <c r="Z28" s="136" t="s">
        <v>557</v>
      </c>
      <c r="AA28" s="137" t="s">
        <v>557</v>
      </c>
      <c r="AB28" s="135"/>
      <c r="AC28" s="135">
        <f>AC$3</f>
        <v>46181</v>
      </c>
      <c r="AD28" s="136" t="s">
        <v>557</v>
      </c>
      <c r="AE28" s="137" t="s">
        <v>557</v>
      </c>
      <c r="AF28" s="135">
        <f>AF$3</f>
        <v>46182</v>
      </c>
      <c r="AG28" s="136" t="s">
        <v>557</v>
      </c>
      <c r="AH28" s="137" t="s">
        <v>557</v>
      </c>
      <c r="AI28" s="135">
        <f>AI$3</f>
        <v>46183</v>
      </c>
      <c r="AJ28" s="136" t="s">
        <v>557</v>
      </c>
      <c r="AK28" s="137" t="s">
        <v>557</v>
      </c>
      <c r="AL28" s="135">
        <f>AL$3</f>
        <v>46184</v>
      </c>
      <c r="AM28" s="136" t="s">
        <v>557</v>
      </c>
      <c r="AN28" s="137" t="s">
        <v>557</v>
      </c>
      <c r="AO28" s="135">
        <f>AO$3</f>
        <v>46185</v>
      </c>
      <c r="AP28" s="136" t="s">
        <v>557</v>
      </c>
      <c r="AQ28" s="137" t="s">
        <v>557</v>
      </c>
      <c r="AR28" s="135">
        <f>AR$3</f>
        <v>46186</v>
      </c>
      <c r="AS28" s="136" t="s">
        <v>557</v>
      </c>
      <c r="AT28" s="137" t="s">
        <v>557</v>
      </c>
      <c r="AU28" s="135"/>
      <c r="AV28" s="135">
        <f>AV$3</f>
        <v>46188</v>
      </c>
      <c r="AW28" s="148" t="s">
        <v>557</v>
      </c>
      <c r="AX28" s="137" t="s">
        <v>557</v>
      </c>
      <c r="AY28" s="135">
        <f>AY$3</f>
        <v>46189</v>
      </c>
      <c r="AZ28" s="136" t="s">
        <v>557</v>
      </c>
      <c r="BA28" s="137" t="s">
        <v>557</v>
      </c>
      <c r="BB28" s="135">
        <f>BB$3</f>
        <v>46190</v>
      </c>
      <c r="BC28" s="136" t="s">
        <v>557</v>
      </c>
      <c r="BD28" s="137" t="s">
        <v>557</v>
      </c>
      <c r="BE28" s="135">
        <f>BE$3</f>
        <v>46191</v>
      </c>
      <c r="BF28" s="136" t="s">
        <v>557</v>
      </c>
      <c r="BG28" s="137" t="s">
        <v>557</v>
      </c>
      <c r="BH28" s="135">
        <f>BH$3</f>
        <v>46192</v>
      </c>
      <c r="BI28" s="136" t="s">
        <v>557</v>
      </c>
      <c r="BJ28" s="137" t="s">
        <v>557</v>
      </c>
      <c r="BK28" s="135">
        <f>BK$3</f>
        <v>46193</v>
      </c>
      <c r="BL28" s="136" t="s">
        <v>557</v>
      </c>
      <c r="BM28" s="137" t="s">
        <v>557</v>
      </c>
    </row>
    <row r="29" spans="1:65" outlineLevel="1">
      <c r="A29" s="122" t="str">
        <f>$A$4</f>
        <v>Lý Huy Thành</v>
      </c>
      <c r="B29" s="28" t="str">
        <f>'Bảng 2'!A11</f>
        <v>2.Công cụ tạo lập mô hình.007</v>
      </c>
      <c r="C29" s="81" t="str">
        <f>IF($B29="","",INDEX('All Bảng'!C:C,MATCH($B29,'All Bảng'!$A:$A,0)))</f>
        <v>Đào tạo BIM</v>
      </c>
      <c r="D29" s="81" t="str">
        <f>IF($B29="","",INDEX('All Bảng'!D:D,MATCH($B29,'All Bảng'!$A:$A,0)))</f>
        <v>Công cụ tạo lập mô hình</v>
      </c>
      <c r="E29" s="81" t="str">
        <f>IF($B29="","",INDEX('All Bảng'!E:E,MATCH($B29,'All Bảng'!$A:$A,0)))</f>
        <v>Revit cơ bản</v>
      </c>
      <c r="F29" s="81" t="str">
        <f>IF($B29="","",INDEX('All Bảng'!F:F,MATCH($B29,'All Bảng'!$A:$A,0)))</f>
        <v>BIM</v>
      </c>
      <c r="G29" s="81" t="str">
        <f>IF($B29="","",INDEX('All Bảng'!G:G,MATCH($B29,'All Bảng'!$A:$A,0)))</f>
        <v>Khảo sát nhu cầu</v>
      </c>
      <c r="H29" s="282"/>
      <c r="I29" s="281"/>
      <c r="J29" s="266">
        <v>46174</v>
      </c>
      <c r="K29" s="148"/>
      <c r="L29" s="163"/>
      <c r="M29" s="135">
        <f>M$3</f>
        <v>46175</v>
      </c>
      <c r="N29" s="148" t="s">
        <v>557</v>
      </c>
      <c r="O29" s="137" t="s">
        <v>557</v>
      </c>
      <c r="P29" s="135">
        <f>P$3</f>
        <v>46176</v>
      </c>
      <c r="Q29" s="148" t="s">
        <v>557</v>
      </c>
      <c r="R29" s="137" t="s">
        <v>557</v>
      </c>
      <c r="S29" s="135">
        <f>S$3</f>
        <v>46177</v>
      </c>
      <c r="T29" s="136" t="s">
        <v>557</v>
      </c>
      <c r="U29" s="137" t="s">
        <v>557</v>
      </c>
      <c r="V29" s="135">
        <f>V$3</f>
        <v>46178</v>
      </c>
      <c r="W29" s="136" t="s">
        <v>557</v>
      </c>
      <c r="X29" s="137" t="s">
        <v>557</v>
      </c>
      <c r="Y29" s="135">
        <f>Y$3</f>
        <v>46179</v>
      </c>
      <c r="Z29" s="136" t="s">
        <v>557</v>
      </c>
      <c r="AA29" s="137" t="s">
        <v>557</v>
      </c>
      <c r="AB29" s="135"/>
      <c r="AC29" s="135">
        <f>AC$3</f>
        <v>46181</v>
      </c>
      <c r="AD29" s="136" t="s">
        <v>557</v>
      </c>
      <c r="AE29" s="137" t="s">
        <v>557</v>
      </c>
      <c r="AF29" s="135">
        <f>AF$3</f>
        <v>46182</v>
      </c>
      <c r="AG29" s="136" t="s">
        <v>557</v>
      </c>
      <c r="AH29" s="137" t="s">
        <v>557</v>
      </c>
      <c r="AI29" s="135">
        <f>AI$3</f>
        <v>46183</v>
      </c>
      <c r="AJ29" s="136" t="s">
        <v>557</v>
      </c>
      <c r="AK29" s="137" t="s">
        <v>557</v>
      </c>
      <c r="AL29" s="135">
        <f>AL$3</f>
        <v>46184</v>
      </c>
      <c r="AM29" s="136" t="s">
        <v>557</v>
      </c>
      <c r="AN29" s="137" t="s">
        <v>557</v>
      </c>
      <c r="AO29" s="135">
        <f>AO$3</f>
        <v>46185</v>
      </c>
      <c r="AP29" s="136" t="s">
        <v>557</v>
      </c>
      <c r="AQ29" s="137" t="s">
        <v>557</v>
      </c>
      <c r="AR29" s="135">
        <f>AR$3</f>
        <v>46186</v>
      </c>
      <c r="AS29" s="136" t="s">
        <v>557</v>
      </c>
      <c r="AT29" s="137" t="s">
        <v>557</v>
      </c>
      <c r="AU29" s="135"/>
      <c r="AV29" s="135">
        <f>AV$3</f>
        <v>46188</v>
      </c>
      <c r="AW29" s="148" t="s">
        <v>557</v>
      </c>
      <c r="AX29" s="137" t="s">
        <v>557</v>
      </c>
      <c r="AY29" s="135">
        <f>AY$3</f>
        <v>46189</v>
      </c>
      <c r="AZ29" s="136" t="s">
        <v>557</v>
      </c>
      <c r="BA29" s="137" t="s">
        <v>557</v>
      </c>
      <c r="BB29" s="135">
        <f>BB$3</f>
        <v>46190</v>
      </c>
      <c r="BC29" s="136" t="s">
        <v>557</v>
      </c>
      <c r="BD29" s="137" t="s">
        <v>557</v>
      </c>
      <c r="BE29" s="135">
        <f>BE$3</f>
        <v>46191</v>
      </c>
      <c r="BF29" s="136" t="s">
        <v>557</v>
      </c>
      <c r="BG29" s="137" t="s">
        <v>557</v>
      </c>
      <c r="BH29" s="135">
        <f>BH$3</f>
        <v>46192</v>
      </c>
      <c r="BI29" s="136" t="s">
        <v>557</v>
      </c>
      <c r="BJ29" s="137" t="s">
        <v>557</v>
      </c>
      <c r="BK29" s="135">
        <f>BK$3</f>
        <v>46193</v>
      </c>
      <c r="BL29" s="136" t="s">
        <v>557</v>
      </c>
      <c r="BM29" s="137" t="s">
        <v>557</v>
      </c>
    </row>
    <row r="30" spans="1:65" outlineLevel="1">
      <c r="A30" s="122" t="str">
        <f>$A$4</f>
        <v>Lý Huy Thành</v>
      </c>
      <c r="B30" s="28" t="str">
        <f>'Bảng 2'!A12</f>
        <v>2.Công cụ tạo lập mô hình.008</v>
      </c>
      <c r="C30" s="81" t="str">
        <f>IF($B30="","",INDEX('All Bảng'!C:C,MATCH($B30,'All Bảng'!$A:$A,0)))</f>
        <v>Đào tạo BIM</v>
      </c>
      <c r="D30" s="81" t="str">
        <f>IF($B30="","",INDEX('All Bảng'!D:D,MATCH($B30,'All Bảng'!$A:$A,0)))</f>
        <v>Công cụ tạo lập mô hình</v>
      </c>
      <c r="E30" s="81" t="str">
        <f>IF($B30="","",INDEX('All Bảng'!E:E,MATCH($B30,'All Bảng'!$A:$A,0)))</f>
        <v>Revit nâng cao</v>
      </c>
      <c r="F30" s="81" t="str">
        <f>IF($B30="","",INDEX('All Bảng'!F:F,MATCH($B30,'All Bảng'!$A:$A,0)))</f>
        <v>BIM</v>
      </c>
      <c r="G30" s="81" t="str">
        <f>IF($B30="","",INDEX('All Bảng'!G:G,MATCH($B30,'All Bảng'!$A:$A,0)))</f>
        <v>Khảo sát nhu cầu</v>
      </c>
      <c r="H30" s="282"/>
      <c r="I30" s="281"/>
      <c r="J30" s="266">
        <v>46174</v>
      </c>
      <c r="K30" s="148"/>
      <c r="L30" s="163"/>
      <c r="M30" s="135">
        <f>M$3</f>
        <v>46175</v>
      </c>
      <c r="N30" s="148" t="s">
        <v>557</v>
      </c>
      <c r="O30" s="137" t="s">
        <v>557</v>
      </c>
      <c r="P30" s="135">
        <f>P$3</f>
        <v>46176</v>
      </c>
      <c r="Q30" s="148" t="s">
        <v>557</v>
      </c>
      <c r="R30" s="137" t="s">
        <v>557</v>
      </c>
      <c r="S30" s="135">
        <f>S$3</f>
        <v>46177</v>
      </c>
      <c r="T30" s="136" t="s">
        <v>557</v>
      </c>
      <c r="U30" s="137" t="s">
        <v>557</v>
      </c>
      <c r="V30" s="135">
        <f>V$3</f>
        <v>46178</v>
      </c>
      <c r="W30" s="136" t="s">
        <v>557</v>
      </c>
      <c r="X30" s="137" t="s">
        <v>557</v>
      </c>
      <c r="Y30" s="135">
        <f>Y$3</f>
        <v>46179</v>
      </c>
      <c r="Z30" s="136" t="s">
        <v>557</v>
      </c>
      <c r="AA30" s="137" t="s">
        <v>557</v>
      </c>
      <c r="AB30" s="135"/>
      <c r="AC30" s="135">
        <f>AC$3</f>
        <v>46181</v>
      </c>
      <c r="AD30" s="136" t="s">
        <v>557</v>
      </c>
      <c r="AE30" s="137" t="s">
        <v>557</v>
      </c>
      <c r="AF30" s="135">
        <f>AF$3</f>
        <v>46182</v>
      </c>
      <c r="AG30" s="136" t="s">
        <v>557</v>
      </c>
      <c r="AH30" s="137" t="s">
        <v>557</v>
      </c>
      <c r="AI30" s="135">
        <f>AI$3</f>
        <v>46183</v>
      </c>
      <c r="AJ30" s="136" t="s">
        <v>557</v>
      </c>
      <c r="AK30" s="137" t="s">
        <v>557</v>
      </c>
      <c r="AL30" s="135">
        <f>AL$3</f>
        <v>46184</v>
      </c>
      <c r="AM30" s="136" t="s">
        <v>557</v>
      </c>
      <c r="AN30" s="137" t="s">
        <v>557</v>
      </c>
      <c r="AO30" s="135">
        <f>AO$3</f>
        <v>46185</v>
      </c>
      <c r="AP30" s="136" t="s">
        <v>557</v>
      </c>
      <c r="AQ30" s="137" t="s">
        <v>557</v>
      </c>
      <c r="AR30" s="135">
        <f>AR$3</f>
        <v>46186</v>
      </c>
      <c r="AS30" s="136" t="s">
        <v>557</v>
      </c>
      <c r="AT30" s="137" t="s">
        <v>557</v>
      </c>
      <c r="AU30" s="135"/>
      <c r="AV30" s="135">
        <f>AV$3</f>
        <v>46188</v>
      </c>
      <c r="AW30" s="148" t="s">
        <v>557</v>
      </c>
      <c r="AX30" s="137" t="s">
        <v>557</v>
      </c>
      <c r="AY30" s="135">
        <f>AY$3</f>
        <v>46189</v>
      </c>
      <c r="AZ30" s="136" t="s">
        <v>557</v>
      </c>
      <c r="BA30" s="137" t="s">
        <v>557</v>
      </c>
      <c r="BB30" s="135">
        <f>BB$3</f>
        <v>46190</v>
      </c>
      <c r="BC30" s="136" t="s">
        <v>557</v>
      </c>
      <c r="BD30" s="137" t="s">
        <v>557</v>
      </c>
      <c r="BE30" s="135">
        <f>BE$3</f>
        <v>46191</v>
      </c>
      <c r="BF30" s="136" t="s">
        <v>557</v>
      </c>
      <c r="BG30" s="137" t="s">
        <v>557</v>
      </c>
      <c r="BH30" s="135">
        <f>BH$3</f>
        <v>46192</v>
      </c>
      <c r="BI30" s="136" t="s">
        <v>557</v>
      </c>
      <c r="BJ30" s="137" t="s">
        <v>557</v>
      </c>
      <c r="BK30" s="135">
        <f>BK$3</f>
        <v>46193</v>
      </c>
      <c r="BL30" s="136" t="s">
        <v>557</v>
      </c>
      <c r="BM30" s="137" t="s">
        <v>557</v>
      </c>
    </row>
    <row r="31" spans="1:65" outlineLevel="1">
      <c r="A31" s="122" t="str">
        <f>$A$4</f>
        <v>Lý Huy Thành</v>
      </c>
      <c r="B31" s="28" t="str">
        <f>'Bảng 7'!A3</f>
        <v>1.Công việc khác.001</v>
      </c>
      <c r="C31" s="81" t="str">
        <f>IF($B31="","",INDEX('All Bảng'!C:C,MATCH($B31,'All Bảng'!$A:$A,0)))</f>
        <v>Công việc khác</v>
      </c>
      <c r="D31" s="81" t="str">
        <f>IF($B31="","",INDEX('All Bảng'!D:D,MATCH($B31,'All Bảng'!$A:$A,0)))</f>
        <v>Công việc khác</v>
      </c>
      <c r="E31" s="81" t="str">
        <f>IF($B31="","",INDEX('All Bảng'!E:E,MATCH($B31,'All Bảng'!$A:$A,0)))</f>
        <v>Công việc khác</v>
      </c>
      <c r="F31" s="81" t="str">
        <f>IF($B31="","",INDEX('All Bảng'!F:F,MATCH($B31,'All Bảng'!$A:$A,0)))</f>
        <v>BIM</v>
      </c>
      <c r="G31" s="81" t="str">
        <f>IF($B31="","",INDEX('All Bảng'!G:G,MATCH($B31,'All Bảng'!$A:$A,0)))</f>
        <v xml:space="preserve">Họp nội bộ </v>
      </c>
      <c r="H31" s="282"/>
      <c r="I31" s="281"/>
      <c r="J31" s="266">
        <f>J$3</f>
        <v>46174</v>
      </c>
      <c r="K31" s="148"/>
      <c r="L31" s="163"/>
      <c r="M31" s="135">
        <f>M$3</f>
        <v>46175</v>
      </c>
      <c r="N31" s="148" t="s">
        <v>655</v>
      </c>
      <c r="O31" s="137">
        <v>2</v>
      </c>
      <c r="P31" s="135">
        <f>P$3</f>
        <v>46176</v>
      </c>
      <c r="Q31" s="148" t="s">
        <v>557</v>
      </c>
      <c r="R31" s="137" t="s">
        <v>557</v>
      </c>
      <c r="S31" s="135">
        <f>S$3</f>
        <v>46177</v>
      </c>
      <c r="T31" s="136" t="s">
        <v>557</v>
      </c>
      <c r="U31" s="137">
        <v>1.5</v>
      </c>
      <c r="V31" s="135">
        <f>V$3</f>
        <v>46178</v>
      </c>
      <c r="W31" s="136" t="s">
        <v>557</v>
      </c>
      <c r="X31" s="137" t="s">
        <v>557</v>
      </c>
      <c r="Y31" s="135">
        <f>Y$3</f>
        <v>46179</v>
      </c>
      <c r="Z31" s="136" t="s">
        <v>557</v>
      </c>
      <c r="AA31" s="137" t="s">
        <v>557</v>
      </c>
      <c r="AB31" s="135"/>
      <c r="AC31" s="135">
        <f>AC$3</f>
        <v>46181</v>
      </c>
      <c r="AD31" s="136" t="s">
        <v>557</v>
      </c>
      <c r="AE31" s="137" t="s">
        <v>557</v>
      </c>
      <c r="AF31" s="135">
        <f>AF$3</f>
        <v>46182</v>
      </c>
      <c r="AG31" s="136" t="s">
        <v>557</v>
      </c>
      <c r="AH31" s="137" t="s">
        <v>557</v>
      </c>
      <c r="AI31" s="135">
        <f>AI$3</f>
        <v>46183</v>
      </c>
      <c r="AJ31" s="136" t="s">
        <v>557</v>
      </c>
      <c r="AK31" s="137" t="s">
        <v>557</v>
      </c>
      <c r="AL31" s="135">
        <f>AL$3</f>
        <v>46184</v>
      </c>
      <c r="AM31" s="136" t="s">
        <v>557</v>
      </c>
      <c r="AN31" s="137" t="s">
        <v>557</v>
      </c>
      <c r="AO31" s="135">
        <f>AO$3</f>
        <v>46185</v>
      </c>
      <c r="AP31" s="136" t="s">
        <v>557</v>
      </c>
      <c r="AQ31" s="137" t="s">
        <v>557</v>
      </c>
      <c r="AR31" s="135">
        <f>AR$3</f>
        <v>46186</v>
      </c>
      <c r="AS31" s="136" t="s">
        <v>557</v>
      </c>
      <c r="AT31" s="137" t="s">
        <v>557</v>
      </c>
      <c r="AU31" s="135"/>
      <c r="AV31" s="135">
        <f>AV$3</f>
        <v>46188</v>
      </c>
      <c r="AW31" s="148" t="s">
        <v>557</v>
      </c>
      <c r="AX31" s="137" t="s">
        <v>557</v>
      </c>
      <c r="AY31" s="135">
        <f>AY$3</f>
        <v>46189</v>
      </c>
      <c r="AZ31" s="136" t="s">
        <v>557</v>
      </c>
      <c r="BA31" s="137" t="s">
        <v>557</v>
      </c>
      <c r="BB31" s="135">
        <f>BB$3</f>
        <v>46190</v>
      </c>
      <c r="BC31" s="136" t="s">
        <v>557</v>
      </c>
      <c r="BD31" s="137" t="s">
        <v>557</v>
      </c>
      <c r="BE31" s="135">
        <f>BE$3</f>
        <v>46191</v>
      </c>
      <c r="BF31" s="136" t="s">
        <v>557</v>
      </c>
      <c r="BG31" s="137" t="s">
        <v>557</v>
      </c>
      <c r="BH31" s="135">
        <f>BH$3</f>
        <v>46192</v>
      </c>
      <c r="BI31" s="136" t="s">
        <v>557</v>
      </c>
      <c r="BJ31" s="137" t="s">
        <v>557</v>
      </c>
      <c r="BK31" s="135">
        <f>BK$3</f>
        <v>46193</v>
      </c>
      <c r="BL31" s="136" t="s">
        <v>557</v>
      </c>
      <c r="BM31" s="137" t="s">
        <v>557</v>
      </c>
    </row>
    <row r="32" spans="1:65" outlineLevel="1">
      <c r="A32" s="122" t="str">
        <f>$A$4</f>
        <v>Lý Huy Thành</v>
      </c>
      <c r="B32" s="28" t="str">
        <f>'Bảng 7'!A4</f>
        <v>1.Công việc khác.002</v>
      </c>
      <c r="C32" s="81" t="str">
        <f>IF($B32="","",INDEX('All Bảng'!C:C,MATCH($B32,'All Bảng'!$A:$A,0)))</f>
        <v>Công việc khác</v>
      </c>
      <c r="D32" s="81" t="str">
        <f>IF($B32="","",INDEX('All Bảng'!D:D,MATCH($B32,'All Bảng'!$A:$A,0)))</f>
        <v>Công việc khác</v>
      </c>
      <c r="E32" s="81" t="str">
        <f>IF($B32="","",INDEX('All Bảng'!E:E,MATCH($B32,'All Bảng'!$A:$A,0)))</f>
        <v>Công việc khác</v>
      </c>
      <c r="F32" s="81" t="str">
        <f>IF($B32="","",INDEX('All Bảng'!F:F,MATCH($B32,'All Bảng'!$A:$A,0)))</f>
        <v>BIM</v>
      </c>
      <c r="G32" s="81" t="str">
        <f>IF($B32="","",INDEX('All Bảng'!G:G,MATCH($B32,'All Bảng'!$A:$A,0)))</f>
        <v>Setup hệ thống quản lý công việc</v>
      </c>
      <c r="H32" s="282"/>
      <c r="I32" s="281"/>
      <c r="J32" s="266">
        <f>J$3</f>
        <v>46174</v>
      </c>
      <c r="K32" s="148" t="s">
        <v>656</v>
      </c>
      <c r="L32" s="163">
        <v>0.5</v>
      </c>
      <c r="M32" s="135">
        <f>M$3</f>
        <v>46175</v>
      </c>
      <c r="N32" s="148" t="s">
        <v>657</v>
      </c>
      <c r="O32" s="137">
        <v>0.5</v>
      </c>
      <c r="P32" s="135">
        <f>P$3</f>
        <v>46176</v>
      </c>
      <c r="Q32" s="148" t="s">
        <v>658</v>
      </c>
      <c r="R32" s="137">
        <v>2</v>
      </c>
      <c r="S32" s="135">
        <f>S$3</f>
        <v>46177</v>
      </c>
      <c r="T32" s="136" t="s">
        <v>557</v>
      </c>
      <c r="U32" s="137" t="s">
        <v>557</v>
      </c>
      <c r="V32" s="135">
        <f>V$3</f>
        <v>46178</v>
      </c>
      <c r="W32" s="136" t="s">
        <v>557</v>
      </c>
      <c r="X32" s="137" t="s">
        <v>557</v>
      </c>
      <c r="Y32" s="135">
        <f>Y$3</f>
        <v>46179</v>
      </c>
      <c r="Z32" s="136" t="s">
        <v>557</v>
      </c>
      <c r="AA32" s="137" t="s">
        <v>557</v>
      </c>
      <c r="AB32" s="135"/>
      <c r="AC32" s="135">
        <f>AC$3</f>
        <v>46181</v>
      </c>
      <c r="AD32" s="136" t="s">
        <v>557</v>
      </c>
      <c r="AE32" s="137" t="s">
        <v>557</v>
      </c>
      <c r="AF32" s="135">
        <f>AF$3</f>
        <v>46182</v>
      </c>
      <c r="AG32" s="136" t="s">
        <v>557</v>
      </c>
      <c r="AH32" s="137" t="s">
        <v>557</v>
      </c>
      <c r="AI32" s="135">
        <f>AI$3</f>
        <v>46183</v>
      </c>
      <c r="AJ32" s="136" t="s">
        <v>557</v>
      </c>
      <c r="AK32" s="137" t="s">
        <v>557</v>
      </c>
      <c r="AL32" s="135">
        <f>AL$3</f>
        <v>46184</v>
      </c>
      <c r="AM32" s="136" t="s">
        <v>557</v>
      </c>
      <c r="AN32" s="137" t="s">
        <v>557</v>
      </c>
      <c r="AO32" s="135">
        <f>AO$3</f>
        <v>46185</v>
      </c>
      <c r="AP32" s="136" t="s">
        <v>557</v>
      </c>
      <c r="AQ32" s="137" t="s">
        <v>557</v>
      </c>
      <c r="AR32" s="135">
        <f>AR$3</f>
        <v>46186</v>
      </c>
      <c r="AS32" s="136" t="s">
        <v>557</v>
      </c>
      <c r="AT32" s="137" t="s">
        <v>557</v>
      </c>
      <c r="AU32" s="135"/>
      <c r="AV32" s="135">
        <f>AV$3</f>
        <v>46188</v>
      </c>
      <c r="AW32" s="148" t="s">
        <v>557</v>
      </c>
      <c r="AX32" s="137" t="s">
        <v>557</v>
      </c>
      <c r="AY32" s="135">
        <f>AY$3</f>
        <v>46189</v>
      </c>
      <c r="AZ32" s="136" t="s">
        <v>557</v>
      </c>
      <c r="BA32" s="137" t="s">
        <v>557</v>
      </c>
      <c r="BB32" s="135">
        <f>BB$3</f>
        <v>46190</v>
      </c>
      <c r="BC32" s="136" t="s">
        <v>557</v>
      </c>
      <c r="BD32" s="137" t="s">
        <v>557</v>
      </c>
      <c r="BE32" s="135">
        <f>BE$3</f>
        <v>46191</v>
      </c>
      <c r="BF32" s="136" t="s">
        <v>557</v>
      </c>
      <c r="BG32" s="137" t="s">
        <v>557</v>
      </c>
      <c r="BH32" s="135">
        <f>BH$3</f>
        <v>46192</v>
      </c>
      <c r="BI32" s="136" t="s">
        <v>557</v>
      </c>
      <c r="BJ32" s="137" t="s">
        <v>557</v>
      </c>
      <c r="BK32" s="135">
        <f>BK$3</f>
        <v>46193</v>
      </c>
      <c r="BL32" s="136" t="s">
        <v>557</v>
      </c>
      <c r="BM32" s="137" t="s">
        <v>557</v>
      </c>
    </row>
    <row r="33" spans="1:65" ht="30.75" outlineLevel="1">
      <c r="A33" s="122" t="str">
        <f>$A$4</f>
        <v>Lý Huy Thành</v>
      </c>
      <c r="B33" s="28" t="str">
        <f>'Bảng 7'!A5</f>
        <v>1.Công việc khác.003</v>
      </c>
      <c r="C33" s="81" t="str">
        <f>IF($B33="","",INDEX('All Bảng'!C:C,MATCH($B33,'All Bảng'!$A:$A,0)))</f>
        <v>Công việc khác</v>
      </c>
      <c r="D33" s="81" t="str">
        <f>IF($B33="","",INDEX('All Bảng'!D:D,MATCH($B33,'All Bảng'!$A:$A,0)))</f>
        <v>Công việc khác</v>
      </c>
      <c r="E33" s="81" t="str">
        <f>IF($B33="","",INDEX('All Bảng'!E:E,MATCH($B33,'All Bảng'!$A:$A,0)))</f>
        <v>Công việc khác</v>
      </c>
      <c r="F33" s="81" t="str">
        <f>IF($B33="","",INDEX('All Bảng'!F:F,MATCH($B33,'All Bảng'!$A:$A,0)))</f>
        <v>BIM</v>
      </c>
      <c r="G33" s="81" t="str">
        <f>IF($B33="","",INDEX('All Bảng'!G:G,MATCH($B33,'All Bảng'!$A:$A,0)))</f>
        <v>Phối hợp, hỗ trợ các BP khác</v>
      </c>
      <c r="H33" s="282"/>
      <c r="I33" s="281"/>
      <c r="J33" s="266">
        <f>J$3</f>
        <v>46174</v>
      </c>
      <c r="K33" s="148"/>
      <c r="L33" s="163"/>
      <c r="M33" s="135">
        <f>M$3</f>
        <v>46175</v>
      </c>
      <c r="N33" s="148" t="s">
        <v>659</v>
      </c>
      <c r="O33" s="137">
        <v>0.5</v>
      </c>
      <c r="P33" s="135">
        <f>P$3</f>
        <v>46176</v>
      </c>
      <c r="Q33" s="148" t="s">
        <v>557</v>
      </c>
      <c r="R33" s="137" t="s">
        <v>557</v>
      </c>
      <c r="S33" s="135">
        <f>S$3</f>
        <v>46177</v>
      </c>
      <c r="T33" s="148" t="s">
        <v>660</v>
      </c>
      <c r="U33" s="137">
        <f>1.25+0.5</f>
        <v>1.75</v>
      </c>
      <c r="V33" s="135">
        <f>V$3</f>
        <v>46178</v>
      </c>
      <c r="W33" s="136" t="s">
        <v>557</v>
      </c>
      <c r="X33" s="137" t="s">
        <v>557</v>
      </c>
      <c r="Y33" s="135">
        <f>Y$3</f>
        <v>46179</v>
      </c>
      <c r="Z33" s="136" t="s">
        <v>557</v>
      </c>
      <c r="AA33" s="137" t="s">
        <v>557</v>
      </c>
      <c r="AB33" s="135"/>
      <c r="AC33" s="135">
        <f>AC$3</f>
        <v>46181</v>
      </c>
      <c r="AD33" s="136" t="s">
        <v>557</v>
      </c>
      <c r="AE33" s="137" t="s">
        <v>557</v>
      </c>
      <c r="AF33" s="135">
        <f>AF$3</f>
        <v>46182</v>
      </c>
      <c r="AG33" s="136" t="s">
        <v>557</v>
      </c>
      <c r="AH33" s="137" t="s">
        <v>557</v>
      </c>
      <c r="AI33" s="135">
        <f>AI$3</f>
        <v>46183</v>
      </c>
      <c r="AJ33" s="136" t="s">
        <v>557</v>
      </c>
      <c r="AK33" s="137" t="s">
        <v>557</v>
      </c>
      <c r="AL33" s="135">
        <f>AL$3</f>
        <v>46184</v>
      </c>
      <c r="AM33" s="136" t="s">
        <v>557</v>
      </c>
      <c r="AN33" s="137" t="s">
        <v>557</v>
      </c>
      <c r="AO33" s="135">
        <f>AO$3</f>
        <v>46185</v>
      </c>
      <c r="AP33" s="136" t="s">
        <v>557</v>
      </c>
      <c r="AQ33" s="137" t="s">
        <v>557</v>
      </c>
      <c r="AR33" s="135">
        <f>AR$3</f>
        <v>46186</v>
      </c>
      <c r="AS33" s="136" t="s">
        <v>557</v>
      </c>
      <c r="AT33" s="137" t="s">
        <v>557</v>
      </c>
      <c r="AU33" s="135"/>
      <c r="AV33" s="135">
        <f>AV$3</f>
        <v>46188</v>
      </c>
      <c r="AW33" s="148" t="s">
        <v>557</v>
      </c>
      <c r="AX33" s="137" t="s">
        <v>557</v>
      </c>
      <c r="AY33" s="135">
        <f>AY$3</f>
        <v>46189</v>
      </c>
      <c r="AZ33" s="136" t="s">
        <v>557</v>
      </c>
      <c r="BA33" s="137" t="s">
        <v>557</v>
      </c>
      <c r="BB33" s="135">
        <f>BB$3</f>
        <v>46190</v>
      </c>
      <c r="BC33" s="136" t="s">
        <v>557</v>
      </c>
      <c r="BD33" s="137" t="s">
        <v>557</v>
      </c>
      <c r="BE33" s="135">
        <f>BE$3</f>
        <v>46191</v>
      </c>
      <c r="BF33" s="136" t="s">
        <v>557</v>
      </c>
      <c r="BG33" s="137" t="s">
        <v>557</v>
      </c>
      <c r="BH33" s="135">
        <f>BH$3</f>
        <v>46192</v>
      </c>
      <c r="BI33" s="136" t="s">
        <v>557</v>
      </c>
      <c r="BJ33" s="137" t="s">
        <v>557</v>
      </c>
      <c r="BK33" s="135">
        <f>BK$3</f>
        <v>46193</v>
      </c>
      <c r="BL33" s="136" t="s">
        <v>557</v>
      </c>
      <c r="BM33" s="137" t="s">
        <v>557</v>
      </c>
    </row>
    <row r="34" spans="1:65" outlineLevel="1">
      <c r="A34" s="122" t="str">
        <f>$A$4</f>
        <v>Lý Huy Thành</v>
      </c>
      <c r="B34" s="28" t="str">
        <f>'Bảng 7'!A6</f>
        <v>1.Công việc khác.004</v>
      </c>
      <c r="C34" s="81" t="str">
        <f>IF($B34="","",INDEX('All Bảng'!C:C,MATCH($B34,'All Bảng'!$A:$A,0)))</f>
        <v>Công việc khác</v>
      </c>
      <c r="D34" s="81" t="str">
        <f>IF($B34="","",INDEX('All Bảng'!D:D,MATCH($B34,'All Bảng'!$A:$A,0)))</f>
        <v>Công việc khác</v>
      </c>
      <c r="E34" s="81" t="str">
        <f>IF($B34="","",INDEX('All Bảng'!E:E,MATCH($B34,'All Bảng'!$A:$A,0)))</f>
        <v>Công việc khác</v>
      </c>
      <c r="F34" s="81" t="str">
        <f>IF($B34="","",INDEX('All Bảng'!F:F,MATCH($B34,'All Bảng'!$A:$A,0)))</f>
        <v>BIM</v>
      </c>
      <c r="G34" s="81" t="str">
        <f>IF($B34="","",INDEX('All Bảng'!G:G,MATCH($B34,'All Bảng'!$A:$A,0)))</f>
        <v>Báo cáo công việc</v>
      </c>
      <c r="H34" s="282"/>
      <c r="I34" s="281"/>
      <c r="J34" s="266">
        <v>46174</v>
      </c>
      <c r="K34" s="148"/>
      <c r="L34" s="163"/>
      <c r="M34" s="135">
        <f>M$3</f>
        <v>46175</v>
      </c>
      <c r="N34" s="148" t="s">
        <v>557</v>
      </c>
      <c r="O34" s="137" t="s">
        <v>557</v>
      </c>
      <c r="P34" s="135">
        <f>P$3</f>
        <v>46176</v>
      </c>
      <c r="Q34" s="148" t="s">
        <v>661</v>
      </c>
      <c r="R34" s="137">
        <v>1.5</v>
      </c>
      <c r="S34" s="135">
        <f>S$3</f>
        <v>46177</v>
      </c>
      <c r="T34" s="136" t="s">
        <v>557</v>
      </c>
      <c r="U34" s="137">
        <v>0.5</v>
      </c>
      <c r="V34" s="135">
        <f>V$3</f>
        <v>46178</v>
      </c>
      <c r="W34" s="136" t="s">
        <v>557</v>
      </c>
      <c r="X34" s="137" t="s">
        <v>557</v>
      </c>
      <c r="Y34" s="135">
        <f>Y$3</f>
        <v>46179</v>
      </c>
      <c r="Z34" s="136" t="s">
        <v>557</v>
      </c>
      <c r="AA34" s="137" t="s">
        <v>557</v>
      </c>
      <c r="AB34" s="135"/>
      <c r="AC34" s="135">
        <f>AC$3</f>
        <v>46181</v>
      </c>
      <c r="AD34" s="136" t="s">
        <v>557</v>
      </c>
      <c r="AE34" s="137" t="s">
        <v>557</v>
      </c>
      <c r="AF34" s="135">
        <f>AF$3</f>
        <v>46182</v>
      </c>
      <c r="AG34" s="136" t="s">
        <v>557</v>
      </c>
      <c r="AH34" s="137" t="s">
        <v>557</v>
      </c>
      <c r="AI34" s="135">
        <f>AI$3</f>
        <v>46183</v>
      </c>
      <c r="AJ34" s="136" t="s">
        <v>557</v>
      </c>
      <c r="AK34" s="137" t="s">
        <v>557</v>
      </c>
      <c r="AL34" s="135">
        <f>AL$3</f>
        <v>46184</v>
      </c>
      <c r="AM34" s="136" t="s">
        <v>557</v>
      </c>
      <c r="AN34" s="137" t="s">
        <v>557</v>
      </c>
      <c r="AO34" s="135">
        <f>AO$3</f>
        <v>46185</v>
      </c>
      <c r="AP34" s="136" t="s">
        <v>557</v>
      </c>
      <c r="AQ34" s="137" t="s">
        <v>557</v>
      </c>
      <c r="AR34" s="135">
        <f>AR$3</f>
        <v>46186</v>
      </c>
      <c r="AS34" s="136" t="s">
        <v>557</v>
      </c>
      <c r="AT34" s="137" t="s">
        <v>557</v>
      </c>
      <c r="AU34" s="135"/>
      <c r="AV34" s="135">
        <f>AV$3</f>
        <v>46188</v>
      </c>
      <c r="AW34" s="148" t="s">
        <v>557</v>
      </c>
      <c r="AX34" s="137" t="s">
        <v>557</v>
      </c>
      <c r="AY34" s="135">
        <f>AY$3</f>
        <v>46189</v>
      </c>
      <c r="AZ34" s="136" t="s">
        <v>557</v>
      </c>
      <c r="BA34" s="137" t="s">
        <v>557</v>
      </c>
      <c r="BB34" s="135">
        <f>BB$3</f>
        <v>46190</v>
      </c>
      <c r="BC34" s="136" t="s">
        <v>557</v>
      </c>
      <c r="BD34" s="137" t="s">
        <v>557</v>
      </c>
      <c r="BE34" s="135">
        <f>BE$3</f>
        <v>46191</v>
      </c>
      <c r="BF34" s="136" t="s">
        <v>557</v>
      </c>
      <c r="BG34" s="137" t="s">
        <v>557</v>
      </c>
      <c r="BH34" s="135">
        <f>BH$3</f>
        <v>46192</v>
      </c>
      <c r="BI34" s="136" t="s">
        <v>557</v>
      </c>
      <c r="BJ34" s="137" t="s">
        <v>557</v>
      </c>
      <c r="BK34" s="135">
        <f>BK$3</f>
        <v>46193</v>
      </c>
      <c r="BL34" s="136" t="s">
        <v>557</v>
      </c>
      <c r="BM34" s="137" t="s">
        <v>557</v>
      </c>
    </row>
    <row r="35" spans="1:65" outlineLevel="1">
      <c r="A35" s="122" t="str">
        <f>$A$4</f>
        <v>Lý Huy Thành</v>
      </c>
      <c r="B35" s="28" t="str">
        <f>'Bảng 7'!A7</f>
        <v>1.Công việc khác.005</v>
      </c>
      <c r="C35" s="81" t="str">
        <f>IF($B35="","",INDEX('All Bảng'!C:C,MATCH($B35,'All Bảng'!$A:$A,0)))</f>
        <v>Công việc khác</v>
      </c>
      <c r="D35" s="81" t="str">
        <f>IF($B35="","",INDEX('All Bảng'!D:D,MATCH($B35,'All Bảng'!$A:$A,0)))</f>
        <v>Công việc khác</v>
      </c>
      <c r="E35" s="81" t="str">
        <f>IF($B35="","",INDEX('All Bảng'!E:E,MATCH($B35,'All Bảng'!$A:$A,0)))</f>
        <v>Công việc khác</v>
      </c>
      <c r="F35" s="81" t="str">
        <f>IF($B35="","",INDEX('All Bảng'!F:F,MATCH($B35,'All Bảng'!$A:$A,0)))</f>
        <v>BIM</v>
      </c>
      <c r="G35" s="81" t="str">
        <f>IF($B35="","",INDEX('All Bảng'!G:G,MATCH($B35,'All Bảng'!$A:$A,0)))</f>
        <v>Giao việc/Kiểm tra các đầu việc</v>
      </c>
      <c r="H35" s="282"/>
      <c r="I35" s="281"/>
      <c r="J35" s="266">
        <v>46174</v>
      </c>
      <c r="K35" s="148"/>
      <c r="L35" s="163"/>
      <c r="M35" s="135">
        <f>M$3</f>
        <v>46175</v>
      </c>
      <c r="N35" s="148" t="s">
        <v>557</v>
      </c>
      <c r="O35" s="137" t="s">
        <v>557</v>
      </c>
      <c r="P35" s="135">
        <f>P$3</f>
        <v>46176</v>
      </c>
      <c r="Q35" s="148" t="s">
        <v>662</v>
      </c>
      <c r="R35" s="137">
        <v>1</v>
      </c>
      <c r="S35" s="135">
        <f>S$3</f>
        <v>46177</v>
      </c>
      <c r="T35" s="136" t="s">
        <v>557</v>
      </c>
      <c r="U35" s="137" t="s">
        <v>557</v>
      </c>
      <c r="V35" s="135">
        <f>V$3</f>
        <v>46178</v>
      </c>
      <c r="W35" s="136" t="s">
        <v>557</v>
      </c>
      <c r="X35" s="137" t="s">
        <v>557</v>
      </c>
      <c r="Y35" s="135">
        <f>Y$3</f>
        <v>46179</v>
      </c>
      <c r="Z35" s="136" t="s">
        <v>557</v>
      </c>
      <c r="AA35" s="137" t="s">
        <v>557</v>
      </c>
      <c r="AB35" s="135"/>
      <c r="AC35" s="135">
        <f>AC$3</f>
        <v>46181</v>
      </c>
      <c r="AD35" s="136" t="s">
        <v>557</v>
      </c>
      <c r="AE35" s="137" t="s">
        <v>557</v>
      </c>
      <c r="AF35" s="135">
        <f>AF$3</f>
        <v>46182</v>
      </c>
      <c r="AG35" s="136" t="s">
        <v>557</v>
      </c>
      <c r="AH35" s="137" t="s">
        <v>557</v>
      </c>
      <c r="AI35" s="135">
        <f>AI$3</f>
        <v>46183</v>
      </c>
      <c r="AJ35" s="136" t="s">
        <v>557</v>
      </c>
      <c r="AK35" s="137" t="s">
        <v>557</v>
      </c>
      <c r="AL35" s="135">
        <f>AL$3</f>
        <v>46184</v>
      </c>
      <c r="AM35" s="136" t="s">
        <v>557</v>
      </c>
      <c r="AN35" s="137" t="s">
        <v>557</v>
      </c>
      <c r="AO35" s="135">
        <f>AO$3</f>
        <v>46185</v>
      </c>
      <c r="AP35" s="136" t="s">
        <v>557</v>
      </c>
      <c r="AQ35" s="137" t="s">
        <v>557</v>
      </c>
      <c r="AR35" s="135">
        <f>AR$3</f>
        <v>46186</v>
      </c>
      <c r="AS35" s="136" t="s">
        <v>557</v>
      </c>
      <c r="AT35" s="137" t="s">
        <v>557</v>
      </c>
      <c r="AU35" s="135"/>
      <c r="AV35" s="135">
        <f>AV$3</f>
        <v>46188</v>
      </c>
      <c r="AW35" s="148" t="s">
        <v>557</v>
      </c>
      <c r="AX35" s="137" t="s">
        <v>557</v>
      </c>
      <c r="AY35" s="135">
        <f>AY$3</f>
        <v>46189</v>
      </c>
      <c r="AZ35" s="136" t="s">
        <v>557</v>
      </c>
      <c r="BA35" s="137" t="s">
        <v>557</v>
      </c>
      <c r="BB35" s="135">
        <f>BB$3</f>
        <v>46190</v>
      </c>
      <c r="BC35" s="136" t="s">
        <v>557</v>
      </c>
      <c r="BD35" s="137" t="s">
        <v>557</v>
      </c>
      <c r="BE35" s="135">
        <f>BE$3</f>
        <v>46191</v>
      </c>
      <c r="BF35" s="136" t="s">
        <v>557</v>
      </c>
      <c r="BG35" s="137" t="s">
        <v>557</v>
      </c>
      <c r="BH35" s="135">
        <f>BH$3</f>
        <v>46192</v>
      </c>
      <c r="BI35" s="136" t="s">
        <v>557</v>
      </c>
      <c r="BJ35" s="137" t="s">
        <v>557</v>
      </c>
      <c r="BK35" s="135">
        <f>BK$3</f>
        <v>46193</v>
      </c>
      <c r="BL35" s="136" t="s">
        <v>557</v>
      </c>
      <c r="BM35" s="137" t="s">
        <v>557</v>
      </c>
    </row>
    <row r="36" spans="1:65" outlineLevel="1">
      <c r="A36" s="122" t="str">
        <f>$A$4</f>
        <v>Lý Huy Thành</v>
      </c>
      <c r="B36" s="28" t="str">
        <f>'Bảng 7'!A8</f>
        <v>1.Công việc khác.006</v>
      </c>
      <c r="C36" s="81" t="str">
        <f>IF($B36="","",INDEX('All Bảng'!C:C,MATCH($B36,'All Bảng'!$A:$A,0)))</f>
        <v>Công việc khác</v>
      </c>
      <c r="D36" s="81" t="str">
        <f>IF($B36="","",INDEX('All Bảng'!D:D,MATCH($B36,'All Bảng'!$A:$A,0)))</f>
        <v>Công việc khác</v>
      </c>
      <c r="E36" s="81" t="str">
        <f>IF($B36="","",INDEX('All Bảng'!E:E,MATCH($B36,'All Bảng'!$A:$A,0)))</f>
        <v>Công việc khác</v>
      </c>
      <c r="F36" s="81" t="str">
        <f>IF($B36="","",INDEX('All Bảng'!F:F,MATCH($B36,'All Bảng'!$A:$A,0)))</f>
        <v>BIM</v>
      </c>
      <c r="G36" s="81" t="str">
        <f>IF($B36="","",INDEX('All Bảng'!G:G,MATCH($B36,'All Bảng'!$A:$A,0)))</f>
        <v>Nghỉ phép</v>
      </c>
      <c r="H36" s="282"/>
      <c r="I36" s="281"/>
      <c r="J36" s="266">
        <v>46174</v>
      </c>
      <c r="K36" s="148"/>
      <c r="L36" s="163"/>
      <c r="M36" s="135">
        <f>M$3</f>
        <v>46175</v>
      </c>
      <c r="N36" s="148" t="s">
        <v>557</v>
      </c>
      <c r="O36" s="137" t="s">
        <v>557</v>
      </c>
      <c r="P36" s="135">
        <f>P$3</f>
        <v>46176</v>
      </c>
      <c r="Q36" s="148" t="s">
        <v>557</v>
      </c>
      <c r="R36" s="137" t="s">
        <v>557</v>
      </c>
      <c r="S36" s="135">
        <f>S$3</f>
        <v>46177</v>
      </c>
      <c r="T36" s="136" t="s">
        <v>557</v>
      </c>
      <c r="U36" s="137" t="s">
        <v>557</v>
      </c>
      <c r="V36" s="135">
        <f>V$3</f>
        <v>46178</v>
      </c>
      <c r="W36" s="136" t="s">
        <v>557</v>
      </c>
      <c r="X36" s="137" t="s">
        <v>557</v>
      </c>
      <c r="Y36" s="135">
        <f>Y$3</f>
        <v>46179</v>
      </c>
      <c r="Z36" s="136" t="s">
        <v>557</v>
      </c>
      <c r="AA36" s="137" t="s">
        <v>557</v>
      </c>
      <c r="AB36" s="135"/>
      <c r="AC36" s="135">
        <f>AC$3</f>
        <v>46181</v>
      </c>
      <c r="AD36" s="136" t="s">
        <v>557</v>
      </c>
      <c r="AE36" s="137" t="s">
        <v>557</v>
      </c>
      <c r="AF36" s="135">
        <f>AF$3</f>
        <v>46182</v>
      </c>
      <c r="AG36" s="136" t="s">
        <v>557</v>
      </c>
      <c r="AH36" s="137" t="s">
        <v>557</v>
      </c>
      <c r="AI36" s="135">
        <f>AI$3</f>
        <v>46183</v>
      </c>
      <c r="AJ36" s="136" t="s">
        <v>557</v>
      </c>
      <c r="AK36" s="137" t="s">
        <v>557</v>
      </c>
      <c r="AL36" s="135">
        <f>AL$3</f>
        <v>46184</v>
      </c>
      <c r="AM36" s="136" t="s">
        <v>557</v>
      </c>
      <c r="AN36" s="137" t="s">
        <v>557</v>
      </c>
      <c r="AO36" s="135">
        <f>AO$3</f>
        <v>46185</v>
      </c>
      <c r="AP36" s="136" t="s">
        <v>557</v>
      </c>
      <c r="AQ36" s="137" t="s">
        <v>557</v>
      </c>
      <c r="AR36" s="135">
        <f>AR$3</f>
        <v>46186</v>
      </c>
      <c r="AS36" s="136" t="s">
        <v>557</v>
      </c>
      <c r="AT36" s="137" t="s">
        <v>557</v>
      </c>
      <c r="AU36" s="135"/>
      <c r="AV36" s="135">
        <f>AV$3</f>
        <v>46188</v>
      </c>
      <c r="AW36" s="148" t="s">
        <v>557</v>
      </c>
      <c r="AX36" s="137" t="s">
        <v>557</v>
      </c>
      <c r="AY36" s="135">
        <f>AY$3</f>
        <v>46189</v>
      </c>
      <c r="AZ36" s="136" t="s">
        <v>557</v>
      </c>
      <c r="BA36" s="137" t="s">
        <v>557</v>
      </c>
      <c r="BB36" s="135">
        <f>BB$3</f>
        <v>46190</v>
      </c>
      <c r="BC36" s="136" t="s">
        <v>557</v>
      </c>
      <c r="BD36" s="137" t="s">
        <v>557</v>
      </c>
      <c r="BE36" s="135">
        <f>BE$3</f>
        <v>46191</v>
      </c>
      <c r="BF36" s="136" t="s">
        <v>557</v>
      </c>
      <c r="BG36" s="137" t="s">
        <v>557</v>
      </c>
      <c r="BH36" s="135">
        <f>BH$3</f>
        <v>46192</v>
      </c>
      <c r="BI36" s="136" t="s">
        <v>557</v>
      </c>
      <c r="BJ36" s="137" t="s">
        <v>557</v>
      </c>
      <c r="BK36" s="135">
        <f>BK$3</f>
        <v>46193</v>
      </c>
      <c r="BL36" s="136" t="s">
        <v>557</v>
      </c>
      <c r="BM36" s="137" t="s">
        <v>557</v>
      </c>
    </row>
    <row r="37" spans="1:65">
      <c r="A37" s="290" t="s">
        <v>34</v>
      </c>
      <c r="B37" s="300"/>
      <c r="C37" s="292" t="str">
        <f>IF($B37="","",INDEX('All Bảng'!C:C,MATCH($B37,'All Bảng'!$A:$A,0)))</f>
        <v/>
      </c>
      <c r="D37" s="292" t="str">
        <f>IF($B37="","",INDEX('All Bảng'!D:D,MATCH($B37,'All Bảng'!$A:$A,0)))</f>
        <v/>
      </c>
      <c r="E37" s="292" t="str">
        <f>IF($B37="","",INDEX('All Bảng'!E:E,MATCH($B37,'All Bảng'!$A:$A,0)))</f>
        <v/>
      </c>
      <c r="F37" s="292" t="str">
        <f>IF($B37="","",INDEX('All Bảng'!F:F,MATCH($B37,'All Bảng'!$A:$A,0)))</f>
        <v/>
      </c>
      <c r="G37" s="292" t="str">
        <f>IF($B37="","",INDEX('All Bảng'!G:G,MATCH($B37,'All Bảng'!$A:$A,0)))</f>
        <v/>
      </c>
      <c r="H37" s="293"/>
      <c r="I37" s="294"/>
      <c r="J37" s="294">
        <f>J$3</f>
        <v>46174</v>
      </c>
      <c r="K37" s="295" t="s">
        <v>557</v>
      </c>
      <c r="L37" s="296">
        <f>SUM(L38:L65)</f>
        <v>11</v>
      </c>
      <c r="M37" s="294">
        <f>M$3</f>
        <v>46175</v>
      </c>
      <c r="N37" s="297" t="s">
        <v>557</v>
      </c>
      <c r="O37" s="298">
        <f>SUM(O38:O65)</f>
        <v>8.5</v>
      </c>
      <c r="P37" s="294">
        <f>P$3</f>
        <v>46176</v>
      </c>
      <c r="Q37" s="297" t="s">
        <v>557</v>
      </c>
      <c r="R37" s="298">
        <f>SUM(R38:R65)</f>
        <v>8</v>
      </c>
      <c r="S37" s="294">
        <f>S$3</f>
        <v>46177</v>
      </c>
      <c r="T37" s="299" t="s">
        <v>557</v>
      </c>
      <c r="U37" s="298">
        <f>SUM(U38:U65)</f>
        <v>8</v>
      </c>
      <c r="V37" s="294">
        <f>V$3</f>
        <v>46178</v>
      </c>
      <c r="W37" s="299" t="s">
        <v>557</v>
      </c>
      <c r="X37" s="298">
        <f>SUM(X38:X65)</f>
        <v>0</v>
      </c>
      <c r="Y37" s="294">
        <f>Y$3</f>
        <v>46179</v>
      </c>
      <c r="Z37" s="299" t="s">
        <v>557</v>
      </c>
      <c r="AA37" s="298">
        <f>SUM(AA38:AA65)</f>
        <v>0</v>
      </c>
      <c r="AB37" s="294"/>
      <c r="AC37" s="294">
        <f>AC$3</f>
        <v>46181</v>
      </c>
      <c r="AD37" s="299" t="s">
        <v>557</v>
      </c>
      <c r="AE37" s="298">
        <f>SUM(AE38:AE65)</f>
        <v>0</v>
      </c>
      <c r="AF37" s="294">
        <f>AF$3</f>
        <v>46182</v>
      </c>
      <c r="AG37" s="299" t="s">
        <v>557</v>
      </c>
      <c r="AH37" s="298">
        <f>SUM(AH38:AH65)</f>
        <v>0</v>
      </c>
      <c r="AI37" s="294">
        <f>AI$3</f>
        <v>46183</v>
      </c>
      <c r="AJ37" s="299" t="s">
        <v>557</v>
      </c>
      <c r="AK37" s="298">
        <f>SUM(AK38:AK65)</f>
        <v>0</v>
      </c>
      <c r="AL37" s="294">
        <f>AL$3</f>
        <v>46184</v>
      </c>
      <c r="AM37" s="299" t="s">
        <v>557</v>
      </c>
      <c r="AN37" s="298">
        <f>SUM(AN38:AN65)</f>
        <v>0</v>
      </c>
      <c r="AO37" s="294">
        <f>AO$3</f>
        <v>46185</v>
      </c>
      <c r="AP37" s="299" t="s">
        <v>557</v>
      </c>
      <c r="AQ37" s="298">
        <f>SUM(AQ38:AQ65)</f>
        <v>0</v>
      </c>
      <c r="AR37" s="294">
        <f>AR$3</f>
        <v>46186</v>
      </c>
      <c r="AS37" s="299" t="s">
        <v>557</v>
      </c>
      <c r="AT37" s="298">
        <f>SUM(AT38:AT65)</f>
        <v>0</v>
      </c>
      <c r="AU37" s="294"/>
      <c r="AV37" s="294">
        <f>AV$3</f>
        <v>46188</v>
      </c>
      <c r="AW37" s="297" t="s">
        <v>557</v>
      </c>
      <c r="AX37" s="298">
        <f>SUM(AX38:AX65)</f>
        <v>0</v>
      </c>
      <c r="AY37" s="294">
        <f>AY$3</f>
        <v>46189</v>
      </c>
      <c r="AZ37" s="299" t="s">
        <v>557</v>
      </c>
      <c r="BA37" s="298">
        <f>SUM(BA38:BA65)</f>
        <v>0</v>
      </c>
      <c r="BB37" s="294">
        <f>BB$3</f>
        <v>46190</v>
      </c>
      <c r="BC37" s="299" t="s">
        <v>557</v>
      </c>
      <c r="BD37" s="298">
        <f>SUM(BD38:BD65)</f>
        <v>0</v>
      </c>
      <c r="BE37" s="294">
        <f>BE$3</f>
        <v>46191</v>
      </c>
      <c r="BF37" s="299" t="s">
        <v>557</v>
      </c>
      <c r="BG37" s="298">
        <f>SUM(BG38:BG65)</f>
        <v>0</v>
      </c>
      <c r="BH37" s="294">
        <f>BH$3</f>
        <v>46192</v>
      </c>
      <c r="BI37" s="299" t="s">
        <v>557</v>
      </c>
      <c r="BJ37" s="298">
        <f>SUM(BJ38:BJ65)</f>
        <v>0</v>
      </c>
      <c r="BK37" s="294">
        <f>BK$3</f>
        <v>46193</v>
      </c>
      <c r="BL37" s="299" t="s">
        <v>557</v>
      </c>
      <c r="BM37" s="298">
        <f>SUM(BM38:BM65)</f>
        <v>0</v>
      </c>
    </row>
    <row r="38" spans="1:65" outlineLevel="1">
      <c r="A38" s="122" t="str">
        <f>$A$37</f>
        <v>Trần Văn Diện</v>
      </c>
      <c r="B38" s="82" t="s">
        <v>663</v>
      </c>
      <c r="C38" s="81" t="str">
        <f>IF($B38="","",INDEX('All Bảng'!C:C,MATCH($B38,'All Bảng'!$A:$A,0)))</f>
        <v>Quản lý BIM</v>
      </c>
      <c r="D38" s="81" t="str">
        <f>IF($B38="","",INDEX('All Bảng'!D:D,MATCH($B38,'All Bảng'!$A:$A,0)))</f>
        <v>B.DSHNQN.STA</v>
      </c>
      <c r="E38" s="81" t="str">
        <f>IF($B38="","",INDEX('All Bảng'!E:E,MATCH($B38,'All Bảng'!$A:$A,0)))</f>
        <v>Nhà ga Cổ Loa</v>
      </c>
      <c r="F38" s="81" t="str">
        <f>IF($B38="","",INDEX('All Bảng'!F:F,MATCH($B38,'All Bảng'!$A:$A,0)))</f>
        <v>KT</v>
      </c>
      <c r="G38" s="81" t="str">
        <f>IF($B38="","",INDEX('All Bảng'!G:G,MATCH($B38,'All Bảng'!$A:$A,0)))</f>
        <v>Tạo lập mô hình BIM</v>
      </c>
      <c r="H38" s="121"/>
      <c r="I38" s="135"/>
      <c r="J38" s="135">
        <f>J$3</f>
        <v>46174</v>
      </c>
      <c r="K38" s="148" t="s">
        <v>557</v>
      </c>
      <c r="L38" s="163"/>
      <c r="M38" s="135">
        <f>M$3</f>
        <v>46175</v>
      </c>
      <c r="N38" s="148" t="s">
        <v>557</v>
      </c>
      <c r="O38" s="137" t="s">
        <v>557</v>
      </c>
      <c r="P38" s="135">
        <f>P$3</f>
        <v>46176</v>
      </c>
      <c r="Q38" s="148" t="s">
        <v>557</v>
      </c>
      <c r="R38" s="137">
        <v>0.5</v>
      </c>
      <c r="S38" s="135">
        <f>S$3</f>
        <v>46177</v>
      </c>
      <c r="T38" s="136" t="s">
        <v>557</v>
      </c>
      <c r="U38" s="137" t="s">
        <v>557</v>
      </c>
      <c r="V38" s="135">
        <f>V$3</f>
        <v>46178</v>
      </c>
      <c r="W38" s="136" t="s">
        <v>557</v>
      </c>
      <c r="X38" s="137" t="s">
        <v>557</v>
      </c>
      <c r="Y38" s="135">
        <f>Y$3</f>
        <v>46179</v>
      </c>
      <c r="Z38" s="136" t="s">
        <v>557</v>
      </c>
      <c r="AA38" s="137" t="s">
        <v>557</v>
      </c>
      <c r="AB38" s="135"/>
      <c r="AC38" s="135">
        <f>AC$3</f>
        <v>46181</v>
      </c>
      <c r="AD38" s="136" t="s">
        <v>557</v>
      </c>
      <c r="AE38" s="137" t="s">
        <v>557</v>
      </c>
      <c r="AF38" s="135">
        <f>AF$3</f>
        <v>46182</v>
      </c>
      <c r="AG38" s="136" t="s">
        <v>557</v>
      </c>
      <c r="AH38" s="137" t="s">
        <v>557</v>
      </c>
      <c r="AI38" s="135">
        <f>AI$3</f>
        <v>46183</v>
      </c>
      <c r="AJ38" s="136" t="s">
        <v>557</v>
      </c>
      <c r="AK38" s="137" t="s">
        <v>557</v>
      </c>
      <c r="AL38" s="135">
        <f>AL$3</f>
        <v>46184</v>
      </c>
      <c r="AM38" s="136" t="s">
        <v>557</v>
      </c>
      <c r="AN38" s="137" t="s">
        <v>557</v>
      </c>
      <c r="AO38" s="135">
        <f>AO$3</f>
        <v>46185</v>
      </c>
      <c r="AP38" s="136" t="s">
        <v>557</v>
      </c>
      <c r="AQ38" s="137" t="s">
        <v>557</v>
      </c>
      <c r="AR38" s="135">
        <f>AR$3</f>
        <v>46186</v>
      </c>
      <c r="AS38" s="136" t="s">
        <v>557</v>
      </c>
      <c r="AT38" s="137" t="s">
        <v>557</v>
      </c>
      <c r="AU38" s="135"/>
      <c r="AV38" s="135">
        <f>AV$3</f>
        <v>46188</v>
      </c>
      <c r="AW38" s="148" t="s">
        <v>557</v>
      </c>
      <c r="AX38" s="137" t="s">
        <v>557</v>
      </c>
      <c r="AY38" s="135">
        <f>AY$3</f>
        <v>46189</v>
      </c>
      <c r="AZ38" s="136" t="s">
        <v>557</v>
      </c>
      <c r="BA38" s="137" t="s">
        <v>557</v>
      </c>
      <c r="BB38" s="135">
        <f>BB$3</f>
        <v>46190</v>
      </c>
      <c r="BC38" s="136" t="s">
        <v>557</v>
      </c>
      <c r="BD38" s="137" t="s">
        <v>557</v>
      </c>
      <c r="BE38" s="135">
        <f>BE$3</f>
        <v>46191</v>
      </c>
      <c r="BF38" s="136" t="s">
        <v>557</v>
      </c>
      <c r="BG38" s="137" t="s">
        <v>557</v>
      </c>
      <c r="BH38" s="135">
        <f>BH$3</f>
        <v>46192</v>
      </c>
      <c r="BI38" s="136" t="s">
        <v>557</v>
      </c>
      <c r="BJ38" s="137" t="s">
        <v>557</v>
      </c>
      <c r="BK38" s="135">
        <f>BK$3</f>
        <v>46193</v>
      </c>
      <c r="BL38" s="136" t="s">
        <v>557</v>
      </c>
      <c r="BM38" s="137" t="s">
        <v>557</v>
      </c>
    </row>
    <row r="39" spans="1:65" outlineLevel="1">
      <c r="A39" s="122" t="str">
        <f>$A$37</f>
        <v>Trần Văn Diện</v>
      </c>
      <c r="B39" s="82" t="s">
        <v>664</v>
      </c>
      <c r="C39" s="81" t="str">
        <f>IF($B39="","",INDEX('All Bảng'!C:C,MATCH($B39,'All Bảng'!$A:$A,0)))</f>
        <v>Quản lý BIM</v>
      </c>
      <c r="D39" s="81" t="str">
        <f>IF($B39="","",INDEX('All Bảng'!D:D,MATCH($B39,'All Bảng'!$A:$A,0)))</f>
        <v>B.DSHNQN.STA</v>
      </c>
      <c r="E39" s="81" t="str">
        <f>IF($B39="","",INDEX('All Bảng'!E:E,MATCH($B39,'All Bảng'!$A:$A,0)))</f>
        <v>Nhà ga Gia Bình</v>
      </c>
      <c r="F39" s="81" t="str">
        <f>IF($B39="","",INDEX('All Bảng'!F:F,MATCH($B39,'All Bảng'!$A:$A,0)))</f>
        <v>KT</v>
      </c>
      <c r="G39" s="81" t="str">
        <f>IF($B39="","",INDEX('All Bảng'!G:G,MATCH($B39,'All Bảng'!$A:$A,0)))</f>
        <v>Tạo lập mô hình BIM</v>
      </c>
      <c r="H39" s="121"/>
      <c r="I39" s="135"/>
      <c r="J39" s="135">
        <f>J$3</f>
        <v>46174</v>
      </c>
      <c r="K39" s="148" t="s">
        <v>557</v>
      </c>
      <c r="L39" s="163"/>
      <c r="M39" s="135">
        <f>M$3</f>
        <v>46175</v>
      </c>
      <c r="N39" s="148" t="s">
        <v>557</v>
      </c>
      <c r="O39" s="137" t="s">
        <v>557</v>
      </c>
      <c r="P39" s="135">
        <f>P$3</f>
        <v>46176</v>
      </c>
      <c r="Q39" s="148" t="s">
        <v>557</v>
      </c>
      <c r="R39" s="137">
        <v>0.5</v>
      </c>
      <c r="S39" s="135">
        <f>S$3</f>
        <v>46177</v>
      </c>
      <c r="T39" s="136" t="s">
        <v>557</v>
      </c>
      <c r="U39" s="137" t="s">
        <v>557</v>
      </c>
      <c r="V39" s="135">
        <f>V$3</f>
        <v>46178</v>
      </c>
      <c r="W39" s="136" t="s">
        <v>557</v>
      </c>
      <c r="X39" s="137" t="s">
        <v>557</v>
      </c>
      <c r="Y39" s="135">
        <f>Y$3</f>
        <v>46179</v>
      </c>
      <c r="Z39" s="136" t="s">
        <v>557</v>
      </c>
      <c r="AA39" s="137" t="s">
        <v>557</v>
      </c>
      <c r="AB39" s="135"/>
      <c r="AC39" s="135">
        <f>AC$3</f>
        <v>46181</v>
      </c>
      <c r="AD39" s="136" t="s">
        <v>557</v>
      </c>
      <c r="AE39" s="137" t="s">
        <v>557</v>
      </c>
      <c r="AF39" s="135">
        <f>AF$3</f>
        <v>46182</v>
      </c>
      <c r="AG39" s="136" t="s">
        <v>557</v>
      </c>
      <c r="AH39" s="137" t="s">
        <v>557</v>
      </c>
      <c r="AI39" s="135">
        <f>AI$3</f>
        <v>46183</v>
      </c>
      <c r="AJ39" s="136" t="s">
        <v>557</v>
      </c>
      <c r="AK39" s="137" t="s">
        <v>557</v>
      </c>
      <c r="AL39" s="135">
        <f>AL$3</f>
        <v>46184</v>
      </c>
      <c r="AM39" s="136" t="s">
        <v>557</v>
      </c>
      <c r="AN39" s="137" t="s">
        <v>557</v>
      </c>
      <c r="AO39" s="135">
        <f>AO$3</f>
        <v>46185</v>
      </c>
      <c r="AP39" s="136" t="s">
        <v>557</v>
      </c>
      <c r="AQ39" s="137" t="s">
        <v>557</v>
      </c>
      <c r="AR39" s="135">
        <f>AR$3</f>
        <v>46186</v>
      </c>
      <c r="AS39" s="136" t="s">
        <v>557</v>
      </c>
      <c r="AT39" s="137" t="s">
        <v>557</v>
      </c>
      <c r="AU39" s="135"/>
      <c r="AV39" s="135">
        <f>AV$3</f>
        <v>46188</v>
      </c>
      <c r="AW39" s="148" t="s">
        <v>557</v>
      </c>
      <c r="AX39" s="137" t="s">
        <v>557</v>
      </c>
      <c r="AY39" s="135">
        <f>AY$3</f>
        <v>46189</v>
      </c>
      <c r="AZ39" s="136" t="s">
        <v>557</v>
      </c>
      <c r="BA39" s="137" t="s">
        <v>557</v>
      </c>
      <c r="BB39" s="135">
        <f>BB$3</f>
        <v>46190</v>
      </c>
      <c r="BC39" s="136" t="s">
        <v>557</v>
      </c>
      <c r="BD39" s="137" t="s">
        <v>557</v>
      </c>
      <c r="BE39" s="135">
        <f>BE$3</f>
        <v>46191</v>
      </c>
      <c r="BF39" s="136" t="s">
        <v>557</v>
      </c>
      <c r="BG39" s="137" t="s">
        <v>557</v>
      </c>
      <c r="BH39" s="135">
        <f>BH$3</f>
        <v>46192</v>
      </c>
      <c r="BI39" s="136" t="s">
        <v>557</v>
      </c>
      <c r="BJ39" s="137" t="s">
        <v>557</v>
      </c>
      <c r="BK39" s="135">
        <f>BK$3</f>
        <v>46193</v>
      </c>
      <c r="BL39" s="136" t="s">
        <v>557</v>
      </c>
      <c r="BM39" s="137" t="s">
        <v>557</v>
      </c>
    </row>
    <row r="40" spans="1:65" outlineLevel="1">
      <c r="A40" s="122" t="str">
        <f>$A$37</f>
        <v>Trần Văn Diện</v>
      </c>
      <c r="B40" s="82" t="s">
        <v>665</v>
      </c>
      <c r="C40" s="81" t="str">
        <f>IF($B40="","",INDEX('All Bảng'!C:C,MATCH($B40,'All Bảng'!$A:$A,0)))</f>
        <v>Quản lý BIM</v>
      </c>
      <c r="D40" s="81" t="str">
        <f>IF($B40="","",INDEX('All Bảng'!D:D,MATCH($B40,'All Bảng'!$A:$A,0)))</f>
        <v>B.HNO.TMDM.VSC</v>
      </c>
      <c r="E40" s="81" t="str">
        <f>IF($B40="","",INDEX('All Bảng'!E:E,MATCH($B40,'All Bảng'!$A:$A,0)))</f>
        <v>Trường Cambridge tại lô F3-PTTH1</v>
      </c>
      <c r="F40" s="81" t="str">
        <f>IF($B40="","",INDEX('All Bảng'!F:F,MATCH($B40,'All Bảng'!$A:$A,0)))</f>
        <v>KT</v>
      </c>
      <c r="G40" s="81" t="str">
        <f>IF($B40="","",INDEX('All Bảng'!G:G,MATCH($B40,'All Bảng'!$A:$A,0)))</f>
        <v>KSCL mô hình BIM</v>
      </c>
      <c r="H40" s="121"/>
      <c r="I40" s="135"/>
      <c r="J40" s="135">
        <f>J$3</f>
        <v>46174</v>
      </c>
      <c r="K40" s="148" t="s">
        <v>557</v>
      </c>
      <c r="L40" s="163"/>
      <c r="M40" s="135">
        <f>M$3</f>
        <v>46175</v>
      </c>
      <c r="N40" s="148" t="s">
        <v>557</v>
      </c>
      <c r="O40" s="137" t="s">
        <v>557</v>
      </c>
      <c r="P40" s="135">
        <f>P$3</f>
        <v>46176</v>
      </c>
      <c r="Q40" s="148" t="s">
        <v>557</v>
      </c>
      <c r="R40" s="137" t="s">
        <v>557</v>
      </c>
      <c r="S40" s="135">
        <f>S$3</f>
        <v>46177</v>
      </c>
      <c r="T40" s="136" t="s">
        <v>557</v>
      </c>
      <c r="U40" s="137" t="s">
        <v>557</v>
      </c>
      <c r="V40" s="135">
        <f>V$3</f>
        <v>46178</v>
      </c>
      <c r="W40" s="136" t="s">
        <v>557</v>
      </c>
      <c r="X40" s="137" t="s">
        <v>557</v>
      </c>
      <c r="Y40" s="135">
        <f>Y$3</f>
        <v>46179</v>
      </c>
      <c r="Z40" s="136" t="s">
        <v>557</v>
      </c>
      <c r="AA40" s="137" t="s">
        <v>557</v>
      </c>
      <c r="AB40" s="135"/>
      <c r="AC40" s="135">
        <f>AC$3</f>
        <v>46181</v>
      </c>
      <c r="AD40" s="136" t="s">
        <v>557</v>
      </c>
      <c r="AE40" s="137" t="s">
        <v>557</v>
      </c>
      <c r="AF40" s="135">
        <f>AF$3</f>
        <v>46182</v>
      </c>
      <c r="AG40" s="136" t="s">
        <v>557</v>
      </c>
      <c r="AH40" s="137" t="s">
        <v>557</v>
      </c>
      <c r="AI40" s="135">
        <f>AI$3</f>
        <v>46183</v>
      </c>
      <c r="AJ40" s="136" t="s">
        <v>557</v>
      </c>
      <c r="AK40" s="137" t="s">
        <v>557</v>
      </c>
      <c r="AL40" s="135">
        <f>AL$3</f>
        <v>46184</v>
      </c>
      <c r="AM40" s="136" t="s">
        <v>557</v>
      </c>
      <c r="AN40" s="137" t="s">
        <v>557</v>
      </c>
      <c r="AO40" s="135">
        <f>AO$3</f>
        <v>46185</v>
      </c>
      <c r="AP40" s="136" t="s">
        <v>557</v>
      </c>
      <c r="AQ40" s="137" t="s">
        <v>557</v>
      </c>
      <c r="AR40" s="135">
        <f>AR$3</f>
        <v>46186</v>
      </c>
      <c r="AS40" s="136" t="s">
        <v>557</v>
      </c>
      <c r="AT40" s="137" t="s">
        <v>557</v>
      </c>
      <c r="AU40" s="135"/>
      <c r="AV40" s="135">
        <f>AV$3</f>
        <v>46188</v>
      </c>
      <c r="AW40" s="148" t="s">
        <v>557</v>
      </c>
      <c r="AX40" s="137" t="s">
        <v>557</v>
      </c>
      <c r="AY40" s="135">
        <f>AY$3</f>
        <v>46189</v>
      </c>
      <c r="AZ40" s="136" t="s">
        <v>557</v>
      </c>
      <c r="BA40" s="137" t="s">
        <v>557</v>
      </c>
      <c r="BB40" s="135">
        <f>BB$3</f>
        <v>46190</v>
      </c>
      <c r="BC40" s="136" t="s">
        <v>557</v>
      </c>
      <c r="BD40" s="137" t="s">
        <v>557</v>
      </c>
      <c r="BE40" s="135">
        <f>BE$3</f>
        <v>46191</v>
      </c>
      <c r="BF40" s="136" t="s">
        <v>557</v>
      </c>
      <c r="BG40" s="137" t="s">
        <v>557</v>
      </c>
      <c r="BH40" s="135">
        <f>BH$3</f>
        <v>46192</v>
      </c>
      <c r="BI40" s="136" t="s">
        <v>557</v>
      </c>
      <c r="BJ40" s="137" t="s">
        <v>557</v>
      </c>
      <c r="BK40" s="135">
        <f>BK$3</f>
        <v>46193</v>
      </c>
      <c r="BL40" s="136" t="s">
        <v>557</v>
      </c>
      <c r="BM40" s="137" t="s">
        <v>557</v>
      </c>
    </row>
    <row r="41" spans="1:65" outlineLevel="1">
      <c r="A41" s="122" t="str">
        <f>$A$37</f>
        <v>Trần Văn Diện</v>
      </c>
      <c r="B41" s="82" t="s">
        <v>666</v>
      </c>
      <c r="C41" s="81" t="str">
        <f>IF($B41="","",INDEX('All Bảng'!C:C,MATCH($B41,'All Bảng'!$A:$A,0)))</f>
        <v>Quản lý BIM</v>
      </c>
      <c r="D41" s="81" t="str">
        <f>IF($B41="","",INDEX('All Bảng'!D:D,MATCH($B41,'All Bảng'!$A:$A,0)))</f>
        <v>B.HNO.TMDM.VSC</v>
      </c>
      <c r="E41" s="81" t="str">
        <f>IF($B41="","",INDEX('All Bảng'!E:E,MATCH($B41,'All Bảng'!$A:$A,0)))</f>
        <v>Trường Cambridge tại lô F3-PTTH1</v>
      </c>
      <c r="F41" s="81" t="str">
        <f>IF($B41="","",INDEX('All Bảng'!F:F,MATCH($B41,'All Bảng'!$A:$A,0)))</f>
        <v>KC</v>
      </c>
      <c r="G41" s="81" t="str">
        <f>IF($B41="","",INDEX('All Bảng'!G:G,MATCH($B41,'All Bảng'!$A:$A,0)))</f>
        <v>KSCL mô hình BIM</v>
      </c>
      <c r="H41" s="121"/>
      <c r="I41" s="135"/>
      <c r="J41" s="135">
        <f>J$3</f>
        <v>46174</v>
      </c>
      <c r="K41" s="148" t="s">
        <v>557</v>
      </c>
      <c r="L41" s="163"/>
      <c r="M41" s="135">
        <f>M$3</f>
        <v>46175</v>
      </c>
      <c r="N41" s="148" t="s">
        <v>557</v>
      </c>
      <c r="O41" s="137" t="s">
        <v>557</v>
      </c>
      <c r="P41" s="135">
        <f>P$3</f>
        <v>46176</v>
      </c>
      <c r="Q41" s="148" t="s">
        <v>557</v>
      </c>
      <c r="R41" s="137" t="s">
        <v>557</v>
      </c>
      <c r="S41" s="135">
        <f>S$3</f>
        <v>46177</v>
      </c>
      <c r="T41" s="136" t="s">
        <v>557</v>
      </c>
      <c r="U41" s="137" t="s">
        <v>557</v>
      </c>
      <c r="V41" s="135">
        <f>V$3</f>
        <v>46178</v>
      </c>
      <c r="W41" s="136" t="s">
        <v>557</v>
      </c>
      <c r="X41" s="137" t="s">
        <v>557</v>
      </c>
      <c r="Y41" s="135">
        <f>Y$3</f>
        <v>46179</v>
      </c>
      <c r="Z41" s="136" t="s">
        <v>557</v>
      </c>
      <c r="AA41" s="137" t="s">
        <v>557</v>
      </c>
      <c r="AB41" s="135"/>
      <c r="AC41" s="135">
        <f>AC$3</f>
        <v>46181</v>
      </c>
      <c r="AD41" s="136" t="s">
        <v>557</v>
      </c>
      <c r="AE41" s="137" t="s">
        <v>557</v>
      </c>
      <c r="AF41" s="135">
        <f>AF$3</f>
        <v>46182</v>
      </c>
      <c r="AG41" s="136" t="s">
        <v>557</v>
      </c>
      <c r="AH41" s="137" t="s">
        <v>557</v>
      </c>
      <c r="AI41" s="135">
        <f>AI$3</f>
        <v>46183</v>
      </c>
      <c r="AJ41" s="136" t="s">
        <v>557</v>
      </c>
      <c r="AK41" s="137" t="s">
        <v>557</v>
      </c>
      <c r="AL41" s="135">
        <f>AL$3</f>
        <v>46184</v>
      </c>
      <c r="AM41" s="136" t="s">
        <v>557</v>
      </c>
      <c r="AN41" s="137" t="s">
        <v>557</v>
      </c>
      <c r="AO41" s="135">
        <f>AO$3</f>
        <v>46185</v>
      </c>
      <c r="AP41" s="136" t="s">
        <v>557</v>
      </c>
      <c r="AQ41" s="137" t="s">
        <v>557</v>
      </c>
      <c r="AR41" s="135">
        <f>AR$3</f>
        <v>46186</v>
      </c>
      <c r="AS41" s="136" t="s">
        <v>557</v>
      </c>
      <c r="AT41" s="137" t="s">
        <v>557</v>
      </c>
      <c r="AU41" s="135"/>
      <c r="AV41" s="135">
        <f>AV$3</f>
        <v>46188</v>
      </c>
      <c r="AW41" s="148" t="s">
        <v>557</v>
      </c>
      <c r="AX41" s="137" t="s">
        <v>557</v>
      </c>
      <c r="AY41" s="135">
        <f>AY$3</f>
        <v>46189</v>
      </c>
      <c r="AZ41" s="136" t="s">
        <v>557</v>
      </c>
      <c r="BA41" s="137" t="s">
        <v>557</v>
      </c>
      <c r="BB41" s="135">
        <f>BB$3</f>
        <v>46190</v>
      </c>
      <c r="BC41" s="136" t="s">
        <v>557</v>
      </c>
      <c r="BD41" s="137" t="s">
        <v>557</v>
      </c>
      <c r="BE41" s="135">
        <f>BE$3</f>
        <v>46191</v>
      </c>
      <c r="BF41" s="136" t="s">
        <v>557</v>
      </c>
      <c r="BG41" s="137" t="s">
        <v>557</v>
      </c>
      <c r="BH41" s="135">
        <f>BH$3</f>
        <v>46192</v>
      </c>
      <c r="BI41" s="136" t="s">
        <v>557</v>
      </c>
      <c r="BJ41" s="137" t="s">
        <v>557</v>
      </c>
      <c r="BK41" s="135">
        <f>BK$3</f>
        <v>46193</v>
      </c>
      <c r="BL41" s="136" t="s">
        <v>557</v>
      </c>
      <c r="BM41" s="137" t="s">
        <v>557</v>
      </c>
    </row>
    <row r="42" spans="1:65" outlineLevel="1">
      <c r="A42" s="122" t="str">
        <f>$A$37</f>
        <v>Trần Văn Diện</v>
      </c>
      <c r="B42" s="82" t="s">
        <v>667</v>
      </c>
      <c r="C42" s="81" t="str">
        <f>IF($B42="","",INDEX('All Bảng'!C:C,MATCH($B42,'All Bảng'!$A:$A,0)))</f>
        <v>Quản lý BIM</v>
      </c>
      <c r="D42" s="81" t="str">
        <f>IF($B42="","",INDEX('All Bảng'!D:D,MATCH($B42,'All Bảng'!$A:$A,0)))</f>
        <v>B.HYE.PVF</v>
      </c>
      <c r="E42" s="81" t="str">
        <f>IF($B42="","",INDEX('All Bảng'!E:E,MATCH($B42,'All Bảng'!$A:$A,0)))</f>
        <v>Sân vận động TDTT01</v>
      </c>
      <c r="F42" s="81" t="str">
        <f>IF($B42="","",INDEX('All Bảng'!F:F,MATCH($B42,'All Bảng'!$A:$A,0)))</f>
        <v>KT</v>
      </c>
      <c r="G42" s="81" t="str">
        <f>IF($B42="","",INDEX('All Bảng'!G:G,MATCH($B42,'All Bảng'!$A:$A,0)))</f>
        <v>KSCL mô hình BIM</v>
      </c>
      <c r="H42" s="121"/>
      <c r="I42" s="135"/>
      <c r="J42" s="135">
        <f>J$3</f>
        <v>46174</v>
      </c>
      <c r="K42" s="148" t="s">
        <v>557</v>
      </c>
      <c r="L42" s="163"/>
      <c r="M42" s="135">
        <f>M$3</f>
        <v>46175</v>
      </c>
      <c r="N42" s="148" t="s">
        <v>557</v>
      </c>
      <c r="O42" s="137" t="s">
        <v>557</v>
      </c>
      <c r="P42" s="135">
        <f>P$3</f>
        <v>46176</v>
      </c>
      <c r="Q42" s="148" t="s">
        <v>557</v>
      </c>
      <c r="R42" s="137" t="s">
        <v>557</v>
      </c>
      <c r="S42" s="135">
        <f>S$3</f>
        <v>46177</v>
      </c>
      <c r="T42" s="136" t="s">
        <v>557</v>
      </c>
      <c r="U42" s="137" t="s">
        <v>557</v>
      </c>
      <c r="V42" s="135">
        <f>V$3</f>
        <v>46178</v>
      </c>
      <c r="W42" s="136" t="s">
        <v>557</v>
      </c>
      <c r="X42" s="137" t="s">
        <v>557</v>
      </c>
      <c r="Y42" s="135">
        <f>Y$3</f>
        <v>46179</v>
      </c>
      <c r="Z42" s="136" t="s">
        <v>557</v>
      </c>
      <c r="AA42" s="137" t="s">
        <v>557</v>
      </c>
      <c r="AB42" s="135"/>
      <c r="AC42" s="135">
        <f>AC$3</f>
        <v>46181</v>
      </c>
      <c r="AD42" s="136" t="s">
        <v>557</v>
      </c>
      <c r="AE42" s="137" t="s">
        <v>557</v>
      </c>
      <c r="AF42" s="135">
        <f>AF$3</f>
        <v>46182</v>
      </c>
      <c r="AG42" s="136" t="s">
        <v>557</v>
      </c>
      <c r="AH42" s="137" t="s">
        <v>557</v>
      </c>
      <c r="AI42" s="135">
        <f>AI$3</f>
        <v>46183</v>
      </c>
      <c r="AJ42" s="136" t="s">
        <v>557</v>
      </c>
      <c r="AK42" s="137" t="s">
        <v>557</v>
      </c>
      <c r="AL42" s="135">
        <f>AL$3</f>
        <v>46184</v>
      </c>
      <c r="AM42" s="136" t="s">
        <v>557</v>
      </c>
      <c r="AN42" s="137" t="s">
        <v>557</v>
      </c>
      <c r="AO42" s="135">
        <f>AO$3</f>
        <v>46185</v>
      </c>
      <c r="AP42" s="136" t="s">
        <v>557</v>
      </c>
      <c r="AQ42" s="137" t="s">
        <v>557</v>
      </c>
      <c r="AR42" s="135">
        <f>AR$3</f>
        <v>46186</v>
      </c>
      <c r="AS42" s="136" t="s">
        <v>557</v>
      </c>
      <c r="AT42" s="137" t="s">
        <v>557</v>
      </c>
      <c r="AU42" s="135"/>
      <c r="AV42" s="135">
        <f>AV$3</f>
        <v>46188</v>
      </c>
      <c r="AW42" s="148" t="s">
        <v>557</v>
      </c>
      <c r="AX42" s="137" t="s">
        <v>557</v>
      </c>
      <c r="AY42" s="135">
        <f>AY$3</f>
        <v>46189</v>
      </c>
      <c r="AZ42" s="136" t="s">
        <v>557</v>
      </c>
      <c r="BA42" s="137" t="s">
        <v>557</v>
      </c>
      <c r="BB42" s="135">
        <f>BB$3</f>
        <v>46190</v>
      </c>
      <c r="BC42" s="136" t="s">
        <v>557</v>
      </c>
      <c r="BD42" s="137" t="s">
        <v>557</v>
      </c>
      <c r="BE42" s="135">
        <f>BE$3</f>
        <v>46191</v>
      </c>
      <c r="BF42" s="136" t="s">
        <v>557</v>
      </c>
      <c r="BG42" s="137" t="s">
        <v>557</v>
      </c>
      <c r="BH42" s="135">
        <f>BH$3</f>
        <v>46192</v>
      </c>
      <c r="BI42" s="136" t="s">
        <v>557</v>
      </c>
      <c r="BJ42" s="137" t="s">
        <v>557</v>
      </c>
      <c r="BK42" s="135">
        <f>BK$3</f>
        <v>46193</v>
      </c>
      <c r="BL42" s="136" t="s">
        <v>557</v>
      </c>
      <c r="BM42" s="137" t="s">
        <v>557</v>
      </c>
    </row>
    <row r="43" spans="1:65" outlineLevel="1">
      <c r="A43" s="122" t="str">
        <f>$A$37</f>
        <v>Trần Văn Diện</v>
      </c>
      <c r="B43" s="82" t="s">
        <v>668</v>
      </c>
      <c r="C43" s="81" t="str">
        <f>IF($B43="","",INDEX('All Bảng'!C:C,MATCH($B43,'All Bảng'!$A:$A,0)))</f>
        <v>Quản lý BIM</v>
      </c>
      <c r="D43" s="81" t="str">
        <f>IF($B43="","",INDEX('All Bảng'!D:D,MATCH($B43,'All Bảng'!$A:$A,0)))</f>
        <v>B.HYE.PVF</v>
      </c>
      <c r="E43" s="81" t="str">
        <f>IF($B43="","",INDEX('All Bảng'!E:E,MATCH($B43,'All Bảng'!$A:$A,0)))</f>
        <v>Sân vận động TDTT01</v>
      </c>
      <c r="F43" s="81" t="str">
        <f>IF($B43="","",INDEX('All Bảng'!F:F,MATCH($B43,'All Bảng'!$A:$A,0)))</f>
        <v>KC</v>
      </c>
      <c r="G43" s="81" t="str">
        <f>IF($B43="","",INDEX('All Bảng'!G:G,MATCH($B43,'All Bảng'!$A:$A,0)))</f>
        <v>KSCL mô hình BIM</v>
      </c>
      <c r="H43" s="121"/>
      <c r="I43" s="135"/>
      <c r="J43" s="135">
        <f>J$3</f>
        <v>46174</v>
      </c>
      <c r="K43" s="148" t="s">
        <v>557</v>
      </c>
      <c r="L43" s="163"/>
      <c r="M43" s="135">
        <f>M$3</f>
        <v>46175</v>
      </c>
      <c r="N43" s="148" t="s">
        <v>557</v>
      </c>
      <c r="O43" s="137" t="s">
        <v>557</v>
      </c>
      <c r="P43" s="135">
        <f>P$3</f>
        <v>46176</v>
      </c>
      <c r="Q43" s="148" t="s">
        <v>557</v>
      </c>
      <c r="R43" s="137" t="s">
        <v>557</v>
      </c>
      <c r="S43" s="135">
        <f>S$3</f>
        <v>46177</v>
      </c>
      <c r="T43" s="136" t="s">
        <v>557</v>
      </c>
      <c r="U43" s="137" t="s">
        <v>557</v>
      </c>
      <c r="V43" s="135">
        <f>V$3</f>
        <v>46178</v>
      </c>
      <c r="W43" s="136" t="s">
        <v>557</v>
      </c>
      <c r="X43" s="137" t="s">
        <v>557</v>
      </c>
      <c r="Y43" s="135">
        <f>Y$3</f>
        <v>46179</v>
      </c>
      <c r="Z43" s="136" t="s">
        <v>557</v>
      </c>
      <c r="AA43" s="137" t="s">
        <v>557</v>
      </c>
      <c r="AB43" s="135"/>
      <c r="AC43" s="135">
        <f>AC$3</f>
        <v>46181</v>
      </c>
      <c r="AD43" s="136" t="s">
        <v>557</v>
      </c>
      <c r="AE43" s="137" t="s">
        <v>557</v>
      </c>
      <c r="AF43" s="135">
        <f>AF$3</f>
        <v>46182</v>
      </c>
      <c r="AG43" s="136" t="s">
        <v>557</v>
      </c>
      <c r="AH43" s="137" t="s">
        <v>557</v>
      </c>
      <c r="AI43" s="135">
        <f>AI$3</f>
        <v>46183</v>
      </c>
      <c r="AJ43" s="136" t="s">
        <v>557</v>
      </c>
      <c r="AK43" s="137" t="s">
        <v>557</v>
      </c>
      <c r="AL43" s="135">
        <f>AL$3</f>
        <v>46184</v>
      </c>
      <c r="AM43" s="136" t="s">
        <v>557</v>
      </c>
      <c r="AN43" s="137" t="s">
        <v>557</v>
      </c>
      <c r="AO43" s="135">
        <f>AO$3</f>
        <v>46185</v>
      </c>
      <c r="AP43" s="136" t="s">
        <v>557</v>
      </c>
      <c r="AQ43" s="137" t="s">
        <v>557</v>
      </c>
      <c r="AR43" s="135">
        <f>AR$3</f>
        <v>46186</v>
      </c>
      <c r="AS43" s="136" t="s">
        <v>557</v>
      </c>
      <c r="AT43" s="137" t="s">
        <v>557</v>
      </c>
      <c r="AU43" s="135"/>
      <c r="AV43" s="135">
        <f>AV$3</f>
        <v>46188</v>
      </c>
      <c r="AW43" s="148" t="s">
        <v>557</v>
      </c>
      <c r="AX43" s="137" t="s">
        <v>557</v>
      </c>
      <c r="AY43" s="135">
        <f>AY$3</f>
        <v>46189</v>
      </c>
      <c r="AZ43" s="136" t="s">
        <v>557</v>
      </c>
      <c r="BA43" s="137" t="s">
        <v>557</v>
      </c>
      <c r="BB43" s="135">
        <f>BB$3</f>
        <v>46190</v>
      </c>
      <c r="BC43" s="136" t="s">
        <v>557</v>
      </c>
      <c r="BD43" s="137" t="s">
        <v>557</v>
      </c>
      <c r="BE43" s="135">
        <f>BE$3</f>
        <v>46191</v>
      </c>
      <c r="BF43" s="136" t="s">
        <v>557</v>
      </c>
      <c r="BG43" s="137" t="s">
        <v>557</v>
      </c>
      <c r="BH43" s="135">
        <f>BH$3</f>
        <v>46192</v>
      </c>
      <c r="BI43" s="136" t="s">
        <v>557</v>
      </c>
      <c r="BJ43" s="137" t="s">
        <v>557</v>
      </c>
      <c r="BK43" s="135">
        <f>BK$3</f>
        <v>46193</v>
      </c>
      <c r="BL43" s="136" t="s">
        <v>557</v>
      </c>
      <c r="BM43" s="137" t="s">
        <v>557</v>
      </c>
    </row>
    <row r="44" spans="1:65" outlineLevel="1">
      <c r="A44" s="122" t="str">
        <f>$A$37</f>
        <v>Trần Văn Diện</v>
      </c>
      <c r="B44" s="82" t="s">
        <v>669</v>
      </c>
      <c r="C44" s="81" t="str">
        <f>IF($B44="","",INDEX('All Bảng'!C:C,MATCH($B44,'All Bảng'!$A:$A,0)))</f>
        <v>Quản lý BIM</v>
      </c>
      <c r="D44" s="81" t="str">
        <f>IF($B44="","",INDEX('All Bảng'!D:D,MATCH($B44,'All Bảng'!$A:$A,0)))</f>
        <v>B.HYE.PVF</v>
      </c>
      <c r="E44" s="81" t="str">
        <f>IF($B44="","",INDEX('All Bảng'!E:E,MATCH($B44,'All Bảng'!$A:$A,0)))</f>
        <v>Sân vận động TDTT01</v>
      </c>
      <c r="F44" s="81" t="str">
        <f>IF($B44="","",INDEX('All Bảng'!F:F,MATCH($B44,'All Bảng'!$A:$A,0)))</f>
        <v>KC</v>
      </c>
      <c r="G44" s="81" t="str">
        <f>IF($B44="","",INDEX('All Bảng'!G:G,MATCH($B44,'All Bảng'!$A:$A,0)))</f>
        <v>Xuất khối lượng từ mô hình BIM</v>
      </c>
      <c r="H44" s="121"/>
      <c r="I44" s="135"/>
      <c r="J44" s="135">
        <f>J$3</f>
        <v>46174</v>
      </c>
      <c r="K44" s="148" t="s">
        <v>557</v>
      </c>
      <c r="L44" s="163"/>
      <c r="M44" s="135">
        <f>M$3</f>
        <v>46175</v>
      </c>
      <c r="N44" s="148" t="s">
        <v>557</v>
      </c>
      <c r="O44" s="137" t="s">
        <v>557</v>
      </c>
      <c r="P44" s="135">
        <f>P$3</f>
        <v>46176</v>
      </c>
      <c r="Q44" s="148" t="s">
        <v>557</v>
      </c>
      <c r="R44" s="137" t="s">
        <v>557</v>
      </c>
      <c r="S44" s="135">
        <f>S$3</f>
        <v>46177</v>
      </c>
      <c r="T44" s="136" t="s">
        <v>557</v>
      </c>
      <c r="U44" s="137" t="s">
        <v>557</v>
      </c>
      <c r="V44" s="135">
        <f>V$3</f>
        <v>46178</v>
      </c>
      <c r="W44" s="136" t="s">
        <v>557</v>
      </c>
      <c r="X44" s="137" t="s">
        <v>557</v>
      </c>
      <c r="Y44" s="135">
        <f>Y$3</f>
        <v>46179</v>
      </c>
      <c r="Z44" s="136" t="s">
        <v>557</v>
      </c>
      <c r="AA44" s="137" t="s">
        <v>557</v>
      </c>
      <c r="AB44" s="135"/>
      <c r="AC44" s="135">
        <f>AC$3</f>
        <v>46181</v>
      </c>
      <c r="AD44" s="136" t="s">
        <v>557</v>
      </c>
      <c r="AE44" s="137" t="s">
        <v>557</v>
      </c>
      <c r="AF44" s="135">
        <f>AF$3</f>
        <v>46182</v>
      </c>
      <c r="AG44" s="136" t="s">
        <v>557</v>
      </c>
      <c r="AH44" s="137" t="s">
        <v>557</v>
      </c>
      <c r="AI44" s="135">
        <f>AI$3</f>
        <v>46183</v>
      </c>
      <c r="AJ44" s="136" t="s">
        <v>557</v>
      </c>
      <c r="AK44" s="137" t="s">
        <v>557</v>
      </c>
      <c r="AL44" s="135">
        <f>AL$3</f>
        <v>46184</v>
      </c>
      <c r="AM44" s="136" t="s">
        <v>557</v>
      </c>
      <c r="AN44" s="137" t="s">
        <v>557</v>
      </c>
      <c r="AO44" s="135">
        <f>AO$3</f>
        <v>46185</v>
      </c>
      <c r="AP44" s="136" t="s">
        <v>557</v>
      </c>
      <c r="AQ44" s="137" t="s">
        <v>557</v>
      </c>
      <c r="AR44" s="135">
        <f>AR$3</f>
        <v>46186</v>
      </c>
      <c r="AS44" s="136" t="s">
        <v>557</v>
      </c>
      <c r="AT44" s="137" t="s">
        <v>557</v>
      </c>
      <c r="AU44" s="135"/>
      <c r="AV44" s="135">
        <f>AV$3</f>
        <v>46188</v>
      </c>
      <c r="AW44" s="148" t="s">
        <v>557</v>
      </c>
      <c r="AX44" s="137" t="s">
        <v>557</v>
      </c>
      <c r="AY44" s="135">
        <f>AY$3</f>
        <v>46189</v>
      </c>
      <c r="AZ44" s="136" t="s">
        <v>557</v>
      </c>
      <c r="BA44" s="137" t="s">
        <v>557</v>
      </c>
      <c r="BB44" s="135">
        <f>BB$3</f>
        <v>46190</v>
      </c>
      <c r="BC44" s="136" t="s">
        <v>557</v>
      </c>
      <c r="BD44" s="137" t="s">
        <v>557</v>
      </c>
      <c r="BE44" s="135">
        <f>BE$3</f>
        <v>46191</v>
      </c>
      <c r="BF44" s="136" t="s">
        <v>557</v>
      </c>
      <c r="BG44" s="137" t="s">
        <v>557</v>
      </c>
      <c r="BH44" s="135">
        <f>BH$3</f>
        <v>46192</v>
      </c>
      <c r="BI44" s="136" t="s">
        <v>557</v>
      </c>
      <c r="BJ44" s="137" t="s">
        <v>557</v>
      </c>
      <c r="BK44" s="135">
        <f>BK$3</f>
        <v>46193</v>
      </c>
      <c r="BL44" s="136" t="s">
        <v>557</v>
      </c>
      <c r="BM44" s="137" t="s">
        <v>557</v>
      </c>
    </row>
    <row r="45" spans="1:65" outlineLevel="1">
      <c r="A45" s="122" t="str">
        <f>$A$37</f>
        <v>Trần Văn Diện</v>
      </c>
      <c r="B45" s="82" t="s">
        <v>670</v>
      </c>
      <c r="C45" s="81" t="str">
        <f>IF($B45="","",INDEX('All Bảng'!C:C,MATCH($B45,'All Bảng'!$A:$A,0)))</f>
        <v>Quản lý BIM</v>
      </c>
      <c r="D45" s="81" t="str">
        <f>IF($B45="","",INDEX('All Bảng'!D:D,MATCH($B45,'All Bảng'!$A:$A,0)))</f>
        <v>B.QNI.HLXQY.NH</v>
      </c>
      <c r="E45" s="81" t="str">
        <f>IF($B45="","",INDEX('All Bảng'!E:E,MATCH($B45,'All Bảng'!$A:$A,0)))</f>
        <v>Nhà hát Hạ Long Xanh</v>
      </c>
      <c r="F45" s="81" t="str">
        <f>IF($B45="","",INDEX('All Bảng'!F:F,MATCH($B45,'All Bảng'!$A:$A,0)))</f>
        <v>KT</v>
      </c>
      <c r="G45" s="81" t="str">
        <f>IF($B45="","",INDEX('All Bảng'!G:G,MATCH($B45,'All Bảng'!$A:$A,0)))</f>
        <v>KSCL mô hình BIM</v>
      </c>
      <c r="H45" s="121"/>
      <c r="I45" s="135"/>
      <c r="J45" s="135">
        <f>J$3</f>
        <v>46174</v>
      </c>
      <c r="K45" s="148" t="s">
        <v>557</v>
      </c>
      <c r="L45" s="163"/>
      <c r="M45" s="135">
        <f>M$3</f>
        <v>46175</v>
      </c>
      <c r="N45" s="148" t="s">
        <v>557</v>
      </c>
      <c r="O45" s="137" t="s">
        <v>557</v>
      </c>
      <c r="P45" s="135">
        <f>P$3</f>
        <v>46176</v>
      </c>
      <c r="Q45" s="148" t="s">
        <v>557</v>
      </c>
      <c r="R45" s="137" t="s">
        <v>557</v>
      </c>
      <c r="S45" s="135">
        <f>S$3</f>
        <v>46177</v>
      </c>
      <c r="T45" s="136" t="s">
        <v>557</v>
      </c>
      <c r="U45" s="137" t="s">
        <v>557</v>
      </c>
      <c r="V45" s="135">
        <f>V$3</f>
        <v>46178</v>
      </c>
      <c r="W45" s="136" t="s">
        <v>557</v>
      </c>
      <c r="X45" s="137" t="s">
        <v>557</v>
      </c>
      <c r="Y45" s="135">
        <f>Y$3</f>
        <v>46179</v>
      </c>
      <c r="Z45" s="136" t="s">
        <v>557</v>
      </c>
      <c r="AA45" s="137" t="s">
        <v>557</v>
      </c>
      <c r="AB45" s="135"/>
      <c r="AC45" s="135">
        <f>AC$3</f>
        <v>46181</v>
      </c>
      <c r="AD45" s="136" t="s">
        <v>557</v>
      </c>
      <c r="AE45" s="137" t="s">
        <v>557</v>
      </c>
      <c r="AF45" s="135">
        <f>AF$3</f>
        <v>46182</v>
      </c>
      <c r="AG45" s="136" t="s">
        <v>557</v>
      </c>
      <c r="AH45" s="137" t="s">
        <v>557</v>
      </c>
      <c r="AI45" s="135">
        <f>AI$3</f>
        <v>46183</v>
      </c>
      <c r="AJ45" s="136" t="s">
        <v>557</v>
      </c>
      <c r="AK45" s="137" t="s">
        <v>557</v>
      </c>
      <c r="AL45" s="135">
        <f>AL$3</f>
        <v>46184</v>
      </c>
      <c r="AM45" s="136" t="s">
        <v>557</v>
      </c>
      <c r="AN45" s="137" t="s">
        <v>557</v>
      </c>
      <c r="AO45" s="135">
        <f>AO$3</f>
        <v>46185</v>
      </c>
      <c r="AP45" s="136" t="s">
        <v>557</v>
      </c>
      <c r="AQ45" s="137" t="s">
        <v>557</v>
      </c>
      <c r="AR45" s="135">
        <f>AR$3</f>
        <v>46186</v>
      </c>
      <c r="AS45" s="136" t="s">
        <v>557</v>
      </c>
      <c r="AT45" s="137" t="s">
        <v>557</v>
      </c>
      <c r="AU45" s="135"/>
      <c r="AV45" s="135">
        <f>AV$3</f>
        <v>46188</v>
      </c>
      <c r="AW45" s="148" t="s">
        <v>557</v>
      </c>
      <c r="AX45" s="137" t="s">
        <v>557</v>
      </c>
      <c r="AY45" s="135">
        <f>AY$3</f>
        <v>46189</v>
      </c>
      <c r="AZ45" s="136" t="s">
        <v>557</v>
      </c>
      <c r="BA45" s="137" t="s">
        <v>557</v>
      </c>
      <c r="BB45" s="135">
        <f>BB$3</f>
        <v>46190</v>
      </c>
      <c r="BC45" s="136" t="s">
        <v>557</v>
      </c>
      <c r="BD45" s="137" t="s">
        <v>557</v>
      </c>
      <c r="BE45" s="135">
        <f>BE$3</f>
        <v>46191</v>
      </c>
      <c r="BF45" s="136" t="s">
        <v>557</v>
      </c>
      <c r="BG45" s="137" t="s">
        <v>557</v>
      </c>
      <c r="BH45" s="135">
        <f>BH$3</f>
        <v>46192</v>
      </c>
      <c r="BI45" s="136" t="s">
        <v>557</v>
      </c>
      <c r="BJ45" s="137" t="s">
        <v>557</v>
      </c>
      <c r="BK45" s="135">
        <f>BK$3</f>
        <v>46193</v>
      </c>
      <c r="BL45" s="136" t="s">
        <v>557</v>
      </c>
      <c r="BM45" s="137" t="s">
        <v>557</v>
      </c>
    </row>
    <row r="46" spans="1:65" outlineLevel="1">
      <c r="A46" s="122" t="str">
        <f>$A$37</f>
        <v>Trần Văn Diện</v>
      </c>
      <c r="B46" s="82" t="s">
        <v>671</v>
      </c>
      <c r="C46" s="81" t="str">
        <f>IF($B46="","",INDEX('All Bảng'!C:C,MATCH($B46,'All Bảng'!$A:$A,0)))</f>
        <v>Quản lý BIM</v>
      </c>
      <c r="D46" s="81" t="str">
        <f>IF($B46="","",INDEX('All Bảng'!D:D,MATCH($B46,'All Bảng'!$A:$A,0)))</f>
        <v>B.QNI.HLXQY.NH</v>
      </c>
      <c r="E46" s="81" t="str">
        <f>IF($B46="","",INDEX('All Bảng'!E:E,MATCH($B46,'All Bảng'!$A:$A,0)))</f>
        <v>Nhà hát Hạ Long Xanh</v>
      </c>
      <c r="F46" s="81" t="str">
        <f>IF($B46="","",INDEX('All Bảng'!F:F,MATCH($B46,'All Bảng'!$A:$A,0)))</f>
        <v>KC</v>
      </c>
      <c r="G46" s="81" t="str">
        <f>IF($B46="","",INDEX('All Bảng'!G:G,MATCH($B46,'All Bảng'!$A:$A,0)))</f>
        <v>KSCL mô hình BIM</v>
      </c>
      <c r="H46" s="121"/>
      <c r="I46" s="135"/>
      <c r="J46" s="135">
        <f>J$3</f>
        <v>46174</v>
      </c>
      <c r="K46" s="148" t="s">
        <v>557</v>
      </c>
      <c r="L46" s="163"/>
      <c r="M46" s="135">
        <f>M$3</f>
        <v>46175</v>
      </c>
      <c r="N46" s="148" t="s">
        <v>557</v>
      </c>
      <c r="O46" s="137" t="s">
        <v>557</v>
      </c>
      <c r="P46" s="135">
        <f>P$3</f>
        <v>46176</v>
      </c>
      <c r="Q46" s="148" t="s">
        <v>557</v>
      </c>
      <c r="R46" s="137" t="s">
        <v>557</v>
      </c>
      <c r="S46" s="135">
        <f>S$3</f>
        <v>46177</v>
      </c>
      <c r="T46" s="136" t="s">
        <v>557</v>
      </c>
      <c r="U46" s="137" t="s">
        <v>557</v>
      </c>
      <c r="V46" s="135">
        <f>V$3</f>
        <v>46178</v>
      </c>
      <c r="W46" s="136" t="s">
        <v>557</v>
      </c>
      <c r="X46" s="137" t="s">
        <v>557</v>
      </c>
      <c r="Y46" s="135">
        <f>Y$3</f>
        <v>46179</v>
      </c>
      <c r="Z46" s="136" t="s">
        <v>557</v>
      </c>
      <c r="AA46" s="137" t="s">
        <v>557</v>
      </c>
      <c r="AB46" s="135"/>
      <c r="AC46" s="135">
        <f>AC$3</f>
        <v>46181</v>
      </c>
      <c r="AD46" s="136" t="s">
        <v>557</v>
      </c>
      <c r="AE46" s="137" t="s">
        <v>557</v>
      </c>
      <c r="AF46" s="135">
        <f>AF$3</f>
        <v>46182</v>
      </c>
      <c r="AG46" s="136" t="s">
        <v>557</v>
      </c>
      <c r="AH46" s="137" t="s">
        <v>557</v>
      </c>
      <c r="AI46" s="135">
        <f>AI$3</f>
        <v>46183</v>
      </c>
      <c r="AJ46" s="136" t="s">
        <v>557</v>
      </c>
      <c r="AK46" s="137" t="s">
        <v>557</v>
      </c>
      <c r="AL46" s="135">
        <f>AL$3</f>
        <v>46184</v>
      </c>
      <c r="AM46" s="136" t="s">
        <v>557</v>
      </c>
      <c r="AN46" s="137" t="s">
        <v>557</v>
      </c>
      <c r="AO46" s="135">
        <f>AO$3</f>
        <v>46185</v>
      </c>
      <c r="AP46" s="136" t="s">
        <v>557</v>
      </c>
      <c r="AQ46" s="137" t="s">
        <v>557</v>
      </c>
      <c r="AR46" s="135">
        <f>AR$3</f>
        <v>46186</v>
      </c>
      <c r="AS46" s="136" t="s">
        <v>557</v>
      </c>
      <c r="AT46" s="137" t="s">
        <v>557</v>
      </c>
      <c r="AU46" s="135"/>
      <c r="AV46" s="135">
        <f>AV$3</f>
        <v>46188</v>
      </c>
      <c r="AW46" s="148" t="s">
        <v>557</v>
      </c>
      <c r="AX46" s="137" t="s">
        <v>557</v>
      </c>
      <c r="AY46" s="135">
        <f>AY$3</f>
        <v>46189</v>
      </c>
      <c r="AZ46" s="136" t="s">
        <v>557</v>
      </c>
      <c r="BA46" s="137" t="s">
        <v>557</v>
      </c>
      <c r="BB46" s="135">
        <f>BB$3</f>
        <v>46190</v>
      </c>
      <c r="BC46" s="136" t="s">
        <v>557</v>
      </c>
      <c r="BD46" s="137" t="s">
        <v>557</v>
      </c>
      <c r="BE46" s="135">
        <f>BE$3</f>
        <v>46191</v>
      </c>
      <c r="BF46" s="136" t="s">
        <v>557</v>
      </c>
      <c r="BG46" s="137" t="s">
        <v>557</v>
      </c>
      <c r="BH46" s="135">
        <f>BH$3</f>
        <v>46192</v>
      </c>
      <c r="BI46" s="136" t="s">
        <v>557</v>
      </c>
      <c r="BJ46" s="137" t="s">
        <v>557</v>
      </c>
      <c r="BK46" s="135">
        <f>BK$3</f>
        <v>46193</v>
      </c>
      <c r="BL46" s="136" t="s">
        <v>557</v>
      </c>
      <c r="BM46" s="137" t="s">
        <v>557</v>
      </c>
    </row>
    <row r="47" spans="1:65" outlineLevel="1">
      <c r="A47" s="122" t="str">
        <f>$A$37</f>
        <v>Trần Văn Diện</v>
      </c>
      <c r="B47" s="82" t="s">
        <v>672</v>
      </c>
      <c r="C47" s="81" t="str">
        <f>IF($B47="","",INDEX('All Bảng'!C:C,MATCH($B47,'All Bảng'!$A:$A,0)))</f>
        <v>Quản lý BIM</v>
      </c>
      <c r="D47" s="81" t="str">
        <f>IF($B47="","",INDEX('All Bảng'!D:D,MATCH($B47,'All Bảng'!$A:$A,0)))</f>
        <v>B.TQU.VPTQ.VP</v>
      </c>
      <c r="E47" s="81" t="str">
        <f>IF($B47="","",INDEX('All Bảng'!E:E,MATCH($B47,'All Bảng'!$A:$A,0)))</f>
        <v>Lô C.TM11</v>
      </c>
      <c r="F47" s="81" t="str">
        <f>IF($B47="","",INDEX('All Bảng'!F:F,MATCH($B47,'All Bảng'!$A:$A,0)))</f>
        <v>KT</v>
      </c>
      <c r="G47" s="81" t="str">
        <f>IF($B47="","",INDEX('All Bảng'!G:G,MATCH($B47,'All Bảng'!$A:$A,0)))</f>
        <v>Xuất khối lượng từ mô hình BIM</v>
      </c>
      <c r="H47" s="121"/>
      <c r="I47" s="135"/>
      <c r="J47" s="135">
        <f>J$3</f>
        <v>46174</v>
      </c>
      <c r="K47" s="148" t="s">
        <v>673</v>
      </c>
      <c r="L47" s="163">
        <v>11</v>
      </c>
      <c r="M47" s="135">
        <f>M$3</f>
        <v>46175</v>
      </c>
      <c r="N47" s="148" t="s">
        <v>557</v>
      </c>
      <c r="O47" s="137">
        <v>8.5</v>
      </c>
      <c r="P47" s="135">
        <f>P$3</f>
        <v>46176</v>
      </c>
      <c r="Q47" s="148" t="s">
        <v>674</v>
      </c>
      <c r="R47" s="137">
        <v>2.5</v>
      </c>
      <c r="S47" s="135">
        <f>S$3</f>
        <v>46177</v>
      </c>
      <c r="T47" s="136" t="s">
        <v>557</v>
      </c>
      <c r="U47" s="137" t="s">
        <v>557</v>
      </c>
      <c r="V47" s="135">
        <f>V$3</f>
        <v>46178</v>
      </c>
      <c r="W47" s="136" t="s">
        <v>557</v>
      </c>
      <c r="X47" s="137" t="s">
        <v>557</v>
      </c>
      <c r="Y47" s="135">
        <f>Y$3</f>
        <v>46179</v>
      </c>
      <c r="Z47" s="136" t="s">
        <v>557</v>
      </c>
      <c r="AA47" s="137" t="s">
        <v>557</v>
      </c>
      <c r="AB47" s="135"/>
      <c r="AC47" s="135">
        <f>AC$3</f>
        <v>46181</v>
      </c>
      <c r="AD47" s="136" t="s">
        <v>557</v>
      </c>
      <c r="AE47" s="137" t="s">
        <v>557</v>
      </c>
      <c r="AF47" s="135">
        <f>AF$3</f>
        <v>46182</v>
      </c>
      <c r="AG47" s="136" t="s">
        <v>557</v>
      </c>
      <c r="AH47" s="137" t="s">
        <v>557</v>
      </c>
      <c r="AI47" s="135">
        <f>AI$3</f>
        <v>46183</v>
      </c>
      <c r="AJ47" s="136" t="s">
        <v>557</v>
      </c>
      <c r="AK47" s="137" t="s">
        <v>557</v>
      </c>
      <c r="AL47" s="135">
        <f>AL$3</f>
        <v>46184</v>
      </c>
      <c r="AM47" s="136" t="s">
        <v>557</v>
      </c>
      <c r="AN47" s="137" t="s">
        <v>557</v>
      </c>
      <c r="AO47" s="135">
        <f>AO$3</f>
        <v>46185</v>
      </c>
      <c r="AP47" s="136" t="s">
        <v>557</v>
      </c>
      <c r="AQ47" s="137" t="s">
        <v>557</v>
      </c>
      <c r="AR47" s="135">
        <f>AR$3</f>
        <v>46186</v>
      </c>
      <c r="AS47" s="136" t="s">
        <v>557</v>
      </c>
      <c r="AT47" s="137" t="s">
        <v>557</v>
      </c>
      <c r="AU47" s="135"/>
      <c r="AV47" s="135">
        <f>AV$3</f>
        <v>46188</v>
      </c>
      <c r="AW47" s="148" t="s">
        <v>557</v>
      </c>
      <c r="AX47" s="137" t="s">
        <v>557</v>
      </c>
      <c r="AY47" s="135">
        <f>AY$3</f>
        <v>46189</v>
      </c>
      <c r="AZ47" s="136" t="s">
        <v>557</v>
      </c>
      <c r="BA47" s="137" t="s">
        <v>557</v>
      </c>
      <c r="BB47" s="135">
        <f>BB$3</f>
        <v>46190</v>
      </c>
      <c r="BC47" s="136" t="s">
        <v>557</v>
      </c>
      <c r="BD47" s="137" t="s">
        <v>557</v>
      </c>
      <c r="BE47" s="135">
        <f>BE$3</f>
        <v>46191</v>
      </c>
      <c r="BF47" s="136" t="s">
        <v>557</v>
      </c>
      <c r="BG47" s="137" t="s">
        <v>557</v>
      </c>
      <c r="BH47" s="135">
        <f>BH$3</f>
        <v>46192</v>
      </c>
      <c r="BI47" s="136" t="s">
        <v>557</v>
      </c>
      <c r="BJ47" s="137" t="s">
        <v>557</v>
      </c>
      <c r="BK47" s="135">
        <f>BK$3</f>
        <v>46193</v>
      </c>
      <c r="BL47" s="136" t="s">
        <v>557</v>
      </c>
      <c r="BM47" s="137" t="s">
        <v>557</v>
      </c>
    </row>
    <row r="48" spans="1:65" outlineLevel="1">
      <c r="A48" s="122" t="str">
        <f>$A$37</f>
        <v>Trần Văn Diện</v>
      </c>
      <c r="B48" s="28" t="str">
        <f>'Bảng 3'!A271</f>
        <v>3.B.TQU.VPTQ.VP.102</v>
      </c>
      <c r="C48" s="81" t="str">
        <f>IF($B48="","",INDEX('All Bảng'!C:C,MATCH($B48,'All Bảng'!$A:$A,0)))</f>
        <v>Quản lý BIM</v>
      </c>
      <c r="D48" s="81" t="str">
        <f>IF($B48="","",INDEX('All Bảng'!D:D,MATCH($B48,'All Bảng'!$A:$A,0)))</f>
        <v>B.TQU.VPTQ.VP</v>
      </c>
      <c r="E48" s="81" t="str">
        <f>IF($B48="","",INDEX('All Bảng'!E:E,MATCH($B48,'All Bảng'!$A:$A,0)))</f>
        <v>Lô C.TM11</v>
      </c>
      <c r="F48" s="81" t="str">
        <f>IF($B48="","",INDEX('All Bảng'!F:F,MATCH($B48,'All Bảng'!$A:$A,0)))</f>
        <v>KT</v>
      </c>
      <c r="G48" s="81" t="str">
        <f>IF($B48="","",INDEX('All Bảng'!G:G,MATCH($B48,'All Bảng'!$A:$A,0)))</f>
        <v>Cập nhật thông tin mô hình BIM</v>
      </c>
      <c r="H48" s="121"/>
      <c r="I48" s="135"/>
      <c r="J48" s="135">
        <f>J$3</f>
        <v>46174</v>
      </c>
      <c r="K48" s="148" t="s">
        <v>557</v>
      </c>
      <c r="L48" s="163"/>
      <c r="M48" s="135">
        <f>M$3</f>
        <v>46175</v>
      </c>
      <c r="N48" s="148" t="s">
        <v>557</v>
      </c>
      <c r="O48" s="137" t="s">
        <v>557</v>
      </c>
      <c r="P48" s="135">
        <f>P$3</f>
        <v>46176</v>
      </c>
      <c r="Q48" s="148" t="s">
        <v>675</v>
      </c>
      <c r="R48" s="137">
        <v>3</v>
      </c>
      <c r="S48" s="135">
        <f>S$3</f>
        <v>46177</v>
      </c>
      <c r="T48" s="136" t="s">
        <v>557</v>
      </c>
      <c r="U48" s="137" t="s">
        <v>557</v>
      </c>
      <c r="V48" s="135">
        <f>V$3</f>
        <v>46178</v>
      </c>
      <c r="W48" s="136" t="s">
        <v>557</v>
      </c>
      <c r="X48" s="137" t="s">
        <v>557</v>
      </c>
      <c r="Y48" s="135">
        <f>Y$3</f>
        <v>46179</v>
      </c>
      <c r="Z48" s="136" t="s">
        <v>557</v>
      </c>
      <c r="AA48" s="137" t="s">
        <v>557</v>
      </c>
      <c r="AB48" s="135"/>
      <c r="AC48" s="135">
        <f>AC$3</f>
        <v>46181</v>
      </c>
      <c r="AD48" s="136" t="s">
        <v>557</v>
      </c>
      <c r="AE48" s="137" t="s">
        <v>557</v>
      </c>
      <c r="AF48" s="135">
        <f>AF$3</f>
        <v>46182</v>
      </c>
      <c r="AG48" s="136" t="s">
        <v>557</v>
      </c>
      <c r="AH48" s="137" t="s">
        <v>557</v>
      </c>
      <c r="AI48" s="135">
        <f>AI$3</f>
        <v>46183</v>
      </c>
      <c r="AJ48" s="136" t="s">
        <v>557</v>
      </c>
      <c r="AK48" s="137" t="s">
        <v>557</v>
      </c>
      <c r="AL48" s="135">
        <f>AL$3</f>
        <v>46184</v>
      </c>
      <c r="AM48" s="136" t="s">
        <v>557</v>
      </c>
      <c r="AN48" s="137" t="s">
        <v>557</v>
      </c>
      <c r="AO48" s="135">
        <f>AO$3</f>
        <v>46185</v>
      </c>
      <c r="AP48" s="136" t="s">
        <v>557</v>
      </c>
      <c r="AQ48" s="137" t="s">
        <v>557</v>
      </c>
      <c r="AR48" s="135">
        <f>AR$3</f>
        <v>46186</v>
      </c>
      <c r="AS48" s="136" t="s">
        <v>557</v>
      </c>
      <c r="AT48" s="137" t="s">
        <v>557</v>
      </c>
      <c r="AU48" s="135"/>
      <c r="AV48" s="135">
        <f>AV$3</f>
        <v>46188</v>
      </c>
      <c r="AW48" s="148" t="s">
        <v>557</v>
      </c>
      <c r="AX48" s="137" t="s">
        <v>557</v>
      </c>
      <c r="AY48" s="135">
        <f>AY$3</f>
        <v>46189</v>
      </c>
      <c r="AZ48" s="136" t="s">
        <v>557</v>
      </c>
      <c r="BA48" s="137" t="s">
        <v>557</v>
      </c>
      <c r="BB48" s="135">
        <f>BB$3</f>
        <v>46190</v>
      </c>
      <c r="BC48" s="136" t="s">
        <v>557</v>
      </c>
      <c r="BD48" s="137" t="s">
        <v>557</v>
      </c>
      <c r="BE48" s="135">
        <f>BE$3</f>
        <v>46191</v>
      </c>
      <c r="BF48" s="136" t="s">
        <v>557</v>
      </c>
      <c r="BG48" s="137" t="s">
        <v>557</v>
      </c>
      <c r="BH48" s="135">
        <f>BH$3</f>
        <v>46192</v>
      </c>
      <c r="BI48" s="136" t="s">
        <v>557</v>
      </c>
      <c r="BJ48" s="137" t="s">
        <v>557</v>
      </c>
      <c r="BK48" s="135">
        <f>BK$3</f>
        <v>46193</v>
      </c>
      <c r="BL48" s="136" t="s">
        <v>557</v>
      </c>
      <c r="BM48" s="137" t="s">
        <v>557</v>
      </c>
    </row>
    <row r="49" spans="1:65" outlineLevel="1">
      <c r="A49" s="122" t="str">
        <f>$A$37</f>
        <v>Trần Văn Diện</v>
      </c>
      <c r="B49" s="82" t="s">
        <v>676</v>
      </c>
      <c r="C49" s="81" t="str">
        <f>IF($B49="","",INDEX('All Bảng'!C:C,MATCH($B49,'All Bảng'!$A:$A,0)))</f>
        <v>Quản lý BIM</v>
      </c>
      <c r="D49" s="81" t="str">
        <f>IF($B49="","",INDEX('All Bảng'!D:D,MATCH($B49,'All Bảng'!$A:$A,0)))</f>
        <v>N.HCM.CGIO.NH</v>
      </c>
      <c r="E49" s="81" t="str">
        <f>IF($B49="","",INDEX('All Bảng'!E:E,MATCH($B49,'All Bảng'!$A:$A,0)))</f>
        <v>Nhà hát</v>
      </c>
      <c r="F49" s="81" t="str">
        <f>IF($B49="","",INDEX('All Bảng'!F:F,MATCH($B49,'All Bảng'!$A:$A,0)))</f>
        <v>KT</v>
      </c>
      <c r="G49" s="81" t="str">
        <f>IF($B49="","",INDEX('All Bảng'!G:G,MATCH($B49,'All Bảng'!$A:$A,0)))</f>
        <v>KSCL mô hình BIM</v>
      </c>
      <c r="H49" s="121"/>
      <c r="I49" s="135"/>
      <c r="J49" s="135">
        <f>J$3</f>
        <v>46174</v>
      </c>
      <c r="K49" s="148" t="s">
        <v>557</v>
      </c>
      <c r="L49" s="163"/>
      <c r="M49" s="135">
        <f>M$3</f>
        <v>46175</v>
      </c>
      <c r="N49" s="148" t="s">
        <v>557</v>
      </c>
      <c r="O49" s="137" t="s">
        <v>557</v>
      </c>
      <c r="P49" s="135">
        <f>P$3</f>
        <v>46176</v>
      </c>
      <c r="Q49" s="148" t="s">
        <v>557</v>
      </c>
      <c r="R49" s="137" t="s">
        <v>557</v>
      </c>
      <c r="S49" s="135">
        <f>S$3</f>
        <v>46177</v>
      </c>
      <c r="T49" s="136" t="s">
        <v>557</v>
      </c>
      <c r="U49" s="137" t="s">
        <v>557</v>
      </c>
      <c r="V49" s="135">
        <f>V$3</f>
        <v>46178</v>
      </c>
      <c r="W49" s="136" t="s">
        <v>557</v>
      </c>
      <c r="X49" s="137" t="s">
        <v>557</v>
      </c>
      <c r="Y49" s="135">
        <f>Y$3</f>
        <v>46179</v>
      </c>
      <c r="Z49" s="136" t="s">
        <v>557</v>
      </c>
      <c r="AA49" s="137" t="s">
        <v>557</v>
      </c>
      <c r="AB49" s="135"/>
      <c r="AC49" s="135">
        <f>AC$3</f>
        <v>46181</v>
      </c>
      <c r="AD49" s="136" t="s">
        <v>557</v>
      </c>
      <c r="AE49" s="137" t="s">
        <v>557</v>
      </c>
      <c r="AF49" s="135">
        <f>AF$3</f>
        <v>46182</v>
      </c>
      <c r="AG49" s="136" t="s">
        <v>557</v>
      </c>
      <c r="AH49" s="137" t="s">
        <v>557</v>
      </c>
      <c r="AI49" s="135">
        <f>AI$3</f>
        <v>46183</v>
      </c>
      <c r="AJ49" s="136" t="s">
        <v>557</v>
      </c>
      <c r="AK49" s="137" t="s">
        <v>557</v>
      </c>
      <c r="AL49" s="135">
        <f>AL$3</f>
        <v>46184</v>
      </c>
      <c r="AM49" s="136" t="s">
        <v>557</v>
      </c>
      <c r="AN49" s="137" t="s">
        <v>557</v>
      </c>
      <c r="AO49" s="135">
        <f>AO$3</f>
        <v>46185</v>
      </c>
      <c r="AP49" s="136" t="s">
        <v>557</v>
      </c>
      <c r="AQ49" s="137" t="s">
        <v>557</v>
      </c>
      <c r="AR49" s="135">
        <f>AR$3</f>
        <v>46186</v>
      </c>
      <c r="AS49" s="136" t="s">
        <v>557</v>
      </c>
      <c r="AT49" s="137" t="s">
        <v>557</v>
      </c>
      <c r="AU49" s="135"/>
      <c r="AV49" s="135">
        <f>AV$3</f>
        <v>46188</v>
      </c>
      <c r="AW49" s="148" t="s">
        <v>557</v>
      </c>
      <c r="AX49" s="137" t="s">
        <v>557</v>
      </c>
      <c r="AY49" s="135">
        <f>AY$3</f>
        <v>46189</v>
      </c>
      <c r="AZ49" s="136" t="s">
        <v>557</v>
      </c>
      <c r="BA49" s="137" t="s">
        <v>557</v>
      </c>
      <c r="BB49" s="135">
        <f>BB$3</f>
        <v>46190</v>
      </c>
      <c r="BC49" s="136" t="s">
        <v>557</v>
      </c>
      <c r="BD49" s="137" t="s">
        <v>557</v>
      </c>
      <c r="BE49" s="135">
        <f>BE$3</f>
        <v>46191</v>
      </c>
      <c r="BF49" s="136" t="s">
        <v>557</v>
      </c>
      <c r="BG49" s="137" t="s">
        <v>557</v>
      </c>
      <c r="BH49" s="135">
        <f>BH$3</f>
        <v>46192</v>
      </c>
      <c r="BI49" s="136" t="s">
        <v>557</v>
      </c>
      <c r="BJ49" s="137" t="s">
        <v>557</v>
      </c>
      <c r="BK49" s="135">
        <f>BK$3</f>
        <v>46193</v>
      </c>
      <c r="BL49" s="136" t="s">
        <v>557</v>
      </c>
      <c r="BM49" s="137" t="s">
        <v>557</v>
      </c>
    </row>
    <row r="50" spans="1:65" outlineLevel="1">
      <c r="A50" s="122" t="str">
        <f>$A$37</f>
        <v>Trần Văn Diện</v>
      </c>
      <c r="B50" s="82" t="s">
        <v>677</v>
      </c>
      <c r="C50" s="81" t="str">
        <f>IF($B50="","",INDEX('All Bảng'!C:C,MATCH($B50,'All Bảng'!$A:$A,0)))</f>
        <v>Quản lý BIM</v>
      </c>
      <c r="D50" s="81" t="str">
        <f>IF($B50="","",INDEX('All Bảng'!D:D,MATCH($B50,'All Bảng'!$A:$A,0)))</f>
        <v>N.HCM.CGIO.NH</v>
      </c>
      <c r="E50" s="81" t="str">
        <f>IF($B50="","",INDEX('All Bảng'!E:E,MATCH($B50,'All Bảng'!$A:$A,0)))</f>
        <v>Nhà hát</v>
      </c>
      <c r="F50" s="81" t="str">
        <f>IF($B50="","",INDEX('All Bảng'!F:F,MATCH($B50,'All Bảng'!$A:$A,0)))</f>
        <v>KC</v>
      </c>
      <c r="G50" s="81" t="str">
        <f>IF($B50="","",INDEX('All Bảng'!G:G,MATCH($B50,'All Bảng'!$A:$A,0)))</f>
        <v>KSCL mô hình BIM</v>
      </c>
      <c r="H50" s="121"/>
      <c r="I50" s="135"/>
      <c r="J50" s="135">
        <f>J$3</f>
        <v>46174</v>
      </c>
      <c r="K50" s="148" t="s">
        <v>557</v>
      </c>
      <c r="L50" s="163"/>
      <c r="M50" s="135">
        <f>M$3</f>
        <v>46175</v>
      </c>
      <c r="N50" s="148" t="s">
        <v>557</v>
      </c>
      <c r="O50" s="137" t="s">
        <v>557</v>
      </c>
      <c r="P50" s="135">
        <f>P$3</f>
        <v>46176</v>
      </c>
      <c r="Q50" s="148" t="s">
        <v>557</v>
      </c>
      <c r="R50" s="137" t="s">
        <v>557</v>
      </c>
      <c r="S50" s="135">
        <f>S$3</f>
        <v>46177</v>
      </c>
      <c r="T50" s="136" t="s">
        <v>557</v>
      </c>
      <c r="U50" s="137" t="s">
        <v>557</v>
      </c>
      <c r="V50" s="135">
        <f>V$3</f>
        <v>46178</v>
      </c>
      <c r="W50" s="136" t="s">
        <v>557</v>
      </c>
      <c r="X50" s="137" t="s">
        <v>557</v>
      </c>
      <c r="Y50" s="135">
        <f>Y$3</f>
        <v>46179</v>
      </c>
      <c r="Z50" s="136" t="s">
        <v>557</v>
      </c>
      <c r="AA50" s="137" t="s">
        <v>557</v>
      </c>
      <c r="AB50" s="135"/>
      <c r="AC50" s="135">
        <f>AC$3</f>
        <v>46181</v>
      </c>
      <c r="AD50" s="136" t="s">
        <v>557</v>
      </c>
      <c r="AE50" s="137" t="s">
        <v>557</v>
      </c>
      <c r="AF50" s="135">
        <f>AF$3</f>
        <v>46182</v>
      </c>
      <c r="AG50" s="136" t="s">
        <v>557</v>
      </c>
      <c r="AH50" s="137" t="s">
        <v>557</v>
      </c>
      <c r="AI50" s="135">
        <f>AI$3</f>
        <v>46183</v>
      </c>
      <c r="AJ50" s="136" t="s">
        <v>557</v>
      </c>
      <c r="AK50" s="137" t="s">
        <v>557</v>
      </c>
      <c r="AL50" s="135">
        <f>AL$3</f>
        <v>46184</v>
      </c>
      <c r="AM50" s="136" t="s">
        <v>557</v>
      </c>
      <c r="AN50" s="137" t="s">
        <v>557</v>
      </c>
      <c r="AO50" s="135">
        <f>AO$3</f>
        <v>46185</v>
      </c>
      <c r="AP50" s="136" t="s">
        <v>557</v>
      </c>
      <c r="AQ50" s="137" t="s">
        <v>557</v>
      </c>
      <c r="AR50" s="135">
        <f>AR$3</f>
        <v>46186</v>
      </c>
      <c r="AS50" s="136" t="s">
        <v>557</v>
      </c>
      <c r="AT50" s="137" t="s">
        <v>557</v>
      </c>
      <c r="AU50" s="135"/>
      <c r="AV50" s="135">
        <f>AV$3</f>
        <v>46188</v>
      </c>
      <c r="AW50" s="148" t="s">
        <v>557</v>
      </c>
      <c r="AX50" s="137" t="s">
        <v>557</v>
      </c>
      <c r="AY50" s="135">
        <f>AY$3</f>
        <v>46189</v>
      </c>
      <c r="AZ50" s="136" t="s">
        <v>557</v>
      </c>
      <c r="BA50" s="137" t="s">
        <v>557</v>
      </c>
      <c r="BB50" s="135">
        <f>BB$3</f>
        <v>46190</v>
      </c>
      <c r="BC50" s="136" t="s">
        <v>557</v>
      </c>
      <c r="BD50" s="137" t="s">
        <v>557</v>
      </c>
      <c r="BE50" s="135">
        <f>BE$3</f>
        <v>46191</v>
      </c>
      <c r="BF50" s="136" t="s">
        <v>557</v>
      </c>
      <c r="BG50" s="137" t="s">
        <v>557</v>
      </c>
      <c r="BH50" s="135">
        <f>BH$3</f>
        <v>46192</v>
      </c>
      <c r="BI50" s="136" t="s">
        <v>557</v>
      </c>
      <c r="BJ50" s="137" t="s">
        <v>557</v>
      </c>
      <c r="BK50" s="135">
        <f>BK$3</f>
        <v>46193</v>
      </c>
      <c r="BL50" s="136" t="s">
        <v>557</v>
      </c>
      <c r="BM50" s="137" t="s">
        <v>557</v>
      </c>
    </row>
    <row r="51" spans="1:65" outlineLevel="1">
      <c r="A51" s="122" t="str">
        <f>$A$37</f>
        <v>Trần Văn Diện</v>
      </c>
      <c r="B51" s="82" t="s">
        <v>678</v>
      </c>
      <c r="C51" s="81" t="str">
        <f>IF($B51="","",INDEX('All Bảng'!C:C,MATCH($B51,'All Bảng'!$A:$A,0)))</f>
        <v>Quản lý BIM</v>
      </c>
      <c r="D51" s="81" t="str">
        <f>IF($B51="","",INDEX('All Bảng'!D:D,MATCH($B51,'All Bảng'!$A:$A,0)))</f>
        <v>T.KHO.VPNT.KSMN</v>
      </c>
      <c r="E51" s="81" t="str">
        <f>IF($B51="","",INDEX('All Bảng'!E:E,MATCH($B51,'All Bảng'!$A:$A,0)))</f>
        <v>Mẫu M6</v>
      </c>
      <c r="F51" s="81" t="str">
        <f>IF($B51="","",INDEX('All Bảng'!F:F,MATCH($B51,'All Bảng'!$A:$A,0)))</f>
        <v>KT</v>
      </c>
      <c r="G51" s="81" t="str">
        <f>IF($B51="","",INDEX('All Bảng'!G:G,MATCH($B51,'All Bảng'!$A:$A,0)))</f>
        <v>KSCL mô hình BIM</v>
      </c>
      <c r="H51" s="121"/>
      <c r="I51" s="135"/>
      <c r="J51" s="135">
        <f>J$3</f>
        <v>46174</v>
      </c>
      <c r="K51" s="148" t="s">
        <v>557</v>
      </c>
      <c r="L51" s="163"/>
      <c r="M51" s="135">
        <f>M$3</f>
        <v>46175</v>
      </c>
      <c r="N51" s="148" t="s">
        <v>557</v>
      </c>
      <c r="O51" s="137" t="s">
        <v>557</v>
      </c>
      <c r="P51" s="135">
        <f>P$3</f>
        <v>46176</v>
      </c>
      <c r="Q51" s="148" t="s">
        <v>557</v>
      </c>
      <c r="R51" s="137" t="s">
        <v>557</v>
      </c>
      <c r="S51" s="135">
        <f>S$3</f>
        <v>46177</v>
      </c>
      <c r="T51" s="136" t="s">
        <v>557</v>
      </c>
      <c r="U51" s="137" t="s">
        <v>557</v>
      </c>
      <c r="V51" s="135">
        <f>V$3</f>
        <v>46178</v>
      </c>
      <c r="W51" s="136" t="s">
        <v>557</v>
      </c>
      <c r="X51" s="137" t="s">
        <v>557</v>
      </c>
      <c r="Y51" s="135">
        <f>Y$3</f>
        <v>46179</v>
      </c>
      <c r="Z51" s="136" t="s">
        <v>557</v>
      </c>
      <c r="AA51" s="137" t="s">
        <v>557</v>
      </c>
      <c r="AB51" s="135"/>
      <c r="AC51" s="135">
        <f>AC$3</f>
        <v>46181</v>
      </c>
      <c r="AD51" s="136" t="s">
        <v>557</v>
      </c>
      <c r="AE51" s="137" t="s">
        <v>557</v>
      </c>
      <c r="AF51" s="135">
        <f>AF$3</f>
        <v>46182</v>
      </c>
      <c r="AG51" s="136" t="s">
        <v>557</v>
      </c>
      <c r="AH51" s="137" t="s">
        <v>557</v>
      </c>
      <c r="AI51" s="135">
        <f>AI$3</f>
        <v>46183</v>
      </c>
      <c r="AJ51" s="136" t="s">
        <v>557</v>
      </c>
      <c r="AK51" s="137" t="s">
        <v>557</v>
      </c>
      <c r="AL51" s="135">
        <f>AL$3</f>
        <v>46184</v>
      </c>
      <c r="AM51" s="136" t="s">
        <v>557</v>
      </c>
      <c r="AN51" s="137" t="s">
        <v>557</v>
      </c>
      <c r="AO51" s="135">
        <f>AO$3</f>
        <v>46185</v>
      </c>
      <c r="AP51" s="136" t="s">
        <v>557</v>
      </c>
      <c r="AQ51" s="137" t="s">
        <v>557</v>
      </c>
      <c r="AR51" s="135">
        <f>AR$3</f>
        <v>46186</v>
      </c>
      <c r="AS51" s="136" t="s">
        <v>557</v>
      </c>
      <c r="AT51" s="137" t="s">
        <v>557</v>
      </c>
      <c r="AU51" s="135"/>
      <c r="AV51" s="135">
        <f>AV$3</f>
        <v>46188</v>
      </c>
      <c r="AW51" s="148" t="s">
        <v>557</v>
      </c>
      <c r="AX51" s="137" t="s">
        <v>557</v>
      </c>
      <c r="AY51" s="135">
        <f>AY$3</f>
        <v>46189</v>
      </c>
      <c r="AZ51" s="136" t="s">
        <v>557</v>
      </c>
      <c r="BA51" s="137" t="s">
        <v>557</v>
      </c>
      <c r="BB51" s="135">
        <f>BB$3</f>
        <v>46190</v>
      </c>
      <c r="BC51" s="136" t="s">
        <v>557</v>
      </c>
      <c r="BD51" s="137" t="s">
        <v>557</v>
      </c>
      <c r="BE51" s="135">
        <f>BE$3</f>
        <v>46191</v>
      </c>
      <c r="BF51" s="136" t="s">
        <v>557</v>
      </c>
      <c r="BG51" s="137" t="s">
        <v>557</v>
      </c>
      <c r="BH51" s="135">
        <f>BH$3</f>
        <v>46192</v>
      </c>
      <c r="BI51" s="136" t="s">
        <v>557</v>
      </c>
      <c r="BJ51" s="137" t="s">
        <v>557</v>
      </c>
      <c r="BK51" s="135">
        <f>BK$3</f>
        <v>46193</v>
      </c>
      <c r="BL51" s="136" t="s">
        <v>557</v>
      </c>
      <c r="BM51" s="137" t="s">
        <v>557</v>
      </c>
    </row>
    <row r="52" spans="1:65" outlineLevel="1">
      <c r="A52" s="122" t="str">
        <f>$A$37</f>
        <v>Trần Văn Diện</v>
      </c>
      <c r="B52" s="167" t="s">
        <v>679</v>
      </c>
      <c r="C52" s="81" t="str">
        <f>IF($B52="","",INDEX('All Bảng'!C:C,MATCH($B52,'All Bảng'!$A:$A,0)))</f>
        <v>Quản lý BIM</v>
      </c>
      <c r="D52" s="81" t="str">
        <f>IF($B52="","",INDEX('All Bảng'!D:D,MATCH($B52,'All Bảng'!$A:$A,0)))</f>
        <v>T.KHO.VPNT.KSMN</v>
      </c>
      <c r="E52" s="81" t="str">
        <f>IF($B52="","",INDEX('All Bảng'!E:E,MATCH($B52,'All Bảng'!$A:$A,0)))</f>
        <v>Mẫu M6</v>
      </c>
      <c r="F52" s="81" t="str">
        <f>IF($B52="","",INDEX('All Bảng'!F:F,MATCH($B52,'All Bảng'!$A:$A,0)))</f>
        <v>KC</v>
      </c>
      <c r="G52" s="81" t="str">
        <f>IF($B52="","",INDEX('All Bảng'!G:G,MATCH($B52,'All Bảng'!$A:$A,0)))</f>
        <v>KSCL mô hình BIM</v>
      </c>
      <c r="H52" s="121"/>
      <c r="I52" s="135"/>
      <c r="J52" s="135">
        <f>J$3</f>
        <v>46174</v>
      </c>
      <c r="K52" s="148" t="s">
        <v>557</v>
      </c>
      <c r="L52" s="163"/>
      <c r="M52" s="135">
        <f>M$3</f>
        <v>46175</v>
      </c>
      <c r="N52" s="148" t="s">
        <v>557</v>
      </c>
      <c r="O52" s="137" t="s">
        <v>557</v>
      </c>
      <c r="P52" s="135">
        <f>P$3</f>
        <v>46176</v>
      </c>
      <c r="Q52" s="148" t="s">
        <v>557</v>
      </c>
      <c r="R52" s="137" t="s">
        <v>557</v>
      </c>
      <c r="S52" s="135">
        <f>S$3</f>
        <v>46177</v>
      </c>
      <c r="T52" s="136" t="s">
        <v>557</v>
      </c>
      <c r="U52" s="137" t="s">
        <v>557</v>
      </c>
      <c r="V52" s="135">
        <f>V$3</f>
        <v>46178</v>
      </c>
      <c r="W52" s="136" t="s">
        <v>557</v>
      </c>
      <c r="X52" s="137" t="s">
        <v>557</v>
      </c>
      <c r="Y52" s="135">
        <f>Y$3</f>
        <v>46179</v>
      </c>
      <c r="Z52" s="136" t="s">
        <v>557</v>
      </c>
      <c r="AA52" s="137" t="s">
        <v>557</v>
      </c>
      <c r="AB52" s="135"/>
      <c r="AC52" s="135">
        <f>AC$3</f>
        <v>46181</v>
      </c>
      <c r="AD52" s="136" t="s">
        <v>557</v>
      </c>
      <c r="AE52" s="137" t="s">
        <v>557</v>
      </c>
      <c r="AF52" s="135">
        <f>AF$3</f>
        <v>46182</v>
      </c>
      <c r="AG52" s="136" t="s">
        <v>557</v>
      </c>
      <c r="AH52" s="137" t="s">
        <v>557</v>
      </c>
      <c r="AI52" s="135">
        <f>AI$3</f>
        <v>46183</v>
      </c>
      <c r="AJ52" s="136" t="s">
        <v>557</v>
      </c>
      <c r="AK52" s="137" t="s">
        <v>557</v>
      </c>
      <c r="AL52" s="135">
        <f>AL$3</f>
        <v>46184</v>
      </c>
      <c r="AM52" s="136" t="s">
        <v>557</v>
      </c>
      <c r="AN52" s="137" t="s">
        <v>557</v>
      </c>
      <c r="AO52" s="135">
        <f>AO$3</f>
        <v>46185</v>
      </c>
      <c r="AP52" s="136" t="s">
        <v>557</v>
      </c>
      <c r="AQ52" s="137" t="s">
        <v>557</v>
      </c>
      <c r="AR52" s="135">
        <f>AR$3</f>
        <v>46186</v>
      </c>
      <c r="AS52" s="136" t="s">
        <v>557</v>
      </c>
      <c r="AT52" s="137" t="s">
        <v>557</v>
      </c>
      <c r="AU52" s="135"/>
      <c r="AV52" s="135">
        <f>AV$3</f>
        <v>46188</v>
      </c>
      <c r="AW52" s="148" t="s">
        <v>557</v>
      </c>
      <c r="AX52" s="137" t="s">
        <v>557</v>
      </c>
      <c r="AY52" s="135">
        <f>AY$3</f>
        <v>46189</v>
      </c>
      <c r="AZ52" s="136" t="s">
        <v>557</v>
      </c>
      <c r="BA52" s="137" t="s">
        <v>557</v>
      </c>
      <c r="BB52" s="135">
        <f>BB$3</f>
        <v>46190</v>
      </c>
      <c r="BC52" s="136" t="s">
        <v>557</v>
      </c>
      <c r="BD52" s="137" t="s">
        <v>557</v>
      </c>
      <c r="BE52" s="135">
        <f>BE$3</f>
        <v>46191</v>
      </c>
      <c r="BF52" s="136" t="s">
        <v>557</v>
      </c>
      <c r="BG52" s="137" t="s">
        <v>557</v>
      </c>
      <c r="BH52" s="135">
        <f>BH$3</f>
        <v>46192</v>
      </c>
      <c r="BI52" s="136" t="s">
        <v>557</v>
      </c>
      <c r="BJ52" s="137" t="s">
        <v>557</v>
      </c>
      <c r="BK52" s="135">
        <f>BK$3</f>
        <v>46193</v>
      </c>
      <c r="BL52" s="136" t="s">
        <v>557</v>
      </c>
      <c r="BM52" s="137" t="s">
        <v>557</v>
      </c>
    </row>
    <row r="53" spans="1:65" outlineLevel="1">
      <c r="A53" s="122" t="str">
        <f>$A$37</f>
        <v>Trần Văn Diện</v>
      </c>
      <c r="B53" s="167" t="s">
        <v>680</v>
      </c>
      <c r="C53" s="81" t="str">
        <f>IF($B53="","",INDEX('All Bảng'!C:C,MATCH($B53,'All Bảng'!$A:$A,0)))</f>
        <v>Quản lý BIM</v>
      </c>
      <c r="D53" s="81" t="str">
        <f>IF($B53="","",INDEX('All Bảng'!D:D,MATCH($B53,'All Bảng'!$A:$A,0)))</f>
        <v>T.KHO.VPNT.KSMN</v>
      </c>
      <c r="E53" s="81" t="s">
        <v>681</v>
      </c>
      <c r="F53" s="81" t="str">
        <f>IF($B53="","",INDEX('All Bảng'!F:F,MATCH($B53,'All Bảng'!$A:$A,0)))</f>
        <v>KT</v>
      </c>
      <c r="G53" s="81" t="str">
        <f>IF($B53="","",INDEX('All Bảng'!G:G,MATCH($B53,'All Bảng'!$A:$A,0)))</f>
        <v>Tạo lập mô hình BIM</v>
      </c>
      <c r="H53" s="121"/>
      <c r="I53" s="135"/>
      <c r="J53" s="135">
        <f>J$3</f>
        <v>46174</v>
      </c>
      <c r="K53" s="148" t="s">
        <v>557</v>
      </c>
      <c r="L53" s="163"/>
      <c r="M53" s="135">
        <f>M$3</f>
        <v>46175</v>
      </c>
      <c r="N53" s="148" t="s">
        <v>557</v>
      </c>
      <c r="O53" s="137" t="s">
        <v>557</v>
      </c>
      <c r="P53" s="135">
        <f>P$3</f>
        <v>46176</v>
      </c>
      <c r="Q53" s="148" t="s">
        <v>557</v>
      </c>
      <c r="R53" s="137" t="s">
        <v>557</v>
      </c>
      <c r="S53" s="135">
        <f>S$3</f>
        <v>46177</v>
      </c>
      <c r="T53" s="136" t="s">
        <v>557</v>
      </c>
      <c r="U53" s="137" t="s">
        <v>557</v>
      </c>
      <c r="V53" s="135">
        <f>V$3</f>
        <v>46178</v>
      </c>
      <c r="W53" s="136" t="s">
        <v>557</v>
      </c>
      <c r="X53" s="137" t="s">
        <v>557</v>
      </c>
      <c r="Y53" s="135">
        <f>Y$3</f>
        <v>46179</v>
      </c>
      <c r="Z53" s="136" t="s">
        <v>557</v>
      </c>
      <c r="AA53" s="137" t="s">
        <v>557</v>
      </c>
      <c r="AB53" s="135"/>
      <c r="AC53" s="135">
        <f>AC$3</f>
        <v>46181</v>
      </c>
      <c r="AD53" s="136" t="s">
        <v>557</v>
      </c>
      <c r="AE53" s="137" t="s">
        <v>557</v>
      </c>
      <c r="AF53" s="135">
        <f>AF$3</f>
        <v>46182</v>
      </c>
      <c r="AG53" s="136" t="s">
        <v>557</v>
      </c>
      <c r="AH53" s="137" t="s">
        <v>557</v>
      </c>
      <c r="AI53" s="135">
        <f>AI$3</f>
        <v>46183</v>
      </c>
      <c r="AJ53" s="136" t="s">
        <v>557</v>
      </c>
      <c r="AK53" s="137" t="s">
        <v>557</v>
      </c>
      <c r="AL53" s="135">
        <f>AL$3</f>
        <v>46184</v>
      </c>
      <c r="AM53" s="136" t="s">
        <v>557</v>
      </c>
      <c r="AN53" s="137" t="s">
        <v>557</v>
      </c>
      <c r="AO53" s="135">
        <f>AO$3</f>
        <v>46185</v>
      </c>
      <c r="AP53" s="136" t="s">
        <v>557</v>
      </c>
      <c r="AQ53" s="137" t="s">
        <v>557</v>
      </c>
      <c r="AR53" s="135">
        <f>AR$3</f>
        <v>46186</v>
      </c>
      <c r="AS53" s="136" t="s">
        <v>557</v>
      </c>
      <c r="AT53" s="137" t="s">
        <v>557</v>
      </c>
      <c r="AU53" s="135"/>
      <c r="AV53" s="135">
        <f>AV$3</f>
        <v>46188</v>
      </c>
      <c r="AW53" s="148" t="s">
        <v>557</v>
      </c>
      <c r="AX53" s="137" t="s">
        <v>557</v>
      </c>
      <c r="AY53" s="135">
        <f>AY$3</f>
        <v>46189</v>
      </c>
      <c r="AZ53" s="136" t="s">
        <v>557</v>
      </c>
      <c r="BA53" s="137" t="s">
        <v>557</v>
      </c>
      <c r="BB53" s="135">
        <f>BB$3</f>
        <v>46190</v>
      </c>
      <c r="BC53" s="136" t="s">
        <v>557</v>
      </c>
      <c r="BD53" s="137" t="s">
        <v>557</v>
      </c>
      <c r="BE53" s="135">
        <f>BE$3</f>
        <v>46191</v>
      </c>
      <c r="BF53" s="136" t="s">
        <v>557</v>
      </c>
      <c r="BG53" s="137" t="s">
        <v>557</v>
      </c>
      <c r="BH53" s="135">
        <f>BH$3</f>
        <v>46192</v>
      </c>
      <c r="BI53" s="136" t="s">
        <v>557</v>
      </c>
      <c r="BJ53" s="137" t="s">
        <v>557</v>
      </c>
      <c r="BK53" s="135">
        <f>BK$3</f>
        <v>46193</v>
      </c>
      <c r="BL53" s="136" t="s">
        <v>557</v>
      </c>
      <c r="BM53" s="137" t="s">
        <v>557</v>
      </c>
    </row>
    <row r="54" spans="1:65" outlineLevel="1">
      <c r="A54" s="122" t="str">
        <f>$A$37</f>
        <v>Trần Văn Diện</v>
      </c>
      <c r="B54" s="82" t="s">
        <v>682</v>
      </c>
      <c r="C54" s="81" t="str">
        <f>IF($B54="","",INDEX('All Bảng'!C:C,MATCH($B54,'All Bảng'!$A:$A,0)))</f>
        <v>Quản lý BIM</v>
      </c>
      <c r="D54" s="81" t="str">
        <f>IF($B54="","",INDEX('All Bảng'!D:D,MATCH($B54,'All Bảng'!$A:$A,0)))</f>
        <v>N.HCM.CGIO.KSMN</v>
      </c>
      <c r="E54" s="81" t="str">
        <f>IF($B54="","",INDEX('All Bảng'!E:E,MATCH($B54,'All Bảng'!$A:$A,0)))</f>
        <v>Lô A5.01.01, mẫu M1G, M7, M8G</v>
      </c>
      <c r="F54" s="81" t="str">
        <f>IF($B54="","",INDEX('All Bảng'!F:F,MATCH($B54,'All Bảng'!$A:$A,0)))</f>
        <v>KT</v>
      </c>
      <c r="G54" s="81" t="str">
        <f>IF($B54="","",INDEX('All Bảng'!G:G,MATCH($B54,'All Bảng'!$A:$A,0)))</f>
        <v>KSCL mô hình BIM</v>
      </c>
      <c r="H54" s="121"/>
      <c r="I54" s="135"/>
      <c r="J54" s="135">
        <f>J$3</f>
        <v>46174</v>
      </c>
      <c r="K54" s="148" t="s">
        <v>557</v>
      </c>
      <c r="L54" s="163"/>
      <c r="M54" s="135">
        <f>M$3</f>
        <v>46175</v>
      </c>
      <c r="N54" s="148" t="s">
        <v>557</v>
      </c>
      <c r="O54" s="137" t="s">
        <v>557</v>
      </c>
      <c r="P54" s="135">
        <f>P$3</f>
        <v>46176</v>
      </c>
      <c r="Q54" s="148" t="s">
        <v>557</v>
      </c>
      <c r="R54" s="137" t="s">
        <v>557</v>
      </c>
      <c r="S54" s="135">
        <f>S$3</f>
        <v>46177</v>
      </c>
      <c r="T54" s="136" t="s">
        <v>557</v>
      </c>
      <c r="U54" s="137" t="s">
        <v>557</v>
      </c>
      <c r="V54" s="135">
        <f>V$3</f>
        <v>46178</v>
      </c>
      <c r="W54" s="136" t="s">
        <v>557</v>
      </c>
      <c r="X54" s="137" t="s">
        <v>557</v>
      </c>
      <c r="Y54" s="135">
        <f>Y$3</f>
        <v>46179</v>
      </c>
      <c r="Z54" s="136" t="s">
        <v>557</v>
      </c>
      <c r="AA54" s="137" t="s">
        <v>557</v>
      </c>
      <c r="AB54" s="135"/>
      <c r="AC54" s="135">
        <f>AC$3</f>
        <v>46181</v>
      </c>
      <c r="AD54" s="136" t="s">
        <v>557</v>
      </c>
      <c r="AE54" s="137" t="s">
        <v>557</v>
      </c>
      <c r="AF54" s="135">
        <f>AF$3</f>
        <v>46182</v>
      </c>
      <c r="AG54" s="136" t="s">
        <v>557</v>
      </c>
      <c r="AH54" s="137" t="s">
        <v>557</v>
      </c>
      <c r="AI54" s="135">
        <f>AI$3</f>
        <v>46183</v>
      </c>
      <c r="AJ54" s="136" t="s">
        <v>557</v>
      </c>
      <c r="AK54" s="137" t="s">
        <v>557</v>
      </c>
      <c r="AL54" s="135">
        <f>AL$3</f>
        <v>46184</v>
      </c>
      <c r="AM54" s="136" t="s">
        <v>557</v>
      </c>
      <c r="AN54" s="137" t="s">
        <v>557</v>
      </c>
      <c r="AO54" s="135">
        <f>AO$3</f>
        <v>46185</v>
      </c>
      <c r="AP54" s="136" t="s">
        <v>557</v>
      </c>
      <c r="AQ54" s="137" t="s">
        <v>557</v>
      </c>
      <c r="AR54" s="135">
        <f>AR$3</f>
        <v>46186</v>
      </c>
      <c r="AS54" s="136" t="s">
        <v>557</v>
      </c>
      <c r="AT54" s="137" t="s">
        <v>557</v>
      </c>
      <c r="AU54" s="135"/>
      <c r="AV54" s="135">
        <f>AV$3</f>
        <v>46188</v>
      </c>
      <c r="AW54" s="148" t="s">
        <v>557</v>
      </c>
      <c r="AX54" s="137" t="s">
        <v>557</v>
      </c>
      <c r="AY54" s="135">
        <f>AY$3</f>
        <v>46189</v>
      </c>
      <c r="AZ54" s="136" t="s">
        <v>557</v>
      </c>
      <c r="BA54" s="137" t="s">
        <v>557</v>
      </c>
      <c r="BB54" s="135">
        <f>BB$3</f>
        <v>46190</v>
      </c>
      <c r="BC54" s="136" t="s">
        <v>557</v>
      </c>
      <c r="BD54" s="137" t="s">
        <v>557</v>
      </c>
      <c r="BE54" s="135">
        <f>BE$3</f>
        <v>46191</v>
      </c>
      <c r="BF54" s="136" t="s">
        <v>557</v>
      </c>
      <c r="BG54" s="137" t="s">
        <v>557</v>
      </c>
      <c r="BH54" s="135">
        <f>BH$3</f>
        <v>46192</v>
      </c>
      <c r="BI54" s="136" t="s">
        <v>557</v>
      </c>
      <c r="BJ54" s="137" t="s">
        <v>557</v>
      </c>
      <c r="BK54" s="135">
        <f>BK$3</f>
        <v>46193</v>
      </c>
      <c r="BL54" s="136" t="s">
        <v>557</v>
      </c>
      <c r="BM54" s="137" t="s">
        <v>557</v>
      </c>
    </row>
    <row r="55" spans="1:65" outlineLevel="1">
      <c r="A55" s="122" t="str">
        <f>$A$37</f>
        <v>Trần Văn Diện</v>
      </c>
      <c r="B55" s="82" t="s">
        <v>683</v>
      </c>
      <c r="C55" s="81" t="str">
        <f>IF($B55="","",INDEX('All Bảng'!C:C,MATCH($B55,'All Bảng'!$A:$A,0)))</f>
        <v>Quản lý BIM</v>
      </c>
      <c r="D55" s="81" t="str">
        <f>IF($B55="","",INDEX('All Bảng'!D:D,MATCH($B55,'All Bảng'!$A:$A,0)))</f>
        <v>N.HCM.CGIO.KSMN</v>
      </c>
      <c r="E55" s="81" t="str">
        <f>IF($B55="","",INDEX('All Bảng'!E:E,MATCH($B55,'All Bảng'!$A:$A,0)))</f>
        <v>Lô A5.01.01, mẫu M1G, M7, M8G</v>
      </c>
      <c r="F55" s="81" t="str">
        <f>IF($B55="","",INDEX('All Bảng'!F:F,MATCH($B55,'All Bảng'!$A:$A,0)))</f>
        <v>KC</v>
      </c>
      <c r="G55" s="81" t="str">
        <f>IF($B55="","",INDEX('All Bảng'!G:G,MATCH($B55,'All Bảng'!$A:$A,0)))</f>
        <v>KSCL mô hình BIM</v>
      </c>
      <c r="H55" s="121"/>
      <c r="I55" s="135"/>
      <c r="J55" s="135">
        <f>J$3</f>
        <v>46174</v>
      </c>
      <c r="K55" s="148" t="s">
        <v>557</v>
      </c>
      <c r="L55" s="163"/>
      <c r="M55" s="135">
        <f>M$3</f>
        <v>46175</v>
      </c>
      <c r="N55" s="148" t="s">
        <v>557</v>
      </c>
      <c r="O55" s="137" t="s">
        <v>557</v>
      </c>
      <c r="P55" s="135">
        <f>P$3</f>
        <v>46176</v>
      </c>
      <c r="Q55" s="148" t="s">
        <v>557</v>
      </c>
      <c r="R55" s="137" t="s">
        <v>557</v>
      </c>
      <c r="S55" s="135">
        <f>S$3</f>
        <v>46177</v>
      </c>
      <c r="T55" s="136" t="s">
        <v>557</v>
      </c>
      <c r="U55" s="137" t="s">
        <v>557</v>
      </c>
      <c r="V55" s="135">
        <f>V$3</f>
        <v>46178</v>
      </c>
      <c r="W55" s="136" t="s">
        <v>557</v>
      </c>
      <c r="X55" s="137" t="s">
        <v>557</v>
      </c>
      <c r="Y55" s="135">
        <f>Y$3</f>
        <v>46179</v>
      </c>
      <c r="Z55" s="136" t="s">
        <v>557</v>
      </c>
      <c r="AA55" s="137" t="s">
        <v>557</v>
      </c>
      <c r="AB55" s="135"/>
      <c r="AC55" s="135">
        <f>AC$3</f>
        <v>46181</v>
      </c>
      <c r="AD55" s="136" t="s">
        <v>557</v>
      </c>
      <c r="AE55" s="137" t="s">
        <v>557</v>
      </c>
      <c r="AF55" s="135">
        <f>AF$3</f>
        <v>46182</v>
      </c>
      <c r="AG55" s="136" t="s">
        <v>557</v>
      </c>
      <c r="AH55" s="137" t="s">
        <v>557</v>
      </c>
      <c r="AI55" s="135">
        <f>AI$3</f>
        <v>46183</v>
      </c>
      <c r="AJ55" s="136" t="s">
        <v>557</v>
      </c>
      <c r="AK55" s="137" t="s">
        <v>557</v>
      </c>
      <c r="AL55" s="135">
        <f>AL$3</f>
        <v>46184</v>
      </c>
      <c r="AM55" s="136" t="s">
        <v>557</v>
      </c>
      <c r="AN55" s="137" t="s">
        <v>557</v>
      </c>
      <c r="AO55" s="135">
        <f>AO$3</f>
        <v>46185</v>
      </c>
      <c r="AP55" s="136" t="s">
        <v>557</v>
      </c>
      <c r="AQ55" s="137" t="s">
        <v>557</v>
      </c>
      <c r="AR55" s="135">
        <f>AR$3</f>
        <v>46186</v>
      </c>
      <c r="AS55" s="136" t="s">
        <v>557</v>
      </c>
      <c r="AT55" s="137" t="s">
        <v>557</v>
      </c>
      <c r="AU55" s="135"/>
      <c r="AV55" s="135">
        <f>AV$3</f>
        <v>46188</v>
      </c>
      <c r="AW55" s="148" t="s">
        <v>557</v>
      </c>
      <c r="AX55" s="137" t="s">
        <v>557</v>
      </c>
      <c r="AY55" s="135">
        <f>AY$3</f>
        <v>46189</v>
      </c>
      <c r="AZ55" s="136" t="s">
        <v>557</v>
      </c>
      <c r="BA55" s="137" t="s">
        <v>557</v>
      </c>
      <c r="BB55" s="135">
        <f>BB$3</f>
        <v>46190</v>
      </c>
      <c r="BC55" s="136" t="s">
        <v>557</v>
      </c>
      <c r="BD55" s="137" t="s">
        <v>557</v>
      </c>
      <c r="BE55" s="135">
        <f>BE$3</f>
        <v>46191</v>
      </c>
      <c r="BF55" s="136" t="s">
        <v>557</v>
      </c>
      <c r="BG55" s="137" t="s">
        <v>557</v>
      </c>
      <c r="BH55" s="135">
        <f>BH$3</f>
        <v>46192</v>
      </c>
      <c r="BI55" s="136" t="s">
        <v>557</v>
      </c>
      <c r="BJ55" s="137" t="s">
        <v>557</v>
      </c>
      <c r="BK55" s="135">
        <f>BK$3</f>
        <v>46193</v>
      </c>
      <c r="BL55" s="136" t="s">
        <v>557</v>
      </c>
      <c r="BM55" s="137" t="s">
        <v>557</v>
      </c>
    </row>
    <row r="56" spans="1:65" outlineLevel="1">
      <c r="A56" s="122" t="str">
        <f>$A$37</f>
        <v>Trần Văn Diện</v>
      </c>
      <c r="B56" s="82" t="s">
        <v>684</v>
      </c>
      <c r="C56" s="81" t="str">
        <f>IF($B56="","",INDEX('All Bảng'!C:C,MATCH($B56,'All Bảng'!$A:$A,0)))</f>
        <v>Quản lý BIM</v>
      </c>
      <c r="D56" s="81" t="str">
        <f>IF($B56="","",INDEX('All Bảng'!D:D,MATCH($B56,'All Bảng'!$A:$A,0)))</f>
        <v>N.HCM.CGIO.KS</v>
      </c>
      <c r="E56" s="81" t="str">
        <f>IF($B56="","",INDEX('All Bảng'!E:E,MATCH($B56,'All Bảng'!$A:$A,0)))</f>
        <v>Khách sạn M Gallery - B5.02.04</v>
      </c>
      <c r="F56" s="81" t="str">
        <f>IF($B56="","",INDEX('All Bảng'!F:F,MATCH($B56,'All Bảng'!$A:$A,0)))</f>
        <v>KT</v>
      </c>
      <c r="G56" s="81" t="str">
        <f>IF($B56="","",INDEX('All Bảng'!G:G,MATCH($B56,'All Bảng'!$A:$A,0)))</f>
        <v>Tạo lập mô hình BIM</v>
      </c>
      <c r="H56" s="121"/>
      <c r="I56" s="135"/>
      <c r="J56" s="135">
        <f>J$3</f>
        <v>46174</v>
      </c>
      <c r="K56" s="148" t="s">
        <v>557</v>
      </c>
      <c r="L56" s="163"/>
      <c r="M56" s="135">
        <f>M$3</f>
        <v>46175</v>
      </c>
      <c r="N56" s="148" t="s">
        <v>557</v>
      </c>
      <c r="O56" s="137" t="s">
        <v>557</v>
      </c>
      <c r="P56" s="135">
        <f>P$3</f>
        <v>46176</v>
      </c>
      <c r="Q56" s="148" t="s">
        <v>557</v>
      </c>
      <c r="R56" s="137" t="s">
        <v>557</v>
      </c>
      <c r="S56" s="135">
        <f>S$3</f>
        <v>46177</v>
      </c>
      <c r="T56" s="136" t="s">
        <v>557</v>
      </c>
      <c r="U56" s="137" t="s">
        <v>557</v>
      </c>
      <c r="V56" s="135">
        <f>V$3</f>
        <v>46178</v>
      </c>
      <c r="W56" s="136" t="s">
        <v>557</v>
      </c>
      <c r="X56" s="137" t="s">
        <v>557</v>
      </c>
      <c r="Y56" s="135">
        <f>Y$3</f>
        <v>46179</v>
      </c>
      <c r="Z56" s="136" t="s">
        <v>557</v>
      </c>
      <c r="AA56" s="137" t="s">
        <v>557</v>
      </c>
      <c r="AB56" s="135"/>
      <c r="AC56" s="135">
        <f>AC$3</f>
        <v>46181</v>
      </c>
      <c r="AD56" s="136" t="s">
        <v>557</v>
      </c>
      <c r="AE56" s="137" t="s">
        <v>557</v>
      </c>
      <c r="AF56" s="135">
        <f>AF$3</f>
        <v>46182</v>
      </c>
      <c r="AG56" s="136" t="s">
        <v>557</v>
      </c>
      <c r="AH56" s="137" t="s">
        <v>557</v>
      </c>
      <c r="AI56" s="135">
        <f>AI$3</f>
        <v>46183</v>
      </c>
      <c r="AJ56" s="136" t="s">
        <v>557</v>
      </c>
      <c r="AK56" s="137" t="s">
        <v>557</v>
      </c>
      <c r="AL56" s="135">
        <f>AL$3</f>
        <v>46184</v>
      </c>
      <c r="AM56" s="136" t="s">
        <v>557</v>
      </c>
      <c r="AN56" s="137" t="s">
        <v>557</v>
      </c>
      <c r="AO56" s="135">
        <f>AO$3</f>
        <v>46185</v>
      </c>
      <c r="AP56" s="136" t="s">
        <v>557</v>
      </c>
      <c r="AQ56" s="137" t="s">
        <v>557</v>
      </c>
      <c r="AR56" s="135">
        <f>AR$3</f>
        <v>46186</v>
      </c>
      <c r="AS56" s="136" t="s">
        <v>557</v>
      </c>
      <c r="AT56" s="137" t="s">
        <v>557</v>
      </c>
      <c r="AU56" s="135"/>
      <c r="AV56" s="135">
        <f>AV$3</f>
        <v>46188</v>
      </c>
      <c r="AW56" s="148" t="s">
        <v>557</v>
      </c>
      <c r="AX56" s="137" t="s">
        <v>557</v>
      </c>
      <c r="AY56" s="135">
        <f>AY$3</f>
        <v>46189</v>
      </c>
      <c r="AZ56" s="136" t="s">
        <v>557</v>
      </c>
      <c r="BA56" s="137" t="s">
        <v>557</v>
      </c>
      <c r="BB56" s="135">
        <f>BB$3</f>
        <v>46190</v>
      </c>
      <c r="BC56" s="136" t="s">
        <v>557</v>
      </c>
      <c r="BD56" s="137" t="s">
        <v>557</v>
      </c>
      <c r="BE56" s="135">
        <f>BE$3</f>
        <v>46191</v>
      </c>
      <c r="BF56" s="136" t="s">
        <v>557</v>
      </c>
      <c r="BG56" s="137" t="s">
        <v>557</v>
      </c>
      <c r="BH56" s="135">
        <f>BH$3</f>
        <v>46192</v>
      </c>
      <c r="BI56" s="136" t="s">
        <v>557</v>
      </c>
      <c r="BJ56" s="137" t="s">
        <v>557</v>
      </c>
      <c r="BK56" s="135">
        <f>BK$3</f>
        <v>46193</v>
      </c>
      <c r="BL56" s="136" t="s">
        <v>557</v>
      </c>
      <c r="BM56" s="137" t="s">
        <v>557</v>
      </c>
    </row>
    <row r="57" spans="1:65" outlineLevel="1">
      <c r="A57" s="122" t="str">
        <f>$A$37</f>
        <v>Trần Văn Diện</v>
      </c>
      <c r="B57" s="82" t="s">
        <v>685</v>
      </c>
      <c r="C57" s="81" t="str">
        <f>IF($B57="","",INDEX('All Bảng'!C:C,MATCH($B57,'All Bảng'!$A:$A,0)))</f>
        <v>Quản lý BIM</v>
      </c>
      <c r="D57" s="81" t="str">
        <f>IF($B57="","",INDEX('All Bảng'!D:D,MATCH($B57,'All Bảng'!$A:$A,0)))</f>
        <v>N.HCM.CGIO.KS</v>
      </c>
      <c r="E57" s="81" t="str">
        <f>IF($B57="","",INDEX('All Bảng'!E:E,MATCH($B57,'All Bảng'!$A:$A,0)))</f>
        <v>Khách sạn M Gallery - B5.02.04</v>
      </c>
      <c r="F57" s="81" t="str">
        <f>IF($B57="","",INDEX('All Bảng'!F:F,MATCH($B57,'All Bảng'!$A:$A,0)))</f>
        <v>KC</v>
      </c>
      <c r="G57" s="81" t="str">
        <f>IF($B57="","",INDEX('All Bảng'!G:G,MATCH($B57,'All Bảng'!$A:$A,0)))</f>
        <v>Tạo lập mô hình BIM</v>
      </c>
      <c r="H57" s="121"/>
      <c r="I57" s="135"/>
      <c r="J57" s="135">
        <f>J$3</f>
        <v>46174</v>
      </c>
      <c r="K57" s="148" t="s">
        <v>557</v>
      </c>
      <c r="L57" s="163"/>
      <c r="M57" s="135">
        <f>M$3</f>
        <v>46175</v>
      </c>
      <c r="N57" s="148" t="s">
        <v>557</v>
      </c>
      <c r="O57" s="137" t="s">
        <v>557</v>
      </c>
      <c r="P57" s="135">
        <f>P$3</f>
        <v>46176</v>
      </c>
      <c r="Q57" s="148" t="s">
        <v>557</v>
      </c>
      <c r="R57" s="137" t="s">
        <v>557</v>
      </c>
      <c r="S57" s="135">
        <f>S$3</f>
        <v>46177</v>
      </c>
      <c r="T57" s="136" t="s">
        <v>557</v>
      </c>
      <c r="U57" s="137" t="s">
        <v>557</v>
      </c>
      <c r="V57" s="135">
        <f>V$3</f>
        <v>46178</v>
      </c>
      <c r="W57" s="136" t="s">
        <v>557</v>
      </c>
      <c r="X57" s="137" t="s">
        <v>557</v>
      </c>
      <c r="Y57" s="135">
        <f>Y$3</f>
        <v>46179</v>
      </c>
      <c r="Z57" s="136" t="s">
        <v>557</v>
      </c>
      <c r="AA57" s="137" t="s">
        <v>557</v>
      </c>
      <c r="AB57" s="135"/>
      <c r="AC57" s="135">
        <f>AC$3</f>
        <v>46181</v>
      </c>
      <c r="AD57" s="136" t="s">
        <v>557</v>
      </c>
      <c r="AE57" s="137" t="s">
        <v>557</v>
      </c>
      <c r="AF57" s="135">
        <f>AF$3</f>
        <v>46182</v>
      </c>
      <c r="AG57" s="136" t="s">
        <v>557</v>
      </c>
      <c r="AH57" s="137" t="s">
        <v>557</v>
      </c>
      <c r="AI57" s="135">
        <f>AI$3</f>
        <v>46183</v>
      </c>
      <c r="AJ57" s="136" t="s">
        <v>557</v>
      </c>
      <c r="AK57" s="137" t="s">
        <v>557</v>
      </c>
      <c r="AL57" s="135">
        <f>AL$3</f>
        <v>46184</v>
      </c>
      <c r="AM57" s="136" t="s">
        <v>557</v>
      </c>
      <c r="AN57" s="137" t="s">
        <v>557</v>
      </c>
      <c r="AO57" s="135">
        <f>AO$3</f>
        <v>46185</v>
      </c>
      <c r="AP57" s="136" t="s">
        <v>557</v>
      </c>
      <c r="AQ57" s="137" t="s">
        <v>557</v>
      </c>
      <c r="AR57" s="135">
        <f>AR$3</f>
        <v>46186</v>
      </c>
      <c r="AS57" s="136" t="s">
        <v>557</v>
      </c>
      <c r="AT57" s="137" t="s">
        <v>557</v>
      </c>
      <c r="AU57" s="135"/>
      <c r="AV57" s="135">
        <f>AV$3</f>
        <v>46188</v>
      </c>
      <c r="AW57" s="148" t="s">
        <v>557</v>
      </c>
      <c r="AX57" s="137" t="s">
        <v>557</v>
      </c>
      <c r="AY57" s="135">
        <f>AY$3</f>
        <v>46189</v>
      </c>
      <c r="AZ57" s="136" t="s">
        <v>557</v>
      </c>
      <c r="BA57" s="137" t="s">
        <v>557</v>
      </c>
      <c r="BB57" s="135">
        <f>BB$3</f>
        <v>46190</v>
      </c>
      <c r="BC57" s="136" t="s">
        <v>557</v>
      </c>
      <c r="BD57" s="137" t="s">
        <v>557</v>
      </c>
      <c r="BE57" s="135">
        <f>BE$3</f>
        <v>46191</v>
      </c>
      <c r="BF57" s="136" t="s">
        <v>557</v>
      </c>
      <c r="BG57" s="137" t="s">
        <v>557</v>
      </c>
      <c r="BH57" s="135">
        <f>BH$3</f>
        <v>46192</v>
      </c>
      <c r="BI57" s="136" t="s">
        <v>557</v>
      </c>
      <c r="BJ57" s="137" t="s">
        <v>557</v>
      </c>
      <c r="BK57" s="135">
        <f>BK$3</f>
        <v>46193</v>
      </c>
      <c r="BL57" s="136" t="s">
        <v>557</v>
      </c>
      <c r="BM57" s="137" t="s">
        <v>557</v>
      </c>
    </row>
    <row r="58" spans="1:65" outlineLevel="1">
      <c r="A58" s="122" t="str">
        <f>$A$37</f>
        <v>Trần Văn Diện</v>
      </c>
      <c r="B58" s="82" t="s">
        <v>686</v>
      </c>
      <c r="C58" s="81" t="str">
        <f>IF($B58="","",INDEX('All Bảng'!C:C,MATCH($B58,'All Bảng'!$A:$A,0)))</f>
        <v>Quản lý BIM</v>
      </c>
      <c r="D58" s="81" t="str">
        <f>IF($B58="","",INDEX('All Bảng'!D:D,MATCH($B58,'All Bảng'!$A:$A,0)))</f>
        <v>B.DSHNQN.SUP</v>
      </c>
      <c r="E58" s="81" t="str">
        <f>IF($B58="","",INDEX('All Bảng'!E:E,MATCH($B58,'All Bảng'!$A:$A,0)))</f>
        <v>Bãi đúc dầm 05</v>
      </c>
      <c r="F58" s="81" t="str">
        <f>IF($B58="","",INDEX('All Bảng'!F:F,MATCH($B58,'All Bảng'!$A:$A,0)))</f>
        <v>KT</v>
      </c>
      <c r="G58" s="81" t="str">
        <f>IF($B58="","",INDEX('All Bảng'!G:G,MATCH($B58,'All Bảng'!$A:$A,0)))</f>
        <v>Tạo lập mô hình BIM</v>
      </c>
      <c r="H58" s="121"/>
      <c r="I58" s="135"/>
      <c r="J58" s="135">
        <f>J$3</f>
        <v>46174</v>
      </c>
      <c r="K58" s="148" t="s">
        <v>557</v>
      </c>
      <c r="L58" s="163"/>
      <c r="M58" s="135">
        <f>M$3</f>
        <v>46175</v>
      </c>
      <c r="N58" s="148" t="s">
        <v>557</v>
      </c>
      <c r="O58" s="137" t="s">
        <v>557</v>
      </c>
      <c r="P58" s="135">
        <f>P$3</f>
        <v>46176</v>
      </c>
      <c r="Q58" s="148" t="s">
        <v>557</v>
      </c>
      <c r="R58" s="137">
        <v>1.5</v>
      </c>
      <c r="S58" s="135">
        <f>S$3</f>
        <v>46177</v>
      </c>
      <c r="T58" s="136" t="s">
        <v>557</v>
      </c>
      <c r="U58" s="137">
        <v>6</v>
      </c>
      <c r="V58" s="135">
        <f>V$3</f>
        <v>46178</v>
      </c>
      <c r="W58" s="136" t="s">
        <v>557</v>
      </c>
      <c r="X58" s="137" t="s">
        <v>557</v>
      </c>
      <c r="Y58" s="135">
        <f>Y$3</f>
        <v>46179</v>
      </c>
      <c r="Z58" s="136" t="s">
        <v>557</v>
      </c>
      <c r="AA58" s="137" t="s">
        <v>557</v>
      </c>
      <c r="AB58" s="135"/>
      <c r="AC58" s="135">
        <f>AC$3</f>
        <v>46181</v>
      </c>
      <c r="AD58" s="136" t="s">
        <v>557</v>
      </c>
      <c r="AE58" s="137" t="s">
        <v>557</v>
      </c>
      <c r="AF58" s="135">
        <f>AF$3</f>
        <v>46182</v>
      </c>
      <c r="AG58" s="136" t="s">
        <v>557</v>
      </c>
      <c r="AH58" s="137" t="s">
        <v>557</v>
      </c>
      <c r="AI58" s="135">
        <f>AI$3</f>
        <v>46183</v>
      </c>
      <c r="AJ58" s="136" t="s">
        <v>557</v>
      </c>
      <c r="AK58" s="137" t="s">
        <v>557</v>
      </c>
      <c r="AL58" s="135">
        <f>AL$3</f>
        <v>46184</v>
      </c>
      <c r="AM58" s="136" t="s">
        <v>557</v>
      </c>
      <c r="AN58" s="137" t="s">
        <v>557</v>
      </c>
      <c r="AO58" s="135">
        <f>AO$3</f>
        <v>46185</v>
      </c>
      <c r="AP58" s="136" t="s">
        <v>557</v>
      </c>
      <c r="AQ58" s="137" t="s">
        <v>557</v>
      </c>
      <c r="AR58" s="135">
        <f>AR$3</f>
        <v>46186</v>
      </c>
      <c r="AS58" s="136" t="s">
        <v>557</v>
      </c>
      <c r="AT58" s="137" t="s">
        <v>557</v>
      </c>
      <c r="AU58" s="135"/>
      <c r="AV58" s="135">
        <f>AV$3</f>
        <v>46188</v>
      </c>
      <c r="AW58" s="148" t="s">
        <v>557</v>
      </c>
      <c r="AX58" s="137" t="s">
        <v>557</v>
      </c>
      <c r="AY58" s="135">
        <f>AY$3</f>
        <v>46189</v>
      </c>
      <c r="AZ58" s="136" t="s">
        <v>557</v>
      </c>
      <c r="BA58" s="137" t="s">
        <v>557</v>
      </c>
      <c r="BB58" s="135">
        <f>BB$3</f>
        <v>46190</v>
      </c>
      <c r="BC58" s="136" t="s">
        <v>557</v>
      </c>
      <c r="BD58" s="137" t="s">
        <v>557</v>
      </c>
      <c r="BE58" s="135">
        <f>BE$3</f>
        <v>46191</v>
      </c>
      <c r="BF58" s="136" t="s">
        <v>557</v>
      </c>
      <c r="BG58" s="137" t="s">
        <v>557</v>
      </c>
      <c r="BH58" s="135">
        <f>BH$3</f>
        <v>46192</v>
      </c>
      <c r="BI58" s="136" t="s">
        <v>557</v>
      </c>
      <c r="BJ58" s="137" t="s">
        <v>557</v>
      </c>
      <c r="BK58" s="135">
        <f>BK$3</f>
        <v>46193</v>
      </c>
      <c r="BL58" s="136" t="s">
        <v>557</v>
      </c>
      <c r="BM58" s="137" t="s">
        <v>557</v>
      </c>
    </row>
    <row r="59" spans="1:65" outlineLevel="1">
      <c r="A59" s="122" t="str">
        <f>$A$37</f>
        <v>Trần Văn Diện</v>
      </c>
      <c r="B59" s="82" t="s">
        <v>687</v>
      </c>
      <c r="C59" s="81" t="str">
        <f>IF($B59="","",INDEX('All Bảng'!C:C,MATCH($B59,'All Bảng'!$A:$A,0)))</f>
        <v>Quản lý BIM</v>
      </c>
      <c r="D59" s="81" t="str">
        <f>IF($B59="","",INDEX('All Bảng'!D:D,MATCH($B59,'All Bảng'!$A:$A,0)))</f>
        <v>B.DSHNQN.SUP</v>
      </c>
      <c r="E59" s="81" t="str">
        <f>IF($B59="","",INDEX('All Bảng'!E:E,MATCH($B59,'All Bảng'!$A:$A,0)))</f>
        <v>Bãi đúc dầm 06</v>
      </c>
      <c r="F59" s="81" t="str">
        <f>IF($B59="","",INDEX('All Bảng'!F:F,MATCH($B59,'All Bảng'!$A:$A,0)))</f>
        <v>KT</v>
      </c>
      <c r="G59" s="81" t="str">
        <f>IF($B59="","",INDEX('All Bảng'!G:G,MATCH($B59,'All Bảng'!$A:$A,0)))</f>
        <v>Tạo lập mô hình BIM</v>
      </c>
      <c r="H59" s="121"/>
      <c r="I59" s="135"/>
      <c r="J59" s="135">
        <f>J$3</f>
        <v>46174</v>
      </c>
      <c r="K59" s="148" t="s">
        <v>557</v>
      </c>
      <c r="L59" s="163"/>
      <c r="M59" s="135">
        <f>M$3</f>
        <v>46175</v>
      </c>
      <c r="N59" s="148" t="s">
        <v>557</v>
      </c>
      <c r="O59" s="137" t="s">
        <v>557</v>
      </c>
      <c r="P59" s="135">
        <f>P$3</f>
        <v>46176</v>
      </c>
      <c r="Q59" s="148" t="s">
        <v>557</v>
      </c>
      <c r="R59" s="137" t="s">
        <v>557</v>
      </c>
      <c r="S59" s="135">
        <f>S$3</f>
        <v>46177</v>
      </c>
      <c r="T59" s="136" t="s">
        <v>557</v>
      </c>
      <c r="U59" s="137" t="s">
        <v>557</v>
      </c>
      <c r="V59" s="135">
        <f>V$3</f>
        <v>46178</v>
      </c>
      <c r="W59" s="136" t="s">
        <v>557</v>
      </c>
      <c r="X59" s="137" t="s">
        <v>557</v>
      </c>
      <c r="Y59" s="135">
        <f>Y$3</f>
        <v>46179</v>
      </c>
      <c r="Z59" s="136" t="s">
        <v>557</v>
      </c>
      <c r="AA59" s="137" t="s">
        <v>557</v>
      </c>
      <c r="AB59" s="135"/>
      <c r="AC59" s="135">
        <f>AC$3</f>
        <v>46181</v>
      </c>
      <c r="AD59" s="136" t="s">
        <v>557</v>
      </c>
      <c r="AE59" s="137" t="s">
        <v>557</v>
      </c>
      <c r="AF59" s="135">
        <f>AF$3</f>
        <v>46182</v>
      </c>
      <c r="AG59" s="136" t="s">
        <v>557</v>
      </c>
      <c r="AH59" s="137" t="s">
        <v>557</v>
      </c>
      <c r="AI59" s="135">
        <f>AI$3</f>
        <v>46183</v>
      </c>
      <c r="AJ59" s="136" t="s">
        <v>557</v>
      </c>
      <c r="AK59" s="137" t="s">
        <v>557</v>
      </c>
      <c r="AL59" s="135">
        <f>AL$3</f>
        <v>46184</v>
      </c>
      <c r="AM59" s="136" t="s">
        <v>557</v>
      </c>
      <c r="AN59" s="137" t="s">
        <v>557</v>
      </c>
      <c r="AO59" s="135">
        <f>AO$3</f>
        <v>46185</v>
      </c>
      <c r="AP59" s="136" t="s">
        <v>557</v>
      </c>
      <c r="AQ59" s="137" t="s">
        <v>557</v>
      </c>
      <c r="AR59" s="135">
        <f>AR$3</f>
        <v>46186</v>
      </c>
      <c r="AS59" s="136" t="s">
        <v>557</v>
      </c>
      <c r="AT59" s="137" t="s">
        <v>557</v>
      </c>
      <c r="AU59" s="135"/>
      <c r="AV59" s="135">
        <f>AV$3</f>
        <v>46188</v>
      </c>
      <c r="AW59" s="148" t="s">
        <v>557</v>
      </c>
      <c r="AX59" s="137" t="s">
        <v>557</v>
      </c>
      <c r="AY59" s="135">
        <f>AY$3</f>
        <v>46189</v>
      </c>
      <c r="AZ59" s="136" t="s">
        <v>557</v>
      </c>
      <c r="BA59" s="137" t="s">
        <v>557</v>
      </c>
      <c r="BB59" s="135">
        <f>BB$3</f>
        <v>46190</v>
      </c>
      <c r="BC59" s="136" t="s">
        <v>557</v>
      </c>
      <c r="BD59" s="137" t="s">
        <v>557</v>
      </c>
      <c r="BE59" s="135">
        <f>BE$3</f>
        <v>46191</v>
      </c>
      <c r="BF59" s="136" t="s">
        <v>557</v>
      </c>
      <c r="BG59" s="137" t="s">
        <v>557</v>
      </c>
      <c r="BH59" s="135">
        <f>BH$3</f>
        <v>46192</v>
      </c>
      <c r="BI59" s="136" t="s">
        <v>557</v>
      </c>
      <c r="BJ59" s="137" t="s">
        <v>557</v>
      </c>
      <c r="BK59" s="135">
        <f>BK$3</f>
        <v>46193</v>
      </c>
      <c r="BL59" s="136" t="s">
        <v>557</v>
      </c>
      <c r="BM59" s="137" t="s">
        <v>557</v>
      </c>
    </row>
    <row r="60" spans="1:65" outlineLevel="1">
      <c r="A60" s="122" t="str">
        <f>$A$37</f>
        <v>Trần Văn Diện</v>
      </c>
      <c r="B60" s="82" t="s">
        <v>688</v>
      </c>
      <c r="C60" s="81" t="str">
        <f>IF($B60="","",INDEX('All Bảng'!C:C,MATCH($B60,'All Bảng'!$A:$A,0)))</f>
        <v>Quản lý BIM</v>
      </c>
      <c r="D60" s="81" t="str">
        <f>IF($B60="","",INDEX('All Bảng'!D:D,MATCH($B60,'All Bảng'!$A:$A,0)))</f>
        <v>B.DSHNQN.SUP</v>
      </c>
      <c r="E60" s="81" t="str">
        <f>IF($B60="","",INDEX('All Bảng'!E:E,MATCH($B60,'All Bảng'!$A:$A,0)))</f>
        <v>Bãi đúc dầm 05</v>
      </c>
      <c r="F60" s="81" t="str">
        <f>IF($B60="","",INDEX('All Bảng'!F:F,MATCH($B60,'All Bảng'!$A:$A,0)))</f>
        <v>KC</v>
      </c>
      <c r="G60" s="81" t="str">
        <f>IF($B60="","",INDEX('All Bảng'!G:G,MATCH($B60,'All Bảng'!$A:$A,0)))</f>
        <v>Tạo lập mô hình BIM</v>
      </c>
      <c r="H60" s="121"/>
      <c r="I60" s="135"/>
      <c r="J60" s="135">
        <f>J$3</f>
        <v>46174</v>
      </c>
      <c r="K60" s="148" t="s">
        <v>557</v>
      </c>
      <c r="L60" s="163"/>
      <c r="M60" s="135">
        <f>M$3</f>
        <v>46175</v>
      </c>
      <c r="N60" s="148" t="s">
        <v>557</v>
      </c>
      <c r="O60" s="137" t="s">
        <v>557</v>
      </c>
      <c r="P60" s="135">
        <f>P$3</f>
        <v>46176</v>
      </c>
      <c r="Q60" s="148" t="s">
        <v>557</v>
      </c>
      <c r="R60" s="137" t="s">
        <v>557</v>
      </c>
      <c r="S60" s="135">
        <f>S$3</f>
        <v>46177</v>
      </c>
      <c r="T60" s="136" t="s">
        <v>557</v>
      </c>
      <c r="U60" s="137" t="s">
        <v>557</v>
      </c>
      <c r="V60" s="135">
        <f>V$3</f>
        <v>46178</v>
      </c>
      <c r="W60" s="136" t="s">
        <v>557</v>
      </c>
      <c r="X60" s="137" t="s">
        <v>557</v>
      </c>
      <c r="Y60" s="135">
        <f>Y$3</f>
        <v>46179</v>
      </c>
      <c r="Z60" s="136" t="s">
        <v>557</v>
      </c>
      <c r="AA60" s="137" t="s">
        <v>557</v>
      </c>
      <c r="AB60" s="135"/>
      <c r="AC60" s="135">
        <f>AC$3</f>
        <v>46181</v>
      </c>
      <c r="AD60" s="136" t="s">
        <v>557</v>
      </c>
      <c r="AE60" s="137" t="s">
        <v>557</v>
      </c>
      <c r="AF60" s="135">
        <f>AF$3</f>
        <v>46182</v>
      </c>
      <c r="AG60" s="136" t="s">
        <v>557</v>
      </c>
      <c r="AH60" s="137" t="s">
        <v>557</v>
      </c>
      <c r="AI60" s="135">
        <f>AI$3</f>
        <v>46183</v>
      </c>
      <c r="AJ60" s="136" t="s">
        <v>557</v>
      </c>
      <c r="AK60" s="137" t="s">
        <v>557</v>
      </c>
      <c r="AL60" s="135">
        <f>AL$3</f>
        <v>46184</v>
      </c>
      <c r="AM60" s="136" t="s">
        <v>557</v>
      </c>
      <c r="AN60" s="137" t="s">
        <v>557</v>
      </c>
      <c r="AO60" s="135">
        <f>AO$3</f>
        <v>46185</v>
      </c>
      <c r="AP60" s="136" t="s">
        <v>557</v>
      </c>
      <c r="AQ60" s="137" t="s">
        <v>557</v>
      </c>
      <c r="AR60" s="135">
        <f>AR$3</f>
        <v>46186</v>
      </c>
      <c r="AS60" s="136" t="s">
        <v>557</v>
      </c>
      <c r="AT60" s="137" t="s">
        <v>557</v>
      </c>
      <c r="AU60" s="135"/>
      <c r="AV60" s="135">
        <f>AV$3</f>
        <v>46188</v>
      </c>
      <c r="AW60" s="148" t="s">
        <v>557</v>
      </c>
      <c r="AX60" s="137" t="s">
        <v>557</v>
      </c>
      <c r="AY60" s="135">
        <f>AY$3</f>
        <v>46189</v>
      </c>
      <c r="AZ60" s="136" t="s">
        <v>557</v>
      </c>
      <c r="BA60" s="137" t="s">
        <v>557</v>
      </c>
      <c r="BB60" s="135">
        <f>BB$3</f>
        <v>46190</v>
      </c>
      <c r="BC60" s="136" t="s">
        <v>557</v>
      </c>
      <c r="BD60" s="137" t="s">
        <v>557</v>
      </c>
      <c r="BE60" s="135">
        <f>BE$3</f>
        <v>46191</v>
      </c>
      <c r="BF60" s="136" t="s">
        <v>557</v>
      </c>
      <c r="BG60" s="137" t="s">
        <v>557</v>
      </c>
      <c r="BH60" s="135">
        <f>BH$3</f>
        <v>46192</v>
      </c>
      <c r="BI60" s="136" t="s">
        <v>557</v>
      </c>
      <c r="BJ60" s="137" t="s">
        <v>557</v>
      </c>
      <c r="BK60" s="135">
        <f>BK$3</f>
        <v>46193</v>
      </c>
      <c r="BL60" s="136" t="s">
        <v>557</v>
      </c>
      <c r="BM60" s="137" t="s">
        <v>557</v>
      </c>
    </row>
    <row r="61" spans="1:65" outlineLevel="1">
      <c r="A61" s="122" t="str">
        <f>$A$37</f>
        <v>Trần Văn Diện</v>
      </c>
      <c r="B61" s="82" t="s">
        <v>689</v>
      </c>
      <c r="C61" s="81" t="str">
        <f>IF($B61="","",INDEX('All Bảng'!C:C,MATCH($B61,'All Bảng'!$A:$A,0)))</f>
        <v>Quản lý BIM</v>
      </c>
      <c r="D61" s="81" t="str">
        <f>IF($B61="","",INDEX('All Bảng'!D:D,MATCH($B61,'All Bảng'!$A:$A,0)))</f>
        <v>B.DSHNQN.SUP</v>
      </c>
      <c r="E61" s="81" t="str">
        <f>IF($B61="","",INDEX('All Bảng'!E:E,MATCH($B61,'All Bảng'!$A:$A,0)))</f>
        <v>Bãi đúc dầm 06</v>
      </c>
      <c r="F61" s="81" t="str">
        <f>IF($B61="","",INDEX('All Bảng'!F:F,MATCH($B61,'All Bảng'!$A:$A,0)))</f>
        <v>KC</v>
      </c>
      <c r="G61" s="81" t="str">
        <f>IF($B61="","",INDEX('All Bảng'!G:G,MATCH($B61,'All Bảng'!$A:$A,0)))</f>
        <v>Tạo lập mô hình BIM</v>
      </c>
      <c r="H61" s="121"/>
      <c r="I61" s="135"/>
      <c r="J61" s="135">
        <f>J$3</f>
        <v>46174</v>
      </c>
      <c r="K61" s="148" t="s">
        <v>557</v>
      </c>
      <c r="L61" s="163"/>
      <c r="M61" s="135">
        <f>M$3</f>
        <v>46175</v>
      </c>
      <c r="N61" s="148" t="s">
        <v>557</v>
      </c>
      <c r="O61" s="137" t="s">
        <v>557</v>
      </c>
      <c r="P61" s="135">
        <f>P$3</f>
        <v>46176</v>
      </c>
      <c r="Q61" s="148" t="s">
        <v>557</v>
      </c>
      <c r="R61" s="137" t="s">
        <v>557</v>
      </c>
      <c r="S61" s="135">
        <f>S$3</f>
        <v>46177</v>
      </c>
      <c r="T61" s="136" t="s">
        <v>557</v>
      </c>
      <c r="U61" s="137" t="s">
        <v>557</v>
      </c>
      <c r="V61" s="135">
        <f>V$3</f>
        <v>46178</v>
      </c>
      <c r="W61" s="136" t="s">
        <v>557</v>
      </c>
      <c r="X61" s="137" t="s">
        <v>557</v>
      </c>
      <c r="Y61" s="135">
        <f>Y$3</f>
        <v>46179</v>
      </c>
      <c r="Z61" s="136" t="s">
        <v>557</v>
      </c>
      <c r="AA61" s="137" t="s">
        <v>557</v>
      </c>
      <c r="AB61" s="135"/>
      <c r="AC61" s="135">
        <f>AC$3</f>
        <v>46181</v>
      </c>
      <c r="AD61" s="136" t="s">
        <v>557</v>
      </c>
      <c r="AE61" s="137" t="s">
        <v>557</v>
      </c>
      <c r="AF61" s="135">
        <f>AF$3</f>
        <v>46182</v>
      </c>
      <c r="AG61" s="136" t="s">
        <v>557</v>
      </c>
      <c r="AH61" s="137" t="s">
        <v>557</v>
      </c>
      <c r="AI61" s="135">
        <f>AI$3</f>
        <v>46183</v>
      </c>
      <c r="AJ61" s="136" t="s">
        <v>557</v>
      </c>
      <c r="AK61" s="137" t="s">
        <v>557</v>
      </c>
      <c r="AL61" s="135">
        <f>AL$3</f>
        <v>46184</v>
      </c>
      <c r="AM61" s="136" t="s">
        <v>557</v>
      </c>
      <c r="AN61" s="137" t="s">
        <v>557</v>
      </c>
      <c r="AO61" s="135">
        <f>AO$3</f>
        <v>46185</v>
      </c>
      <c r="AP61" s="136" t="s">
        <v>557</v>
      </c>
      <c r="AQ61" s="137" t="s">
        <v>557</v>
      </c>
      <c r="AR61" s="135">
        <f>AR$3</f>
        <v>46186</v>
      </c>
      <c r="AS61" s="136" t="s">
        <v>557</v>
      </c>
      <c r="AT61" s="137" t="s">
        <v>557</v>
      </c>
      <c r="AU61" s="135"/>
      <c r="AV61" s="135">
        <f>AV$3</f>
        <v>46188</v>
      </c>
      <c r="AW61" s="148" t="s">
        <v>557</v>
      </c>
      <c r="AX61" s="137" t="s">
        <v>557</v>
      </c>
      <c r="AY61" s="135">
        <f>AY$3</f>
        <v>46189</v>
      </c>
      <c r="AZ61" s="136" t="s">
        <v>557</v>
      </c>
      <c r="BA61" s="137" t="s">
        <v>557</v>
      </c>
      <c r="BB61" s="135">
        <f>BB$3</f>
        <v>46190</v>
      </c>
      <c r="BC61" s="136" t="s">
        <v>557</v>
      </c>
      <c r="BD61" s="137" t="s">
        <v>557</v>
      </c>
      <c r="BE61" s="135">
        <f>BE$3</f>
        <v>46191</v>
      </c>
      <c r="BF61" s="136" t="s">
        <v>557</v>
      </c>
      <c r="BG61" s="137" t="s">
        <v>557</v>
      </c>
      <c r="BH61" s="135">
        <f>BH$3</f>
        <v>46192</v>
      </c>
      <c r="BI61" s="136" t="s">
        <v>557</v>
      </c>
      <c r="BJ61" s="137" t="s">
        <v>557</v>
      </c>
      <c r="BK61" s="135">
        <f>BK$3</f>
        <v>46193</v>
      </c>
      <c r="BL61" s="136" t="s">
        <v>557</v>
      </c>
      <c r="BM61" s="137" t="s">
        <v>557</v>
      </c>
    </row>
    <row r="62" spans="1:65" outlineLevel="1">
      <c r="A62" s="122" t="str">
        <f>$A$37</f>
        <v>Trần Văn Diện</v>
      </c>
      <c r="B62" s="167"/>
      <c r="C62" s="81" t="str">
        <f>IF($B62="","",INDEX('All Bảng'!C:C,MATCH($B62,'All Bảng'!$A:$A,0)))</f>
        <v/>
      </c>
      <c r="D62" s="81" t="str">
        <f>IF($B62="","",INDEX('All Bảng'!D:D,MATCH($B62,'All Bảng'!$A:$A,0)))</f>
        <v/>
      </c>
      <c r="E62" s="81" t="str">
        <f>IF($B62="","",INDEX('All Bảng'!E:E,MATCH($B62,'All Bảng'!$A:$A,0)))</f>
        <v/>
      </c>
      <c r="F62" s="81" t="str">
        <f>IF($B62="","",INDEX('All Bảng'!F:F,MATCH($B62,'All Bảng'!$A:$A,0)))</f>
        <v/>
      </c>
      <c r="G62" s="81" t="str">
        <f>IF($B62="","",INDEX('All Bảng'!G:G,MATCH($B62,'All Bảng'!$A:$A,0)))</f>
        <v/>
      </c>
      <c r="H62" s="121"/>
      <c r="I62" s="135"/>
      <c r="J62" s="135">
        <f>J$3</f>
        <v>46174</v>
      </c>
      <c r="K62" s="148" t="s">
        <v>557</v>
      </c>
      <c r="L62" s="163"/>
      <c r="M62" s="135">
        <f>M$3</f>
        <v>46175</v>
      </c>
      <c r="N62" s="148" t="s">
        <v>557</v>
      </c>
      <c r="O62" s="137" t="s">
        <v>557</v>
      </c>
      <c r="P62" s="135">
        <f>P$3</f>
        <v>46176</v>
      </c>
      <c r="Q62" s="148" t="s">
        <v>557</v>
      </c>
      <c r="R62" s="137" t="s">
        <v>557</v>
      </c>
      <c r="S62" s="135">
        <f>S$3</f>
        <v>46177</v>
      </c>
      <c r="T62" s="136" t="s">
        <v>557</v>
      </c>
      <c r="U62" s="137" t="s">
        <v>557</v>
      </c>
      <c r="V62" s="135">
        <f>V$3</f>
        <v>46178</v>
      </c>
      <c r="W62" s="136" t="s">
        <v>557</v>
      </c>
      <c r="X62" s="137" t="s">
        <v>557</v>
      </c>
      <c r="Y62" s="135">
        <f>Y$3</f>
        <v>46179</v>
      </c>
      <c r="Z62" s="136" t="s">
        <v>557</v>
      </c>
      <c r="AA62" s="137" t="s">
        <v>557</v>
      </c>
      <c r="AB62" s="135"/>
      <c r="AC62" s="135">
        <f>AC$3</f>
        <v>46181</v>
      </c>
      <c r="AD62" s="136" t="s">
        <v>557</v>
      </c>
      <c r="AE62" s="137" t="s">
        <v>557</v>
      </c>
      <c r="AF62" s="135">
        <f>AF$3</f>
        <v>46182</v>
      </c>
      <c r="AG62" s="136" t="s">
        <v>557</v>
      </c>
      <c r="AH62" s="137" t="s">
        <v>557</v>
      </c>
      <c r="AI62" s="135">
        <f>AI$3</f>
        <v>46183</v>
      </c>
      <c r="AJ62" s="136" t="s">
        <v>557</v>
      </c>
      <c r="AK62" s="137" t="s">
        <v>557</v>
      </c>
      <c r="AL62" s="135">
        <f>AL$3</f>
        <v>46184</v>
      </c>
      <c r="AM62" s="136" t="s">
        <v>557</v>
      </c>
      <c r="AN62" s="137" t="s">
        <v>557</v>
      </c>
      <c r="AO62" s="135">
        <f>AO$3</f>
        <v>46185</v>
      </c>
      <c r="AP62" s="136" t="s">
        <v>557</v>
      </c>
      <c r="AQ62" s="137" t="s">
        <v>557</v>
      </c>
      <c r="AR62" s="135">
        <f>AR$3</f>
        <v>46186</v>
      </c>
      <c r="AS62" s="136" t="s">
        <v>557</v>
      </c>
      <c r="AT62" s="137" t="s">
        <v>557</v>
      </c>
      <c r="AU62" s="135"/>
      <c r="AV62" s="135">
        <f>AV$3</f>
        <v>46188</v>
      </c>
      <c r="AW62" s="148" t="s">
        <v>557</v>
      </c>
      <c r="AX62" s="137" t="s">
        <v>557</v>
      </c>
      <c r="AY62" s="135">
        <f>AY$3</f>
        <v>46189</v>
      </c>
      <c r="AZ62" s="136" t="s">
        <v>557</v>
      </c>
      <c r="BA62" s="137" t="s">
        <v>557</v>
      </c>
      <c r="BB62" s="135">
        <f>BB$3</f>
        <v>46190</v>
      </c>
      <c r="BC62" s="136" t="s">
        <v>557</v>
      </c>
      <c r="BD62" s="137" t="s">
        <v>557</v>
      </c>
      <c r="BE62" s="135">
        <f>BE$3</f>
        <v>46191</v>
      </c>
      <c r="BF62" s="136" t="s">
        <v>557</v>
      </c>
      <c r="BG62" s="137" t="s">
        <v>557</v>
      </c>
      <c r="BH62" s="135">
        <f>BH$3</f>
        <v>46192</v>
      </c>
      <c r="BI62" s="136" t="s">
        <v>557</v>
      </c>
      <c r="BJ62" s="137" t="s">
        <v>557</v>
      </c>
      <c r="BK62" s="135">
        <f>BK$3</f>
        <v>46193</v>
      </c>
      <c r="BL62" s="136" t="s">
        <v>557</v>
      </c>
      <c r="BM62" s="137" t="s">
        <v>557</v>
      </c>
    </row>
    <row r="63" spans="1:65" outlineLevel="1">
      <c r="A63" s="166" t="str">
        <f>$A$37</f>
        <v>Trần Văn Diện</v>
      </c>
      <c r="B63" s="28"/>
      <c r="C63" s="81" t="str">
        <f>IF($B63="","",INDEX('All Bảng'!C:C,MATCH($B63,'All Bảng'!$A:$A,0)))</f>
        <v/>
      </c>
      <c r="D63" s="81" t="str">
        <f>IF($B63="","",INDEX('All Bảng'!D:D,MATCH($B63,'All Bảng'!$A:$A,0)))</f>
        <v/>
      </c>
      <c r="E63" s="81" t="str">
        <f>IF($B63="","",INDEX('All Bảng'!E:E,MATCH($B63,'All Bảng'!$A:$A,0)))</f>
        <v/>
      </c>
      <c r="F63" s="81" t="str">
        <f>IF($B63="","",INDEX('All Bảng'!F:F,MATCH($B63,'All Bảng'!$A:$A,0)))</f>
        <v/>
      </c>
      <c r="G63" s="81" t="str">
        <f>IF($B63="","",INDEX('All Bảng'!G:G,MATCH($B63,'All Bảng'!$A:$A,0)))</f>
        <v/>
      </c>
      <c r="H63" s="121"/>
      <c r="I63" s="135"/>
      <c r="J63" s="135">
        <f>J$3</f>
        <v>46174</v>
      </c>
      <c r="K63" s="148" t="s">
        <v>557</v>
      </c>
      <c r="L63" s="163"/>
      <c r="M63" s="135">
        <f>M$3</f>
        <v>46175</v>
      </c>
      <c r="N63" s="148" t="s">
        <v>557</v>
      </c>
      <c r="O63" s="137" t="s">
        <v>557</v>
      </c>
      <c r="P63" s="135">
        <f>P$3</f>
        <v>46176</v>
      </c>
      <c r="Q63" s="148" t="s">
        <v>557</v>
      </c>
      <c r="R63" s="137"/>
      <c r="S63" s="135">
        <f>S$3</f>
        <v>46177</v>
      </c>
      <c r="T63" s="136" t="s">
        <v>557</v>
      </c>
      <c r="U63" s="137" t="s">
        <v>557</v>
      </c>
      <c r="V63" s="135">
        <f>V$3</f>
        <v>46178</v>
      </c>
      <c r="W63" s="136" t="s">
        <v>557</v>
      </c>
      <c r="X63" s="137" t="s">
        <v>557</v>
      </c>
      <c r="Y63" s="135">
        <f>Y$3</f>
        <v>46179</v>
      </c>
      <c r="Z63" s="136" t="s">
        <v>557</v>
      </c>
      <c r="AA63" s="137" t="s">
        <v>557</v>
      </c>
      <c r="AB63" s="135"/>
      <c r="AC63" s="135">
        <f>AC$3</f>
        <v>46181</v>
      </c>
      <c r="AD63" s="136" t="s">
        <v>557</v>
      </c>
      <c r="AE63" s="137" t="s">
        <v>557</v>
      </c>
      <c r="AF63" s="135">
        <f>AF$3</f>
        <v>46182</v>
      </c>
      <c r="AG63" s="136" t="s">
        <v>557</v>
      </c>
      <c r="AH63" s="137" t="s">
        <v>557</v>
      </c>
      <c r="AI63" s="135">
        <f>AI$3</f>
        <v>46183</v>
      </c>
      <c r="AJ63" s="136" t="s">
        <v>557</v>
      </c>
      <c r="AK63" s="137" t="s">
        <v>557</v>
      </c>
      <c r="AL63" s="135">
        <f>AL$3</f>
        <v>46184</v>
      </c>
      <c r="AM63" s="136" t="s">
        <v>557</v>
      </c>
      <c r="AN63" s="137" t="s">
        <v>557</v>
      </c>
      <c r="AO63" s="135">
        <f>AO$3</f>
        <v>46185</v>
      </c>
      <c r="AP63" s="136" t="s">
        <v>557</v>
      </c>
      <c r="AQ63" s="137" t="s">
        <v>557</v>
      </c>
      <c r="AR63" s="135">
        <f>AR$3</f>
        <v>46186</v>
      </c>
      <c r="AS63" s="136" t="s">
        <v>557</v>
      </c>
      <c r="AT63" s="137" t="s">
        <v>557</v>
      </c>
      <c r="AU63" s="135"/>
      <c r="AV63" s="135">
        <f>AV$3</f>
        <v>46188</v>
      </c>
      <c r="AW63" s="148" t="s">
        <v>557</v>
      </c>
      <c r="AX63" s="137" t="s">
        <v>557</v>
      </c>
      <c r="AY63" s="135">
        <f>AY$3</f>
        <v>46189</v>
      </c>
      <c r="AZ63" s="136" t="s">
        <v>557</v>
      </c>
      <c r="BA63" s="137" t="s">
        <v>557</v>
      </c>
      <c r="BB63" s="135">
        <f>BB$3</f>
        <v>46190</v>
      </c>
      <c r="BC63" s="136" t="s">
        <v>557</v>
      </c>
      <c r="BD63" s="137" t="s">
        <v>557</v>
      </c>
      <c r="BE63" s="135">
        <f>BE$3</f>
        <v>46191</v>
      </c>
      <c r="BF63" s="136" t="s">
        <v>557</v>
      </c>
      <c r="BG63" s="137" t="s">
        <v>557</v>
      </c>
      <c r="BH63" s="135">
        <f>BH$3</f>
        <v>46192</v>
      </c>
      <c r="BI63" s="136" t="s">
        <v>557</v>
      </c>
      <c r="BJ63" s="137" t="s">
        <v>557</v>
      </c>
      <c r="BK63" s="135">
        <f>BK$3</f>
        <v>46193</v>
      </c>
      <c r="BL63" s="136" t="s">
        <v>557</v>
      </c>
      <c r="BM63" s="137" t="s">
        <v>557</v>
      </c>
    </row>
    <row r="64" spans="1:65" outlineLevel="1">
      <c r="A64" s="122" t="str">
        <f>$A$37</f>
        <v>Trần Văn Diện</v>
      </c>
      <c r="B64" s="167"/>
      <c r="C64" s="81" t="str">
        <f>IF($B64="","",INDEX('All Bảng'!C:C,MATCH($B64,'All Bảng'!$A:$A,0)))</f>
        <v/>
      </c>
      <c r="D64" s="81" t="str">
        <f>IF($B64="","",INDEX('All Bảng'!D:D,MATCH($B64,'All Bảng'!$A:$A,0)))</f>
        <v/>
      </c>
      <c r="E64" s="81" t="str">
        <f>IF($B64="","",INDEX('All Bảng'!E:E,MATCH($B64,'All Bảng'!$A:$A,0)))</f>
        <v/>
      </c>
      <c r="F64" s="81" t="str">
        <f>IF($B64="","",INDEX('All Bảng'!F:F,MATCH($B64,'All Bảng'!$A:$A,0)))</f>
        <v/>
      </c>
      <c r="G64" s="81" t="str">
        <f>IF($B64="","",INDEX('All Bảng'!G:G,MATCH($B64,'All Bảng'!$A:$A,0)))</f>
        <v/>
      </c>
      <c r="H64" s="121"/>
      <c r="I64" s="135"/>
      <c r="J64" s="135">
        <f>J$3</f>
        <v>46174</v>
      </c>
      <c r="K64" s="148" t="s">
        <v>557</v>
      </c>
      <c r="L64" s="163"/>
      <c r="M64" s="135">
        <f>M$3</f>
        <v>46175</v>
      </c>
      <c r="N64" s="148" t="s">
        <v>557</v>
      </c>
      <c r="O64" s="137" t="s">
        <v>557</v>
      </c>
      <c r="P64" s="135">
        <f>P$3</f>
        <v>46176</v>
      </c>
      <c r="Q64" s="148" t="s">
        <v>557</v>
      </c>
      <c r="R64" s="137" t="s">
        <v>557</v>
      </c>
      <c r="S64" s="135">
        <f>S$3</f>
        <v>46177</v>
      </c>
      <c r="T64" s="136" t="s">
        <v>557</v>
      </c>
      <c r="U64" s="137" t="s">
        <v>557</v>
      </c>
      <c r="V64" s="135">
        <f>V$3</f>
        <v>46178</v>
      </c>
      <c r="W64" s="136" t="s">
        <v>557</v>
      </c>
      <c r="X64" s="137" t="s">
        <v>557</v>
      </c>
      <c r="Y64" s="135">
        <f>Y$3</f>
        <v>46179</v>
      </c>
      <c r="Z64" s="136" t="s">
        <v>557</v>
      </c>
      <c r="AA64" s="137" t="s">
        <v>557</v>
      </c>
      <c r="AB64" s="135"/>
      <c r="AC64" s="135">
        <f>AC$3</f>
        <v>46181</v>
      </c>
      <c r="AD64" s="136" t="s">
        <v>557</v>
      </c>
      <c r="AE64" s="137" t="s">
        <v>557</v>
      </c>
      <c r="AF64" s="135">
        <f>AF$3</f>
        <v>46182</v>
      </c>
      <c r="AG64" s="136" t="s">
        <v>557</v>
      </c>
      <c r="AH64" s="137" t="s">
        <v>557</v>
      </c>
      <c r="AI64" s="135">
        <f>AI$3</f>
        <v>46183</v>
      </c>
      <c r="AJ64" s="136" t="s">
        <v>557</v>
      </c>
      <c r="AK64" s="137" t="s">
        <v>557</v>
      </c>
      <c r="AL64" s="135">
        <f>AL$3</f>
        <v>46184</v>
      </c>
      <c r="AM64" s="136" t="s">
        <v>557</v>
      </c>
      <c r="AN64" s="137" t="s">
        <v>557</v>
      </c>
      <c r="AO64" s="135">
        <f>AO$3</f>
        <v>46185</v>
      </c>
      <c r="AP64" s="136" t="s">
        <v>557</v>
      </c>
      <c r="AQ64" s="137" t="s">
        <v>557</v>
      </c>
      <c r="AR64" s="135">
        <f>AR$3</f>
        <v>46186</v>
      </c>
      <c r="AS64" s="136" t="s">
        <v>557</v>
      </c>
      <c r="AT64" s="137" t="s">
        <v>557</v>
      </c>
      <c r="AU64" s="135"/>
      <c r="AV64" s="135">
        <f>AV$3</f>
        <v>46188</v>
      </c>
      <c r="AW64" s="148" t="s">
        <v>557</v>
      </c>
      <c r="AX64" s="137" t="s">
        <v>557</v>
      </c>
      <c r="AY64" s="135">
        <f>AY$3</f>
        <v>46189</v>
      </c>
      <c r="AZ64" s="136" t="s">
        <v>557</v>
      </c>
      <c r="BA64" s="137" t="s">
        <v>557</v>
      </c>
      <c r="BB64" s="135">
        <f>BB$3</f>
        <v>46190</v>
      </c>
      <c r="BC64" s="136" t="s">
        <v>557</v>
      </c>
      <c r="BD64" s="137" t="s">
        <v>557</v>
      </c>
      <c r="BE64" s="135">
        <f>BE$3</f>
        <v>46191</v>
      </c>
      <c r="BF64" s="136" t="s">
        <v>557</v>
      </c>
      <c r="BG64" s="137" t="s">
        <v>557</v>
      </c>
      <c r="BH64" s="135">
        <f>BH$3</f>
        <v>46192</v>
      </c>
      <c r="BI64" s="136" t="s">
        <v>557</v>
      </c>
      <c r="BJ64" s="137" t="s">
        <v>557</v>
      </c>
      <c r="BK64" s="135">
        <f>BK$3</f>
        <v>46193</v>
      </c>
      <c r="BL64" s="136" t="s">
        <v>557</v>
      </c>
      <c r="BM64" s="137" t="s">
        <v>557</v>
      </c>
    </row>
    <row r="65" spans="1:65" outlineLevel="1">
      <c r="A65" s="166" t="str">
        <f>$A$37</f>
        <v>Trần Văn Diện</v>
      </c>
      <c r="B65" s="28" t="str">
        <f>'Bảng 7'!A6</f>
        <v>1.Công việc khác.004</v>
      </c>
      <c r="C65" s="81" t="str">
        <f>IF($B65="","",INDEX('All Bảng'!C:C,MATCH($B65,'All Bảng'!$A:$A,0)))</f>
        <v>Công việc khác</v>
      </c>
      <c r="D65" s="81" t="str">
        <f>IF($B65="","",INDEX('All Bảng'!D:D,MATCH($B65,'All Bảng'!$A:$A,0)))</f>
        <v>Công việc khác</v>
      </c>
      <c r="E65" s="81" t="str">
        <f>IF($B65="","",INDEX('All Bảng'!E:E,MATCH($B65,'All Bảng'!$A:$A,0)))</f>
        <v>Công việc khác</v>
      </c>
      <c r="F65" s="81" t="str">
        <f>IF($B65="","",INDEX('All Bảng'!F:F,MATCH($B65,'All Bảng'!$A:$A,0)))</f>
        <v>BIM</v>
      </c>
      <c r="G65" s="81" t="str">
        <f>IF($B65="","",INDEX('All Bảng'!G:G,MATCH($B65,'All Bảng'!$A:$A,0)))</f>
        <v>Báo cáo công việc</v>
      </c>
      <c r="H65" s="121"/>
      <c r="I65" s="135"/>
      <c r="J65" s="135">
        <f>J$3</f>
        <v>46174</v>
      </c>
      <c r="K65" s="148" t="s">
        <v>557</v>
      </c>
      <c r="L65" s="163"/>
      <c r="M65" s="135">
        <f>M$3</f>
        <v>46175</v>
      </c>
      <c r="N65" s="148" t="s">
        <v>557</v>
      </c>
      <c r="O65" s="137" t="s">
        <v>557</v>
      </c>
      <c r="P65" s="135">
        <f>P$3</f>
        <v>46176</v>
      </c>
      <c r="Q65" s="148" t="s">
        <v>557</v>
      </c>
      <c r="R65" s="137"/>
      <c r="S65" s="135">
        <f>S$3</f>
        <v>46177</v>
      </c>
      <c r="T65" s="136" t="s">
        <v>690</v>
      </c>
      <c r="U65" s="137">
        <v>2</v>
      </c>
      <c r="V65" s="135">
        <f>V$3</f>
        <v>46178</v>
      </c>
      <c r="W65" s="136" t="s">
        <v>557</v>
      </c>
      <c r="X65" s="137" t="s">
        <v>557</v>
      </c>
      <c r="Y65" s="135">
        <f>Y$3</f>
        <v>46179</v>
      </c>
      <c r="Z65" s="136" t="s">
        <v>557</v>
      </c>
      <c r="AA65" s="137" t="s">
        <v>557</v>
      </c>
      <c r="AB65" s="135"/>
      <c r="AC65" s="135">
        <f>AC$3</f>
        <v>46181</v>
      </c>
      <c r="AD65" s="136" t="s">
        <v>557</v>
      </c>
      <c r="AE65" s="137" t="s">
        <v>557</v>
      </c>
      <c r="AF65" s="135">
        <f>AF$3</f>
        <v>46182</v>
      </c>
      <c r="AG65" s="136" t="s">
        <v>557</v>
      </c>
      <c r="AH65" s="137" t="s">
        <v>557</v>
      </c>
      <c r="AI65" s="135">
        <f>AI$3</f>
        <v>46183</v>
      </c>
      <c r="AJ65" s="136" t="s">
        <v>557</v>
      </c>
      <c r="AK65" s="137" t="s">
        <v>557</v>
      </c>
      <c r="AL65" s="135">
        <f>AL$3</f>
        <v>46184</v>
      </c>
      <c r="AM65" s="136" t="s">
        <v>557</v>
      </c>
      <c r="AN65" s="137" t="s">
        <v>557</v>
      </c>
      <c r="AO65" s="135">
        <f>AO$3</f>
        <v>46185</v>
      </c>
      <c r="AP65" s="136" t="s">
        <v>557</v>
      </c>
      <c r="AQ65" s="137" t="s">
        <v>557</v>
      </c>
      <c r="AR65" s="135">
        <f>AR$3</f>
        <v>46186</v>
      </c>
      <c r="AS65" s="136" t="s">
        <v>557</v>
      </c>
      <c r="AT65" s="137" t="s">
        <v>557</v>
      </c>
      <c r="AU65" s="135"/>
      <c r="AV65" s="135">
        <f>AV$3</f>
        <v>46188</v>
      </c>
      <c r="AW65" s="148" t="s">
        <v>557</v>
      </c>
      <c r="AX65" s="137" t="s">
        <v>557</v>
      </c>
      <c r="AY65" s="135">
        <f>AY$3</f>
        <v>46189</v>
      </c>
      <c r="AZ65" s="136" t="s">
        <v>557</v>
      </c>
      <c r="BA65" s="137" t="s">
        <v>557</v>
      </c>
      <c r="BB65" s="135">
        <f>BB$3</f>
        <v>46190</v>
      </c>
      <c r="BC65" s="136" t="s">
        <v>557</v>
      </c>
      <c r="BD65" s="137" t="s">
        <v>557</v>
      </c>
      <c r="BE65" s="135">
        <f>BE$3</f>
        <v>46191</v>
      </c>
      <c r="BF65" s="136" t="s">
        <v>557</v>
      </c>
      <c r="BG65" s="137" t="s">
        <v>557</v>
      </c>
      <c r="BH65" s="135">
        <f>BH$3</f>
        <v>46192</v>
      </c>
      <c r="BI65" s="136" t="s">
        <v>557</v>
      </c>
      <c r="BJ65" s="137" t="s">
        <v>557</v>
      </c>
      <c r="BK65" s="135">
        <f>BK$3</f>
        <v>46193</v>
      </c>
      <c r="BL65" s="136" t="s">
        <v>557</v>
      </c>
      <c r="BM65" s="137" t="s">
        <v>557</v>
      </c>
    </row>
    <row r="66" spans="1:65">
      <c r="A66" s="290" t="s">
        <v>33</v>
      </c>
      <c r="B66" s="301"/>
      <c r="C66" s="292" t="str">
        <f>IF($B66="","",INDEX('All Bảng'!C:C,MATCH($B66,'All Bảng'!$A:$A,0)))</f>
        <v/>
      </c>
      <c r="D66" s="292" t="str">
        <f>IF($B66="","",INDEX('All Bảng'!D:D,MATCH($B66,'All Bảng'!$A:$A,0)))</f>
        <v/>
      </c>
      <c r="E66" s="292" t="str">
        <f>IF($B66="","",INDEX('All Bảng'!E:E,MATCH($B66,'All Bảng'!$A:$A,0)))</f>
        <v/>
      </c>
      <c r="F66" s="292" t="str">
        <f>IF($B66="","",INDEX('All Bảng'!F:F,MATCH($B66,'All Bảng'!$A:$A,0)))</f>
        <v/>
      </c>
      <c r="G66" s="292" t="str">
        <f>IF($B66="","",INDEX('All Bảng'!G:G,MATCH($B66,'All Bảng'!$A:$A,0)))</f>
        <v/>
      </c>
      <c r="H66" s="293"/>
      <c r="I66" s="294"/>
      <c r="J66" s="294">
        <f>J$3</f>
        <v>46174</v>
      </c>
      <c r="K66" s="295" t="s">
        <v>557</v>
      </c>
      <c r="L66" s="296">
        <f>SUM(L67:L99)</f>
        <v>8.5</v>
      </c>
      <c r="M66" s="294">
        <f>M$3</f>
        <v>46175</v>
      </c>
      <c r="N66" s="297" t="s">
        <v>557</v>
      </c>
      <c r="O66" s="298">
        <f>SUM(O67:O99)</f>
        <v>9</v>
      </c>
      <c r="P66" s="294">
        <f>P$3</f>
        <v>46176</v>
      </c>
      <c r="Q66" s="297" t="s">
        <v>557</v>
      </c>
      <c r="R66" s="298">
        <f>SUM(R67:R99)</f>
        <v>9</v>
      </c>
      <c r="S66" s="294">
        <f>S$3</f>
        <v>46177</v>
      </c>
      <c r="T66" s="299" t="s">
        <v>557</v>
      </c>
      <c r="U66" s="298">
        <f>SUM(U67:U99)</f>
        <v>8.5</v>
      </c>
      <c r="V66" s="294">
        <f>V$3</f>
        <v>46178</v>
      </c>
      <c r="W66" s="299" t="s">
        <v>557</v>
      </c>
      <c r="X66" s="298">
        <f>SUM(X67:X99)</f>
        <v>0</v>
      </c>
      <c r="Y66" s="294">
        <f>Y$3</f>
        <v>46179</v>
      </c>
      <c r="Z66" s="299" t="s">
        <v>557</v>
      </c>
      <c r="AA66" s="298">
        <f>SUM(AA67:AA99)</f>
        <v>0</v>
      </c>
      <c r="AB66" s="294"/>
      <c r="AC66" s="294">
        <f>AC$3</f>
        <v>46181</v>
      </c>
      <c r="AD66" s="299" t="s">
        <v>557</v>
      </c>
      <c r="AE66" s="298">
        <f>SUM(AE67:AE99)</f>
        <v>0</v>
      </c>
      <c r="AF66" s="294">
        <f>AF$3</f>
        <v>46182</v>
      </c>
      <c r="AG66" s="299" t="s">
        <v>557</v>
      </c>
      <c r="AH66" s="298">
        <f>SUM(AH67:AH99)</f>
        <v>0</v>
      </c>
      <c r="AI66" s="294">
        <f>AI$3</f>
        <v>46183</v>
      </c>
      <c r="AJ66" s="299" t="s">
        <v>557</v>
      </c>
      <c r="AK66" s="298">
        <f>SUM(AK67:AK99)</f>
        <v>0</v>
      </c>
      <c r="AL66" s="294">
        <f>AL$3</f>
        <v>46184</v>
      </c>
      <c r="AM66" s="299" t="s">
        <v>557</v>
      </c>
      <c r="AN66" s="298">
        <f>SUM(AN67:AN99)</f>
        <v>0</v>
      </c>
      <c r="AO66" s="294">
        <f>AO$3</f>
        <v>46185</v>
      </c>
      <c r="AP66" s="299" t="s">
        <v>557</v>
      </c>
      <c r="AQ66" s="298">
        <f>SUM(AQ67:AQ99)</f>
        <v>0</v>
      </c>
      <c r="AR66" s="294">
        <f>AR$3</f>
        <v>46186</v>
      </c>
      <c r="AS66" s="299" t="s">
        <v>557</v>
      </c>
      <c r="AT66" s="298">
        <f>SUM(AT67:AT99)</f>
        <v>0</v>
      </c>
      <c r="AU66" s="294"/>
      <c r="AV66" s="294">
        <f>AV$3</f>
        <v>46188</v>
      </c>
      <c r="AW66" s="297" t="s">
        <v>557</v>
      </c>
      <c r="AX66" s="298">
        <f>SUM(AX67:AX99)</f>
        <v>0</v>
      </c>
      <c r="AY66" s="294">
        <f>AY$3</f>
        <v>46189</v>
      </c>
      <c r="AZ66" s="299" t="s">
        <v>557</v>
      </c>
      <c r="BA66" s="298">
        <f>SUM(BA67:BA99)</f>
        <v>0</v>
      </c>
      <c r="BB66" s="294">
        <f>BB$3</f>
        <v>46190</v>
      </c>
      <c r="BC66" s="299" t="s">
        <v>557</v>
      </c>
      <c r="BD66" s="298">
        <f>SUM(BD67:BD99)</f>
        <v>0</v>
      </c>
      <c r="BE66" s="294">
        <f>BE$3</f>
        <v>46191</v>
      </c>
      <c r="BF66" s="299" t="s">
        <v>557</v>
      </c>
      <c r="BG66" s="298">
        <f>SUM(BG67:BG99)</f>
        <v>0</v>
      </c>
      <c r="BH66" s="294">
        <f>BH$3</f>
        <v>46192</v>
      </c>
      <c r="BI66" s="299" t="s">
        <v>557</v>
      </c>
      <c r="BJ66" s="298">
        <f>SUM(BJ67:BJ99)</f>
        <v>0</v>
      </c>
      <c r="BK66" s="294">
        <f>BK$3</f>
        <v>46193</v>
      </c>
      <c r="BL66" s="299" t="s">
        <v>557</v>
      </c>
      <c r="BM66" s="298">
        <f>SUM(BM67:BM99)</f>
        <v>0</v>
      </c>
    </row>
    <row r="67" spans="1:65" outlineLevel="1">
      <c r="A67" s="122" t="str">
        <f>$A$66</f>
        <v>Đỗ Minh Ngọc</v>
      </c>
      <c r="B67" s="82" t="str">
        <f>'Bảng 3'!A164</f>
        <v>3.B.HYE.NOXHHY.CT.101</v>
      </c>
      <c r="C67" s="81" t="str">
        <f>IF($B67="","",INDEX('All Bảng'!C:C,MATCH($B67,'All Bảng'!$A:$A,0)))</f>
        <v>Quản lý BIM</v>
      </c>
      <c r="D67" s="81" t="str">
        <f>IF($B67="","",INDEX('All Bảng'!D:D,MATCH($B67,'All Bảng'!$A:$A,0)))</f>
        <v>B.HYE.NOXHHY.CT</v>
      </c>
      <c r="E67" s="81" t="str">
        <f>IF($B67="","",INDEX('All Bảng'!E:E,MATCH($B67,'All Bảng'!$A:$A,0)))</f>
        <v>NOXH01 (04 tòa)</v>
      </c>
      <c r="F67" s="81" t="str">
        <f>IF($B67="","",INDEX('All Bảng'!F:F,MATCH($B67,'All Bảng'!$A:$A,0)))</f>
        <v>KT</v>
      </c>
      <c r="G67" s="81" t="str">
        <f>IF($B67="","",INDEX('All Bảng'!G:G,MATCH($B67,'All Bảng'!$A:$A,0)))</f>
        <v>KSCL mô hình BIM</v>
      </c>
      <c r="H67" s="121"/>
      <c r="I67" s="135"/>
      <c r="J67" s="135">
        <f>J$3</f>
        <v>46174</v>
      </c>
      <c r="K67" s="148" t="s">
        <v>691</v>
      </c>
      <c r="L67" s="163">
        <v>1</v>
      </c>
      <c r="M67" s="135">
        <f>M$3</f>
        <v>46175</v>
      </c>
      <c r="N67" s="263" t="s">
        <v>557</v>
      </c>
      <c r="O67" s="137" t="s">
        <v>557</v>
      </c>
      <c r="P67" s="135">
        <f>P$3</f>
        <v>46176</v>
      </c>
      <c r="Q67" s="148" t="s">
        <v>557</v>
      </c>
      <c r="R67" s="137" t="s">
        <v>557</v>
      </c>
      <c r="S67" s="135">
        <f>S$3</f>
        <v>46177</v>
      </c>
      <c r="T67" s="136" t="s">
        <v>557</v>
      </c>
      <c r="U67" s="137" t="s">
        <v>557</v>
      </c>
      <c r="V67" s="135">
        <f>V$3</f>
        <v>46178</v>
      </c>
      <c r="W67" s="136" t="s">
        <v>557</v>
      </c>
      <c r="X67" s="137" t="s">
        <v>557</v>
      </c>
      <c r="Y67" s="135">
        <f>Y$3</f>
        <v>46179</v>
      </c>
      <c r="Z67" s="136" t="s">
        <v>557</v>
      </c>
      <c r="AA67" s="137" t="s">
        <v>557</v>
      </c>
      <c r="AB67" s="135"/>
      <c r="AC67" s="135">
        <f>AC$3</f>
        <v>46181</v>
      </c>
      <c r="AD67" s="136" t="s">
        <v>557</v>
      </c>
      <c r="AE67" s="137" t="s">
        <v>557</v>
      </c>
      <c r="AF67" s="135">
        <f>AF$3</f>
        <v>46182</v>
      </c>
      <c r="AG67" s="136" t="s">
        <v>557</v>
      </c>
      <c r="AH67" s="137" t="s">
        <v>557</v>
      </c>
      <c r="AI67" s="135">
        <f>AI$3</f>
        <v>46183</v>
      </c>
      <c r="AJ67" s="136" t="s">
        <v>557</v>
      </c>
      <c r="AK67" s="137" t="s">
        <v>557</v>
      </c>
      <c r="AL67" s="135">
        <f>AL$3</f>
        <v>46184</v>
      </c>
      <c r="AM67" s="136" t="s">
        <v>557</v>
      </c>
      <c r="AN67" s="137" t="s">
        <v>557</v>
      </c>
      <c r="AO67" s="135">
        <f>AO$3</f>
        <v>46185</v>
      </c>
      <c r="AP67" s="136" t="s">
        <v>557</v>
      </c>
      <c r="AQ67" s="137" t="s">
        <v>557</v>
      </c>
      <c r="AR67" s="135">
        <f>AR$3</f>
        <v>46186</v>
      </c>
      <c r="AS67" s="136" t="s">
        <v>557</v>
      </c>
      <c r="AT67" s="137" t="s">
        <v>557</v>
      </c>
      <c r="AU67" s="135"/>
      <c r="AV67" s="135">
        <f>AV$3</f>
        <v>46188</v>
      </c>
      <c r="AW67" s="148" t="s">
        <v>557</v>
      </c>
      <c r="AX67" s="137"/>
      <c r="AY67" s="135">
        <f>AY$3</f>
        <v>46189</v>
      </c>
      <c r="AZ67" s="136" t="s">
        <v>557</v>
      </c>
      <c r="BA67" s="137" t="s">
        <v>557</v>
      </c>
      <c r="BB67" s="135">
        <f>BB$3</f>
        <v>46190</v>
      </c>
      <c r="BC67" s="136" t="s">
        <v>557</v>
      </c>
      <c r="BD67" s="137" t="s">
        <v>557</v>
      </c>
      <c r="BE67" s="135">
        <f>BE$3</f>
        <v>46191</v>
      </c>
      <c r="BF67" s="136" t="s">
        <v>557</v>
      </c>
      <c r="BG67" s="137" t="s">
        <v>557</v>
      </c>
      <c r="BH67" s="135">
        <f>BH$3</f>
        <v>46192</v>
      </c>
      <c r="BI67" s="136" t="s">
        <v>557</v>
      </c>
      <c r="BJ67" s="137" t="s">
        <v>557</v>
      </c>
      <c r="BK67" s="135">
        <f>BK$3</f>
        <v>46193</v>
      </c>
      <c r="BL67" s="136" t="s">
        <v>557</v>
      </c>
      <c r="BM67" s="137" t="s">
        <v>557</v>
      </c>
    </row>
    <row r="68" spans="1:65" outlineLevel="1">
      <c r="A68" s="122" t="str">
        <f>$A$66</f>
        <v>Đỗ Minh Ngọc</v>
      </c>
      <c r="B68" s="82" t="str">
        <f>'Bảng 3'!A165</f>
        <v>3.B.HYE.NOXHHY.CT.201</v>
      </c>
      <c r="C68" s="81" t="str">
        <f>IF($B68="","",INDEX('All Bảng'!C:C,MATCH($B68,'All Bảng'!$A:$A,0)))</f>
        <v>Quản lý BIM</v>
      </c>
      <c r="D68" s="81" t="str">
        <f>IF($B68="","",INDEX('All Bảng'!D:D,MATCH($B68,'All Bảng'!$A:$A,0)))</f>
        <v>B.HYE.NOXHHY.CT</v>
      </c>
      <c r="E68" s="81" t="str">
        <f>IF($B68="","",INDEX('All Bảng'!E:E,MATCH($B68,'All Bảng'!$A:$A,0)))</f>
        <v>NOXH01 (04 tòa)</v>
      </c>
      <c r="F68" s="81" t="str">
        <f>IF($B68="","",INDEX('All Bảng'!F:F,MATCH($B68,'All Bảng'!$A:$A,0)))</f>
        <v>KC</v>
      </c>
      <c r="G68" s="81" t="str">
        <f>IF($B68="","",INDEX('All Bảng'!G:G,MATCH($B68,'All Bảng'!$A:$A,0)))</f>
        <v>KSCL mô hình BIM</v>
      </c>
      <c r="H68" s="121"/>
      <c r="I68" s="135"/>
      <c r="J68" s="135">
        <f>J$3</f>
        <v>46174</v>
      </c>
      <c r="K68" s="148" t="s">
        <v>557</v>
      </c>
      <c r="L68" s="163"/>
      <c r="M68" s="135">
        <f>M$3</f>
        <v>46175</v>
      </c>
      <c r="N68" s="148" t="s">
        <v>557</v>
      </c>
      <c r="O68" s="137"/>
      <c r="P68" s="135">
        <f>P$3</f>
        <v>46176</v>
      </c>
      <c r="Q68" s="148" t="s">
        <v>557</v>
      </c>
      <c r="R68" s="137" t="s">
        <v>557</v>
      </c>
      <c r="S68" s="135">
        <f>S$3</f>
        <v>46177</v>
      </c>
      <c r="T68" s="136" t="s">
        <v>557</v>
      </c>
      <c r="U68" s="137" t="s">
        <v>557</v>
      </c>
      <c r="V68" s="135">
        <f>V$3</f>
        <v>46178</v>
      </c>
      <c r="W68" s="136" t="s">
        <v>557</v>
      </c>
      <c r="X68" s="137" t="s">
        <v>557</v>
      </c>
      <c r="Y68" s="135">
        <f>Y$3</f>
        <v>46179</v>
      </c>
      <c r="Z68" s="136" t="s">
        <v>557</v>
      </c>
      <c r="AA68" s="137" t="s">
        <v>557</v>
      </c>
      <c r="AB68" s="135"/>
      <c r="AC68" s="135">
        <f>AC$3</f>
        <v>46181</v>
      </c>
      <c r="AD68" s="136" t="s">
        <v>557</v>
      </c>
      <c r="AE68" s="137" t="s">
        <v>557</v>
      </c>
      <c r="AF68" s="135">
        <f>AF$3</f>
        <v>46182</v>
      </c>
      <c r="AG68" s="136" t="s">
        <v>557</v>
      </c>
      <c r="AH68" s="137" t="s">
        <v>557</v>
      </c>
      <c r="AI68" s="135">
        <f>AI$3</f>
        <v>46183</v>
      </c>
      <c r="AJ68" s="136" t="s">
        <v>557</v>
      </c>
      <c r="AK68" s="137" t="s">
        <v>557</v>
      </c>
      <c r="AL68" s="135">
        <f>AL$3</f>
        <v>46184</v>
      </c>
      <c r="AM68" s="136" t="s">
        <v>557</v>
      </c>
      <c r="AN68" s="137" t="s">
        <v>557</v>
      </c>
      <c r="AO68" s="135">
        <f>AO$3</f>
        <v>46185</v>
      </c>
      <c r="AP68" s="136" t="s">
        <v>557</v>
      </c>
      <c r="AQ68" s="137" t="s">
        <v>557</v>
      </c>
      <c r="AR68" s="135">
        <f>AR$3</f>
        <v>46186</v>
      </c>
      <c r="AS68" s="136" t="s">
        <v>557</v>
      </c>
      <c r="AT68" s="137" t="s">
        <v>557</v>
      </c>
      <c r="AU68" s="135"/>
      <c r="AV68" s="135">
        <f>AV$3</f>
        <v>46188</v>
      </c>
      <c r="AW68" s="148" t="s">
        <v>557</v>
      </c>
      <c r="AX68" s="137"/>
      <c r="AY68" s="135">
        <f>AY$3</f>
        <v>46189</v>
      </c>
      <c r="AZ68" s="136" t="s">
        <v>557</v>
      </c>
      <c r="BA68" s="137"/>
      <c r="BB68" s="135">
        <f>BB$3</f>
        <v>46190</v>
      </c>
      <c r="BC68" s="136" t="s">
        <v>557</v>
      </c>
      <c r="BD68" s="137" t="s">
        <v>557</v>
      </c>
      <c r="BE68" s="135">
        <f>BE$3</f>
        <v>46191</v>
      </c>
      <c r="BF68" s="136" t="s">
        <v>557</v>
      </c>
      <c r="BG68" s="137" t="s">
        <v>557</v>
      </c>
      <c r="BH68" s="135">
        <f>BH$3</f>
        <v>46192</v>
      </c>
      <c r="BI68" s="136" t="s">
        <v>557</v>
      </c>
      <c r="BJ68" s="137" t="s">
        <v>557</v>
      </c>
      <c r="BK68" s="135">
        <f>BK$3</f>
        <v>46193</v>
      </c>
      <c r="BL68" s="136" t="s">
        <v>557</v>
      </c>
      <c r="BM68" s="137" t="s">
        <v>557</v>
      </c>
    </row>
    <row r="69" spans="1:65" outlineLevel="1">
      <c r="A69" s="122" t="str">
        <f>$A$66</f>
        <v>Đỗ Minh Ngọc</v>
      </c>
      <c r="B69" s="82" t="str">
        <f>'Bảng 3'!A171</f>
        <v>3.B.HYE.NOXHHY.CT.102</v>
      </c>
      <c r="C69" s="81" t="str">
        <f>IF($B69="","",INDEX('All Bảng'!C:C,MATCH($B69,'All Bảng'!$A:$A,0)))</f>
        <v>Quản lý BIM</v>
      </c>
      <c r="D69" s="81" t="str">
        <f>IF($B69="","",INDEX('All Bảng'!D:D,MATCH($B69,'All Bảng'!$A:$A,0)))</f>
        <v>B.HYE.NOXHHY.CT</v>
      </c>
      <c r="E69" s="81" t="str">
        <f>IF($B69="","",INDEX('All Bảng'!E:E,MATCH($B69,'All Bảng'!$A:$A,0)))</f>
        <v>NOXH02 (09 tòa)</v>
      </c>
      <c r="F69" s="81" t="str">
        <f>IF($B69="","",INDEX('All Bảng'!F:F,MATCH($B69,'All Bảng'!$A:$A,0)))</f>
        <v>KT</v>
      </c>
      <c r="G69" s="81" t="str">
        <f>IF($B69="","",INDEX('All Bảng'!G:G,MATCH($B69,'All Bảng'!$A:$A,0)))</f>
        <v>KSCL mô hình BIM</v>
      </c>
      <c r="H69" s="121"/>
      <c r="I69" s="135"/>
      <c r="J69" s="135">
        <f>J$3</f>
        <v>46174</v>
      </c>
      <c r="K69" s="148" t="s">
        <v>557</v>
      </c>
      <c r="L69" s="163"/>
      <c r="M69" s="135">
        <f>M$3</f>
        <v>46175</v>
      </c>
      <c r="N69" s="148" t="s">
        <v>692</v>
      </c>
      <c r="O69" s="137">
        <v>6</v>
      </c>
      <c r="P69" s="135">
        <f>P$3</f>
        <v>46176</v>
      </c>
      <c r="Q69" s="148" t="s">
        <v>557</v>
      </c>
      <c r="R69" s="137" t="s">
        <v>557</v>
      </c>
      <c r="S69" s="135">
        <f>S$3</f>
        <v>46177</v>
      </c>
      <c r="T69" s="136" t="s">
        <v>557</v>
      </c>
      <c r="U69" s="137" t="s">
        <v>557</v>
      </c>
      <c r="V69" s="135">
        <f>V$3</f>
        <v>46178</v>
      </c>
      <c r="W69" s="136" t="s">
        <v>557</v>
      </c>
      <c r="X69" s="137" t="s">
        <v>557</v>
      </c>
      <c r="Y69" s="135">
        <f>Y$3</f>
        <v>46179</v>
      </c>
      <c r="Z69" s="136" t="s">
        <v>557</v>
      </c>
      <c r="AA69" s="137" t="s">
        <v>557</v>
      </c>
      <c r="AB69" s="135"/>
      <c r="AC69" s="135">
        <f>AC$3</f>
        <v>46181</v>
      </c>
      <c r="AD69" s="136" t="s">
        <v>557</v>
      </c>
      <c r="AE69" s="137" t="s">
        <v>557</v>
      </c>
      <c r="AF69" s="135">
        <f>AF$3</f>
        <v>46182</v>
      </c>
      <c r="AG69" s="136" t="s">
        <v>557</v>
      </c>
      <c r="AH69" s="137" t="s">
        <v>557</v>
      </c>
      <c r="AI69" s="135">
        <f>AI$3</f>
        <v>46183</v>
      </c>
      <c r="AJ69" s="136" t="s">
        <v>557</v>
      </c>
      <c r="AK69" s="137" t="s">
        <v>557</v>
      </c>
      <c r="AL69" s="135">
        <f>AL$3</f>
        <v>46184</v>
      </c>
      <c r="AM69" s="136" t="s">
        <v>557</v>
      </c>
      <c r="AN69" s="137" t="s">
        <v>557</v>
      </c>
      <c r="AO69" s="135">
        <f>AO$3</f>
        <v>46185</v>
      </c>
      <c r="AP69" s="136" t="s">
        <v>557</v>
      </c>
      <c r="AQ69" s="137" t="s">
        <v>557</v>
      </c>
      <c r="AR69" s="135">
        <f>AR$3</f>
        <v>46186</v>
      </c>
      <c r="AS69" s="136" t="s">
        <v>557</v>
      </c>
      <c r="AT69" s="137" t="s">
        <v>557</v>
      </c>
      <c r="AU69" s="135"/>
      <c r="AV69" s="135">
        <f>AV$3</f>
        <v>46188</v>
      </c>
      <c r="AW69" s="148" t="s">
        <v>557</v>
      </c>
      <c r="AX69" s="137"/>
      <c r="AY69" s="135">
        <f>AY$3</f>
        <v>46189</v>
      </c>
      <c r="AZ69" s="136" t="s">
        <v>557</v>
      </c>
      <c r="BA69" s="137"/>
      <c r="BB69" s="135">
        <f>BB$3</f>
        <v>46190</v>
      </c>
      <c r="BC69" s="136" t="s">
        <v>557</v>
      </c>
      <c r="BD69" s="137" t="s">
        <v>557</v>
      </c>
      <c r="BE69" s="135">
        <f>BE$3</f>
        <v>46191</v>
      </c>
      <c r="BF69" s="136" t="s">
        <v>557</v>
      </c>
      <c r="BG69" s="137" t="s">
        <v>557</v>
      </c>
      <c r="BH69" s="135">
        <f>BH$3</f>
        <v>46192</v>
      </c>
      <c r="BI69" s="136" t="s">
        <v>557</v>
      </c>
      <c r="BJ69" s="137" t="s">
        <v>557</v>
      </c>
      <c r="BK69" s="135">
        <f>BK$3</f>
        <v>46193</v>
      </c>
      <c r="BL69" s="136" t="s">
        <v>557</v>
      </c>
      <c r="BM69" s="137" t="s">
        <v>557</v>
      </c>
    </row>
    <row r="70" spans="1:65" outlineLevel="1">
      <c r="A70" s="122" t="str">
        <f>$A$66</f>
        <v>Đỗ Minh Ngọc</v>
      </c>
      <c r="B70" s="82" t="str">
        <f>'Bảng 3'!A172</f>
        <v>3.B.HYE.NOXHHY.CT.202</v>
      </c>
      <c r="C70" s="81" t="str">
        <f>IF($B70="","",INDEX('All Bảng'!C:C,MATCH($B70,'All Bảng'!$A:$A,0)))</f>
        <v>Quản lý BIM</v>
      </c>
      <c r="D70" s="81" t="str">
        <f>IF($B70="","",INDEX('All Bảng'!D:D,MATCH($B70,'All Bảng'!$A:$A,0)))</f>
        <v>B.HYE.NOXHHY.CT</v>
      </c>
      <c r="E70" s="81" t="str">
        <f>IF($B70="","",INDEX('All Bảng'!E:E,MATCH($B70,'All Bảng'!$A:$A,0)))</f>
        <v>NOXH02 (09 tòa)</v>
      </c>
      <c r="F70" s="81" t="str">
        <f>IF($B70="","",INDEX('All Bảng'!F:F,MATCH($B70,'All Bảng'!$A:$A,0)))</f>
        <v>KC</v>
      </c>
      <c r="G70" s="81" t="str">
        <f>IF($B70="","",INDEX('All Bảng'!G:G,MATCH($B70,'All Bảng'!$A:$A,0)))</f>
        <v>KSCL mô hình BIM</v>
      </c>
      <c r="H70" s="121"/>
      <c r="I70" s="135"/>
      <c r="J70" s="135">
        <f>J$3</f>
        <v>46174</v>
      </c>
      <c r="K70" s="148" t="s">
        <v>557</v>
      </c>
      <c r="L70" s="163" t="s">
        <v>557</v>
      </c>
      <c r="M70" s="135">
        <f>M$3</f>
        <v>46175</v>
      </c>
      <c r="N70" s="148" t="s">
        <v>693</v>
      </c>
      <c r="O70" s="137">
        <v>0.25</v>
      </c>
      <c r="P70" s="135">
        <f>P$3</f>
        <v>46176</v>
      </c>
      <c r="Q70" s="148" t="s">
        <v>557</v>
      </c>
      <c r="R70" s="137" t="s">
        <v>557</v>
      </c>
      <c r="S70" s="135">
        <f>S$3</f>
        <v>46177</v>
      </c>
      <c r="T70" s="136" t="s">
        <v>557</v>
      </c>
      <c r="U70" s="137" t="s">
        <v>557</v>
      </c>
      <c r="V70" s="135">
        <f>V$3</f>
        <v>46178</v>
      </c>
      <c r="W70" s="136" t="s">
        <v>557</v>
      </c>
      <c r="X70" s="137" t="s">
        <v>557</v>
      </c>
      <c r="Y70" s="135">
        <f>Y$3</f>
        <v>46179</v>
      </c>
      <c r="Z70" s="136" t="s">
        <v>557</v>
      </c>
      <c r="AA70" s="137" t="s">
        <v>557</v>
      </c>
      <c r="AB70" s="135"/>
      <c r="AC70" s="135">
        <f>AC$3</f>
        <v>46181</v>
      </c>
      <c r="AD70" s="136" t="s">
        <v>557</v>
      </c>
      <c r="AE70" s="137" t="s">
        <v>557</v>
      </c>
      <c r="AF70" s="135">
        <f>AF$3</f>
        <v>46182</v>
      </c>
      <c r="AG70" s="136" t="s">
        <v>557</v>
      </c>
      <c r="AH70" s="137" t="s">
        <v>557</v>
      </c>
      <c r="AI70" s="135">
        <f>AI$3</f>
        <v>46183</v>
      </c>
      <c r="AJ70" s="136" t="s">
        <v>557</v>
      </c>
      <c r="AK70" s="137" t="s">
        <v>557</v>
      </c>
      <c r="AL70" s="135">
        <f>AL$3</f>
        <v>46184</v>
      </c>
      <c r="AM70" s="136" t="s">
        <v>557</v>
      </c>
      <c r="AN70" s="137" t="s">
        <v>557</v>
      </c>
      <c r="AO70" s="135">
        <f>AO$3</f>
        <v>46185</v>
      </c>
      <c r="AP70" s="136" t="s">
        <v>557</v>
      </c>
      <c r="AQ70" s="137" t="s">
        <v>557</v>
      </c>
      <c r="AR70" s="135">
        <f>AR$3</f>
        <v>46186</v>
      </c>
      <c r="AS70" s="136" t="s">
        <v>557</v>
      </c>
      <c r="AT70" s="137" t="s">
        <v>557</v>
      </c>
      <c r="AU70" s="135"/>
      <c r="AV70" s="135">
        <f>AV$3</f>
        <v>46188</v>
      </c>
      <c r="AW70" s="148" t="s">
        <v>557</v>
      </c>
      <c r="AX70" s="137" t="s">
        <v>557</v>
      </c>
      <c r="AY70" s="135">
        <f>AY$3</f>
        <v>46189</v>
      </c>
      <c r="AZ70" s="136" t="s">
        <v>557</v>
      </c>
      <c r="BA70" s="137"/>
      <c r="BB70" s="135">
        <f>BB$3</f>
        <v>46190</v>
      </c>
      <c r="BC70" s="136" t="s">
        <v>557</v>
      </c>
      <c r="BD70" s="137" t="s">
        <v>557</v>
      </c>
      <c r="BE70" s="135">
        <f>BE$3</f>
        <v>46191</v>
      </c>
      <c r="BF70" s="136" t="s">
        <v>557</v>
      </c>
      <c r="BG70" s="137" t="s">
        <v>557</v>
      </c>
      <c r="BH70" s="135">
        <f>BH$3</f>
        <v>46192</v>
      </c>
      <c r="BI70" s="136" t="s">
        <v>557</v>
      </c>
      <c r="BJ70" s="137" t="s">
        <v>557</v>
      </c>
      <c r="BK70" s="135">
        <f>BK$3</f>
        <v>46193</v>
      </c>
      <c r="BL70" s="136" t="s">
        <v>557</v>
      </c>
      <c r="BM70" s="137" t="s">
        <v>557</v>
      </c>
    </row>
    <row r="71" spans="1:65" ht="15.75" customHeight="1" outlineLevel="1">
      <c r="A71" s="122" t="str">
        <f>$A$66</f>
        <v>Đỗ Minh Ngọc</v>
      </c>
      <c r="B71" s="82" t="str">
        <f>'Bảng 3'!A202</f>
        <v>3.B.HYE.PVF.101</v>
      </c>
      <c r="C71" s="81" t="str">
        <f>IF($B71="","",INDEX('All Bảng'!C:C,MATCH($B71,'All Bảng'!$A:$A,0)))</f>
        <v>Quản lý BIM</v>
      </c>
      <c r="D71" s="81" t="str">
        <f>IF($B71="","",INDEX('All Bảng'!D:D,MATCH($B71,'All Bảng'!$A:$A,0)))</f>
        <v>B.HYE.PVF</v>
      </c>
      <c r="E71" s="81" t="str">
        <f>IF($B71="","",INDEX('All Bảng'!E:E,MATCH($B71,'All Bảng'!$A:$A,0)))</f>
        <v>Nhà thi đấu TDTT03</v>
      </c>
      <c r="F71" s="81" t="str">
        <f>IF($B71="","",INDEX('All Bảng'!F:F,MATCH($B71,'All Bảng'!$A:$A,0)))</f>
        <v>KT</v>
      </c>
      <c r="G71" s="81" t="str">
        <f>IF($B71="","",INDEX('All Bảng'!G:G,MATCH($B71,'All Bảng'!$A:$A,0)))</f>
        <v>KSCL mô hình BIM</v>
      </c>
      <c r="H71" s="121"/>
      <c r="I71" s="135"/>
      <c r="J71" s="135">
        <f>J$3</f>
        <v>46174</v>
      </c>
      <c r="K71" s="148" t="s">
        <v>557</v>
      </c>
      <c r="L71" s="163" t="s">
        <v>557</v>
      </c>
      <c r="M71" s="135">
        <f>M$3</f>
        <v>46175</v>
      </c>
      <c r="N71" s="148" t="s">
        <v>694</v>
      </c>
      <c r="O71" s="137">
        <v>0.5</v>
      </c>
      <c r="P71" s="135">
        <f>P$3</f>
        <v>46176</v>
      </c>
      <c r="Q71" s="148" t="s">
        <v>695</v>
      </c>
      <c r="R71" s="163">
        <v>1</v>
      </c>
      <c r="S71" s="135">
        <f>S$3</f>
        <v>46177</v>
      </c>
      <c r="T71" s="327" t="s">
        <v>557</v>
      </c>
      <c r="U71" s="328" t="s">
        <v>557</v>
      </c>
      <c r="V71" s="135">
        <f>V$3</f>
        <v>46178</v>
      </c>
      <c r="W71" s="136" t="s">
        <v>557</v>
      </c>
      <c r="X71" s="137" t="s">
        <v>557</v>
      </c>
      <c r="Y71" s="135">
        <f>Y$3</f>
        <v>46179</v>
      </c>
      <c r="Z71" s="136" t="s">
        <v>557</v>
      </c>
      <c r="AA71" s="137" t="s">
        <v>557</v>
      </c>
      <c r="AB71" s="135"/>
      <c r="AC71" s="135">
        <f>AC$3</f>
        <v>46181</v>
      </c>
      <c r="AD71" s="136" t="s">
        <v>557</v>
      </c>
      <c r="AE71" s="137" t="s">
        <v>557</v>
      </c>
      <c r="AF71" s="135">
        <f>AF$3</f>
        <v>46182</v>
      </c>
      <c r="AG71" s="136" t="s">
        <v>557</v>
      </c>
      <c r="AH71" s="137" t="s">
        <v>557</v>
      </c>
      <c r="AI71" s="135">
        <f>AI$3</f>
        <v>46183</v>
      </c>
      <c r="AJ71" s="136" t="s">
        <v>557</v>
      </c>
      <c r="AK71" s="137" t="s">
        <v>557</v>
      </c>
      <c r="AL71" s="135">
        <f>AL$3</f>
        <v>46184</v>
      </c>
      <c r="AM71" s="136" t="s">
        <v>557</v>
      </c>
      <c r="AN71" s="137" t="s">
        <v>557</v>
      </c>
      <c r="AO71" s="135">
        <f>AO$3</f>
        <v>46185</v>
      </c>
      <c r="AP71" s="136" t="s">
        <v>557</v>
      </c>
      <c r="AQ71" s="137" t="s">
        <v>557</v>
      </c>
      <c r="AR71" s="135">
        <f>AR$3</f>
        <v>46186</v>
      </c>
      <c r="AS71" s="136" t="s">
        <v>557</v>
      </c>
      <c r="AT71" s="137" t="s">
        <v>557</v>
      </c>
      <c r="AU71" s="135"/>
      <c r="AV71" s="135">
        <f>AV$3</f>
        <v>46188</v>
      </c>
      <c r="AW71" s="148" t="s">
        <v>557</v>
      </c>
      <c r="AX71" s="137" t="s">
        <v>557</v>
      </c>
      <c r="AY71" s="135">
        <f>AY$3</f>
        <v>46189</v>
      </c>
      <c r="AZ71" s="136" t="s">
        <v>557</v>
      </c>
      <c r="BA71" s="137"/>
      <c r="BB71" s="135">
        <f>BB$3</f>
        <v>46190</v>
      </c>
      <c r="BC71" s="136" t="s">
        <v>557</v>
      </c>
      <c r="BD71" s="137" t="s">
        <v>557</v>
      </c>
      <c r="BE71" s="135">
        <f>BE$3</f>
        <v>46191</v>
      </c>
      <c r="BF71" s="136" t="s">
        <v>557</v>
      </c>
      <c r="BG71" s="137" t="s">
        <v>557</v>
      </c>
      <c r="BH71" s="135">
        <f>BH$3</f>
        <v>46192</v>
      </c>
      <c r="BI71" s="136" t="s">
        <v>557</v>
      </c>
      <c r="BJ71" s="137" t="s">
        <v>557</v>
      </c>
      <c r="BK71" s="135">
        <f>BK$3</f>
        <v>46193</v>
      </c>
      <c r="BL71" s="136" t="s">
        <v>557</v>
      </c>
      <c r="BM71" s="137" t="s">
        <v>557</v>
      </c>
    </row>
    <row r="72" spans="1:65" ht="30.75" outlineLevel="1">
      <c r="A72" s="122" t="str">
        <f>$A$66</f>
        <v>Đỗ Minh Ngọc</v>
      </c>
      <c r="B72" s="82" t="str">
        <f>'Bảng 3'!A204</f>
        <v>3.B.HYE.PVF.201</v>
      </c>
      <c r="C72" s="81" t="str">
        <f>IF($B72="","",INDEX('All Bảng'!C:C,MATCH($B72,'All Bảng'!$A:$A,0)))</f>
        <v>Quản lý BIM</v>
      </c>
      <c r="D72" s="81" t="str">
        <f>IF($B72="","",INDEX('All Bảng'!D:D,MATCH($B72,'All Bảng'!$A:$A,0)))</f>
        <v>B.HYE.PVF</v>
      </c>
      <c r="E72" s="81" t="str">
        <f>IF($B72="","",INDEX('All Bảng'!E:E,MATCH($B72,'All Bảng'!$A:$A,0)))</f>
        <v>Nhà thi đấu TDTT03</v>
      </c>
      <c r="F72" s="81" t="str">
        <f>IF($B72="","",INDEX('All Bảng'!F:F,MATCH($B72,'All Bảng'!$A:$A,0)))</f>
        <v>KC</v>
      </c>
      <c r="G72" s="81" t="str">
        <f>IF($B72="","",INDEX('All Bảng'!G:G,MATCH($B72,'All Bảng'!$A:$A,0)))</f>
        <v>KSCL mô hình BIM</v>
      </c>
      <c r="H72" s="121"/>
      <c r="I72" s="135"/>
      <c r="J72" s="135">
        <f>J$3</f>
        <v>46174</v>
      </c>
      <c r="K72" s="148" t="s">
        <v>557</v>
      </c>
      <c r="L72" s="163" t="s">
        <v>557</v>
      </c>
      <c r="M72" s="135">
        <f>M$3</f>
        <v>46175</v>
      </c>
      <c r="N72" s="148" t="s">
        <v>557</v>
      </c>
      <c r="O72" s="137"/>
      <c r="P72" s="135">
        <f>P$3</f>
        <v>46176</v>
      </c>
      <c r="Q72" s="148" t="s">
        <v>696</v>
      </c>
      <c r="R72" s="163">
        <v>1</v>
      </c>
      <c r="S72" s="262">
        <f>S$3</f>
        <v>46177</v>
      </c>
      <c r="T72" s="238" t="s">
        <v>557</v>
      </c>
      <c r="U72" s="265" t="s">
        <v>557</v>
      </c>
      <c r="V72" s="266">
        <f>V$3</f>
        <v>46178</v>
      </c>
      <c r="W72" s="136" t="s">
        <v>557</v>
      </c>
      <c r="X72" s="137" t="s">
        <v>557</v>
      </c>
      <c r="Y72" s="135">
        <f>Y$3</f>
        <v>46179</v>
      </c>
      <c r="Z72" s="136" t="s">
        <v>557</v>
      </c>
      <c r="AA72" s="137" t="s">
        <v>557</v>
      </c>
      <c r="AB72" s="135"/>
      <c r="AC72" s="135">
        <f>AC$3</f>
        <v>46181</v>
      </c>
      <c r="AD72" s="136" t="s">
        <v>557</v>
      </c>
      <c r="AE72" s="137" t="s">
        <v>557</v>
      </c>
      <c r="AF72" s="135">
        <f>AF$3</f>
        <v>46182</v>
      </c>
      <c r="AG72" s="136" t="s">
        <v>557</v>
      </c>
      <c r="AH72" s="137" t="s">
        <v>557</v>
      </c>
      <c r="AI72" s="135">
        <f>AI$3</f>
        <v>46183</v>
      </c>
      <c r="AJ72" s="136" t="s">
        <v>557</v>
      </c>
      <c r="AK72" s="137" t="s">
        <v>557</v>
      </c>
      <c r="AL72" s="135">
        <f>AL$3</f>
        <v>46184</v>
      </c>
      <c r="AM72" s="136" t="s">
        <v>557</v>
      </c>
      <c r="AN72" s="137" t="s">
        <v>557</v>
      </c>
      <c r="AO72" s="135">
        <f>AO$3</f>
        <v>46185</v>
      </c>
      <c r="AP72" s="136" t="s">
        <v>557</v>
      </c>
      <c r="AQ72" s="137" t="s">
        <v>557</v>
      </c>
      <c r="AR72" s="135">
        <f>AR$3</f>
        <v>46186</v>
      </c>
      <c r="AS72" s="136" t="s">
        <v>557</v>
      </c>
      <c r="AT72" s="137" t="s">
        <v>557</v>
      </c>
      <c r="AU72" s="135"/>
      <c r="AV72" s="135">
        <f>AV$3</f>
        <v>46188</v>
      </c>
      <c r="AW72" s="148" t="s">
        <v>557</v>
      </c>
      <c r="AX72" s="137" t="s">
        <v>557</v>
      </c>
      <c r="AY72" s="135">
        <f>AY$3</f>
        <v>46189</v>
      </c>
      <c r="AZ72" s="136" t="s">
        <v>557</v>
      </c>
      <c r="BA72" s="137"/>
      <c r="BB72" s="135">
        <f>BB$3</f>
        <v>46190</v>
      </c>
      <c r="BC72" s="136" t="s">
        <v>557</v>
      </c>
      <c r="BD72" s="137" t="s">
        <v>557</v>
      </c>
      <c r="BE72" s="135">
        <f>BE$3</f>
        <v>46191</v>
      </c>
      <c r="BF72" s="136" t="s">
        <v>557</v>
      </c>
      <c r="BG72" s="137" t="s">
        <v>557</v>
      </c>
      <c r="BH72" s="135">
        <f>BH$3</f>
        <v>46192</v>
      </c>
      <c r="BI72" s="136" t="s">
        <v>557</v>
      </c>
      <c r="BJ72" s="137" t="s">
        <v>557</v>
      </c>
      <c r="BK72" s="135">
        <f>BK$3</f>
        <v>46193</v>
      </c>
      <c r="BL72" s="136" t="s">
        <v>557</v>
      </c>
      <c r="BM72" s="137" t="s">
        <v>557</v>
      </c>
    </row>
    <row r="73" spans="1:65" ht="30.75" outlineLevel="1">
      <c r="A73" s="122" t="str">
        <f>$A$66</f>
        <v>Đỗ Minh Ngọc</v>
      </c>
      <c r="B73" s="82" t="str">
        <f>'Bảng 3'!A332</f>
        <v>3.N.HCM.CGIO.KS.104</v>
      </c>
      <c r="C73" s="81" t="str">
        <f>IF($B73="","",INDEX('All Bảng'!C:C,MATCH($B73,'All Bảng'!$A:$A,0)))</f>
        <v>Quản lý BIM</v>
      </c>
      <c r="D73" s="81" t="str">
        <f>IF($B73="","",INDEX('All Bảng'!D:D,MATCH($B73,'All Bảng'!$A:$A,0)))</f>
        <v>N.HCM.CGIO.KS</v>
      </c>
      <c r="E73" s="81" t="str">
        <f>IF($B73="","",INDEX('All Bảng'!E:E,MATCH($B73,'All Bảng'!$A:$A,0)))</f>
        <v>Khách sạn Vinpearl A5.02.13</v>
      </c>
      <c r="F73" s="81" t="str">
        <f>IF($B73="","",INDEX('All Bảng'!F:F,MATCH($B73,'All Bảng'!$A:$A,0)))</f>
        <v>KT</v>
      </c>
      <c r="G73" s="81" t="str">
        <f>IF($B73="","",INDEX('All Bảng'!G:G,MATCH($B73,'All Bảng'!$A:$A,0)))</f>
        <v>KSCL mô hình BIM</v>
      </c>
      <c r="H73" s="121"/>
      <c r="I73" s="135"/>
      <c r="J73" s="135">
        <f>J$3</f>
        <v>46174</v>
      </c>
      <c r="K73" s="148" t="s">
        <v>557</v>
      </c>
      <c r="L73" s="163" t="s">
        <v>557</v>
      </c>
      <c r="M73" s="135">
        <f>M$3</f>
        <v>46175</v>
      </c>
      <c r="N73" s="148" t="s">
        <v>557</v>
      </c>
      <c r="O73" s="137"/>
      <c r="P73" s="135">
        <f>P$3</f>
        <v>46176</v>
      </c>
      <c r="Q73" s="148" t="s">
        <v>557</v>
      </c>
      <c r="R73" s="163" t="s">
        <v>557</v>
      </c>
      <c r="S73" s="262">
        <f>S$3</f>
        <v>46177</v>
      </c>
      <c r="T73" s="326" t="s">
        <v>691</v>
      </c>
      <c r="U73" s="265">
        <v>2.5</v>
      </c>
      <c r="V73" s="266">
        <f>V$3</f>
        <v>46178</v>
      </c>
      <c r="W73" s="136" t="s">
        <v>557</v>
      </c>
      <c r="X73" s="137" t="s">
        <v>557</v>
      </c>
      <c r="Y73" s="135">
        <f>Y$3</f>
        <v>46179</v>
      </c>
      <c r="Z73" s="136" t="s">
        <v>557</v>
      </c>
      <c r="AA73" s="137" t="s">
        <v>557</v>
      </c>
      <c r="AB73" s="135"/>
      <c r="AC73" s="135">
        <f>AC$3</f>
        <v>46181</v>
      </c>
      <c r="AD73" s="136" t="s">
        <v>557</v>
      </c>
      <c r="AE73" s="137" t="s">
        <v>557</v>
      </c>
      <c r="AF73" s="135">
        <f>AF$3</f>
        <v>46182</v>
      </c>
      <c r="AG73" s="136" t="s">
        <v>557</v>
      </c>
      <c r="AH73" s="137" t="s">
        <v>557</v>
      </c>
      <c r="AI73" s="135">
        <f>AI$3</f>
        <v>46183</v>
      </c>
      <c r="AJ73" s="136" t="s">
        <v>557</v>
      </c>
      <c r="AK73" s="137" t="s">
        <v>557</v>
      </c>
      <c r="AL73" s="135">
        <f>AL$3</f>
        <v>46184</v>
      </c>
      <c r="AM73" s="136" t="s">
        <v>557</v>
      </c>
      <c r="AN73" s="137" t="s">
        <v>557</v>
      </c>
      <c r="AO73" s="135">
        <f>AO$3</f>
        <v>46185</v>
      </c>
      <c r="AP73" s="136" t="s">
        <v>557</v>
      </c>
      <c r="AQ73" s="137" t="s">
        <v>557</v>
      </c>
      <c r="AR73" s="135">
        <f>AR$3</f>
        <v>46186</v>
      </c>
      <c r="AS73" s="136" t="s">
        <v>557</v>
      </c>
      <c r="AT73" s="137" t="s">
        <v>557</v>
      </c>
      <c r="AU73" s="135"/>
      <c r="AV73" s="135">
        <f>AV$3</f>
        <v>46188</v>
      </c>
      <c r="AW73" s="148" t="s">
        <v>557</v>
      </c>
      <c r="AX73" s="137" t="s">
        <v>557</v>
      </c>
      <c r="AY73" s="135">
        <f>AY$3</f>
        <v>46189</v>
      </c>
      <c r="AZ73" s="136" t="s">
        <v>557</v>
      </c>
      <c r="BA73" s="137"/>
      <c r="BB73" s="135">
        <f>BB$3</f>
        <v>46190</v>
      </c>
      <c r="BC73" s="136" t="s">
        <v>557</v>
      </c>
      <c r="BD73" s="137" t="s">
        <v>557</v>
      </c>
      <c r="BE73" s="135">
        <f>BE$3</f>
        <v>46191</v>
      </c>
      <c r="BF73" s="136" t="s">
        <v>557</v>
      </c>
      <c r="BG73" s="137" t="s">
        <v>557</v>
      </c>
      <c r="BH73" s="135">
        <f>BH$3</f>
        <v>46192</v>
      </c>
      <c r="BI73" s="136" t="s">
        <v>557</v>
      </c>
      <c r="BJ73" s="137" t="s">
        <v>557</v>
      </c>
      <c r="BK73" s="135">
        <f>BK$3</f>
        <v>46193</v>
      </c>
      <c r="BL73" s="136" t="s">
        <v>557</v>
      </c>
      <c r="BM73" s="137" t="s">
        <v>557</v>
      </c>
    </row>
    <row r="74" spans="1:65" ht="30.75" outlineLevel="1">
      <c r="A74" s="122" t="str">
        <f>$A$66</f>
        <v>Đỗ Minh Ngọc</v>
      </c>
      <c r="B74" s="82" t="str">
        <f>'Bảng 3'!A333</f>
        <v>3.N.HCM.CGIO.KS.204</v>
      </c>
      <c r="C74" s="81" t="str">
        <f>IF($B74="","",INDEX('All Bảng'!C:C,MATCH($B74,'All Bảng'!$A:$A,0)))</f>
        <v>Quản lý BIM</v>
      </c>
      <c r="D74" s="81" t="str">
        <f>IF($B74="","",INDEX('All Bảng'!D:D,MATCH($B74,'All Bảng'!$A:$A,0)))</f>
        <v>N.HCM.CGIO.KS</v>
      </c>
      <c r="E74" s="81" t="str">
        <f>IF($B74="","",INDEX('All Bảng'!E:E,MATCH($B74,'All Bảng'!$A:$A,0)))</f>
        <v>Khách sạn Vinpearl A5.02.13</v>
      </c>
      <c r="F74" s="81" t="str">
        <f>IF($B74="","",INDEX('All Bảng'!F:F,MATCH($B74,'All Bảng'!$A:$A,0)))</f>
        <v>KC</v>
      </c>
      <c r="G74" s="81" t="str">
        <f>IF($B74="","",INDEX('All Bảng'!G:G,MATCH($B74,'All Bảng'!$A:$A,0)))</f>
        <v>KSCL mô hình BIM</v>
      </c>
      <c r="H74" s="121"/>
      <c r="I74" s="135"/>
      <c r="J74" s="135">
        <f>J$3</f>
        <v>46174</v>
      </c>
      <c r="K74" s="148" t="s">
        <v>557</v>
      </c>
      <c r="L74" s="163" t="s">
        <v>557</v>
      </c>
      <c r="M74" s="135">
        <f>M$3</f>
        <v>46175</v>
      </c>
      <c r="N74" s="148" t="s">
        <v>557</v>
      </c>
      <c r="O74" s="137"/>
      <c r="P74" s="135">
        <f>P$3</f>
        <v>46176</v>
      </c>
      <c r="Q74" s="148" t="s">
        <v>557</v>
      </c>
      <c r="R74" s="163" t="s">
        <v>557</v>
      </c>
      <c r="S74" s="262">
        <f>S$3</f>
        <v>46177</v>
      </c>
      <c r="T74" s="326" t="s">
        <v>691</v>
      </c>
      <c r="U74" s="137">
        <v>2.5</v>
      </c>
      <c r="V74" s="135">
        <f>V$3</f>
        <v>46178</v>
      </c>
      <c r="W74" s="136" t="s">
        <v>557</v>
      </c>
      <c r="X74" s="137" t="s">
        <v>557</v>
      </c>
      <c r="Y74" s="135">
        <f>Y$3</f>
        <v>46179</v>
      </c>
      <c r="Z74" s="136" t="s">
        <v>557</v>
      </c>
      <c r="AA74" s="137" t="s">
        <v>557</v>
      </c>
      <c r="AB74" s="135"/>
      <c r="AC74" s="135">
        <f>AC$3</f>
        <v>46181</v>
      </c>
      <c r="AD74" s="136" t="s">
        <v>557</v>
      </c>
      <c r="AE74" s="137" t="s">
        <v>557</v>
      </c>
      <c r="AF74" s="135">
        <f>AF$3</f>
        <v>46182</v>
      </c>
      <c r="AG74" s="136" t="s">
        <v>557</v>
      </c>
      <c r="AH74" s="137" t="s">
        <v>557</v>
      </c>
      <c r="AI74" s="135">
        <f>AI$3</f>
        <v>46183</v>
      </c>
      <c r="AJ74" s="136" t="s">
        <v>557</v>
      </c>
      <c r="AK74" s="137" t="s">
        <v>557</v>
      </c>
      <c r="AL74" s="135">
        <f>AL$3</f>
        <v>46184</v>
      </c>
      <c r="AM74" s="136" t="s">
        <v>557</v>
      </c>
      <c r="AN74" s="137" t="s">
        <v>557</v>
      </c>
      <c r="AO74" s="135">
        <f>AO$3</f>
        <v>46185</v>
      </c>
      <c r="AP74" s="136" t="s">
        <v>557</v>
      </c>
      <c r="AQ74" s="137" t="s">
        <v>557</v>
      </c>
      <c r="AR74" s="135">
        <f>AR$3</f>
        <v>46186</v>
      </c>
      <c r="AS74" s="136" t="s">
        <v>557</v>
      </c>
      <c r="AT74" s="137" t="s">
        <v>557</v>
      </c>
      <c r="AU74" s="135"/>
      <c r="AV74" s="135">
        <f>AV$3</f>
        <v>46188</v>
      </c>
      <c r="AW74" s="148" t="s">
        <v>557</v>
      </c>
      <c r="AX74" s="137" t="s">
        <v>557</v>
      </c>
      <c r="AY74" s="135">
        <f>AY$3</f>
        <v>46189</v>
      </c>
      <c r="AZ74" s="136" t="s">
        <v>557</v>
      </c>
      <c r="BA74" s="137"/>
      <c r="BB74" s="135">
        <f>BB$3</f>
        <v>46190</v>
      </c>
      <c r="BC74" s="136" t="s">
        <v>557</v>
      </c>
      <c r="BD74" s="137" t="s">
        <v>557</v>
      </c>
      <c r="BE74" s="135">
        <f>BE$3</f>
        <v>46191</v>
      </c>
      <c r="BF74" s="136" t="s">
        <v>557</v>
      </c>
      <c r="BG74" s="137" t="s">
        <v>557</v>
      </c>
      <c r="BH74" s="135">
        <f>BH$3</f>
        <v>46192</v>
      </c>
      <c r="BI74" s="136" t="s">
        <v>557</v>
      </c>
      <c r="BJ74" s="137" t="s">
        <v>557</v>
      </c>
      <c r="BK74" s="135">
        <f>BK$3</f>
        <v>46193</v>
      </c>
      <c r="BL74" s="136" t="s">
        <v>557</v>
      </c>
      <c r="BM74" s="137" t="s">
        <v>557</v>
      </c>
    </row>
    <row r="75" spans="1:65" outlineLevel="1">
      <c r="A75" s="122" t="str">
        <f>$A$66</f>
        <v>Đỗ Minh Ngọc</v>
      </c>
      <c r="B75" s="82" t="str">
        <f>'Bảng 3'!A349</f>
        <v>3.N.HCM.CGIO.KSMN.101</v>
      </c>
      <c r="C75" s="81" t="str">
        <f>IF($B75="","",INDEX('All Bảng'!C:C,MATCH($B75,'All Bảng'!$A:$A,0)))</f>
        <v>Quản lý BIM</v>
      </c>
      <c r="D75" s="81" t="str">
        <f>IF($B75="","",INDEX('All Bảng'!D:D,MATCH($B75,'All Bảng'!$A:$A,0)))</f>
        <v>N.HCM.CGIO.KSMN</v>
      </c>
      <c r="E75" s="81" t="str">
        <f>IF($B75="","",INDEX('All Bảng'!E:E,MATCH($B75,'All Bảng'!$A:$A,0)))</f>
        <v>Lô A5.01.01, mẫu M1G, M7, M8G</v>
      </c>
      <c r="F75" s="81" t="str">
        <f>IF($B75="","",INDEX('All Bảng'!F:F,MATCH($B75,'All Bảng'!$A:$A,0)))</f>
        <v>KT</v>
      </c>
      <c r="G75" s="81" t="str">
        <f>IF($B75="","",INDEX('All Bảng'!G:G,MATCH($B75,'All Bảng'!$A:$A,0)))</f>
        <v>KSCL mô hình BIM</v>
      </c>
      <c r="H75" s="121"/>
      <c r="I75" s="135"/>
      <c r="J75" s="135">
        <f>J$3</f>
        <v>46174</v>
      </c>
      <c r="K75" s="148" t="s">
        <v>557</v>
      </c>
      <c r="L75" s="163" t="s">
        <v>557</v>
      </c>
      <c r="M75" s="135">
        <f>M$3</f>
        <v>46175</v>
      </c>
      <c r="N75" s="148" t="s">
        <v>557</v>
      </c>
      <c r="O75" s="137"/>
      <c r="P75" s="135">
        <f>P$3</f>
        <v>46176</v>
      </c>
      <c r="Q75" s="148" t="s">
        <v>557</v>
      </c>
      <c r="R75" s="163" t="s">
        <v>557</v>
      </c>
      <c r="S75" s="262">
        <f>S$3</f>
        <v>46177</v>
      </c>
      <c r="T75" s="238" t="s">
        <v>557</v>
      </c>
      <c r="U75" s="137" t="s">
        <v>557</v>
      </c>
      <c r="V75" s="135">
        <f>V$3</f>
        <v>46178</v>
      </c>
      <c r="W75" s="136" t="s">
        <v>557</v>
      </c>
      <c r="X75" s="137" t="s">
        <v>557</v>
      </c>
      <c r="Y75" s="135">
        <f>Y$3</f>
        <v>46179</v>
      </c>
      <c r="Z75" s="136" t="s">
        <v>557</v>
      </c>
      <c r="AA75" s="137" t="s">
        <v>557</v>
      </c>
      <c r="AB75" s="135"/>
      <c r="AC75" s="135">
        <f>AC$3</f>
        <v>46181</v>
      </c>
      <c r="AD75" s="136" t="s">
        <v>557</v>
      </c>
      <c r="AE75" s="137" t="s">
        <v>557</v>
      </c>
      <c r="AF75" s="135">
        <f>AF$3</f>
        <v>46182</v>
      </c>
      <c r="AG75" s="136" t="s">
        <v>557</v>
      </c>
      <c r="AH75" s="137" t="s">
        <v>557</v>
      </c>
      <c r="AI75" s="135">
        <f>AI$3</f>
        <v>46183</v>
      </c>
      <c r="AJ75" s="136" t="s">
        <v>557</v>
      </c>
      <c r="AK75" s="137" t="s">
        <v>557</v>
      </c>
      <c r="AL75" s="135">
        <f>AL$3</f>
        <v>46184</v>
      </c>
      <c r="AM75" s="136" t="s">
        <v>557</v>
      </c>
      <c r="AN75" s="137" t="s">
        <v>557</v>
      </c>
      <c r="AO75" s="135">
        <f>AO$3</f>
        <v>46185</v>
      </c>
      <c r="AP75" s="136" t="s">
        <v>557</v>
      </c>
      <c r="AQ75" s="137" t="s">
        <v>557</v>
      </c>
      <c r="AR75" s="135">
        <f>AR$3</f>
        <v>46186</v>
      </c>
      <c r="AS75" s="136" t="s">
        <v>557</v>
      </c>
      <c r="AT75" s="137" t="s">
        <v>557</v>
      </c>
      <c r="AU75" s="135"/>
      <c r="AV75" s="135">
        <f>AV$3</f>
        <v>46188</v>
      </c>
      <c r="AW75" s="148" t="s">
        <v>557</v>
      </c>
      <c r="AX75" s="137" t="s">
        <v>557</v>
      </c>
      <c r="AY75" s="135">
        <f>AY$3</f>
        <v>46189</v>
      </c>
      <c r="AZ75" s="136" t="s">
        <v>557</v>
      </c>
      <c r="BA75" s="137"/>
      <c r="BB75" s="135">
        <f>BB$3</f>
        <v>46190</v>
      </c>
      <c r="BC75" s="136" t="s">
        <v>557</v>
      </c>
      <c r="BD75" s="137" t="s">
        <v>557</v>
      </c>
      <c r="BE75" s="135">
        <f>BE$3</f>
        <v>46191</v>
      </c>
      <c r="BF75" s="136" t="s">
        <v>557</v>
      </c>
      <c r="BG75" s="137" t="s">
        <v>557</v>
      </c>
      <c r="BH75" s="135">
        <f>BH$3</f>
        <v>46192</v>
      </c>
      <c r="BI75" s="136" t="s">
        <v>557</v>
      </c>
      <c r="BJ75" s="137" t="s">
        <v>557</v>
      </c>
      <c r="BK75" s="135">
        <f>BK$3</f>
        <v>46193</v>
      </c>
      <c r="BL75" s="136" t="s">
        <v>557</v>
      </c>
      <c r="BM75" s="137" t="s">
        <v>557</v>
      </c>
    </row>
    <row r="76" spans="1:65" outlineLevel="1">
      <c r="A76" s="122" t="str">
        <f>$A$66</f>
        <v>Đỗ Minh Ngọc</v>
      </c>
      <c r="B76" s="82" t="str">
        <f>'Bảng 3'!A351</f>
        <v>3.N.HCM.CGIO.KSMN.201</v>
      </c>
      <c r="C76" s="81" t="str">
        <f>IF($B76="","",INDEX('All Bảng'!C:C,MATCH($B76,'All Bảng'!$A:$A,0)))</f>
        <v>Quản lý BIM</v>
      </c>
      <c r="D76" s="81" t="str">
        <f>IF($B76="","",INDEX('All Bảng'!D:D,MATCH($B76,'All Bảng'!$A:$A,0)))</f>
        <v>N.HCM.CGIO.KSMN</v>
      </c>
      <c r="E76" s="81" t="str">
        <f>IF($B76="","",INDEX('All Bảng'!E:E,MATCH($B76,'All Bảng'!$A:$A,0)))</f>
        <v>Lô A5.01.01, mẫu M1G, M7, M8G</v>
      </c>
      <c r="F76" s="81" t="str">
        <f>IF($B76="","",INDEX('All Bảng'!F:F,MATCH($B76,'All Bảng'!$A:$A,0)))</f>
        <v>KC</v>
      </c>
      <c r="G76" s="81" t="str">
        <f>IF($B76="","",INDEX('All Bảng'!G:G,MATCH($B76,'All Bảng'!$A:$A,0)))</f>
        <v>KSCL mô hình BIM</v>
      </c>
      <c r="H76" s="121"/>
      <c r="I76" s="135"/>
      <c r="J76" s="135">
        <f>J$3</f>
        <v>46174</v>
      </c>
      <c r="K76" s="148" t="s">
        <v>557</v>
      </c>
      <c r="L76" s="163" t="s">
        <v>557</v>
      </c>
      <c r="M76" s="135">
        <f>M$3</f>
        <v>46175</v>
      </c>
      <c r="N76" s="148" t="s">
        <v>557</v>
      </c>
      <c r="O76" s="137"/>
      <c r="P76" s="135">
        <f>P$3</f>
        <v>46176</v>
      </c>
      <c r="Q76" s="148" t="s">
        <v>557</v>
      </c>
      <c r="R76" s="163" t="s">
        <v>557</v>
      </c>
      <c r="S76" s="262">
        <f>S$3</f>
        <v>46177</v>
      </c>
      <c r="T76" s="238" t="s">
        <v>557</v>
      </c>
      <c r="U76" s="137" t="s">
        <v>557</v>
      </c>
      <c r="V76" s="135">
        <f>V$3</f>
        <v>46178</v>
      </c>
      <c r="W76" s="136" t="s">
        <v>557</v>
      </c>
      <c r="X76" s="137" t="s">
        <v>557</v>
      </c>
      <c r="Y76" s="135">
        <f>Y$3</f>
        <v>46179</v>
      </c>
      <c r="Z76" s="136" t="s">
        <v>557</v>
      </c>
      <c r="AA76" s="137" t="s">
        <v>557</v>
      </c>
      <c r="AB76" s="135"/>
      <c r="AC76" s="135">
        <f>AC$3</f>
        <v>46181</v>
      </c>
      <c r="AD76" s="136" t="s">
        <v>557</v>
      </c>
      <c r="AE76" s="137" t="s">
        <v>557</v>
      </c>
      <c r="AF76" s="135">
        <f>AF$3</f>
        <v>46182</v>
      </c>
      <c r="AG76" s="136" t="s">
        <v>557</v>
      </c>
      <c r="AH76" s="137" t="s">
        <v>557</v>
      </c>
      <c r="AI76" s="135">
        <f>AI$3</f>
        <v>46183</v>
      </c>
      <c r="AJ76" s="136" t="s">
        <v>557</v>
      </c>
      <c r="AK76" s="137" t="s">
        <v>557</v>
      </c>
      <c r="AL76" s="135">
        <f>AL$3</f>
        <v>46184</v>
      </c>
      <c r="AM76" s="136" t="s">
        <v>557</v>
      </c>
      <c r="AN76" s="137" t="s">
        <v>557</v>
      </c>
      <c r="AO76" s="135">
        <f>AO$3</f>
        <v>46185</v>
      </c>
      <c r="AP76" s="136" t="s">
        <v>557</v>
      </c>
      <c r="AQ76" s="137" t="s">
        <v>557</v>
      </c>
      <c r="AR76" s="135">
        <f>AR$3</f>
        <v>46186</v>
      </c>
      <c r="AS76" s="136" t="s">
        <v>557</v>
      </c>
      <c r="AT76" s="137" t="s">
        <v>557</v>
      </c>
      <c r="AU76" s="135"/>
      <c r="AV76" s="135">
        <f>AV$3</f>
        <v>46188</v>
      </c>
      <c r="AW76" s="148" t="s">
        <v>557</v>
      </c>
      <c r="AX76" s="137" t="s">
        <v>557</v>
      </c>
      <c r="AY76" s="135">
        <f>AY$3</f>
        <v>46189</v>
      </c>
      <c r="AZ76" s="136" t="s">
        <v>557</v>
      </c>
      <c r="BA76" s="137"/>
      <c r="BB76" s="135">
        <f>BB$3</f>
        <v>46190</v>
      </c>
      <c r="BC76" s="136" t="s">
        <v>557</v>
      </c>
      <c r="BD76" s="137" t="s">
        <v>557</v>
      </c>
      <c r="BE76" s="135">
        <f>BE$3</f>
        <v>46191</v>
      </c>
      <c r="BF76" s="136" t="s">
        <v>557</v>
      </c>
      <c r="BG76" s="137" t="s">
        <v>557</v>
      </c>
      <c r="BH76" s="135">
        <f>BH$3</f>
        <v>46192</v>
      </c>
      <c r="BI76" s="136" t="s">
        <v>557</v>
      </c>
      <c r="BJ76" s="137" t="s">
        <v>557</v>
      </c>
      <c r="BK76" s="135">
        <f>BK$3</f>
        <v>46193</v>
      </c>
      <c r="BL76" s="136" t="s">
        <v>557</v>
      </c>
      <c r="BM76" s="137" t="s">
        <v>557</v>
      </c>
    </row>
    <row r="77" spans="1:65" outlineLevel="1">
      <c r="A77" s="122" t="str">
        <f>$A$66</f>
        <v>Đỗ Minh Ngọc</v>
      </c>
      <c r="B77" s="82" t="str">
        <f>'Bảng 3'!A365</f>
        <v>3.N.HCM.CGIO.KSMN.105</v>
      </c>
      <c r="C77" s="81" t="str">
        <f>IF($B77="","",INDEX('All Bảng'!C:C,MATCH($B77,'All Bảng'!$A:$A,0)))</f>
        <v>Quản lý BIM</v>
      </c>
      <c r="D77" s="81" t="str">
        <f>IF($B77="","",INDEX('All Bảng'!D:D,MATCH($B77,'All Bảng'!$A:$A,0)))</f>
        <v>N.HCM.CGIO.KSMN</v>
      </c>
      <c r="E77" s="81" t="str">
        <f>IF($B77="","",INDEX('All Bảng'!E:E,MATCH($B77,'All Bảng'!$A:$A,0)))</f>
        <v>Lô A5.01.04, mẫu M2, M2G, M5, M5G</v>
      </c>
      <c r="F77" s="81" t="str">
        <f>IF($B77="","",INDEX('All Bảng'!F:F,MATCH($B77,'All Bảng'!$A:$A,0)))</f>
        <v>KT</v>
      </c>
      <c r="G77" s="81" t="str">
        <f>IF($B77="","",INDEX('All Bảng'!G:G,MATCH($B77,'All Bảng'!$A:$A,0)))</f>
        <v>KSCL mô hình BIM</v>
      </c>
      <c r="H77" s="121"/>
      <c r="I77" s="135"/>
      <c r="J77" s="135">
        <f>J$3</f>
        <v>46174</v>
      </c>
      <c r="K77" s="148" t="s">
        <v>557</v>
      </c>
      <c r="L77" s="163" t="s">
        <v>557</v>
      </c>
      <c r="M77" s="135">
        <f>M$3</f>
        <v>46175</v>
      </c>
      <c r="N77" s="148" t="s">
        <v>557</v>
      </c>
      <c r="O77" s="137"/>
      <c r="P77" s="135">
        <f>P$3</f>
        <v>46176</v>
      </c>
      <c r="Q77" s="148" t="s">
        <v>557</v>
      </c>
      <c r="R77" s="163" t="s">
        <v>557</v>
      </c>
      <c r="S77" s="135">
        <f>S$3</f>
        <v>46177</v>
      </c>
      <c r="T77" s="136" t="s">
        <v>557</v>
      </c>
      <c r="U77" s="137" t="s">
        <v>557</v>
      </c>
      <c r="V77" s="135">
        <f>V$3</f>
        <v>46178</v>
      </c>
      <c r="W77" s="136" t="s">
        <v>557</v>
      </c>
      <c r="X77" s="137" t="s">
        <v>557</v>
      </c>
      <c r="Y77" s="135">
        <f>Y$3</f>
        <v>46179</v>
      </c>
      <c r="Z77" s="136" t="s">
        <v>557</v>
      </c>
      <c r="AA77" s="137" t="s">
        <v>557</v>
      </c>
      <c r="AB77" s="135"/>
      <c r="AC77" s="135">
        <f>AC$3</f>
        <v>46181</v>
      </c>
      <c r="AD77" s="136" t="s">
        <v>557</v>
      </c>
      <c r="AE77" s="137" t="s">
        <v>557</v>
      </c>
      <c r="AF77" s="135">
        <f>AF$3</f>
        <v>46182</v>
      </c>
      <c r="AG77" s="136" t="s">
        <v>557</v>
      </c>
      <c r="AH77" s="137" t="s">
        <v>557</v>
      </c>
      <c r="AI77" s="135">
        <f>AI$3</f>
        <v>46183</v>
      </c>
      <c r="AJ77" s="136" t="s">
        <v>557</v>
      </c>
      <c r="AK77" s="137" t="s">
        <v>557</v>
      </c>
      <c r="AL77" s="135">
        <f>AL$3</f>
        <v>46184</v>
      </c>
      <c r="AM77" s="136" t="s">
        <v>557</v>
      </c>
      <c r="AN77" s="137" t="s">
        <v>557</v>
      </c>
      <c r="AO77" s="135">
        <f>AO$3</f>
        <v>46185</v>
      </c>
      <c r="AP77" s="136" t="s">
        <v>557</v>
      </c>
      <c r="AQ77" s="137" t="s">
        <v>557</v>
      </c>
      <c r="AR77" s="135">
        <f>AR$3</f>
        <v>46186</v>
      </c>
      <c r="AS77" s="136" t="s">
        <v>557</v>
      </c>
      <c r="AT77" s="137" t="s">
        <v>557</v>
      </c>
      <c r="AU77" s="135"/>
      <c r="AV77" s="135">
        <f>AV$3</f>
        <v>46188</v>
      </c>
      <c r="AW77" s="148" t="s">
        <v>557</v>
      </c>
      <c r="AX77" s="137" t="s">
        <v>557</v>
      </c>
      <c r="AY77" s="135">
        <f>AY$3</f>
        <v>46189</v>
      </c>
      <c r="AZ77" s="136" t="s">
        <v>557</v>
      </c>
      <c r="BA77" s="137"/>
      <c r="BB77" s="135">
        <f>BB$3</f>
        <v>46190</v>
      </c>
      <c r="BC77" s="136" t="s">
        <v>557</v>
      </c>
      <c r="BD77" s="137" t="s">
        <v>557</v>
      </c>
      <c r="BE77" s="135">
        <f>BE$3</f>
        <v>46191</v>
      </c>
      <c r="BF77" s="136" t="s">
        <v>557</v>
      </c>
      <c r="BG77" s="137" t="s">
        <v>557</v>
      </c>
      <c r="BH77" s="135">
        <f>BH$3</f>
        <v>46192</v>
      </c>
      <c r="BI77" s="136" t="s">
        <v>557</v>
      </c>
      <c r="BJ77" s="137" t="s">
        <v>557</v>
      </c>
      <c r="BK77" s="135">
        <f>BK$3</f>
        <v>46193</v>
      </c>
      <c r="BL77" s="136" t="s">
        <v>557</v>
      </c>
      <c r="BM77" s="137" t="s">
        <v>557</v>
      </c>
    </row>
    <row r="78" spans="1:65" outlineLevel="1">
      <c r="A78" s="122" t="str">
        <f>$A$66</f>
        <v>Đỗ Minh Ngọc</v>
      </c>
      <c r="B78" s="82" t="str">
        <f>'Bảng 3'!A367</f>
        <v>3.N.HCM.CGIO.KSMN.203</v>
      </c>
      <c r="C78" s="81" t="str">
        <f>IF($B78="","",INDEX('All Bảng'!C:C,MATCH($B78,'All Bảng'!$A:$A,0)))</f>
        <v>Quản lý BIM</v>
      </c>
      <c r="D78" s="81" t="str">
        <f>IF($B78="","",INDEX('All Bảng'!D:D,MATCH($B78,'All Bảng'!$A:$A,0)))</f>
        <v>N.HCM.CGIO.KSMN</v>
      </c>
      <c r="E78" s="81" t="str">
        <f>IF($B78="","",INDEX('All Bảng'!E:E,MATCH($B78,'All Bảng'!$A:$A,0)))</f>
        <v>Lô A5.01.04, mẫu M2, M2G, M5, M5G</v>
      </c>
      <c r="F78" s="81" t="str">
        <f>IF($B78="","",INDEX('All Bảng'!F:F,MATCH($B78,'All Bảng'!$A:$A,0)))</f>
        <v>KC</v>
      </c>
      <c r="G78" s="81" t="str">
        <f>IF($B78="","",INDEX('All Bảng'!G:G,MATCH($B78,'All Bảng'!$A:$A,0)))</f>
        <v>KSCL mô hình BIM</v>
      </c>
      <c r="H78" s="121"/>
      <c r="I78" s="135"/>
      <c r="J78" s="135">
        <f>J$3</f>
        <v>46174</v>
      </c>
      <c r="K78" s="148" t="s">
        <v>557</v>
      </c>
      <c r="L78" s="163" t="s">
        <v>557</v>
      </c>
      <c r="M78" s="135">
        <f>M$3</f>
        <v>46175</v>
      </c>
      <c r="N78" s="148" t="s">
        <v>557</v>
      </c>
      <c r="O78" s="137"/>
      <c r="P78" s="135">
        <f>P$3</f>
        <v>46176</v>
      </c>
      <c r="Q78" s="148" t="s">
        <v>557</v>
      </c>
      <c r="R78" s="163" t="s">
        <v>557</v>
      </c>
      <c r="S78" s="135">
        <f>S$3</f>
        <v>46177</v>
      </c>
      <c r="T78" s="136" t="s">
        <v>557</v>
      </c>
      <c r="U78" s="137" t="s">
        <v>557</v>
      </c>
      <c r="V78" s="135">
        <f>V$3</f>
        <v>46178</v>
      </c>
      <c r="W78" s="136" t="s">
        <v>557</v>
      </c>
      <c r="X78" s="137" t="s">
        <v>557</v>
      </c>
      <c r="Y78" s="135">
        <f>Y$3</f>
        <v>46179</v>
      </c>
      <c r="Z78" s="136" t="s">
        <v>557</v>
      </c>
      <c r="AA78" s="137" t="s">
        <v>557</v>
      </c>
      <c r="AB78" s="135"/>
      <c r="AC78" s="135">
        <f>AC$3</f>
        <v>46181</v>
      </c>
      <c r="AD78" s="136" t="s">
        <v>557</v>
      </c>
      <c r="AE78" s="137" t="s">
        <v>557</v>
      </c>
      <c r="AF78" s="135">
        <f>AF$3</f>
        <v>46182</v>
      </c>
      <c r="AG78" s="136" t="s">
        <v>557</v>
      </c>
      <c r="AH78" s="137" t="s">
        <v>557</v>
      </c>
      <c r="AI78" s="135">
        <f>AI$3</f>
        <v>46183</v>
      </c>
      <c r="AJ78" s="136" t="s">
        <v>557</v>
      </c>
      <c r="AK78" s="137" t="s">
        <v>557</v>
      </c>
      <c r="AL78" s="135">
        <f>AL$3</f>
        <v>46184</v>
      </c>
      <c r="AM78" s="136" t="s">
        <v>557</v>
      </c>
      <c r="AN78" s="137" t="s">
        <v>557</v>
      </c>
      <c r="AO78" s="135">
        <f>AO$3</f>
        <v>46185</v>
      </c>
      <c r="AP78" s="136" t="s">
        <v>557</v>
      </c>
      <c r="AQ78" s="137" t="s">
        <v>557</v>
      </c>
      <c r="AR78" s="135">
        <f>AR$3</f>
        <v>46186</v>
      </c>
      <c r="AS78" s="136" t="s">
        <v>557</v>
      </c>
      <c r="AT78" s="137" t="s">
        <v>557</v>
      </c>
      <c r="AU78" s="135"/>
      <c r="AV78" s="135">
        <f>AV$3</f>
        <v>46188</v>
      </c>
      <c r="AW78" s="148" t="s">
        <v>557</v>
      </c>
      <c r="AX78" s="137" t="s">
        <v>557</v>
      </c>
      <c r="AY78" s="135">
        <f>AY$3</f>
        <v>46189</v>
      </c>
      <c r="AZ78" s="136" t="s">
        <v>557</v>
      </c>
      <c r="BA78" s="137"/>
      <c r="BB78" s="135">
        <f>BB$3</f>
        <v>46190</v>
      </c>
      <c r="BC78" s="136" t="s">
        <v>557</v>
      </c>
      <c r="BD78" s="137" t="s">
        <v>557</v>
      </c>
      <c r="BE78" s="135">
        <f>BE$3</f>
        <v>46191</v>
      </c>
      <c r="BF78" s="136" t="s">
        <v>557</v>
      </c>
      <c r="BG78" s="137" t="s">
        <v>557</v>
      </c>
      <c r="BH78" s="135">
        <f>BH$3</f>
        <v>46192</v>
      </c>
      <c r="BI78" s="136" t="s">
        <v>557</v>
      </c>
      <c r="BJ78" s="137" t="s">
        <v>557</v>
      </c>
      <c r="BK78" s="135">
        <f>BK$3</f>
        <v>46193</v>
      </c>
      <c r="BL78" s="136" t="s">
        <v>557</v>
      </c>
      <c r="BM78" s="137" t="s">
        <v>557</v>
      </c>
    </row>
    <row r="79" spans="1:65" outlineLevel="1">
      <c r="A79" s="122" t="str">
        <f>$A$66</f>
        <v>Đỗ Minh Ngọc</v>
      </c>
      <c r="B79" s="82" t="str">
        <f>'Bảng 3'!A373</f>
        <v>3.N.HCM.CGIO.NTD.101</v>
      </c>
      <c r="C79" s="81" t="str">
        <f>IF($B79="","",INDEX('All Bảng'!C:C,MATCH($B79,'All Bảng'!$A:$A,0)))</f>
        <v>Quản lý BIM</v>
      </c>
      <c r="D79" s="81" t="str">
        <f>IF($B79="","",INDEX('All Bảng'!D:D,MATCH($B79,'All Bảng'!$A:$A,0)))</f>
        <v>N.HCM.CGIO.NTD</v>
      </c>
      <c r="E79" s="81" t="str">
        <f>IF($B79="","",INDEX('All Bảng'!E:E,MATCH($B79,'All Bảng'!$A:$A,0)))</f>
        <v>Nhà thi đấu lô B5.03.2</v>
      </c>
      <c r="F79" s="81" t="str">
        <f>IF($B79="","",INDEX('All Bảng'!F:F,MATCH($B79,'All Bảng'!$A:$A,0)))</f>
        <v>KT</v>
      </c>
      <c r="G79" s="81" t="str">
        <f>IF($B79="","",INDEX('All Bảng'!G:G,MATCH($B79,'All Bảng'!$A:$A,0)))</f>
        <v>KSCL mô hình BIM</v>
      </c>
      <c r="H79" s="121"/>
      <c r="I79" s="135"/>
      <c r="J79" s="135">
        <f>J$3</f>
        <v>46174</v>
      </c>
      <c r="K79" s="148" t="s">
        <v>697</v>
      </c>
      <c r="L79" s="163">
        <v>3</v>
      </c>
      <c r="M79" s="135">
        <f>M$3</f>
        <v>46175</v>
      </c>
      <c r="N79" s="148" t="s">
        <v>698</v>
      </c>
      <c r="O79" s="137">
        <v>2</v>
      </c>
      <c r="P79" s="135">
        <f>P$3</f>
        <v>46176</v>
      </c>
      <c r="Q79" s="148" t="s">
        <v>557</v>
      </c>
      <c r="R79" s="163" t="s">
        <v>557</v>
      </c>
      <c r="S79" s="135">
        <f>S$3</f>
        <v>46177</v>
      </c>
      <c r="T79" s="136" t="s">
        <v>557</v>
      </c>
      <c r="U79" s="137" t="s">
        <v>557</v>
      </c>
      <c r="V79" s="135">
        <f>V$3</f>
        <v>46178</v>
      </c>
      <c r="W79" s="136" t="s">
        <v>557</v>
      </c>
      <c r="X79" s="137" t="s">
        <v>557</v>
      </c>
      <c r="Y79" s="135">
        <f>Y$3</f>
        <v>46179</v>
      </c>
      <c r="Z79" s="136" t="s">
        <v>557</v>
      </c>
      <c r="AA79" s="137" t="s">
        <v>557</v>
      </c>
      <c r="AB79" s="135"/>
      <c r="AC79" s="135">
        <f>AC$3</f>
        <v>46181</v>
      </c>
      <c r="AD79" s="136" t="s">
        <v>557</v>
      </c>
      <c r="AE79" s="137" t="s">
        <v>557</v>
      </c>
      <c r="AF79" s="135">
        <f>AF$3</f>
        <v>46182</v>
      </c>
      <c r="AG79" s="136" t="s">
        <v>557</v>
      </c>
      <c r="AH79" s="137" t="s">
        <v>557</v>
      </c>
      <c r="AI79" s="135">
        <f>AI$3</f>
        <v>46183</v>
      </c>
      <c r="AJ79" s="136" t="s">
        <v>557</v>
      </c>
      <c r="AK79" s="137" t="s">
        <v>557</v>
      </c>
      <c r="AL79" s="135">
        <f>AL$3</f>
        <v>46184</v>
      </c>
      <c r="AM79" s="136" t="s">
        <v>557</v>
      </c>
      <c r="AN79" s="137" t="s">
        <v>557</v>
      </c>
      <c r="AO79" s="135">
        <f>AO$3</f>
        <v>46185</v>
      </c>
      <c r="AP79" s="136" t="s">
        <v>557</v>
      </c>
      <c r="AQ79" s="137" t="s">
        <v>557</v>
      </c>
      <c r="AR79" s="135">
        <f>AR$3</f>
        <v>46186</v>
      </c>
      <c r="AS79" s="136" t="s">
        <v>557</v>
      </c>
      <c r="AT79" s="137" t="s">
        <v>557</v>
      </c>
      <c r="AU79" s="135"/>
      <c r="AV79" s="135">
        <f>AV$3</f>
        <v>46188</v>
      </c>
      <c r="AW79" s="148" t="s">
        <v>557</v>
      </c>
      <c r="AX79" s="137" t="s">
        <v>557</v>
      </c>
      <c r="AY79" s="135">
        <f>AY$3</f>
        <v>46189</v>
      </c>
      <c r="AZ79" s="136" t="s">
        <v>557</v>
      </c>
      <c r="BA79" s="137"/>
      <c r="BB79" s="135">
        <f>BB$3</f>
        <v>46190</v>
      </c>
      <c r="BC79" s="136" t="s">
        <v>557</v>
      </c>
      <c r="BD79" s="137" t="s">
        <v>557</v>
      </c>
      <c r="BE79" s="135">
        <f>BE$3</f>
        <v>46191</v>
      </c>
      <c r="BF79" s="136" t="s">
        <v>557</v>
      </c>
      <c r="BG79" s="137" t="s">
        <v>557</v>
      </c>
      <c r="BH79" s="135">
        <f>BH$3</f>
        <v>46192</v>
      </c>
      <c r="BI79" s="136" t="s">
        <v>557</v>
      </c>
      <c r="BJ79" s="137" t="s">
        <v>557</v>
      </c>
      <c r="BK79" s="135">
        <f>BK$3</f>
        <v>46193</v>
      </c>
      <c r="BL79" s="136" t="s">
        <v>557</v>
      </c>
      <c r="BM79" s="137" t="s">
        <v>557</v>
      </c>
    </row>
    <row r="80" spans="1:65" outlineLevel="1">
      <c r="A80" s="122" t="str">
        <f>$A$66</f>
        <v>Đỗ Minh Ngọc</v>
      </c>
      <c r="B80" s="82" t="str">
        <f>'Bảng 3'!A375</f>
        <v>3.N.HCM.CGIO.NTD.201</v>
      </c>
      <c r="C80" s="81" t="str">
        <f>IF($B80="","",INDEX('All Bảng'!C:C,MATCH($B80,'All Bảng'!$A:$A,0)))</f>
        <v>Quản lý BIM</v>
      </c>
      <c r="D80" s="81" t="str">
        <f>IF($B80="","",INDEX('All Bảng'!D:D,MATCH($B80,'All Bảng'!$A:$A,0)))</f>
        <v>N.HCM.CGIO.NTD</v>
      </c>
      <c r="E80" s="81" t="str">
        <f>IF($B80="","",INDEX('All Bảng'!E:E,MATCH($B80,'All Bảng'!$A:$A,0)))</f>
        <v>Nhà thi đấu lô B5.03.2</v>
      </c>
      <c r="F80" s="81" t="str">
        <f>IF($B80="","",INDEX('All Bảng'!F:F,MATCH($B80,'All Bảng'!$A:$A,0)))</f>
        <v>KC</v>
      </c>
      <c r="G80" s="81" t="str">
        <f>IF($B80="","",INDEX('All Bảng'!G:G,MATCH($B80,'All Bảng'!$A:$A,0)))</f>
        <v>KSCL mô hình BIM</v>
      </c>
      <c r="H80" s="121"/>
      <c r="I80" s="135"/>
      <c r="J80" s="135">
        <f>J$3</f>
        <v>46174</v>
      </c>
      <c r="K80" s="148" t="s">
        <v>699</v>
      </c>
      <c r="L80" s="163">
        <v>4</v>
      </c>
      <c r="M80" s="135">
        <f>M$3</f>
        <v>46175</v>
      </c>
      <c r="N80" s="148" t="s">
        <v>557</v>
      </c>
      <c r="O80" s="137"/>
      <c r="P80" s="135">
        <f>P$3</f>
        <v>46176</v>
      </c>
      <c r="Q80" s="148" t="s">
        <v>557</v>
      </c>
      <c r="R80" s="163" t="s">
        <v>557</v>
      </c>
      <c r="S80" s="135">
        <f>S$3</f>
        <v>46177</v>
      </c>
      <c r="T80" s="136" t="s">
        <v>557</v>
      </c>
      <c r="U80" s="137" t="s">
        <v>557</v>
      </c>
      <c r="V80" s="135">
        <f>V$3</f>
        <v>46178</v>
      </c>
      <c r="W80" s="136" t="s">
        <v>557</v>
      </c>
      <c r="X80" s="137" t="s">
        <v>557</v>
      </c>
      <c r="Y80" s="135">
        <f>Y$3</f>
        <v>46179</v>
      </c>
      <c r="Z80" s="136" t="s">
        <v>557</v>
      </c>
      <c r="AA80" s="137" t="s">
        <v>557</v>
      </c>
      <c r="AB80" s="135"/>
      <c r="AC80" s="135">
        <f>AC$3</f>
        <v>46181</v>
      </c>
      <c r="AD80" s="136" t="s">
        <v>557</v>
      </c>
      <c r="AE80" s="137" t="s">
        <v>557</v>
      </c>
      <c r="AF80" s="135">
        <f>AF$3</f>
        <v>46182</v>
      </c>
      <c r="AG80" s="136" t="s">
        <v>557</v>
      </c>
      <c r="AH80" s="137" t="s">
        <v>557</v>
      </c>
      <c r="AI80" s="135">
        <f>AI$3</f>
        <v>46183</v>
      </c>
      <c r="AJ80" s="136" t="s">
        <v>557</v>
      </c>
      <c r="AK80" s="137" t="s">
        <v>557</v>
      </c>
      <c r="AL80" s="135">
        <f>AL$3</f>
        <v>46184</v>
      </c>
      <c r="AM80" s="136" t="s">
        <v>557</v>
      </c>
      <c r="AN80" s="137" t="s">
        <v>557</v>
      </c>
      <c r="AO80" s="135">
        <f>AO$3</f>
        <v>46185</v>
      </c>
      <c r="AP80" s="136" t="s">
        <v>557</v>
      </c>
      <c r="AQ80" s="137" t="s">
        <v>557</v>
      </c>
      <c r="AR80" s="135">
        <f>AR$3</f>
        <v>46186</v>
      </c>
      <c r="AS80" s="136" t="s">
        <v>557</v>
      </c>
      <c r="AT80" s="137" t="s">
        <v>557</v>
      </c>
      <c r="AU80" s="135"/>
      <c r="AV80" s="135">
        <f>AV$3</f>
        <v>46188</v>
      </c>
      <c r="AW80" s="148" t="s">
        <v>557</v>
      </c>
      <c r="AX80" s="137" t="s">
        <v>557</v>
      </c>
      <c r="AY80" s="135">
        <f>AY$3</f>
        <v>46189</v>
      </c>
      <c r="AZ80" s="136" t="s">
        <v>557</v>
      </c>
      <c r="BA80" s="137"/>
      <c r="BB80" s="135">
        <f>BB$3</f>
        <v>46190</v>
      </c>
      <c r="BC80" s="136" t="s">
        <v>557</v>
      </c>
      <c r="BD80" s="137" t="s">
        <v>557</v>
      </c>
      <c r="BE80" s="135">
        <f>BE$3</f>
        <v>46191</v>
      </c>
      <c r="BF80" s="136" t="s">
        <v>557</v>
      </c>
      <c r="BG80" s="137" t="s">
        <v>557</v>
      </c>
      <c r="BH80" s="135">
        <f>BH$3</f>
        <v>46192</v>
      </c>
      <c r="BI80" s="136" t="s">
        <v>557</v>
      </c>
      <c r="BJ80" s="137" t="s">
        <v>557</v>
      </c>
      <c r="BK80" s="135">
        <f>BK$3</f>
        <v>46193</v>
      </c>
      <c r="BL80" s="136" t="s">
        <v>557</v>
      </c>
      <c r="BM80" s="137" t="s">
        <v>557</v>
      </c>
    </row>
    <row r="81" spans="1:65" outlineLevel="1">
      <c r="A81" s="122" t="str">
        <f>$A$66</f>
        <v>Đỗ Minh Ngọc</v>
      </c>
      <c r="B81" s="82" t="str">
        <f>'Bảng 3'!A448</f>
        <v>3.T.KHO.VPNT.KSMN.101</v>
      </c>
      <c r="C81" s="81" t="str">
        <f>IF($B81="","",INDEX('All Bảng'!C:C,MATCH($B81,'All Bảng'!$A:$A,0)))</f>
        <v>Quản lý BIM</v>
      </c>
      <c r="D81" s="81" t="str">
        <f>IF($B81="","",INDEX('All Bảng'!D:D,MATCH($B81,'All Bảng'!$A:$A,0)))</f>
        <v>T.KHO.VPNT.KSMN</v>
      </c>
      <c r="E81" s="81" t="str">
        <f>IF($B81="","",INDEX('All Bảng'!E:E,MATCH($B81,'All Bảng'!$A:$A,0)))</f>
        <v>Mẫu M1</v>
      </c>
      <c r="F81" s="81" t="str">
        <f>IF($B81="","",INDEX('All Bảng'!F:F,MATCH($B81,'All Bảng'!$A:$A,0)))</f>
        <v>KT</v>
      </c>
      <c r="G81" s="81" t="str">
        <f>IF($B81="","",INDEX('All Bảng'!G:G,MATCH($B81,'All Bảng'!$A:$A,0)))</f>
        <v>KSCL mô hình BIM</v>
      </c>
      <c r="H81" s="121"/>
      <c r="I81" s="135"/>
      <c r="J81" s="135">
        <f>J$3</f>
        <v>46174</v>
      </c>
      <c r="K81" s="148" t="s">
        <v>557</v>
      </c>
      <c r="L81" s="163" t="s">
        <v>557</v>
      </c>
      <c r="M81" s="135">
        <f>M$3</f>
        <v>46175</v>
      </c>
      <c r="N81" s="148" t="s">
        <v>557</v>
      </c>
      <c r="O81" s="137"/>
      <c r="P81" s="135">
        <f>P$3</f>
        <v>46176</v>
      </c>
      <c r="Q81" s="148" t="s">
        <v>557</v>
      </c>
      <c r="R81" s="163" t="s">
        <v>557</v>
      </c>
      <c r="S81" s="135">
        <f>S$3</f>
        <v>46177</v>
      </c>
      <c r="T81" s="136" t="s">
        <v>557</v>
      </c>
      <c r="U81" s="137" t="s">
        <v>557</v>
      </c>
      <c r="V81" s="135">
        <f>V$3</f>
        <v>46178</v>
      </c>
      <c r="W81" s="136" t="s">
        <v>557</v>
      </c>
      <c r="X81" s="137" t="s">
        <v>557</v>
      </c>
      <c r="Y81" s="135">
        <f>Y$3</f>
        <v>46179</v>
      </c>
      <c r="Z81" s="136" t="s">
        <v>557</v>
      </c>
      <c r="AA81" s="137" t="s">
        <v>557</v>
      </c>
      <c r="AB81" s="135"/>
      <c r="AC81" s="135">
        <f>AC$3</f>
        <v>46181</v>
      </c>
      <c r="AD81" s="136" t="s">
        <v>557</v>
      </c>
      <c r="AE81" s="137" t="s">
        <v>557</v>
      </c>
      <c r="AF81" s="135">
        <f>AF$3</f>
        <v>46182</v>
      </c>
      <c r="AG81" s="136" t="s">
        <v>557</v>
      </c>
      <c r="AH81" s="137" t="s">
        <v>557</v>
      </c>
      <c r="AI81" s="135">
        <f>AI$3</f>
        <v>46183</v>
      </c>
      <c r="AJ81" s="136" t="s">
        <v>557</v>
      </c>
      <c r="AK81" s="137" t="s">
        <v>557</v>
      </c>
      <c r="AL81" s="135">
        <f>AL$3</f>
        <v>46184</v>
      </c>
      <c r="AM81" s="136" t="s">
        <v>557</v>
      </c>
      <c r="AN81" s="137" t="s">
        <v>557</v>
      </c>
      <c r="AO81" s="135">
        <f>AO$3</f>
        <v>46185</v>
      </c>
      <c r="AP81" s="136" t="s">
        <v>557</v>
      </c>
      <c r="AQ81" s="137" t="s">
        <v>557</v>
      </c>
      <c r="AR81" s="135">
        <f>AR$3</f>
        <v>46186</v>
      </c>
      <c r="AS81" s="136" t="s">
        <v>557</v>
      </c>
      <c r="AT81" s="137" t="s">
        <v>557</v>
      </c>
      <c r="AU81" s="135"/>
      <c r="AV81" s="135">
        <f>AV$3</f>
        <v>46188</v>
      </c>
      <c r="AW81" s="148" t="s">
        <v>557</v>
      </c>
      <c r="AX81" s="137" t="s">
        <v>557</v>
      </c>
      <c r="AY81" s="135">
        <f>AY$3</f>
        <v>46189</v>
      </c>
      <c r="AZ81" s="136" t="s">
        <v>557</v>
      </c>
      <c r="BA81" s="137"/>
      <c r="BB81" s="135">
        <f>BB$3</f>
        <v>46190</v>
      </c>
      <c r="BC81" s="136" t="s">
        <v>557</v>
      </c>
      <c r="BD81" s="137" t="s">
        <v>557</v>
      </c>
      <c r="BE81" s="135">
        <f>BE$3</f>
        <v>46191</v>
      </c>
      <c r="BF81" s="136" t="s">
        <v>557</v>
      </c>
      <c r="BG81" s="137" t="s">
        <v>557</v>
      </c>
      <c r="BH81" s="135">
        <f>BH$3</f>
        <v>46192</v>
      </c>
      <c r="BI81" s="136" t="s">
        <v>557</v>
      </c>
      <c r="BJ81" s="137" t="s">
        <v>557</v>
      </c>
      <c r="BK81" s="135">
        <f>BK$3</f>
        <v>46193</v>
      </c>
      <c r="BL81" s="136" t="s">
        <v>557</v>
      </c>
      <c r="BM81" s="137" t="s">
        <v>557</v>
      </c>
    </row>
    <row r="82" spans="1:65" outlineLevel="1">
      <c r="A82" s="122" t="str">
        <f>$A$66</f>
        <v>Đỗ Minh Ngọc</v>
      </c>
      <c r="B82" s="82" t="str">
        <f>'Bảng 3'!A450</f>
        <v>3.T.KHO.VPNT.KSMN.201</v>
      </c>
      <c r="C82" s="81" t="str">
        <f>IF($B82="","",INDEX('All Bảng'!C:C,MATCH($B82,'All Bảng'!$A:$A,0)))</f>
        <v>Quản lý BIM</v>
      </c>
      <c r="D82" s="81" t="str">
        <f>IF($B82="","",INDEX('All Bảng'!D:D,MATCH($B82,'All Bảng'!$A:$A,0)))</f>
        <v>T.KHO.VPNT.KSMN</v>
      </c>
      <c r="E82" s="81" t="str">
        <f>IF($B82="","",INDEX('All Bảng'!E:E,MATCH($B82,'All Bảng'!$A:$A,0)))</f>
        <v>Mẫu M1</v>
      </c>
      <c r="F82" s="81" t="str">
        <f>IF($B82="","",INDEX('All Bảng'!F:F,MATCH($B82,'All Bảng'!$A:$A,0)))</f>
        <v>KC</v>
      </c>
      <c r="G82" s="81" t="str">
        <f>IF($B82="","",INDEX('All Bảng'!G:G,MATCH($B82,'All Bảng'!$A:$A,0)))</f>
        <v>KSCL mô hình BIM</v>
      </c>
      <c r="H82" s="121"/>
      <c r="I82" s="135"/>
      <c r="J82" s="135">
        <f>J$3</f>
        <v>46174</v>
      </c>
      <c r="K82" s="148" t="s">
        <v>557</v>
      </c>
      <c r="L82" s="163" t="s">
        <v>557</v>
      </c>
      <c r="M82" s="135">
        <f>M$3</f>
        <v>46175</v>
      </c>
      <c r="N82" s="148" t="s">
        <v>557</v>
      </c>
      <c r="O82" s="137"/>
      <c r="P82" s="135">
        <f>P$3</f>
        <v>46176</v>
      </c>
      <c r="Q82" s="148" t="s">
        <v>557</v>
      </c>
      <c r="R82" s="163" t="s">
        <v>557</v>
      </c>
      <c r="S82" s="135">
        <f>S$3</f>
        <v>46177</v>
      </c>
      <c r="T82" s="136" t="s">
        <v>557</v>
      </c>
      <c r="U82" s="137" t="s">
        <v>557</v>
      </c>
      <c r="V82" s="135">
        <f>V$3</f>
        <v>46178</v>
      </c>
      <c r="W82" s="136" t="s">
        <v>557</v>
      </c>
      <c r="X82" s="137" t="s">
        <v>557</v>
      </c>
      <c r="Y82" s="135">
        <f>Y$3</f>
        <v>46179</v>
      </c>
      <c r="Z82" s="136" t="s">
        <v>557</v>
      </c>
      <c r="AA82" s="137" t="s">
        <v>557</v>
      </c>
      <c r="AB82" s="135"/>
      <c r="AC82" s="135">
        <f>AC$3</f>
        <v>46181</v>
      </c>
      <c r="AD82" s="136" t="s">
        <v>557</v>
      </c>
      <c r="AE82" s="137" t="s">
        <v>557</v>
      </c>
      <c r="AF82" s="135">
        <f>AF$3</f>
        <v>46182</v>
      </c>
      <c r="AG82" s="136" t="s">
        <v>557</v>
      </c>
      <c r="AH82" s="137" t="s">
        <v>557</v>
      </c>
      <c r="AI82" s="135">
        <f>AI$3</f>
        <v>46183</v>
      </c>
      <c r="AJ82" s="136" t="s">
        <v>557</v>
      </c>
      <c r="AK82" s="137" t="s">
        <v>557</v>
      </c>
      <c r="AL82" s="135">
        <f>AL$3</f>
        <v>46184</v>
      </c>
      <c r="AM82" s="136" t="s">
        <v>557</v>
      </c>
      <c r="AN82" s="137" t="s">
        <v>557</v>
      </c>
      <c r="AO82" s="135">
        <f>AO$3</f>
        <v>46185</v>
      </c>
      <c r="AP82" s="136" t="s">
        <v>557</v>
      </c>
      <c r="AQ82" s="137" t="s">
        <v>557</v>
      </c>
      <c r="AR82" s="135">
        <f>AR$3</f>
        <v>46186</v>
      </c>
      <c r="AS82" s="136" t="s">
        <v>557</v>
      </c>
      <c r="AT82" s="137" t="s">
        <v>557</v>
      </c>
      <c r="AU82" s="135"/>
      <c r="AV82" s="135">
        <f>AV$3</f>
        <v>46188</v>
      </c>
      <c r="AW82" s="148" t="s">
        <v>557</v>
      </c>
      <c r="AX82" s="137" t="s">
        <v>557</v>
      </c>
      <c r="AY82" s="135">
        <f>AY$3</f>
        <v>46189</v>
      </c>
      <c r="AZ82" s="136" t="s">
        <v>557</v>
      </c>
      <c r="BA82" s="137"/>
      <c r="BB82" s="135">
        <f>BB$3</f>
        <v>46190</v>
      </c>
      <c r="BC82" s="136" t="s">
        <v>557</v>
      </c>
      <c r="BD82" s="137" t="s">
        <v>557</v>
      </c>
      <c r="BE82" s="135">
        <f>BE$3</f>
        <v>46191</v>
      </c>
      <c r="BF82" s="136" t="s">
        <v>557</v>
      </c>
      <c r="BG82" s="137" t="s">
        <v>557</v>
      </c>
      <c r="BH82" s="135">
        <f>BH$3</f>
        <v>46192</v>
      </c>
      <c r="BI82" s="136" t="s">
        <v>557</v>
      </c>
      <c r="BJ82" s="137" t="s">
        <v>557</v>
      </c>
      <c r="BK82" s="135">
        <f>BK$3</f>
        <v>46193</v>
      </c>
      <c r="BL82" s="136" t="s">
        <v>557</v>
      </c>
      <c r="BM82" s="137" t="s">
        <v>557</v>
      </c>
    </row>
    <row r="83" spans="1:65" ht="30.75" outlineLevel="1">
      <c r="A83" s="122" t="str">
        <f>$A$66</f>
        <v>Đỗ Minh Ngọc</v>
      </c>
      <c r="B83" s="82" t="str">
        <f>'Bảng 3'!A11</f>
        <v>3.B.DSHNQN.DMF.102</v>
      </c>
      <c r="C83" s="81" t="str">
        <f>IF($B83="","",INDEX('All Bảng'!C:C,MATCH($B83,'All Bảng'!$A:$A,0)))</f>
        <v>Quản lý BIM</v>
      </c>
      <c r="D83" s="81" t="str">
        <f>IF($B83="","",INDEX('All Bảng'!D:D,MATCH($B83,'All Bảng'!$A:$A,0)))</f>
        <v>B.DSHNQN.DMF</v>
      </c>
      <c r="E83" s="81" t="str">
        <f>IF($B83="","",INDEX('All Bảng'!E:E,MATCH($B83,'All Bảng'!$A:$A,0)))</f>
        <v>Depot Hạ Long Xanh</v>
      </c>
      <c r="F83" s="81" t="str">
        <f>IF($B83="","",INDEX('All Bảng'!F:F,MATCH($B83,'All Bảng'!$A:$A,0)))</f>
        <v>KT</v>
      </c>
      <c r="G83" s="81" t="str">
        <f>IF($B83="","",INDEX('All Bảng'!G:G,MATCH($B83,'All Bảng'!$A:$A,0)))</f>
        <v>Tạo lập mô hình BIM</v>
      </c>
      <c r="H83" s="121"/>
      <c r="I83" s="135"/>
      <c r="J83" s="135">
        <f>J$3</f>
        <v>46174</v>
      </c>
      <c r="K83" s="148" t="s">
        <v>557</v>
      </c>
      <c r="L83" s="163" t="s">
        <v>557</v>
      </c>
      <c r="M83" s="135">
        <f>M$3</f>
        <v>46175</v>
      </c>
      <c r="N83" s="148" t="s">
        <v>557</v>
      </c>
      <c r="O83" s="137"/>
      <c r="P83" s="135">
        <f>P$3</f>
        <v>46176</v>
      </c>
      <c r="Q83" s="148" t="s">
        <v>700</v>
      </c>
      <c r="R83" s="163">
        <v>6</v>
      </c>
      <c r="S83" s="135">
        <f>S$3</f>
        <v>46177</v>
      </c>
      <c r="T83" s="148" t="s">
        <v>701</v>
      </c>
      <c r="U83" s="137">
        <v>3.5</v>
      </c>
      <c r="V83" s="135">
        <f>V$3</f>
        <v>46178</v>
      </c>
      <c r="W83" s="136" t="s">
        <v>557</v>
      </c>
      <c r="X83" s="137" t="s">
        <v>557</v>
      </c>
      <c r="Y83" s="135">
        <f>Y$3</f>
        <v>46179</v>
      </c>
      <c r="Z83" s="136" t="s">
        <v>557</v>
      </c>
      <c r="AA83" s="137" t="s">
        <v>557</v>
      </c>
      <c r="AB83" s="135"/>
      <c r="AC83" s="135">
        <f>AC$3</f>
        <v>46181</v>
      </c>
      <c r="AD83" s="136" t="s">
        <v>557</v>
      </c>
      <c r="AE83" s="137" t="s">
        <v>557</v>
      </c>
      <c r="AF83" s="135">
        <f>AF$3</f>
        <v>46182</v>
      </c>
      <c r="AG83" s="136" t="s">
        <v>557</v>
      </c>
      <c r="AH83" s="137" t="s">
        <v>557</v>
      </c>
      <c r="AI83" s="135">
        <f>AI$3</f>
        <v>46183</v>
      </c>
      <c r="AJ83" s="136" t="s">
        <v>557</v>
      </c>
      <c r="AK83" s="137" t="s">
        <v>557</v>
      </c>
      <c r="AL83" s="135">
        <f>AL$3</f>
        <v>46184</v>
      </c>
      <c r="AM83" s="136" t="s">
        <v>557</v>
      </c>
      <c r="AN83" s="137" t="s">
        <v>557</v>
      </c>
      <c r="AO83" s="135">
        <f>AO$3</f>
        <v>46185</v>
      </c>
      <c r="AP83" s="136" t="s">
        <v>557</v>
      </c>
      <c r="AQ83" s="137" t="s">
        <v>557</v>
      </c>
      <c r="AR83" s="135">
        <f>AR$3</f>
        <v>46186</v>
      </c>
      <c r="AS83" s="136" t="s">
        <v>557</v>
      </c>
      <c r="AT83" s="137" t="s">
        <v>557</v>
      </c>
      <c r="AU83" s="135"/>
      <c r="AV83" s="135">
        <f>AV$3</f>
        <v>46188</v>
      </c>
      <c r="AW83" s="148" t="s">
        <v>557</v>
      </c>
      <c r="AX83" s="137" t="s">
        <v>557</v>
      </c>
      <c r="AY83" s="135">
        <f>AY$3</f>
        <v>46189</v>
      </c>
      <c r="AZ83" s="136" t="s">
        <v>557</v>
      </c>
      <c r="BA83" s="137"/>
      <c r="BB83" s="135">
        <f>BB$3</f>
        <v>46190</v>
      </c>
      <c r="BC83" s="136" t="s">
        <v>557</v>
      </c>
      <c r="BD83" s="137" t="s">
        <v>557</v>
      </c>
      <c r="BE83" s="135">
        <f>BE$3</f>
        <v>46191</v>
      </c>
      <c r="BF83" s="136" t="s">
        <v>557</v>
      </c>
      <c r="BG83" s="137" t="s">
        <v>557</v>
      </c>
      <c r="BH83" s="135">
        <f>BH$3</f>
        <v>46192</v>
      </c>
      <c r="BI83" s="136" t="s">
        <v>557</v>
      </c>
      <c r="BJ83" s="137" t="s">
        <v>557</v>
      </c>
      <c r="BK83" s="135">
        <f>BK$3</f>
        <v>46193</v>
      </c>
      <c r="BL83" s="136" t="s">
        <v>557</v>
      </c>
      <c r="BM83" s="137" t="s">
        <v>557</v>
      </c>
    </row>
    <row r="84" spans="1:65" outlineLevel="1">
      <c r="A84" s="122" t="str">
        <f>$A$66</f>
        <v>Đỗ Minh Ngọc</v>
      </c>
      <c r="B84" s="82" t="str">
        <f>'Bảng 3'!A12</f>
        <v>3.B.DSHNQN.DMF.202</v>
      </c>
      <c r="C84" s="81" t="str">
        <f>IF($B84="","",INDEX('All Bảng'!C:C,MATCH($B84,'All Bảng'!$A:$A,0)))</f>
        <v>Quản lý BIM</v>
      </c>
      <c r="D84" s="81" t="str">
        <f>IF($B84="","",INDEX('All Bảng'!D:D,MATCH($B84,'All Bảng'!$A:$A,0)))</f>
        <v>B.DSHNQN.DMF</v>
      </c>
      <c r="E84" s="81" t="str">
        <f>IF($B84="","",INDEX('All Bảng'!E:E,MATCH($B84,'All Bảng'!$A:$A,0)))</f>
        <v>Depot Hạ Long Xanh</v>
      </c>
      <c r="F84" s="81" t="str">
        <f>IF($B84="","",INDEX('All Bảng'!F:F,MATCH($B84,'All Bảng'!$A:$A,0)))</f>
        <v>KC</v>
      </c>
      <c r="G84" s="81" t="str">
        <f>IF($B84="","",INDEX('All Bảng'!G:G,MATCH($B84,'All Bảng'!$A:$A,0)))</f>
        <v>Tạo lập mô hình BIM</v>
      </c>
      <c r="H84" s="121"/>
      <c r="I84" s="135"/>
      <c r="J84" s="135">
        <f>J$3</f>
        <v>46174</v>
      </c>
      <c r="K84" s="148" t="s">
        <v>557</v>
      </c>
      <c r="L84" s="163" t="s">
        <v>557</v>
      </c>
      <c r="M84" s="135">
        <f>M$3</f>
        <v>46175</v>
      </c>
      <c r="N84" s="148" t="s">
        <v>557</v>
      </c>
      <c r="O84" s="137"/>
      <c r="P84" s="135">
        <f>P$3</f>
        <v>46176</v>
      </c>
      <c r="Q84" s="148" t="s">
        <v>557</v>
      </c>
      <c r="R84" s="163" t="s">
        <v>557</v>
      </c>
      <c r="S84" s="135">
        <f>S$3</f>
        <v>46177</v>
      </c>
      <c r="T84" s="136" t="s">
        <v>557</v>
      </c>
      <c r="U84" s="137" t="s">
        <v>557</v>
      </c>
      <c r="V84" s="135">
        <f>V$3</f>
        <v>46178</v>
      </c>
      <c r="W84" s="136" t="s">
        <v>557</v>
      </c>
      <c r="X84" s="137" t="s">
        <v>557</v>
      </c>
      <c r="Y84" s="135">
        <f>Y$3</f>
        <v>46179</v>
      </c>
      <c r="Z84" s="136" t="s">
        <v>557</v>
      </c>
      <c r="AA84" s="137" t="s">
        <v>557</v>
      </c>
      <c r="AB84" s="135"/>
      <c r="AC84" s="135">
        <f>AC$3</f>
        <v>46181</v>
      </c>
      <c r="AD84" s="136" t="s">
        <v>557</v>
      </c>
      <c r="AE84" s="137" t="s">
        <v>557</v>
      </c>
      <c r="AF84" s="135">
        <f>AF$3</f>
        <v>46182</v>
      </c>
      <c r="AG84" s="136" t="s">
        <v>557</v>
      </c>
      <c r="AH84" s="137" t="s">
        <v>557</v>
      </c>
      <c r="AI84" s="135">
        <f>AI$3</f>
        <v>46183</v>
      </c>
      <c r="AJ84" s="136" t="s">
        <v>557</v>
      </c>
      <c r="AK84" s="137" t="s">
        <v>557</v>
      </c>
      <c r="AL84" s="135">
        <f>AL$3</f>
        <v>46184</v>
      </c>
      <c r="AM84" s="136" t="s">
        <v>557</v>
      </c>
      <c r="AN84" s="137" t="s">
        <v>557</v>
      </c>
      <c r="AO84" s="135">
        <f>AO$3</f>
        <v>46185</v>
      </c>
      <c r="AP84" s="136" t="s">
        <v>557</v>
      </c>
      <c r="AQ84" s="137" t="s">
        <v>557</v>
      </c>
      <c r="AR84" s="135">
        <f>AR$3</f>
        <v>46186</v>
      </c>
      <c r="AS84" s="136" t="s">
        <v>557</v>
      </c>
      <c r="AT84" s="137" t="s">
        <v>557</v>
      </c>
      <c r="AU84" s="135"/>
      <c r="AV84" s="135">
        <f>AV$3</f>
        <v>46188</v>
      </c>
      <c r="AW84" s="148" t="s">
        <v>557</v>
      </c>
      <c r="AX84" s="137" t="s">
        <v>557</v>
      </c>
      <c r="AY84" s="135">
        <f>AY$3</f>
        <v>46189</v>
      </c>
      <c r="AZ84" s="136" t="s">
        <v>557</v>
      </c>
      <c r="BA84" s="137"/>
      <c r="BB84" s="135">
        <f>BB$3</f>
        <v>46190</v>
      </c>
      <c r="BC84" s="136" t="s">
        <v>557</v>
      </c>
      <c r="BD84" s="137" t="s">
        <v>557</v>
      </c>
      <c r="BE84" s="135">
        <f>BE$3</f>
        <v>46191</v>
      </c>
      <c r="BF84" s="136" t="s">
        <v>557</v>
      </c>
      <c r="BG84" s="137" t="s">
        <v>557</v>
      </c>
      <c r="BH84" s="135">
        <f>BH$3</f>
        <v>46192</v>
      </c>
      <c r="BI84" s="136" t="s">
        <v>557</v>
      </c>
      <c r="BJ84" s="137" t="s">
        <v>557</v>
      </c>
      <c r="BK84" s="135">
        <f>BK$3</f>
        <v>46193</v>
      </c>
      <c r="BL84" s="136" t="s">
        <v>557</v>
      </c>
      <c r="BM84" s="137" t="s">
        <v>557</v>
      </c>
    </row>
    <row r="85" spans="1:65" outlineLevel="1">
      <c r="A85" s="122" t="str">
        <f>$A$66</f>
        <v>Đỗ Minh Ngọc</v>
      </c>
      <c r="B85" s="82" t="str">
        <f>'Bảng 3'!A4</f>
        <v>3.B.DSHNQN.DMF.101</v>
      </c>
      <c r="C85" s="81" t="str">
        <f>IF($B85="","",INDEX('All Bảng'!C:C,MATCH($B85,'All Bảng'!$A:$A,0)))</f>
        <v>Quản lý BIM</v>
      </c>
      <c r="D85" s="81" t="str">
        <f>IF($B85="","",INDEX('All Bảng'!D:D,MATCH($B85,'All Bảng'!$A:$A,0)))</f>
        <v>B.DSHNQN.DMF</v>
      </c>
      <c r="E85" s="81" t="str">
        <f>IF($B85="","",INDEX('All Bảng'!E:E,MATCH($B85,'All Bảng'!$A:$A,0)))</f>
        <v>Bãi đỗ tàu qua đêm Cổ Loa</v>
      </c>
      <c r="F85" s="81" t="str">
        <f>IF($B85="","",INDEX('All Bảng'!F:F,MATCH($B85,'All Bảng'!$A:$A,0)))</f>
        <v>KT</v>
      </c>
      <c r="G85" s="81" t="str">
        <f>IF($B85="","",INDEX('All Bảng'!G:G,MATCH($B85,'All Bảng'!$A:$A,0)))</f>
        <v>Tạo lập mô hình BIM</v>
      </c>
      <c r="H85" s="121"/>
      <c r="I85" s="135"/>
      <c r="J85" s="135">
        <f>J$3</f>
        <v>46174</v>
      </c>
      <c r="K85" s="148" t="s">
        <v>557</v>
      </c>
      <c r="L85" s="163" t="s">
        <v>557</v>
      </c>
      <c r="M85" s="135">
        <f>M$3</f>
        <v>46175</v>
      </c>
      <c r="N85" s="148" t="s">
        <v>557</v>
      </c>
      <c r="O85" s="137"/>
      <c r="P85" s="135">
        <f>P$3</f>
        <v>46176</v>
      </c>
      <c r="Q85" s="148" t="s">
        <v>702</v>
      </c>
      <c r="R85" s="163">
        <v>0.25</v>
      </c>
      <c r="S85" s="135">
        <f>S$3</f>
        <v>46177</v>
      </c>
      <c r="T85" s="136" t="s">
        <v>557</v>
      </c>
      <c r="U85" s="137" t="s">
        <v>557</v>
      </c>
      <c r="V85" s="135">
        <f>V$3</f>
        <v>46178</v>
      </c>
      <c r="W85" s="136" t="s">
        <v>557</v>
      </c>
      <c r="X85" s="137" t="s">
        <v>557</v>
      </c>
      <c r="Y85" s="135">
        <f>Y$3</f>
        <v>46179</v>
      </c>
      <c r="Z85" s="136" t="s">
        <v>557</v>
      </c>
      <c r="AA85" s="137" t="s">
        <v>557</v>
      </c>
      <c r="AB85" s="135"/>
      <c r="AC85" s="135">
        <f>AC$3</f>
        <v>46181</v>
      </c>
      <c r="AD85" s="136" t="s">
        <v>557</v>
      </c>
      <c r="AE85" s="137" t="s">
        <v>557</v>
      </c>
      <c r="AF85" s="135">
        <f>AF$3</f>
        <v>46182</v>
      </c>
      <c r="AG85" s="136" t="s">
        <v>557</v>
      </c>
      <c r="AH85" s="137" t="s">
        <v>557</v>
      </c>
      <c r="AI85" s="135">
        <f>AI$3</f>
        <v>46183</v>
      </c>
      <c r="AJ85" s="136" t="s">
        <v>557</v>
      </c>
      <c r="AK85" s="137" t="s">
        <v>557</v>
      </c>
      <c r="AL85" s="135">
        <f>AL$3</f>
        <v>46184</v>
      </c>
      <c r="AM85" s="136" t="s">
        <v>557</v>
      </c>
      <c r="AN85" s="137" t="s">
        <v>557</v>
      </c>
      <c r="AO85" s="135">
        <f>AO$3</f>
        <v>46185</v>
      </c>
      <c r="AP85" s="136" t="s">
        <v>557</v>
      </c>
      <c r="AQ85" s="137" t="s">
        <v>557</v>
      </c>
      <c r="AR85" s="135">
        <f>AR$3</f>
        <v>46186</v>
      </c>
      <c r="AS85" s="136" t="s">
        <v>557</v>
      </c>
      <c r="AT85" s="137" t="s">
        <v>557</v>
      </c>
      <c r="AU85" s="135"/>
      <c r="AV85" s="135">
        <f>AV$3</f>
        <v>46188</v>
      </c>
      <c r="AW85" s="148" t="s">
        <v>557</v>
      </c>
      <c r="AX85" s="137" t="s">
        <v>557</v>
      </c>
      <c r="AY85" s="135">
        <f>AY$3</f>
        <v>46189</v>
      </c>
      <c r="AZ85" s="136" t="s">
        <v>557</v>
      </c>
      <c r="BA85" s="137"/>
      <c r="BB85" s="135">
        <f>BB$3</f>
        <v>46190</v>
      </c>
      <c r="BC85" s="136" t="s">
        <v>557</v>
      </c>
      <c r="BD85" s="137" t="s">
        <v>557</v>
      </c>
      <c r="BE85" s="135">
        <f>BE$3</f>
        <v>46191</v>
      </c>
      <c r="BF85" s="136" t="s">
        <v>557</v>
      </c>
      <c r="BG85" s="137" t="s">
        <v>557</v>
      </c>
      <c r="BH85" s="135">
        <f>BH$3</f>
        <v>46192</v>
      </c>
      <c r="BI85" s="136" t="s">
        <v>557</v>
      </c>
      <c r="BJ85" s="137" t="s">
        <v>557</v>
      </c>
      <c r="BK85" s="135">
        <f>BK$3</f>
        <v>46193</v>
      </c>
      <c r="BL85" s="136" t="s">
        <v>557</v>
      </c>
      <c r="BM85" s="137" t="s">
        <v>557</v>
      </c>
    </row>
    <row r="86" spans="1:65" outlineLevel="1">
      <c r="A86" s="122" t="str">
        <f>$A$66</f>
        <v>Đỗ Minh Ngọc</v>
      </c>
      <c r="B86" s="82" t="str">
        <f>'Bảng 3'!A5</f>
        <v>3.B.DSHNQN.DMF.201</v>
      </c>
      <c r="C86" s="81" t="str">
        <f>IF($B86="","",INDEX('All Bảng'!C:C,MATCH($B86,'All Bảng'!$A:$A,0)))</f>
        <v>Quản lý BIM</v>
      </c>
      <c r="D86" s="81" t="str">
        <f>IF($B86="","",INDEX('All Bảng'!D:D,MATCH($B86,'All Bảng'!$A:$A,0)))</f>
        <v>B.DSHNQN.DMF</v>
      </c>
      <c r="E86" s="81" t="str">
        <f>IF($B86="","",INDEX('All Bảng'!E:E,MATCH($B86,'All Bảng'!$A:$A,0)))</f>
        <v>Bãi đỗ tàu qua đêm Cổ Loa</v>
      </c>
      <c r="F86" s="81" t="str">
        <f>IF($B86="","",INDEX('All Bảng'!F:F,MATCH($B86,'All Bảng'!$A:$A,0)))</f>
        <v>KC</v>
      </c>
      <c r="G86" s="81" t="str">
        <f>IF($B86="","",INDEX('All Bảng'!G:G,MATCH($B86,'All Bảng'!$A:$A,0)))</f>
        <v>Tạo lập mô hình BIM</v>
      </c>
      <c r="H86" s="121"/>
      <c r="I86" s="135"/>
      <c r="J86" s="135">
        <f>J$3</f>
        <v>46174</v>
      </c>
      <c r="K86" s="148" t="s">
        <v>557</v>
      </c>
      <c r="L86" s="163" t="s">
        <v>557</v>
      </c>
      <c r="M86" s="135">
        <f>M$3</f>
        <v>46175</v>
      </c>
      <c r="N86" s="148" t="s">
        <v>557</v>
      </c>
      <c r="O86" s="137"/>
      <c r="P86" s="135">
        <f>P$3</f>
        <v>46176</v>
      </c>
      <c r="Q86" s="148" t="s">
        <v>557</v>
      </c>
      <c r="R86" s="163" t="s">
        <v>557</v>
      </c>
      <c r="S86" s="135">
        <f>S$3</f>
        <v>46177</v>
      </c>
      <c r="T86" s="136" t="s">
        <v>557</v>
      </c>
      <c r="U86" s="137" t="s">
        <v>557</v>
      </c>
      <c r="V86" s="135">
        <f>V$3</f>
        <v>46178</v>
      </c>
      <c r="W86" s="136" t="s">
        <v>557</v>
      </c>
      <c r="X86" s="137" t="s">
        <v>557</v>
      </c>
      <c r="Y86" s="135">
        <f>Y$3</f>
        <v>46179</v>
      </c>
      <c r="Z86" s="136" t="s">
        <v>557</v>
      </c>
      <c r="AA86" s="137" t="s">
        <v>557</v>
      </c>
      <c r="AB86" s="135"/>
      <c r="AC86" s="135">
        <f>AC$3</f>
        <v>46181</v>
      </c>
      <c r="AD86" s="136" t="s">
        <v>557</v>
      </c>
      <c r="AE86" s="137" t="s">
        <v>557</v>
      </c>
      <c r="AF86" s="135">
        <f>AF$3</f>
        <v>46182</v>
      </c>
      <c r="AG86" s="136" t="s">
        <v>557</v>
      </c>
      <c r="AH86" s="137" t="s">
        <v>557</v>
      </c>
      <c r="AI86" s="135">
        <f>AI$3</f>
        <v>46183</v>
      </c>
      <c r="AJ86" s="136" t="s">
        <v>557</v>
      </c>
      <c r="AK86" s="137" t="s">
        <v>557</v>
      </c>
      <c r="AL86" s="135">
        <f>AL$3</f>
        <v>46184</v>
      </c>
      <c r="AM86" s="136" t="s">
        <v>557</v>
      </c>
      <c r="AN86" s="137" t="s">
        <v>557</v>
      </c>
      <c r="AO86" s="135">
        <f>AO$3</f>
        <v>46185</v>
      </c>
      <c r="AP86" s="136" t="s">
        <v>557</v>
      </c>
      <c r="AQ86" s="137" t="s">
        <v>557</v>
      </c>
      <c r="AR86" s="135">
        <f>AR$3</f>
        <v>46186</v>
      </c>
      <c r="AS86" s="136" t="s">
        <v>557</v>
      </c>
      <c r="AT86" s="137" t="s">
        <v>557</v>
      </c>
      <c r="AU86" s="135"/>
      <c r="AV86" s="135">
        <f>AV$3</f>
        <v>46188</v>
      </c>
      <c r="AW86" s="148" t="s">
        <v>557</v>
      </c>
      <c r="AX86" s="137" t="s">
        <v>557</v>
      </c>
      <c r="AY86" s="135">
        <f>AY$3</f>
        <v>46189</v>
      </c>
      <c r="AZ86" s="136" t="s">
        <v>557</v>
      </c>
      <c r="BA86" s="137"/>
      <c r="BB86" s="135">
        <f>BB$3</f>
        <v>46190</v>
      </c>
      <c r="BC86" s="136" t="s">
        <v>557</v>
      </c>
      <c r="BD86" s="137" t="s">
        <v>557</v>
      </c>
      <c r="BE86" s="135">
        <f>BE$3</f>
        <v>46191</v>
      </c>
      <c r="BF86" s="136" t="s">
        <v>557</v>
      </c>
      <c r="BG86" s="137" t="s">
        <v>557</v>
      </c>
      <c r="BH86" s="135">
        <f>BH$3</f>
        <v>46192</v>
      </c>
      <c r="BI86" s="136" t="s">
        <v>557</v>
      </c>
      <c r="BJ86" s="137" t="s">
        <v>557</v>
      </c>
      <c r="BK86" s="135">
        <f>BK$3</f>
        <v>46193</v>
      </c>
      <c r="BL86" s="136" t="s">
        <v>557</v>
      </c>
      <c r="BM86" s="137" t="s">
        <v>557</v>
      </c>
    </row>
    <row r="87" spans="1:65" outlineLevel="1">
      <c r="A87" s="122" t="str">
        <f>$A$66</f>
        <v>Đỗ Minh Ngọc</v>
      </c>
      <c r="B87" s="82" t="str">
        <f>'Bảng 3'!A274</f>
        <v>3.N.DSHCMCG.DMF.101</v>
      </c>
      <c r="C87" s="81" t="str">
        <f>IF($B87="","",INDEX('All Bảng'!C:C,MATCH($B87,'All Bảng'!$A:$A,0)))</f>
        <v>Quản lý BIM</v>
      </c>
      <c r="D87" s="81" t="str">
        <f>IF($B87="","",INDEX('All Bảng'!D:D,MATCH($B87,'All Bảng'!$A:$A,0)))</f>
        <v>N.DSHCMCG.DMF</v>
      </c>
      <c r="E87" s="81" t="str">
        <f>IF($B87="","",INDEX('All Bảng'!E:E,MATCH($B87,'All Bảng'!$A:$A,0)))</f>
        <v>Depot</v>
      </c>
      <c r="F87" s="81" t="str">
        <f>IF($B87="","",INDEX('All Bảng'!F:F,MATCH($B87,'All Bảng'!$A:$A,0)))</f>
        <v>KT</v>
      </c>
      <c r="G87" s="81" t="str">
        <f>IF($B87="","",INDEX('All Bảng'!G:G,MATCH($B87,'All Bảng'!$A:$A,0)))</f>
        <v>Tạo lập mô hình BIM</v>
      </c>
      <c r="H87" s="121"/>
      <c r="I87" s="135"/>
      <c r="J87" s="135">
        <f>J$3</f>
        <v>46174</v>
      </c>
      <c r="K87" s="148" t="s">
        <v>557</v>
      </c>
      <c r="L87" s="163" t="s">
        <v>557</v>
      </c>
      <c r="M87" s="135">
        <f>M$3</f>
        <v>46175</v>
      </c>
      <c r="N87" s="148" t="s">
        <v>557</v>
      </c>
      <c r="O87" s="137"/>
      <c r="P87" s="135">
        <f>P$3</f>
        <v>46176</v>
      </c>
      <c r="Q87" s="148" t="s">
        <v>702</v>
      </c>
      <c r="R87" s="163">
        <v>0.25</v>
      </c>
      <c r="S87" s="135">
        <f>S$3</f>
        <v>46177</v>
      </c>
      <c r="T87" s="136" t="s">
        <v>557</v>
      </c>
      <c r="U87" s="137" t="s">
        <v>557</v>
      </c>
      <c r="V87" s="135">
        <f>V$3</f>
        <v>46178</v>
      </c>
      <c r="W87" s="136" t="s">
        <v>557</v>
      </c>
      <c r="X87" s="137" t="s">
        <v>557</v>
      </c>
      <c r="Y87" s="135">
        <f>Y$3</f>
        <v>46179</v>
      </c>
      <c r="Z87" s="136" t="s">
        <v>557</v>
      </c>
      <c r="AA87" s="137" t="s">
        <v>557</v>
      </c>
      <c r="AB87" s="135"/>
      <c r="AC87" s="135">
        <f>AC$3</f>
        <v>46181</v>
      </c>
      <c r="AD87" s="136" t="s">
        <v>557</v>
      </c>
      <c r="AE87" s="137" t="s">
        <v>557</v>
      </c>
      <c r="AF87" s="135">
        <f>AF$3</f>
        <v>46182</v>
      </c>
      <c r="AG87" s="136" t="s">
        <v>557</v>
      </c>
      <c r="AH87" s="137" t="s">
        <v>557</v>
      </c>
      <c r="AI87" s="135">
        <f>AI$3</f>
        <v>46183</v>
      </c>
      <c r="AJ87" s="136" t="s">
        <v>557</v>
      </c>
      <c r="AK87" s="137" t="s">
        <v>557</v>
      </c>
      <c r="AL87" s="135">
        <f>AL$3</f>
        <v>46184</v>
      </c>
      <c r="AM87" s="136" t="s">
        <v>557</v>
      </c>
      <c r="AN87" s="137" t="s">
        <v>557</v>
      </c>
      <c r="AO87" s="135">
        <f>AO$3</f>
        <v>46185</v>
      </c>
      <c r="AP87" s="136" t="s">
        <v>557</v>
      </c>
      <c r="AQ87" s="137" t="s">
        <v>557</v>
      </c>
      <c r="AR87" s="135">
        <f>AR$3</f>
        <v>46186</v>
      </c>
      <c r="AS87" s="136" t="s">
        <v>557</v>
      </c>
      <c r="AT87" s="137" t="s">
        <v>557</v>
      </c>
      <c r="AU87" s="135"/>
      <c r="AV87" s="135">
        <f>AV$3</f>
        <v>46188</v>
      </c>
      <c r="AW87" s="148" t="s">
        <v>557</v>
      </c>
      <c r="AX87" s="137" t="s">
        <v>557</v>
      </c>
      <c r="AY87" s="135">
        <f>AY$3</f>
        <v>46189</v>
      </c>
      <c r="AZ87" s="136" t="s">
        <v>557</v>
      </c>
      <c r="BA87" s="137"/>
      <c r="BB87" s="135">
        <f>BB$3</f>
        <v>46190</v>
      </c>
      <c r="BC87" s="136" t="s">
        <v>557</v>
      </c>
      <c r="BD87" s="137" t="s">
        <v>557</v>
      </c>
      <c r="BE87" s="135">
        <f>BE$3</f>
        <v>46191</v>
      </c>
      <c r="BF87" s="136" t="s">
        <v>557</v>
      </c>
      <c r="BG87" s="137" t="s">
        <v>557</v>
      </c>
      <c r="BH87" s="135">
        <f>BH$3</f>
        <v>46192</v>
      </c>
      <c r="BI87" s="136" t="s">
        <v>557</v>
      </c>
      <c r="BJ87" s="137" t="s">
        <v>557</v>
      </c>
      <c r="BK87" s="135">
        <f>BK$3</f>
        <v>46193</v>
      </c>
      <c r="BL87" s="136" t="s">
        <v>557</v>
      </c>
      <c r="BM87" s="137" t="s">
        <v>557</v>
      </c>
    </row>
    <row r="88" spans="1:65" outlineLevel="1">
      <c r="A88" s="122" t="str">
        <f>$A$66</f>
        <v>Đỗ Minh Ngọc</v>
      </c>
      <c r="B88" s="82" t="str">
        <f>'Bảng 3'!A276</f>
        <v>3.N.DSHCMCG.DMF.201</v>
      </c>
      <c r="C88" s="81" t="str">
        <f>IF($B88="","",INDEX('All Bảng'!C:C,MATCH($B88,'All Bảng'!$A:$A,0)))</f>
        <v>Quản lý BIM</v>
      </c>
      <c r="D88" s="81" t="str">
        <f>IF($B88="","",INDEX('All Bảng'!D:D,MATCH($B88,'All Bảng'!$A:$A,0)))</f>
        <v>N.DSHCMCG.DMF</v>
      </c>
      <c r="E88" s="81" t="str">
        <f>IF($B88="","",INDEX('All Bảng'!E:E,MATCH($B88,'All Bảng'!$A:$A,0)))</f>
        <v>Depot</v>
      </c>
      <c r="F88" s="81" t="str">
        <f>IF($B88="","",INDEX('All Bảng'!F:F,MATCH($B88,'All Bảng'!$A:$A,0)))</f>
        <v>KC</v>
      </c>
      <c r="G88" s="81" t="str">
        <f>IF($B88="","",INDEX('All Bảng'!G:G,MATCH($B88,'All Bảng'!$A:$A,0)))</f>
        <v>Tạo lập mô hình BIM</v>
      </c>
      <c r="H88" s="121"/>
      <c r="I88" s="135"/>
      <c r="J88" s="135">
        <f>J$3</f>
        <v>46174</v>
      </c>
      <c r="K88" s="148" t="s">
        <v>557</v>
      </c>
      <c r="L88" s="163" t="s">
        <v>557</v>
      </c>
      <c r="M88" s="135">
        <f>M$3</f>
        <v>46175</v>
      </c>
      <c r="N88" s="148" t="s">
        <v>557</v>
      </c>
      <c r="O88" s="137"/>
      <c r="P88" s="135">
        <f>P$3</f>
        <v>46176</v>
      </c>
      <c r="Q88" s="148" t="s">
        <v>557</v>
      </c>
      <c r="R88" s="163" t="s">
        <v>557</v>
      </c>
      <c r="S88" s="135">
        <f>S$3</f>
        <v>46177</v>
      </c>
      <c r="T88" s="136" t="s">
        <v>557</v>
      </c>
      <c r="U88" s="137" t="s">
        <v>557</v>
      </c>
      <c r="V88" s="135">
        <f>V$3</f>
        <v>46178</v>
      </c>
      <c r="W88" s="136" t="s">
        <v>557</v>
      </c>
      <c r="X88" s="137" t="s">
        <v>557</v>
      </c>
      <c r="Y88" s="135">
        <f>Y$3</f>
        <v>46179</v>
      </c>
      <c r="Z88" s="136" t="s">
        <v>557</v>
      </c>
      <c r="AA88" s="137" t="s">
        <v>557</v>
      </c>
      <c r="AB88" s="135"/>
      <c r="AC88" s="135">
        <f>AC$3</f>
        <v>46181</v>
      </c>
      <c r="AD88" s="136" t="s">
        <v>557</v>
      </c>
      <c r="AE88" s="137" t="s">
        <v>557</v>
      </c>
      <c r="AF88" s="135">
        <f>AF$3</f>
        <v>46182</v>
      </c>
      <c r="AG88" s="136" t="s">
        <v>557</v>
      </c>
      <c r="AH88" s="137" t="s">
        <v>557</v>
      </c>
      <c r="AI88" s="135">
        <f>AI$3</f>
        <v>46183</v>
      </c>
      <c r="AJ88" s="136" t="s">
        <v>557</v>
      </c>
      <c r="AK88" s="137" t="s">
        <v>557</v>
      </c>
      <c r="AL88" s="135">
        <f>AL$3</f>
        <v>46184</v>
      </c>
      <c r="AM88" s="136" t="s">
        <v>557</v>
      </c>
      <c r="AN88" s="137" t="s">
        <v>557</v>
      </c>
      <c r="AO88" s="135">
        <f>AO$3</f>
        <v>46185</v>
      </c>
      <c r="AP88" s="136" t="s">
        <v>557</v>
      </c>
      <c r="AQ88" s="137" t="s">
        <v>557</v>
      </c>
      <c r="AR88" s="135">
        <f>AR$3</f>
        <v>46186</v>
      </c>
      <c r="AS88" s="136" t="s">
        <v>557</v>
      </c>
      <c r="AT88" s="137" t="s">
        <v>557</v>
      </c>
      <c r="AU88" s="135"/>
      <c r="AV88" s="135">
        <f>AV$3</f>
        <v>46188</v>
      </c>
      <c r="AW88" s="148" t="s">
        <v>557</v>
      </c>
      <c r="AX88" s="137" t="s">
        <v>557</v>
      </c>
      <c r="AY88" s="135">
        <f>AY$3</f>
        <v>46189</v>
      </c>
      <c r="AZ88" s="136" t="s">
        <v>557</v>
      </c>
      <c r="BA88" s="137"/>
      <c r="BB88" s="135">
        <f>BB$3</f>
        <v>46190</v>
      </c>
      <c r="BC88" s="136" t="s">
        <v>557</v>
      </c>
      <c r="BD88" s="137" t="s">
        <v>557</v>
      </c>
      <c r="BE88" s="135">
        <f>BE$3</f>
        <v>46191</v>
      </c>
      <c r="BF88" s="136" t="s">
        <v>557</v>
      </c>
      <c r="BG88" s="137" t="s">
        <v>557</v>
      </c>
      <c r="BH88" s="135">
        <f>BH$3</f>
        <v>46192</v>
      </c>
      <c r="BI88" s="136" t="s">
        <v>557</v>
      </c>
      <c r="BJ88" s="137" t="s">
        <v>557</v>
      </c>
      <c r="BK88" s="135">
        <f>BK$3</f>
        <v>46193</v>
      </c>
      <c r="BL88" s="136" t="s">
        <v>557</v>
      </c>
      <c r="BM88" s="137" t="s">
        <v>557</v>
      </c>
    </row>
    <row r="89" spans="1:65" outlineLevel="1">
      <c r="A89" s="122" t="str">
        <f>$A$66</f>
        <v>Đỗ Minh Ngọc</v>
      </c>
      <c r="B89" s="82" t="str">
        <f>'Bảng 3'!A311</f>
        <v>3.N.HCM.CGIO.KS.101</v>
      </c>
      <c r="C89" s="81" t="str">
        <f>IF($B89="","",INDEX('All Bảng'!C:C,MATCH($B89,'All Bảng'!$A:$A,0)))</f>
        <v>Quản lý BIM</v>
      </c>
      <c r="D89" s="81" t="str">
        <f>IF($B89="","",INDEX('All Bảng'!D:D,MATCH($B89,'All Bảng'!$A:$A,0)))</f>
        <v>N.HCM.CGIO.KS</v>
      </c>
      <c r="E89" s="81" t="str">
        <f>IF($B89="","",INDEX('All Bảng'!E:E,MATCH($B89,'All Bảng'!$A:$A,0)))</f>
        <v>Khách sạn Grand Hyatt - A3.24.04</v>
      </c>
      <c r="F89" s="81" t="str">
        <f>IF($B89="","",INDEX('All Bảng'!F:F,MATCH($B89,'All Bảng'!$A:$A,0)))</f>
        <v>KT</v>
      </c>
      <c r="G89" s="81" t="str">
        <f>IF($B89="","",INDEX('All Bảng'!G:G,MATCH($B89,'All Bảng'!$A:$A,0)))</f>
        <v>Tạo lập mô hình BIM</v>
      </c>
      <c r="H89" s="121"/>
      <c r="I89" s="135"/>
      <c r="J89" s="135">
        <f>J$3</f>
        <v>46174</v>
      </c>
      <c r="K89" s="148" t="s">
        <v>557</v>
      </c>
      <c r="L89" s="163" t="s">
        <v>557</v>
      </c>
      <c r="M89" s="135">
        <f>M$3</f>
        <v>46175</v>
      </c>
      <c r="N89" s="148" t="s">
        <v>557</v>
      </c>
      <c r="O89" s="137"/>
      <c r="P89" s="135">
        <f>P$3</f>
        <v>46176</v>
      </c>
      <c r="Q89" s="148" t="s">
        <v>557</v>
      </c>
      <c r="R89" s="163" t="s">
        <v>557</v>
      </c>
      <c r="S89" s="135">
        <f>S$3</f>
        <v>46177</v>
      </c>
      <c r="T89" s="136" t="s">
        <v>557</v>
      </c>
      <c r="U89" s="137" t="s">
        <v>557</v>
      </c>
      <c r="V89" s="135">
        <f>V$3</f>
        <v>46178</v>
      </c>
      <c r="W89" s="136" t="s">
        <v>557</v>
      </c>
      <c r="X89" s="137" t="s">
        <v>557</v>
      </c>
      <c r="Y89" s="135">
        <f>Y$3</f>
        <v>46179</v>
      </c>
      <c r="Z89" s="136" t="s">
        <v>557</v>
      </c>
      <c r="AA89" s="137" t="s">
        <v>557</v>
      </c>
      <c r="AB89" s="135"/>
      <c r="AC89" s="135">
        <f>AC$3</f>
        <v>46181</v>
      </c>
      <c r="AD89" s="136" t="s">
        <v>557</v>
      </c>
      <c r="AE89" s="137" t="s">
        <v>557</v>
      </c>
      <c r="AF89" s="135">
        <f>AF$3</f>
        <v>46182</v>
      </c>
      <c r="AG89" s="136" t="s">
        <v>557</v>
      </c>
      <c r="AH89" s="137" t="s">
        <v>557</v>
      </c>
      <c r="AI89" s="135">
        <f>AI$3</f>
        <v>46183</v>
      </c>
      <c r="AJ89" s="136" t="s">
        <v>557</v>
      </c>
      <c r="AK89" s="137" t="s">
        <v>557</v>
      </c>
      <c r="AL89" s="135">
        <f>AL$3</f>
        <v>46184</v>
      </c>
      <c r="AM89" s="136" t="s">
        <v>557</v>
      </c>
      <c r="AN89" s="137" t="s">
        <v>557</v>
      </c>
      <c r="AO89" s="135">
        <f>AO$3</f>
        <v>46185</v>
      </c>
      <c r="AP89" s="136" t="s">
        <v>557</v>
      </c>
      <c r="AQ89" s="137" t="s">
        <v>557</v>
      </c>
      <c r="AR89" s="135">
        <f>AR$3</f>
        <v>46186</v>
      </c>
      <c r="AS89" s="136" t="s">
        <v>557</v>
      </c>
      <c r="AT89" s="137" t="s">
        <v>557</v>
      </c>
      <c r="AU89" s="135"/>
      <c r="AV89" s="135">
        <f>AV$3</f>
        <v>46188</v>
      </c>
      <c r="AW89" s="148" t="s">
        <v>557</v>
      </c>
      <c r="AX89" s="137" t="s">
        <v>557</v>
      </c>
      <c r="AY89" s="135">
        <f>AY$3</f>
        <v>46189</v>
      </c>
      <c r="AZ89" s="136" t="s">
        <v>557</v>
      </c>
      <c r="BA89" s="137"/>
      <c r="BB89" s="135">
        <f>BB$3</f>
        <v>46190</v>
      </c>
      <c r="BC89" s="136" t="s">
        <v>557</v>
      </c>
      <c r="BD89" s="137" t="s">
        <v>557</v>
      </c>
      <c r="BE89" s="135">
        <f>BE$3</f>
        <v>46191</v>
      </c>
      <c r="BF89" s="136" t="s">
        <v>557</v>
      </c>
      <c r="BG89" s="137" t="s">
        <v>557</v>
      </c>
      <c r="BH89" s="135">
        <f>BH$3</f>
        <v>46192</v>
      </c>
      <c r="BI89" s="136" t="s">
        <v>557</v>
      </c>
      <c r="BJ89" s="137" t="s">
        <v>557</v>
      </c>
      <c r="BK89" s="135">
        <f>BK$3</f>
        <v>46193</v>
      </c>
      <c r="BL89" s="136" t="s">
        <v>557</v>
      </c>
      <c r="BM89" s="137" t="s">
        <v>557</v>
      </c>
    </row>
    <row r="90" spans="1:65" outlineLevel="1">
      <c r="A90" s="122" t="str">
        <f>$A$66</f>
        <v>Đỗ Minh Ngọc</v>
      </c>
      <c r="B90" s="82" t="str">
        <f>'Bảng 3'!A312</f>
        <v>3.N.HCM.CGIO.KS.201</v>
      </c>
      <c r="C90" s="81" t="str">
        <f>IF($B90="","",INDEX('All Bảng'!C:C,MATCH($B90,'All Bảng'!$A:$A,0)))</f>
        <v>Quản lý BIM</v>
      </c>
      <c r="D90" s="81" t="str">
        <f>IF($B90="","",INDEX('All Bảng'!D:D,MATCH($B90,'All Bảng'!$A:$A,0)))</f>
        <v>N.HCM.CGIO.KS</v>
      </c>
      <c r="E90" s="81" t="str">
        <f>IF($B90="","",INDEX('All Bảng'!E:E,MATCH($B90,'All Bảng'!$A:$A,0)))</f>
        <v>Khách sạn Grand Hyatt - A3.24.04</v>
      </c>
      <c r="F90" s="81" t="str">
        <f>IF($B90="","",INDEX('All Bảng'!F:F,MATCH($B90,'All Bảng'!$A:$A,0)))</f>
        <v>KC</v>
      </c>
      <c r="G90" s="81" t="str">
        <f>IF($B90="","",INDEX('All Bảng'!G:G,MATCH($B90,'All Bảng'!$A:$A,0)))</f>
        <v>Tạo lập mô hình BIM</v>
      </c>
      <c r="H90" s="121"/>
      <c r="I90" s="135"/>
      <c r="J90" s="135">
        <f>J$3</f>
        <v>46174</v>
      </c>
      <c r="K90" s="148" t="s">
        <v>557</v>
      </c>
      <c r="L90" s="163" t="s">
        <v>557</v>
      </c>
      <c r="M90" s="135">
        <f>M$3</f>
        <v>46175</v>
      </c>
      <c r="N90" s="148" t="s">
        <v>557</v>
      </c>
      <c r="O90" s="137"/>
      <c r="P90" s="135">
        <f>P$3</f>
        <v>46176</v>
      </c>
      <c r="Q90" s="148" t="s">
        <v>557</v>
      </c>
      <c r="R90" s="163" t="s">
        <v>557</v>
      </c>
      <c r="S90" s="135">
        <f>S$3</f>
        <v>46177</v>
      </c>
      <c r="T90" s="136" t="s">
        <v>557</v>
      </c>
      <c r="U90" s="137" t="s">
        <v>557</v>
      </c>
      <c r="V90" s="135">
        <f>V$3</f>
        <v>46178</v>
      </c>
      <c r="W90" s="136" t="s">
        <v>557</v>
      </c>
      <c r="X90" s="137" t="s">
        <v>557</v>
      </c>
      <c r="Y90" s="135">
        <f>Y$3</f>
        <v>46179</v>
      </c>
      <c r="Z90" s="136" t="s">
        <v>557</v>
      </c>
      <c r="AA90" s="137" t="s">
        <v>557</v>
      </c>
      <c r="AB90" s="135"/>
      <c r="AC90" s="135">
        <f>AC$3</f>
        <v>46181</v>
      </c>
      <c r="AD90" s="136" t="s">
        <v>557</v>
      </c>
      <c r="AE90" s="137" t="s">
        <v>557</v>
      </c>
      <c r="AF90" s="135">
        <f>AF$3</f>
        <v>46182</v>
      </c>
      <c r="AG90" s="136" t="s">
        <v>557</v>
      </c>
      <c r="AH90" s="137" t="s">
        <v>557</v>
      </c>
      <c r="AI90" s="135">
        <f>AI$3</f>
        <v>46183</v>
      </c>
      <c r="AJ90" s="136" t="s">
        <v>557</v>
      </c>
      <c r="AK90" s="137" t="s">
        <v>557</v>
      </c>
      <c r="AL90" s="135">
        <f>AL$3</f>
        <v>46184</v>
      </c>
      <c r="AM90" s="136" t="s">
        <v>557</v>
      </c>
      <c r="AN90" s="137" t="s">
        <v>557</v>
      </c>
      <c r="AO90" s="135">
        <f>AO$3</f>
        <v>46185</v>
      </c>
      <c r="AP90" s="136" t="s">
        <v>557</v>
      </c>
      <c r="AQ90" s="137" t="s">
        <v>557</v>
      </c>
      <c r="AR90" s="135">
        <f>AR$3</f>
        <v>46186</v>
      </c>
      <c r="AS90" s="136" t="s">
        <v>557</v>
      </c>
      <c r="AT90" s="137" t="s">
        <v>557</v>
      </c>
      <c r="AU90" s="135"/>
      <c r="AV90" s="135">
        <f>AV$3</f>
        <v>46188</v>
      </c>
      <c r="AW90" s="148" t="s">
        <v>557</v>
      </c>
      <c r="AX90" s="137" t="s">
        <v>557</v>
      </c>
      <c r="AY90" s="135">
        <f>AY$3</f>
        <v>46189</v>
      </c>
      <c r="AZ90" s="136" t="s">
        <v>557</v>
      </c>
      <c r="BA90" s="137"/>
      <c r="BB90" s="135">
        <f>BB$3</f>
        <v>46190</v>
      </c>
      <c r="BC90" s="136" t="s">
        <v>557</v>
      </c>
      <c r="BD90" s="137" t="s">
        <v>557</v>
      </c>
      <c r="BE90" s="135">
        <f>BE$3</f>
        <v>46191</v>
      </c>
      <c r="BF90" s="136" t="s">
        <v>557</v>
      </c>
      <c r="BG90" s="137" t="s">
        <v>557</v>
      </c>
      <c r="BH90" s="135">
        <f>BH$3</f>
        <v>46192</v>
      </c>
      <c r="BI90" s="136" t="s">
        <v>557</v>
      </c>
      <c r="BJ90" s="137" t="s">
        <v>557</v>
      </c>
      <c r="BK90" s="135">
        <f>BK$3</f>
        <v>46193</v>
      </c>
      <c r="BL90" s="136" t="s">
        <v>557</v>
      </c>
      <c r="BM90" s="137" t="s">
        <v>557</v>
      </c>
    </row>
    <row r="91" spans="1:65" outlineLevel="1">
      <c r="A91" s="122" t="str">
        <f>$A$66</f>
        <v>Đỗ Minh Ngọc</v>
      </c>
      <c r="B91" s="82" t="str">
        <f>'Bảng 3'!A325</f>
        <v>3.N.HCM.CGIO.KS.103</v>
      </c>
      <c r="C91" s="81" t="str">
        <f>IF($B91="","",INDEX('All Bảng'!C:C,MATCH($B91,'All Bảng'!$A:$A,0)))</f>
        <v>Quản lý BIM</v>
      </c>
      <c r="D91" s="81" t="str">
        <f>IF($B91="","",INDEX('All Bảng'!D:D,MATCH($B91,'All Bảng'!$A:$A,0)))</f>
        <v>N.HCM.CGIO.KS</v>
      </c>
      <c r="E91" s="81" t="str">
        <f>IF($B91="","",INDEX('All Bảng'!E:E,MATCH($B91,'All Bảng'!$A:$A,0)))</f>
        <v xml:space="preserve">Khách sạn Ritz Carlton - B5-06-10,11 </v>
      </c>
      <c r="F91" s="81" t="str">
        <f>IF($B91="","",INDEX('All Bảng'!F:F,MATCH($B91,'All Bảng'!$A:$A,0)))</f>
        <v>KT</v>
      </c>
      <c r="G91" s="81" t="str">
        <f>IF($B91="","",INDEX('All Bảng'!G:G,MATCH($B91,'All Bảng'!$A:$A,0)))</f>
        <v>Tạo lập mô hình BIM</v>
      </c>
      <c r="H91" s="121"/>
      <c r="I91" s="135"/>
      <c r="J91" s="135">
        <f>J$3</f>
        <v>46174</v>
      </c>
      <c r="K91" s="148" t="s">
        <v>557</v>
      </c>
      <c r="L91" s="163" t="s">
        <v>557</v>
      </c>
      <c r="M91" s="135">
        <f>M$3</f>
        <v>46175</v>
      </c>
      <c r="N91" s="148" t="s">
        <v>557</v>
      </c>
      <c r="O91" s="137"/>
      <c r="P91" s="135">
        <f>P$3</f>
        <v>46176</v>
      </c>
      <c r="Q91" s="148" t="s">
        <v>557</v>
      </c>
      <c r="R91" s="163" t="s">
        <v>557</v>
      </c>
      <c r="S91" s="135">
        <f>S$3</f>
        <v>46177</v>
      </c>
      <c r="T91" s="136" t="s">
        <v>557</v>
      </c>
      <c r="U91" s="137" t="s">
        <v>557</v>
      </c>
      <c r="V91" s="135">
        <f>V$3</f>
        <v>46178</v>
      </c>
      <c r="W91" s="136" t="s">
        <v>557</v>
      </c>
      <c r="X91" s="137" t="s">
        <v>557</v>
      </c>
      <c r="Y91" s="135">
        <f>Y$3</f>
        <v>46179</v>
      </c>
      <c r="Z91" s="136" t="s">
        <v>557</v>
      </c>
      <c r="AA91" s="137" t="s">
        <v>557</v>
      </c>
      <c r="AB91" s="135"/>
      <c r="AC91" s="135">
        <f>AC$3</f>
        <v>46181</v>
      </c>
      <c r="AD91" s="136" t="s">
        <v>557</v>
      </c>
      <c r="AE91" s="137" t="s">
        <v>557</v>
      </c>
      <c r="AF91" s="135">
        <f>AF$3</f>
        <v>46182</v>
      </c>
      <c r="AG91" s="136" t="s">
        <v>557</v>
      </c>
      <c r="AH91" s="137" t="s">
        <v>557</v>
      </c>
      <c r="AI91" s="135">
        <f>AI$3</f>
        <v>46183</v>
      </c>
      <c r="AJ91" s="136" t="s">
        <v>557</v>
      </c>
      <c r="AK91" s="137" t="s">
        <v>557</v>
      </c>
      <c r="AL91" s="135">
        <f>AL$3</f>
        <v>46184</v>
      </c>
      <c r="AM91" s="136" t="s">
        <v>557</v>
      </c>
      <c r="AN91" s="137" t="s">
        <v>557</v>
      </c>
      <c r="AO91" s="135">
        <f>AO$3</f>
        <v>46185</v>
      </c>
      <c r="AP91" s="136" t="s">
        <v>557</v>
      </c>
      <c r="AQ91" s="137" t="s">
        <v>557</v>
      </c>
      <c r="AR91" s="135">
        <f>AR$3</f>
        <v>46186</v>
      </c>
      <c r="AS91" s="136" t="s">
        <v>557</v>
      </c>
      <c r="AT91" s="137" t="s">
        <v>557</v>
      </c>
      <c r="AU91" s="135"/>
      <c r="AV91" s="135">
        <f>AV$3</f>
        <v>46188</v>
      </c>
      <c r="AW91" s="148" t="s">
        <v>557</v>
      </c>
      <c r="AX91" s="137" t="s">
        <v>557</v>
      </c>
      <c r="AY91" s="135">
        <f>AY$3</f>
        <v>46189</v>
      </c>
      <c r="AZ91" s="136" t="s">
        <v>557</v>
      </c>
      <c r="BA91" s="137"/>
      <c r="BB91" s="135">
        <f>BB$3</f>
        <v>46190</v>
      </c>
      <c r="BC91" s="136" t="s">
        <v>557</v>
      </c>
      <c r="BD91" s="137" t="s">
        <v>557</v>
      </c>
      <c r="BE91" s="135">
        <f>BE$3</f>
        <v>46191</v>
      </c>
      <c r="BF91" s="136" t="s">
        <v>557</v>
      </c>
      <c r="BG91" s="137" t="s">
        <v>557</v>
      </c>
      <c r="BH91" s="135">
        <f>BH$3</f>
        <v>46192</v>
      </c>
      <c r="BI91" s="136" t="s">
        <v>557</v>
      </c>
      <c r="BJ91" s="137" t="s">
        <v>557</v>
      </c>
      <c r="BK91" s="135">
        <f>BK$3</f>
        <v>46193</v>
      </c>
      <c r="BL91" s="136" t="s">
        <v>557</v>
      </c>
      <c r="BM91" s="137" t="s">
        <v>557</v>
      </c>
    </row>
    <row r="92" spans="1:65" outlineLevel="1">
      <c r="A92" s="122" t="str">
        <f>$A$66</f>
        <v>Đỗ Minh Ngọc</v>
      </c>
      <c r="B92" s="82" t="str">
        <f>'Bảng 3'!A326</f>
        <v>3.N.HCM.CGIO.KS.203</v>
      </c>
      <c r="C92" s="81" t="str">
        <f>IF($B92="","",INDEX('All Bảng'!C:C,MATCH($B92,'All Bảng'!$A:$A,0)))</f>
        <v>Quản lý BIM</v>
      </c>
      <c r="D92" s="81" t="str">
        <f>IF($B92="","",INDEX('All Bảng'!D:D,MATCH($B92,'All Bảng'!$A:$A,0)))</f>
        <v>N.HCM.CGIO.KS</v>
      </c>
      <c r="E92" s="81" t="str">
        <f>IF($B92="","",INDEX('All Bảng'!E:E,MATCH($B92,'All Bảng'!$A:$A,0)))</f>
        <v xml:space="preserve">Khách sạn Ritz Carlton - B5-06-10,11 </v>
      </c>
      <c r="F92" s="81" t="str">
        <f>IF($B92="","",INDEX('All Bảng'!F:F,MATCH($B92,'All Bảng'!$A:$A,0)))</f>
        <v>KC</v>
      </c>
      <c r="G92" s="81" t="str">
        <f>IF($B92="","",INDEX('All Bảng'!G:G,MATCH($B92,'All Bảng'!$A:$A,0)))</f>
        <v>Tạo lập mô hình BIM</v>
      </c>
      <c r="H92" s="121"/>
      <c r="I92" s="135"/>
      <c r="J92" s="135">
        <f>J$3</f>
        <v>46174</v>
      </c>
      <c r="K92" s="148" t="s">
        <v>557</v>
      </c>
      <c r="L92" s="163" t="s">
        <v>557</v>
      </c>
      <c r="M92" s="135">
        <f>M$3</f>
        <v>46175</v>
      </c>
      <c r="N92" s="148" t="s">
        <v>557</v>
      </c>
      <c r="O92" s="137"/>
      <c r="P92" s="135">
        <f>P$3</f>
        <v>46176</v>
      </c>
      <c r="Q92" s="148" t="s">
        <v>557</v>
      </c>
      <c r="R92" s="163" t="s">
        <v>557</v>
      </c>
      <c r="S92" s="135">
        <f>S$3</f>
        <v>46177</v>
      </c>
      <c r="T92" s="136" t="s">
        <v>557</v>
      </c>
      <c r="U92" s="137" t="s">
        <v>557</v>
      </c>
      <c r="V92" s="135">
        <f>V$3</f>
        <v>46178</v>
      </c>
      <c r="W92" s="136" t="s">
        <v>557</v>
      </c>
      <c r="X92" s="137" t="s">
        <v>557</v>
      </c>
      <c r="Y92" s="135">
        <f>Y$3</f>
        <v>46179</v>
      </c>
      <c r="Z92" s="136" t="s">
        <v>557</v>
      </c>
      <c r="AA92" s="137" t="s">
        <v>557</v>
      </c>
      <c r="AB92" s="135"/>
      <c r="AC92" s="135">
        <f>AC$3</f>
        <v>46181</v>
      </c>
      <c r="AD92" s="136" t="s">
        <v>557</v>
      </c>
      <c r="AE92" s="137" t="s">
        <v>557</v>
      </c>
      <c r="AF92" s="135">
        <f>AF$3</f>
        <v>46182</v>
      </c>
      <c r="AG92" s="136" t="s">
        <v>557</v>
      </c>
      <c r="AH92" s="137" t="s">
        <v>557</v>
      </c>
      <c r="AI92" s="135">
        <f>AI$3</f>
        <v>46183</v>
      </c>
      <c r="AJ92" s="136" t="s">
        <v>557</v>
      </c>
      <c r="AK92" s="137" t="s">
        <v>557</v>
      </c>
      <c r="AL92" s="135">
        <f>AL$3</f>
        <v>46184</v>
      </c>
      <c r="AM92" s="136" t="s">
        <v>557</v>
      </c>
      <c r="AN92" s="137" t="s">
        <v>557</v>
      </c>
      <c r="AO92" s="135">
        <f>AO$3</f>
        <v>46185</v>
      </c>
      <c r="AP92" s="136" t="s">
        <v>557</v>
      </c>
      <c r="AQ92" s="137" t="s">
        <v>557</v>
      </c>
      <c r="AR92" s="135">
        <f>AR$3</f>
        <v>46186</v>
      </c>
      <c r="AS92" s="136" t="s">
        <v>557</v>
      </c>
      <c r="AT92" s="137" t="s">
        <v>557</v>
      </c>
      <c r="AU92" s="135"/>
      <c r="AV92" s="135">
        <f>AV$3</f>
        <v>46188</v>
      </c>
      <c r="AW92" s="148" t="s">
        <v>557</v>
      </c>
      <c r="AX92" s="137" t="s">
        <v>557</v>
      </c>
      <c r="AY92" s="135">
        <f>AY$3</f>
        <v>46189</v>
      </c>
      <c r="AZ92" s="136" t="s">
        <v>557</v>
      </c>
      <c r="BA92" s="137"/>
      <c r="BB92" s="135">
        <f>BB$3</f>
        <v>46190</v>
      </c>
      <c r="BC92" s="136" t="s">
        <v>557</v>
      </c>
      <c r="BD92" s="137" t="s">
        <v>557</v>
      </c>
      <c r="BE92" s="135">
        <f>BE$3</f>
        <v>46191</v>
      </c>
      <c r="BF92" s="136" t="s">
        <v>557</v>
      </c>
      <c r="BG92" s="137" t="s">
        <v>557</v>
      </c>
      <c r="BH92" s="135">
        <f>BH$3</f>
        <v>46192</v>
      </c>
      <c r="BI92" s="136" t="s">
        <v>557</v>
      </c>
      <c r="BJ92" s="137" t="s">
        <v>557</v>
      </c>
      <c r="BK92" s="135">
        <f>BK$3</f>
        <v>46193</v>
      </c>
      <c r="BL92" s="136" t="s">
        <v>557</v>
      </c>
      <c r="BM92" s="137" t="s">
        <v>557</v>
      </c>
    </row>
    <row r="93" spans="1:65" outlineLevel="1">
      <c r="A93" s="122" t="str">
        <f>$A$66</f>
        <v>Đỗ Minh Ngọc</v>
      </c>
      <c r="B93" s="82" t="str">
        <f>'Bảng 3'!A438</f>
        <v>3.T.DAN.LVDN.KS.101</v>
      </c>
      <c r="C93" s="81" t="str">
        <f>IF($B93="","",INDEX('All Bảng'!C:C,MATCH($B93,'All Bảng'!$A:$A,0)))</f>
        <v>Quản lý BIM</v>
      </c>
      <c r="D93" s="81" t="str">
        <f>IF($B93="","",INDEX('All Bảng'!D:D,MATCH($B93,'All Bảng'!$A:$A,0)))</f>
        <v>T.DAN.LVDN.KS</v>
      </c>
      <c r="E93" s="81" t="str">
        <f>IF($B93="","",INDEX('All Bảng'!E:E,MATCH($B93,'All Bảng'!$A:$A,0)))</f>
        <v>KS JW Marriott- Làng Vân (Cao 9 tầng)</v>
      </c>
      <c r="F93" s="81" t="str">
        <f>IF($B93="","",INDEX('All Bảng'!F:F,MATCH($B93,'All Bảng'!$A:$A,0)))</f>
        <v>KT</v>
      </c>
      <c r="G93" s="81" t="str">
        <f>IF($B93="","",INDEX('All Bảng'!G:G,MATCH($B93,'All Bảng'!$A:$A,0)))</f>
        <v>Tạo lập mô hình BIM</v>
      </c>
      <c r="H93" s="121"/>
      <c r="I93" s="135"/>
      <c r="J93" s="135">
        <f>J$3</f>
        <v>46174</v>
      </c>
      <c r="K93" s="148" t="s">
        <v>557</v>
      </c>
      <c r="L93" s="163" t="s">
        <v>557</v>
      </c>
      <c r="M93" s="135">
        <f>M$3</f>
        <v>46175</v>
      </c>
      <c r="N93" s="148" t="s">
        <v>557</v>
      </c>
      <c r="O93" s="137"/>
      <c r="P93" s="135">
        <f>P$3</f>
        <v>46176</v>
      </c>
      <c r="Q93" s="148" t="s">
        <v>266</v>
      </c>
      <c r="R93" s="163" t="s">
        <v>557</v>
      </c>
      <c r="S93" s="135">
        <f>S$3</f>
        <v>46177</v>
      </c>
      <c r="T93" s="136" t="s">
        <v>557</v>
      </c>
      <c r="U93" s="137" t="s">
        <v>557</v>
      </c>
      <c r="V93" s="135">
        <f>V$3</f>
        <v>46178</v>
      </c>
      <c r="W93" s="136" t="s">
        <v>557</v>
      </c>
      <c r="X93" s="137" t="s">
        <v>557</v>
      </c>
      <c r="Y93" s="135">
        <f>Y$3</f>
        <v>46179</v>
      </c>
      <c r="Z93" s="136" t="s">
        <v>557</v>
      </c>
      <c r="AA93" s="137" t="s">
        <v>557</v>
      </c>
      <c r="AB93" s="135"/>
      <c r="AC93" s="135">
        <f>AC$3</f>
        <v>46181</v>
      </c>
      <c r="AD93" s="136" t="s">
        <v>557</v>
      </c>
      <c r="AE93" s="137" t="s">
        <v>557</v>
      </c>
      <c r="AF93" s="135">
        <f>AF$3</f>
        <v>46182</v>
      </c>
      <c r="AG93" s="136" t="s">
        <v>557</v>
      </c>
      <c r="AH93" s="137" t="s">
        <v>557</v>
      </c>
      <c r="AI93" s="135">
        <f>AI$3</f>
        <v>46183</v>
      </c>
      <c r="AJ93" s="136" t="s">
        <v>557</v>
      </c>
      <c r="AK93" s="137" t="s">
        <v>557</v>
      </c>
      <c r="AL93" s="135">
        <f>AL$3</f>
        <v>46184</v>
      </c>
      <c r="AM93" s="136" t="s">
        <v>557</v>
      </c>
      <c r="AN93" s="137" t="s">
        <v>557</v>
      </c>
      <c r="AO93" s="135">
        <f>AO$3</f>
        <v>46185</v>
      </c>
      <c r="AP93" s="136" t="s">
        <v>557</v>
      </c>
      <c r="AQ93" s="137" t="s">
        <v>557</v>
      </c>
      <c r="AR93" s="135">
        <f>AR$3</f>
        <v>46186</v>
      </c>
      <c r="AS93" s="136" t="s">
        <v>557</v>
      </c>
      <c r="AT93" s="137" t="s">
        <v>557</v>
      </c>
      <c r="AU93" s="135"/>
      <c r="AV93" s="135">
        <f>AV$3</f>
        <v>46188</v>
      </c>
      <c r="AW93" s="148" t="s">
        <v>557</v>
      </c>
      <c r="AX93" s="137" t="s">
        <v>557</v>
      </c>
      <c r="AY93" s="135">
        <f>AY$3</f>
        <v>46189</v>
      </c>
      <c r="AZ93" s="136" t="s">
        <v>557</v>
      </c>
      <c r="BA93" s="137"/>
      <c r="BB93" s="135">
        <f>BB$3</f>
        <v>46190</v>
      </c>
      <c r="BC93" s="136" t="s">
        <v>557</v>
      </c>
      <c r="BD93" s="137" t="s">
        <v>557</v>
      </c>
      <c r="BE93" s="135">
        <f>BE$3</f>
        <v>46191</v>
      </c>
      <c r="BF93" s="136" t="s">
        <v>557</v>
      </c>
      <c r="BG93" s="137" t="s">
        <v>557</v>
      </c>
      <c r="BH93" s="135">
        <f>BH$3</f>
        <v>46192</v>
      </c>
      <c r="BI93" s="136" t="s">
        <v>557</v>
      </c>
      <c r="BJ93" s="137" t="s">
        <v>557</v>
      </c>
      <c r="BK93" s="135">
        <f>BK$3</f>
        <v>46193</v>
      </c>
      <c r="BL93" s="136" t="s">
        <v>557</v>
      </c>
      <c r="BM93" s="137" t="s">
        <v>557</v>
      </c>
    </row>
    <row r="94" spans="1:65" outlineLevel="1">
      <c r="A94" s="122" t="str">
        <f>$A$66</f>
        <v>Đỗ Minh Ngọc</v>
      </c>
      <c r="B94" s="82" t="str">
        <f>'Bảng 3'!A439</f>
        <v>3.T.DAN.LVDN.KS.201</v>
      </c>
      <c r="C94" s="81" t="str">
        <f>IF($B94="","",INDEX('All Bảng'!C:C,MATCH($B94,'All Bảng'!$A:$A,0)))</f>
        <v>Quản lý BIM</v>
      </c>
      <c r="D94" s="81" t="str">
        <f>IF($B94="","",INDEX('All Bảng'!D:D,MATCH($B94,'All Bảng'!$A:$A,0)))</f>
        <v>T.DAN.LVDN.KS</v>
      </c>
      <c r="E94" s="81" t="str">
        <f>IF($B94="","",INDEX('All Bảng'!E:E,MATCH($B94,'All Bảng'!$A:$A,0)))</f>
        <v>KS JW Marriott- Làng Vân (Cao 9 tầng)</v>
      </c>
      <c r="F94" s="81" t="str">
        <f>IF($B94="","",INDEX('All Bảng'!F:F,MATCH($B94,'All Bảng'!$A:$A,0)))</f>
        <v>KC</v>
      </c>
      <c r="G94" s="81" t="str">
        <f>IF($B94="","",INDEX('All Bảng'!G:G,MATCH($B94,'All Bảng'!$A:$A,0)))</f>
        <v>Tạo lập mô hình BIM</v>
      </c>
      <c r="H94" s="121"/>
      <c r="I94" s="135"/>
      <c r="J94" s="135">
        <f>J$3</f>
        <v>46174</v>
      </c>
      <c r="K94" s="148" t="s">
        <v>557</v>
      </c>
      <c r="L94" s="163" t="s">
        <v>557</v>
      </c>
      <c r="M94" s="135">
        <f>M$3</f>
        <v>46175</v>
      </c>
      <c r="N94" s="148" t="s">
        <v>557</v>
      </c>
      <c r="O94" s="137"/>
      <c r="P94" s="135">
        <f>P$3</f>
        <v>46176</v>
      </c>
      <c r="Q94" s="148" t="s">
        <v>557</v>
      </c>
      <c r="R94" s="163" t="s">
        <v>557</v>
      </c>
      <c r="S94" s="135">
        <f>S$3</f>
        <v>46177</v>
      </c>
      <c r="T94" s="136" t="s">
        <v>557</v>
      </c>
      <c r="U94" s="137" t="s">
        <v>557</v>
      </c>
      <c r="V94" s="135">
        <f>V$3</f>
        <v>46178</v>
      </c>
      <c r="W94" s="136" t="s">
        <v>557</v>
      </c>
      <c r="X94" s="137" t="s">
        <v>557</v>
      </c>
      <c r="Y94" s="135">
        <f>Y$3</f>
        <v>46179</v>
      </c>
      <c r="Z94" s="136" t="s">
        <v>557</v>
      </c>
      <c r="AA94" s="137" t="s">
        <v>557</v>
      </c>
      <c r="AB94" s="135"/>
      <c r="AC94" s="135">
        <f>AC$3</f>
        <v>46181</v>
      </c>
      <c r="AD94" s="136" t="s">
        <v>557</v>
      </c>
      <c r="AE94" s="137" t="s">
        <v>557</v>
      </c>
      <c r="AF94" s="135">
        <f>AF$3</f>
        <v>46182</v>
      </c>
      <c r="AG94" s="136" t="s">
        <v>557</v>
      </c>
      <c r="AH94" s="137" t="s">
        <v>557</v>
      </c>
      <c r="AI94" s="135">
        <f>AI$3</f>
        <v>46183</v>
      </c>
      <c r="AJ94" s="136" t="s">
        <v>557</v>
      </c>
      <c r="AK94" s="137" t="s">
        <v>557</v>
      </c>
      <c r="AL94" s="135">
        <f>AL$3</f>
        <v>46184</v>
      </c>
      <c r="AM94" s="136" t="s">
        <v>557</v>
      </c>
      <c r="AN94" s="137" t="s">
        <v>557</v>
      </c>
      <c r="AO94" s="135">
        <f>AO$3</f>
        <v>46185</v>
      </c>
      <c r="AP94" s="136" t="s">
        <v>557</v>
      </c>
      <c r="AQ94" s="137" t="s">
        <v>557</v>
      </c>
      <c r="AR94" s="135">
        <f>AR$3</f>
        <v>46186</v>
      </c>
      <c r="AS94" s="136" t="s">
        <v>557</v>
      </c>
      <c r="AT94" s="137" t="s">
        <v>557</v>
      </c>
      <c r="AU94" s="135"/>
      <c r="AV94" s="135">
        <f>AV$3</f>
        <v>46188</v>
      </c>
      <c r="AW94" s="148" t="s">
        <v>557</v>
      </c>
      <c r="AX94" s="137" t="s">
        <v>557</v>
      </c>
      <c r="AY94" s="135">
        <f>AY$3</f>
        <v>46189</v>
      </c>
      <c r="AZ94" s="136" t="s">
        <v>557</v>
      </c>
      <c r="BA94" s="137"/>
      <c r="BB94" s="135">
        <f>BB$3</f>
        <v>46190</v>
      </c>
      <c r="BC94" s="136" t="s">
        <v>557</v>
      </c>
      <c r="BD94" s="137" t="s">
        <v>557</v>
      </c>
      <c r="BE94" s="135">
        <f>BE$3</f>
        <v>46191</v>
      </c>
      <c r="BF94" s="136" t="s">
        <v>557</v>
      </c>
      <c r="BG94" s="137" t="s">
        <v>557</v>
      </c>
      <c r="BH94" s="135">
        <f>BH$3</f>
        <v>46192</v>
      </c>
      <c r="BI94" s="136" t="s">
        <v>557</v>
      </c>
      <c r="BJ94" s="137" t="s">
        <v>557</v>
      </c>
      <c r="BK94" s="135">
        <f>BK$3</f>
        <v>46193</v>
      </c>
      <c r="BL94" s="136" t="s">
        <v>557</v>
      </c>
      <c r="BM94" s="137" t="s">
        <v>557</v>
      </c>
    </row>
    <row r="95" spans="1:65" outlineLevel="1">
      <c r="A95" s="122" t="str">
        <f>$A$66</f>
        <v>Đỗ Minh Ngọc</v>
      </c>
      <c r="B95" s="82"/>
      <c r="C95" s="81" t="str">
        <f>IF($B95="","",INDEX('All Bảng'!C:C,MATCH($B95,'All Bảng'!$A:$A,0)))</f>
        <v/>
      </c>
      <c r="D95" s="81" t="str">
        <f>IF($B95="","",INDEX('All Bảng'!D:D,MATCH($B95,'All Bảng'!$A:$A,0)))</f>
        <v/>
      </c>
      <c r="E95" s="81" t="str">
        <f>IF($B95="","",INDEX('All Bảng'!E:E,MATCH($B95,'All Bảng'!$A:$A,0)))</f>
        <v/>
      </c>
      <c r="F95" s="81" t="str">
        <f>IF($B95="","",INDEX('All Bảng'!F:F,MATCH($B95,'All Bảng'!$A:$A,0)))</f>
        <v/>
      </c>
      <c r="G95" s="81" t="str">
        <f>IF($B95="","",INDEX('All Bảng'!G:G,MATCH($B95,'All Bảng'!$A:$A,0)))</f>
        <v/>
      </c>
      <c r="H95" s="121"/>
      <c r="I95" s="135"/>
      <c r="J95" s="135">
        <f>J$3</f>
        <v>46174</v>
      </c>
      <c r="K95" s="148"/>
      <c r="L95" s="163"/>
      <c r="M95" s="135">
        <f>M$3</f>
        <v>46175</v>
      </c>
      <c r="N95" s="148" t="s">
        <v>557</v>
      </c>
      <c r="O95" s="137"/>
      <c r="P95" s="135">
        <f>P$3</f>
        <v>46176</v>
      </c>
      <c r="Q95" s="148" t="s">
        <v>557</v>
      </c>
      <c r="R95" s="163" t="s">
        <v>557</v>
      </c>
      <c r="S95" s="135">
        <f>S$3</f>
        <v>46177</v>
      </c>
      <c r="T95" s="136" t="s">
        <v>557</v>
      </c>
      <c r="U95" s="137" t="s">
        <v>557</v>
      </c>
      <c r="V95" s="135">
        <f>V$3</f>
        <v>46178</v>
      </c>
      <c r="W95" s="136" t="s">
        <v>557</v>
      </c>
      <c r="X95" s="137" t="s">
        <v>557</v>
      </c>
      <c r="Y95" s="135">
        <f>Y$3</f>
        <v>46179</v>
      </c>
      <c r="Z95" s="136" t="s">
        <v>557</v>
      </c>
      <c r="AA95" s="137" t="s">
        <v>557</v>
      </c>
      <c r="AB95" s="135"/>
      <c r="AC95" s="135">
        <f>AC$3</f>
        <v>46181</v>
      </c>
      <c r="AD95" s="136" t="s">
        <v>557</v>
      </c>
      <c r="AE95" s="137" t="s">
        <v>557</v>
      </c>
      <c r="AF95" s="135">
        <f>AF$3</f>
        <v>46182</v>
      </c>
      <c r="AG95" s="136" t="s">
        <v>557</v>
      </c>
      <c r="AH95" s="137" t="s">
        <v>557</v>
      </c>
      <c r="AI95" s="135">
        <f>AI$3</f>
        <v>46183</v>
      </c>
      <c r="AJ95" s="136" t="s">
        <v>557</v>
      </c>
      <c r="AK95" s="137" t="s">
        <v>557</v>
      </c>
      <c r="AL95" s="135">
        <f>AL$3</f>
        <v>46184</v>
      </c>
      <c r="AM95" s="136" t="s">
        <v>557</v>
      </c>
      <c r="AN95" s="137" t="s">
        <v>557</v>
      </c>
      <c r="AO95" s="135">
        <f>AO$3</f>
        <v>46185</v>
      </c>
      <c r="AP95" s="136" t="s">
        <v>557</v>
      </c>
      <c r="AQ95" s="137" t="s">
        <v>557</v>
      </c>
      <c r="AR95" s="135">
        <f>AR$3</f>
        <v>46186</v>
      </c>
      <c r="AS95" s="136" t="s">
        <v>557</v>
      </c>
      <c r="AT95" s="137" t="s">
        <v>557</v>
      </c>
      <c r="AU95" s="135"/>
      <c r="AV95" s="135">
        <f>AV$3</f>
        <v>46188</v>
      </c>
      <c r="AW95" s="148" t="s">
        <v>557</v>
      </c>
      <c r="AX95" s="137" t="s">
        <v>557</v>
      </c>
      <c r="AY95" s="135">
        <f>AY$3</f>
        <v>46189</v>
      </c>
      <c r="AZ95" s="136" t="s">
        <v>557</v>
      </c>
      <c r="BA95" s="137"/>
      <c r="BB95" s="135">
        <f>BB$3</f>
        <v>46190</v>
      </c>
      <c r="BC95" s="136" t="s">
        <v>557</v>
      </c>
      <c r="BD95" s="137" t="s">
        <v>557</v>
      </c>
      <c r="BE95" s="135">
        <f>BE$3</f>
        <v>46191</v>
      </c>
      <c r="BF95" s="136" t="s">
        <v>557</v>
      </c>
      <c r="BG95" s="137" t="s">
        <v>557</v>
      </c>
      <c r="BH95" s="135">
        <f>BH$3</f>
        <v>46192</v>
      </c>
      <c r="BI95" s="136" t="s">
        <v>557</v>
      </c>
      <c r="BJ95" s="137" t="s">
        <v>557</v>
      </c>
      <c r="BK95" s="135">
        <f>BK$3</f>
        <v>46193</v>
      </c>
      <c r="BL95" s="136" t="s">
        <v>557</v>
      </c>
      <c r="BM95" s="137" t="s">
        <v>557</v>
      </c>
    </row>
    <row r="96" spans="1:65" outlineLevel="1">
      <c r="A96" s="122" t="str">
        <f>$A$66</f>
        <v>Đỗ Minh Ngọc</v>
      </c>
      <c r="B96" s="82"/>
      <c r="C96" s="81" t="str">
        <f>IF($B96="","",INDEX('All Bảng'!C:C,MATCH($B96,'All Bảng'!$A:$A,0)))</f>
        <v/>
      </c>
      <c r="D96" s="81" t="str">
        <f>IF($B96="","",INDEX('All Bảng'!D:D,MATCH($B96,'All Bảng'!$A:$A,0)))</f>
        <v/>
      </c>
      <c r="E96" s="81" t="str">
        <f>IF($B96="","",INDEX('All Bảng'!E:E,MATCH($B96,'All Bảng'!$A:$A,0)))</f>
        <v/>
      </c>
      <c r="F96" s="81" t="str">
        <f>IF($B96="","",INDEX('All Bảng'!F:F,MATCH($B96,'All Bảng'!$A:$A,0)))</f>
        <v/>
      </c>
      <c r="G96" s="81" t="str">
        <f>IF($B96="","",INDEX('All Bảng'!G:G,MATCH($B96,'All Bảng'!$A:$A,0)))</f>
        <v/>
      </c>
      <c r="H96" s="121"/>
      <c r="I96" s="135"/>
      <c r="J96" s="135">
        <f>J$3</f>
        <v>46174</v>
      </c>
      <c r="K96" s="148"/>
      <c r="L96" s="163"/>
      <c r="M96" s="135">
        <f>M$3</f>
        <v>46175</v>
      </c>
      <c r="N96" s="148" t="s">
        <v>557</v>
      </c>
      <c r="O96" s="137"/>
      <c r="P96" s="135">
        <f>P$3</f>
        <v>46176</v>
      </c>
      <c r="Q96" s="148" t="s">
        <v>557</v>
      </c>
      <c r="R96" s="163" t="s">
        <v>557</v>
      </c>
      <c r="S96" s="135">
        <f>S$3</f>
        <v>46177</v>
      </c>
      <c r="T96" s="136" t="s">
        <v>557</v>
      </c>
      <c r="U96" s="137" t="s">
        <v>557</v>
      </c>
      <c r="V96" s="135">
        <f>V$3</f>
        <v>46178</v>
      </c>
      <c r="W96" s="136" t="s">
        <v>557</v>
      </c>
      <c r="X96" s="137" t="s">
        <v>557</v>
      </c>
      <c r="Y96" s="135">
        <f>Y$3</f>
        <v>46179</v>
      </c>
      <c r="Z96" s="136" t="s">
        <v>557</v>
      </c>
      <c r="AA96" s="137" t="s">
        <v>557</v>
      </c>
      <c r="AB96" s="135"/>
      <c r="AC96" s="135">
        <f>AC$3</f>
        <v>46181</v>
      </c>
      <c r="AD96" s="136" t="s">
        <v>557</v>
      </c>
      <c r="AE96" s="137" t="s">
        <v>557</v>
      </c>
      <c r="AF96" s="135">
        <f>AF$3</f>
        <v>46182</v>
      </c>
      <c r="AG96" s="136" t="s">
        <v>557</v>
      </c>
      <c r="AH96" s="137" t="s">
        <v>557</v>
      </c>
      <c r="AI96" s="135">
        <f>AI$3</f>
        <v>46183</v>
      </c>
      <c r="AJ96" s="136" t="s">
        <v>557</v>
      </c>
      <c r="AK96" s="137" t="s">
        <v>557</v>
      </c>
      <c r="AL96" s="135">
        <f>AL$3</f>
        <v>46184</v>
      </c>
      <c r="AM96" s="136" t="s">
        <v>557</v>
      </c>
      <c r="AN96" s="137" t="s">
        <v>557</v>
      </c>
      <c r="AO96" s="135">
        <f>AO$3</f>
        <v>46185</v>
      </c>
      <c r="AP96" s="136" t="s">
        <v>557</v>
      </c>
      <c r="AQ96" s="137" t="s">
        <v>557</v>
      </c>
      <c r="AR96" s="135">
        <f>AR$3</f>
        <v>46186</v>
      </c>
      <c r="AS96" s="136" t="s">
        <v>557</v>
      </c>
      <c r="AT96" s="137" t="s">
        <v>557</v>
      </c>
      <c r="AU96" s="135"/>
      <c r="AV96" s="135">
        <f>AV$3</f>
        <v>46188</v>
      </c>
      <c r="AW96" s="148" t="s">
        <v>557</v>
      </c>
      <c r="AX96" s="137" t="s">
        <v>557</v>
      </c>
      <c r="AY96" s="135">
        <f>AY$3</f>
        <v>46189</v>
      </c>
      <c r="AZ96" s="136" t="s">
        <v>557</v>
      </c>
      <c r="BA96" s="137"/>
      <c r="BB96" s="135">
        <f>BB$3</f>
        <v>46190</v>
      </c>
      <c r="BC96" s="136" t="s">
        <v>557</v>
      </c>
      <c r="BD96" s="137" t="s">
        <v>557</v>
      </c>
      <c r="BE96" s="135">
        <f>BE$3</f>
        <v>46191</v>
      </c>
      <c r="BF96" s="136" t="s">
        <v>557</v>
      </c>
      <c r="BG96" s="137" t="s">
        <v>557</v>
      </c>
      <c r="BH96" s="135">
        <f>BH$3</f>
        <v>46192</v>
      </c>
      <c r="BI96" s="136" t="s">
        <v>557</v>
      </c>
      <c r="BJ96" s="137" t="s">
        <v>557</v>
      </c>
      <c r="BK96" s="135">
        <f>BK$3</f>
        <v>46193</v>
      </c>
      <c r="BL96" s="136" t="s">
        <v>557</v>
      </c>
      <c r="BM96" s="137" t="s">
        <v>557</v>
      </c>
    </row>
    <row r="97" spans="1:65" outlineLevel="1">
      <c r="A97" s="122" t="str">
        <f>$A$66</f>
        <v>Đỗ Minh Ngọc</v>
      </c>
      <c r="B97" s="82"/>
      <c r="C97" s="81" t="str">
        <f>IF($B97="","",INDEX('All Bảng'!C:C,MATCH($B97,'All Bảng'!$A:$A,0)))</f>
        <v/>
      </c>
      <c r="D97" s="81" t="str">
        <f>IF($B97="","",INDEX('All Bảng'!D:D,MATCH($B97,'All Bảng'!$A:$A,0)))</f>
        <v/>
      </c>
      <c r="E97" s="81" t="str">
        <f>IF($B97="","",INDEX('All Bảng'!E:E,MATCH($B97,'All Bảng'!$A:$A,0)))</f>
        <v/>
      </c>
      <c r="F97" s="81" t="str">
        <f>IF($B97="","",INDEX('All Bảng'!F:F,MATCH($B97,'All Bảng'!$A:$A,0)))</f>
        <v/>
      </c>
      <c r="G97" s="81" t="str">
        <f>IF($B97="","",INDEX('All Bảng'!G:G,MATCH($B97,'All Bảng'!$A:$A,0)))</f>
        <v/>
      </c>
      <c r="H97" s="121"/>
      <c r="I97" s="135"/>
      <c r="J97" s="135">
        <f>J$3</f>
        <v>46174</v>
      </c>
      <c r="K97" s="148"/>
      <c r="L97" s="163"/>
      <c r="M97" s="135">
        <f>M$3</f>
        <v>46175</v>
      </c>
      <c r="N97" s="148" t="s">
        <v>557</v>
      </c>
      <c r="O97" s="137"/>
      <c r="P97" s="135">
        <f>P$3</f>
        <v>46176</v>
      </c>
      <c r="Q97" s="148" t="s">
        <v>557</v>
      </c>
      <c r="R97" s="163" t="s">
        <v>557</v>
      </c>
      <c r="S97" s="135">
        <f>S$3</f>
        <v>46177</v>
      </c>
      <c r="T97" s="136" t="s">
        <v>557</v>
      </c>
      <c r="U97" s="137" t="s">
        <v>557</v>
      </c>
      <c r="V97" s="135">
        <f>V$3</f>
        <v>46178</v>
      </c>
      <c r="W97" s="136" t="s">
        <v>557</v>
      </c>
      <c r="X97" s="137" t="s">
        <v>557</v>
      </c>
      <c r="Y97" s="135">
        <f>Y$3</f>
        <v>46179</v>
      </c>
      <c r="Z97" s="136" t="s">
        <v>557</v>
      </c>
      <c r="AA97" s="137" t="s">
        <v>557</v>
      </c>
      <c r="AB97" s="135"/>
      <c r="AC97" s="135">
        <f>AC$3</f>
        <v>46181</v>
      </c>
      <c r="AD97" s="136" t="s">
        <v>557</v>
      </c>
      <c r="AE97" s="137" t="s">
        <v>557</v>
      </c>
      <c r="AF97" s="135">
        <f>AF$3</f>
        <v>46182</v>
      </c>
      <c r="AG97" s="136" t="s">
        <v>557</v>
      </c>
      <c r="AH97" s="137" t="s">
        <v>557</v>
      </c>
      <c r="AI97" s="135">
        <f>AI$3</f>
        <v>46183</v>
      </c>
      <c r="AJ97" s="136" t="s">
        <v>557</v>
      </c>
      <c r="AK97" s="137" t="s">
        <v>557</v>
      </c>
      <c r="AL97" s="135">
        <f>AL$3</f>
        <v>46184</v>
      </c>
      <c r="AM97" s="136" t="s">
        <v>557</v>
      </c>
      <c r="AN97" s="137" t="s">
        <v>557</v>
      </c>
      <c r="AO97" s="135">
        <f>AO$3</f>
        <v>46185</v>
      </c>
      <c r="AP97" s="136" t="s">
        <v>557</v>
      </c>
      <c r="AQ97" s="137" t="s">
        <v>557</v>
      </c>
      <c r="AR97" s="135">
        <f>AR$3</f>
        <v>46186</v>
      </c>
      <c r="AS97" s="136" t="s">
        <v>557</v>
      </c>
      <c r="AT97" s="137" t="s">
        <v>557</v>
      </c>
      <c r="AU97" s="135"/>
      <c r="AV97" s="135">
        <f>AV$3</f>
        <v>46188</v>
      </c>
      <c r="AW97" s="148" t="s">
        <v>557</v>
      </c>
      <c r="AX97" s="137" t="s">
        <v>557</v>
      </c>
      <c r="AY97" s="135">
        <f>AY$3</f>
        <v>46189</v>
      </c>
      <c r="AZ97" s="136" t="s">
        <v>557</v>
      </c>
      <c r="BA97" s="137"/>
      <c r="BB97" s="135">
        <f>BB$3</f>
        <v>46190</v>
      </c>
      <c r="BC97" s="136" t="s">
        <v>557</v>
      </c>
      <c r="BD97" s="137" t="s">
        <v>557</v>
      </c>
      <c r="BE97" s="135">
        <f>BE$3</f>
        <v>46191</v>
      </c>
      <c r="BF97" s="136" t="s">
        <v>557</v>
      </c>
      <c r="BG97" s="137" t="s">
        <v>557</v>
      </c>
      <c r="BH97" s="135">
        <f>BH$3</f>
        <v>46192</v>
      </c>
      <c r="BI97" s="136" t="s">
        <v>557</v>
      </c>
      <c r="BJ97" s="137" t="s">
        <v>557</v>
      </c>
      <c r="BK97" s="135">
        <f>BK$3</f>
        <v>46193</v>
      </c>
      <c r="BL97" s="136" t="s">
        <v>557</v>
      </c>
      <c r="BM97" s="137" t="s">
        <v>557</v>
      </c>
    </row>
    <row r="98" spans="1:65" outlineLevel="1">
      <c r="A98" s="122" t="str">
        <f>$A$66</f>
        <v>Đỗ Minh Ngọc</v>
      </c>
      <c r="B98" s="82"/>
      <c r="C98" s="81" t="str">
        <f>IF($B98="","",INDEX('All Bảng'!C:C,MATCH($B98,'All Bảng'!$A:$A,0)))</f>
        <v/>
      </c>
      <c r="D98" s="81" t="str">
        <f>IF($B98="","",INDEX('All Bảng'!D:D,MATCH($B98,'All Bảng'!$A:$A,0)))</f>
        <v/>
      </c>
      <c r="E98" s="81" t="str">
        <f>IF($B98="","",INDEX('All Bảng'!E:E,MATCH($B98,'All Bảng'!$A:$A,0)))</f>
        <v/>
      </c>
      <c r="F98" s="81" t="str">
        <f>IF($B98="","",INDEX('All Bảng'!F:F,MATCH($B98,'All Bảng'!$A:$A,0)))</f>
        <v/>
      </c>
      <c r="G98" s="81" t="str">
        <f>IF($B98="","",INDEX('All Bảng'!G:G,MATCH($B98,'All Bảng'!$A:$A,0)))</f>
        <v/>
      </c>
      <c r="H98" s="121"/>
      <c r="I98" s="135"/>
      <c r="J98" s="135">
        <f>J$3</f>
        <v>46174</v>
      </c>
      <c r="K98" s="148"/>
      <c r="L98" s="163"/>
      <c r="M98" s="135">
        <f>M$3</f>
        <v>46175</v>
      </c>
      <c r="N98" s="148" t="s">
        <v>557</v>
      </c>
      <c r="O98" s="137"/>
      <c r="P98" s="135">
        <f>P$3</f>
        <v>46176</v>
      </c>
      <c r="Q98" s="148" t="s">
        <v>557</v>
      </c>
      <c r="R98" s="163" t="s">
        <v>557</v>
      </c>
      <c r="S98" s="135">
        <f>S$3</f>
        <v>46177</v>
      </c>
      <c r="T98" s="136" t="s">
        <v>557</v>
      </c>
      <c r="U98" s="137" t="s">
        <v>557</v>
      </c>
      <c r="V98" s="135">
        <f>V$3</f>
        <v>46178</v>
      </c>
      <c r="W98" s="136" t="s">
        <v>557</v>
      </c>
      <c r="X98" s="137" t="s">
        <v>557</v>
      </c>
      <c r="Y98" s="135">
        <f>Y$3</f>
        <v>46179</v>
      </c>
      <c r="Z98" s="136" t="s">
        <v>557</v>
      </c>
      <c r="AA98" s="137" t="s">
        <v>557</v>
      </c>
      <c r="AB98" s="135"/>
      <c r="AC98" s="135">
        <f>AC$3</f>
        <v>46181</v>
      </c>
      <c r="AD98" s="136" t="s">
        <v>557</v>
      </c>
      <c r="AE98" s="137" t="s">
        <v>557</v>
      </c>
      <c r="AF98" s="135">
        <f>AF$3</f>
        <v>46182</v>
      </c>
      <c r="AG98" s="136" t="s">
        <v>557</v>
      </c>
      <c r="AH98" s="137" t="s">
        <v>557</v>
      </c>
      <c r="AI98" s="135">
        <f>AI$3</f>
        <v>46183</v>
      </c>
      <c r="AJ98" s="136" t="s">
        <v>557</v>
      </c>
      <c r="AK98" s="137" t="s">
        <v>557</v>
      </c>
      <c r="AL98" s="135">
        <f>AL$3</f>
        <v>46184</v>
      </c>
      <c r="AM98" s="136" t="s">
        <v>557</v>
      </c>
      <c r="AN98" s="137" t="s">
        <v>557</v>
      </c>
      <c r="AO98" s="135">
        <f>AO$3</f>
        <v>46185</v>
      </c>
      <c r="AP98" s="136" t="s">
        <v>557</v>
      </c>
      <c r="AQ98" s="137" t="s">
        <v>557</v>
      </c>
      <c r="AR98" s="135">
        <f>AR$3</f>
        <v>46186</v>
      </c>
      <c r="AS98" s="136" t="s">
        <v>557</v>
      </c>
      <c r="AT98" s="137" t="s">
        <v>557</v>
      </c>
      <c r="AU98" s="135"/>
      <c r="AV98" s="135">
        <f>AV$3</f>
        <v>46188</v>
      </c>
      <c r="AW98" s="148" t="s">
        <v>557</v>
      </c>
      <c r="AX98" s="137" t="s">
        <v>557</v>
      </c>
      <c r="AY98" s="135">
        <f>AY$3</f>
        <v>46189</v>
      </c>
      <c r="AZ98" s="136" t="s">
        <v>557</v>
      </c>
      <c r="BA98" s="137"/>
      <c r="BB98" s="135">
        <f>BB$3</f>
        <v>46190</v>
      </c>
      <c r="BC98" s="136" t="s">
        <v>557</v>
      </c>
      <c r="BD98" s="137" t="s">
        <v>557</v>
      </c>
      <c r="BE98" s="135">
        <f>BE$3</f>
        <v>46191</v>
      </c>
      <c r="BF98" s="136" t="s">
        <v>557</v>
      </c>
      <c r="BG98" s="137" t="s">
        <v>557</v>
      </c>
      <c r="BH98" s="135">
        <f>BH$3</f>
        <v>46192</v>
      </c>
      <c r="BI98" s="136" t="s">
        <v>557</v>
      </c>
      <c r="BJ98" s="137" t="s">
        <v>557</v>
      </c>
      <c r="BK98" s="135">
        <f>BK$3</f>
        <v>46193</v>
      </c>
      <c r="BL98" s="136" t="s">
        <v>557</v>
      </c>
      <c r="BM98" s="137" t="s">
        <v>557</v>
      </c>
    </row>
    <row r="99" spans="1:65" ht="30.75" outlineLevel="1">
      <c r="A99" s="122" t="str">
        <f>$A$66</f>
        <v>Đỗ Minh Ngọc</v>
      </c>
      <c r="B99" s="82" t="str">
        <f>'Bảng 7'!A6</f>
        <v>1.Công việc khác.004</v>
      </c>
      <c r="C99" s="81" t="str">
        <f>IF($B99="","",INDEX('All Bảng'!C:C,MATCH($B99,'All Bảng'!$A:$A,0)))</f>
        <v>Công việc khác</v>
      </c>
      <c r="D99" s="81" t="str">
        <f>IF($B99="","",INDEX('All Bảng'!D:D,MATCH($B99,'All Bảng'!$A:$A,0)))</f>
        <v>Công việc khác</v>
      </c>
      <c r="E99" s="81" t="str">
        <f>IF($B99="","",INDEX('All Bảng'!E:E,MATCH($B99,'All Bảng'!$A:$A,0)))</f>
        <v>Công việc khác</v>
      </c>
      <c r="F99" s="81" t="str">
        <f>IF($B99="","",INDEX('All Bảng'!F:F,MATCH($B99,'All Bảng'!$A:$A,0)))</f>
        <v>BIM</v>
      </c>
      <c r="G99" s="81" t="str">
        <f>IF($B99="","",INDEX('All Bảng'!G:G,MATCH($B99,'All Bảng'!$A:$A,0)))</f>
        <v>Báo cáo công việc</v>
      </c>
      <c r="H99" s="121"/>
      <c r="I99" s="135"/>
      <c r="J99" s="135">
        <f>J$3</f>
        <v>46174</v>
      </c>
      <c r="K99" s="148" t="s">
        <v>703</v>
      </c>
      <c r="L99" s="163">
        <v>0.5</v>
      </c>
      <c r="M99" s="135">
        <f>M$3</f>
        <v>46175</v>
      </c>
      <c r="N99" s="148" t="s">
        <v>704</v>
      </c>
      <c r="O99" s="137">
        <v>0.25</v>
      </c>
      <c r="P99" s="135">
        <f>P$3</f>
        <v>46176</v>
      </c>
      <c r="Q99" s="148" t="s">
        <v>705</v>
      </c>
      <c r="R99" s="163">
        <v>0.5</v>
      </c>
      <c r="S99" s="135">
        <f>S$3</f>
        <v>46177</v>
      </c>
      <c r="T99" s="136" t="s">
        <v>557</v>
      </c>
      <c r="U99" s="137" t="s">
        <v>557</v>
      </c>
      <c r="V99" s="135">
        <f>V$3</f>
        <v>46178</v>
      </c>
      <c r="W99" s="136" t="s">
        <v>557</v>
      </c>
      <c r="X99" s="137" t="s">
        <v>557</v>
      </c>
      <c r="Y99" s="135">
        <f>Y$3</f>
        <v>46179</v>
      </c>
      <c r="Z99" s="136" t="s">
        <v>557</v>
      </c>
      <c r="AA99" s="137" t="s">
        <v>557</v>
      </c>
      <c r="AB99" s="135"/>
      <c r="AC99" s="135">
        <f>AC$3</f>
        <v>46181</v>
      </c>
      <c r="AD99" s="136" t="s">
        <v>557</v>
      </c>
      <c r="AE99" s="137" t="s">
        <v>557</v>
      </c>
      <c r="AF99" s="135">
        <f>AF$3</f>
        <v>46182</v>
      </c>
      <c r="AG99" s="136" t="s">
        <v>557</v>
      </c>
      <c r="AH99" s="137" t="s">
        <v>557</v>
      </c>
      <c r="AI99" s="135">
        <f>AI$3</f>
        <v>46183</v>
      </c>
      <c r="AJ99" s="136" t="s">
        <v>557</v>
      </c>
      <c r="AK99" s="137" t="s">
        <v>557</v>
      </c>
      <c r="AL99" s="135">
        <f>AL$3</f>
        <v>46184</v>
      </c>
      <c r="AM99" s="136" t="s">
        <v>557</v>
      </c>
      <c r="AN99" s="137" t="s">
        <v>557</v>
      </c>
      <c r="AO99" s="135">
        <f>AO$3</f>
        <v>46185</v>
      </c>
      <c r="AP99" s="136" t="s">
        <v>557</v>
      </c>
      <c r="AQ99" s="137" t="s">
        <v>557</v>
      </c>
      <c r="AR99" s="135">
        <f>AR$3</f>
        <v>46186</v>
      </c>
      <c r="AS99" s="136" t="s">
        <v>557</v>
      </c>
      <c r="AT99" s="137" t="s">
        <v>557</v>
      </c>
      <c r="AU99" s="135"/>
      <c r="AV99" s="135">
        <f>AV$3</f>
        <v>46188</v>
      </c>
      <c r="AW99" s="148" t="s">
        <v>557</v>
      </c>
      <c r="AX99" s="137" t="s">
        <v>557</v>
      </c>
      <c r="AY99" s="135">
        <f>AY$3</f>
        <v>46189</v>
      </c>
      <c r="AZ99" s="136" t="s">
        <v>557</v>
      </c>
      <c r="BA99" s="137"/>
      <c r="BB99" s="135">
        <f>BB$3</f>
        <v>46190</v>
      </c>
      <c r="BC99" s="136" t="s">
        <v>557</v>
      </c>
      <c r="BD99" s="137" t="s">
        <v>557</v>
      </c>
      <c r="BE99" s="135">
        <f>BE$3</f>
        <v>46191</v>
      </c>
      <c r="BF99" s="136" t="s">
        <v>557</v>
      </c>
      <c r="BG99" s="137" t="s">
        <v>557</v>
      </c>
      <c r="BH99" s="135">
        <f>BH$3</f>
        <v>46192</v>
      </c>
      <c r="BI99" s="136" t="s">
        <v>557</v>
      </c>
      <c r="BJ99" s="137" t="s">
        <v>557</v>
      </c>
      <c r="BK99" s="135">
        <f>BK$3</f>
        <v>46193</v>
      </c>
      <c r="BL99" s="136" t="s">
        <v>557</v>
      </c>
      <c r="BM99" s="137" t="s">
        <v>557</v>
      </c>
    </row>
    <row r="100" spans="1:65">
      <c r="A100" s="290" t="s">
        <v>32</v>
      </c>
      <c r="B100" s="300"/>
      <c r="C100" s="292" t="str">
        <f>IF($B100="","",INDEX('All Bảng'!C:C,MATCH($B100,'All Bảng'!$A:$A,0)))</f>
        <v/>
      </c>
      <c r="D100" s="292" t="str">
        <f>IF($B100="","",INDEX('All Bảng'!D:D,MATCH($B100,'All Bảng'!$A:$A,0)))</f>
        <v/>
      </c>
      <c r="E100" s="292" t="str">
        <f>IF($B100="","",INDEX('All Bảng'!E:E,MATCH($B100,'All Bảng'!$A:$A,0)))</f>
        <v/>
      </c>
      <c r="F100" s="292" t="str">
        <f>IF($B100="","",INDEX('All Bảng'!F:F,MATCH($B100,'All Bảng'!$A:$A,0)))</f>
        <v/>
      </c>
      <c r="G100" s="292" t="str">
        <f>IF($B100="","",INDEX('All Bảng'!G:G,MATCH($B100,'All Bảng'!$A:$A,0)))</f>
        <v/>
      </c>
      <c r="H100" s="293"/>
      <c r="I100" s="294"/>
      <c r="J100" s="294">
        <f>J$3</f>
        <v>46174</v>
      </c>
      <c r="K100" s="295" t="s">
        <v>557</v>
      </c>
      <c r="L100" s="296">
        <f>SUM(L101:L133)</f>
        <v>8</v>
      </c>
      <c r="M100" s="294">
        <f>M$3</f>
        <v>46175</v>
      </c>
      <c r="N100" s="297" t="s">
        <v>557</v>
      </c>
      <c r="O100" s="298">
        <f>SUM(O101:O133)</f>
        <v>7</v>
      </c>
      <c r="P100" s="294">
        <f>P$3</f>
        <v>46176</v>
      </c>
      <c r="Q100" s="297" t="s">
        <v>557</v>
      </c>
      <c r="R100" s="298">
        <f>SUM(R101:R133)</f>
        <v>8</v>
      </c>
      <c r="S100" s="294">
        <f>S$3</f>
        <v>46177</v>
      </c>
      <c r="T100" s="299" t="s">
        <v>557</v>
      </c>
      <c r="U100" s="298">
        <f>SUM(U101:U133)</f>
        <v>8</v>
      </c>
      <c r="V100" s="294">
        <f>V$3</f>
        <v>46178</v>
      </c>
      <c r="W100" s="299" t="s">
        <v>557</v>
      </c>
      <c r="X100" s="298">
        <f>SUM(X101:X133)</f>
        <v>0</v>
      </c>
      <c r="Y100" s="294">
        <f>Y$3</f>
        <v>46179</v>
      </c>
      <c r="Z100" s="299" t="s">
        <v>557</v>
      </c>
      <c r="AA100" s="298">
        <f>SUM(AA101:AA133)</f>
        <v>0</v>
      </c>
      <c r="AB100" s="294"/>
      <c r="AC100" s="294">
        <f>AC$3</f>
        <v>46181</v>
      </c>
      <c r="AD100" s="299" t="s">
        <v>557</v>
      </c>
      <c r="AE100" s="298">
        <f>SUM(AE101:AE133)</f>
        <v>0</v>
      </c>
      <c r="AF100" s="294">
        <f>AF$3</f>
        <v>46182</v>
      </c>
      <c r="AG100" s="299" t="s">
        <v>557</v>
      </c>
      <c r="AH100" s="298">
        <f>SUM(AH101:AH133)</f>
        <v>0</v>
      </c>
      <c r="AI100" s="294">
        <f>AI$3</f>
        <v>46183</v>
      </c>
      <c r="AJ100" s="299" t="s">
        <v>557</v>
      </c>
      <c r="AK100" s="298">
        <f>SUM(AK101:AK133)</f>
        <v>0</v>
      </c>
      <c r="AL100" s="294">
        <f>AL$3</f>
        <v>46184</v>
      </c>
      <c r="AM100" s="299" t="s">
        <v>557</v>
      </c>
      <c r="AN100" s="298">
        <f>SUM(AN101:AN133)</f>
        <v>0</v>
      </c>
      <c r="AO100" s="294">
        <f>AO$3</f>
        <v>46185</v>
      </c>
      <c r="AP100" s="299" t="s">
        <v>557</v>
      </c>
      <c r="AQ100" s="298">
        <f>SUM(AQ101:AQ133)</f>
        <v>0</v>
      </c>
      <c r="AR100" s="294">
        <f>AR$3</f>
        <v>46186</v>
      </c>
      <c r="AS100" s="299" t="s">
        <v>557</v>
      </c>
      <c r="AT100" s="298">
        <f>SUM(AT101:AT133)</f>
        <v>0</v>
      </c>
      <c r="AU100" s="294"/>
      <c r="AV100" s="294">
        <f>AV$3</f>
        <v>46188</v>
      </c>
      <c r="AW100" s="297" t="s">
        <v>557</v>
      </c>
      <c r="AX100" s="298">
        <f>SUM(AX101:AX133)</f>
        <v>0</v>
      </c>
      <c r="AY100" s="294">
        <f>AY$3</f>
        <v>46189</v>
      </c>
      <c r="AZ100" s="299" t="s">
        <v>557</v>
      </c>
      <c r="BA100" s="298">
        <f>SUM(BA101:BA133)</f>
        <v>0</v>
      </c>
      <c r="BB100" s="294">
        <f>BB$3</f>
        <v>46190</v>
      </c>
      <c r="BC100" s="299" t="s">
        <v>557</v>
      </c>
      <c r="BD100" s="298">
        <f>SUM(BD101:BD133)</f>
        <v>0</v>
      </c>
      <c r="BE100" s="294">
        <f>BE$3</f>
        <v>46191</v>
      </c>
      <c r="BF100" s="299" t="s">
        <v>557</v>
      </c>
      <c r="BG100" s="298">
        <f>SUM(BG101:BG133)</f>
        <v>0</v>
      </c>
      <c r="BH100" s="294">
        <f>BH$3</f>
        <v>46192</v>
      </c>
      <c r="BI100" s="299" t="s">
        <v>557</v>
      </c>
      <c r="BJ100" s="298">
        <f>SUM(BJ101:BJ133)</f>
        <v>0</v>
      </c>
      <c r="BK100" s="294">
        <f>BK$3</f>
        <v>46193</v>
      </c>
      <c r="BL100" s="299" t="s">
        <v>557</v>
      </c>
      <c r="BM100" s="298">
        <f>SUM(BM101:BM133)</f>
        <v>0</v>
      </c>
    </row>
    <row r="101" spans="1:65" outlineLevel="1">
      <c r="A101" s="122" t="str">
        <f>$A$100</f>
        <v>Nguyễn Hải Nam</v>
      </c>
      <c r="B101" s="167" t="str">
        <f>'Bảng 3'!A419</f>
        <v>3.N.HCM.Q9.VP.201</v>
      </c>
      <c r="C101" s="81" t="str">
        <f>IF($B101="","",INDEX('All Bảng'!C:C,MATCH($B101,'All Bảng'!$A:$A,0)))</f>
        <v>Quản lý BIM</v>
      </c>
      <c r="D101" s="81" t="str">
        <f>IF($B101="","",INDEX('All Bảng'!D:D,MATCH($B101,'All Bảng'!$A:$A,0)))</f>
        <v>N.HCM.Q9.VP</v>
      </c>
      <c r="E101" s="81" t="str">
        <f>IF($B101="","",INDEX('All Bảng'!E:E,MATCH($B101,'All Bảng'!$A:$A,0)))</f>
        <v>Toà văn phòng 43 tầng</v>
      </c>
      <c r="F101" s="81" t="str">
        <f>IF($B101="","",INDEX('All Bảng'!F:F,MATCH($B101,'All Bảng'!$A:$A,0)))</f>
        <v>KC</v>
      </c>
      <c r="G101" s="81" t="str">
        <f>IF($B101="","",INDEX('All Bảng'!G:G,MATCH($B101,'All Bảng'!$A:$A,0)))</f>
        <v>Xuất khối lượng từ mô hình BIM</v>
      </c>
      <c r="H101" s="121"/>
      <c r="I101" s="135"/>
      <c r="J101" s="135">
        <f>J$3</f>
        <v>46174</v>
      </c>
      <c r="K101" s="148" t="s">
        <v>706</v>
      </c>
      <c r="L101" s="163">
        <v>1</v>
      </c>
      <c r="M101" s="135">
        <f>M$3</f>
        <v>46175</v>
      </c>
      <c r="N101" s="148" t="s">
        <v>557</v>
      </c>
      <c r="O101" s="137" t="s">
        <v>557</v>
      </c>
      <c r="P101" s="135">
        <f>P$3</f>
        <v>46176</v>
      </c>
      <c r="Q101" s="148" t="s">
        <v>557</v>
      </c>
      <c r="R101" s="137" t="s">
        <v>557</v>
      </c>
      <c r="S101" s="135">
        <f>S$3</f>
        <v>46177</v>
      </c>
      <c r="T101" s="136" t="s">
        <v>557</v>
      </c>
      <c r="U101" s="137" t="s">
        <v>557</v>
      </c>
      <c r="V101" s="135">
        <f>V$3</f>
        <v>46178</v>
      </c>
      <c r="W101" s="136" t="s">
        <v>557</v>
      </c>
      <c r="X101" s="137" t="s">
        <v>557</v>
      </c>
      <c r="Y101" s="135">
        <f>Y$3</f>
        <v>46179</v>
      </c>
      <c r="Z101" s="136" t="s">
        <v>557</v>
      </c>
      <c r="AA101" s="137" t="s">
        <v>557</v>
      </c>
      <c r="AB101" s="135"/>
      <c r="AC101" s="135">
        <f>AC$3</f>
        <v>46181</v>
      </c>
      <c r="AD101" s="136" t="s">
        <v>557</v>
      </c>
      <c r="AE101" s="137" t="s">
        <v>557</v>
      </c>
      <c r="AF101" s="135">
        <f>AF$3</f>
        <v>46182</v>
      </c>
      <c r="AG101" s="136" t="s">
        <v>557</v>
      </c>
      <c r="AH101" s="137" t="s">
        <v>557</v>
      </c>
      <c r="AI101" s="135">
        <f>AI$3</f>
        <v>46183</v>
      </c>
      <c r="AJ101" s="136" t="s">
        <v>557</v>
      </c>
      <c r="AK101" s="137" t="s">
        <v>557</v>
      </c>
      <c r="AL101" s="135">
        <f>AL$3</f>
        <v>46184</v>
      </c>
      <c r="AM101" s="136" t="s">
        <v>557</v>
      </c>
      <c r="AN101" s="137" t="s">
        <v>557</v>
      </c>
      <c r="AO101" s="135">
        <f>AO$3</f>
        <v>46185</v>
      </c>
      <c r="AP101" s="136" t="s">
        <v>557</v>
      </c>
      <c r="AQ101" s="137" t="s">
        <v>557</v>
      </c>
      <c r="AR101" s="135">
        <f>AR$3</f>
        <v>46186</v>
      </c>
      <c r="AS101" s="136" t="s">
        <v>557</v>
      </c>
      <c r="AT101" s="137" t="s">
        <v>557</v>
      </c>
      <c r="AU101" s="135"/>
      <c r="AV101" s="135">
        <f>AV$3</f>
        <v>46188</v>
      </c>
      <c r="AW101" s="148" t="s">
        <v>557</v>
      </c>
      <c r="AX101" s="137" t="s">
        <v>557</v>
      </c>
      <c r="AY101" s="135">
        <f>AY$3</f>
        <v>46189</v>
      </c>
      <c r="AZ101" s="136" t="s">
        <v>557</v>
      </c>
      <c r="BA101" s="137" t="s">
        <v>557</v>
      </c>
      <c r="BB101" s="135">
        <f>BB$3</f>
        <v>46190</v>
      </c>
      <c r="BC101" s="136" t="s">
        <v>557</v>
      </c>
      <c r="BD101" s="137" t="s">
        <v>557</v>
      </c>
      <c r="BE101" s="135">
        <f>BE$3</f>
        <v>46191</v>
      </c>
      <c r="BF101" s="136" t="s">
        <v>557</v>
      </c>
      <c r="BG101" s="137" t="s">
        <v>557</v>
      </c>
      <c r="BH101" s="135">
        <f>BH$3</f>
        <v>46192</v>
      </c>
      <c r="BI101" s="136" t="s">
        <v>557</v>
      </c>
      <c r="BJ101" s="137" t="s">
        <v>557</v>
      </c>
      <c r="BK101" s="135">
        <f>BK$3</f>
        <v>46193</v>
      </c>
      <c r="BL101" s="136" t="s">
        <v>557</v>
      </c>
      <c r="BM101" s="137" t="s">
        <v>557</v>
      </c>
    </row>
    <row r="102" spans="1:65" outlineLevel="1">
      <c r="A102" s="122" t="str">
        <f>$A$100</f>
        <v>Nguyễn Hải Nam</v>
      </c>
      <c r="B102" s="167" t="str">
        <f>'Bảng 3'!A420</f>
        <v>3.N.HCM.Q9.VP.202</v>
      </c>
      <c r="C102" s="81" t="str">
        <f>IF($B102="","",INDEX('All Bảng'!C:C,MATCH($B102,'All Bảng'!$A:$A,0)))</f>
        <v>Quản lý BIM</v>
      </c>
      <c r="D102" s="81" t="str">
        <f>IF($B102="","",INDEX('All Bảng'!D:D,MATCH($B102,'All Bảng'!$A:$A,0)))</f>
        <v>N.HCM.Q9.VP</v>
      </c>
      <c r="E102" s="81" t="str">
        <f>IF($B102="","",INDEX('All Bảng'!E:E,MATCH($B102,'All Bảng'!$A:$A,0)))</f>
        <v>Toà văn phòng 43 tầng</v>
      </c>
      <c r="F102" s="81" t="str">
        <f>IF($B102="","",INDEX('All Bảng'!F:F,MATCH($B102,'All Bảng'!$A:$A,0)))</f>
        <v>KC</v>
      </c>
      <c r="G102" s="81" t="str">
        <f>IF($B102="","",INDEX('All Bảng'!G:G,MATCH($B102,'All Bảng'!$A:$A,0)))</f>
        <v>Cập nhật thông tin mô hình BIM</v>
      </c>
      <c r="H102" s="121"/>
      <c r="I102" s="135"/>
      <c r="J102" s="135">
        <f>J$3</f>
        <v>46174</v>
      </c>
      <c r="K102" s="148" t="s">
        <v>707</v>
      </c>
      <c r="L102" s="163">
        <v>7</v>
      </c>
      <c r="M102" s="135">
        <f>M$3</f>
        <v>46175</v>
      </c>
      <c r="N102" s="148" t="s">
        <v>557</v>
      </c>
      <c r="O102" s="137" t="s">
        <v>557</v>
      </c>
      <c r="P102" s="135">
        <f>P$3</f>
        <v>46176</v>
      </c>
      <c r="Q102" s="148" t="s">
        <v>557</v>
      </c>
      <c r="R102" s="137" t="s">
        <v>557</v>
      </c>
      <c r="S102" s="135">
        <f>S$3</f>
        <v>46177</v>
      </c>
      <c r="T102" s="136" t="s">
        <v>557</v>
      </c>
      <c r="U102" s="137" t="s">
        <v>557</v>
      </c>
      <c r="V102" s="135">
        <f>V$3</f>
        <v>46178</v>
      </c>
      <c r="W102" s="136" t="s">
        <v>557</v>
      </c>
      <c r="X102" s="137" t="s">
        <v>557</v>
      </c>
      <c r="Y102" s="135">
        <f>Y$3</f>
        <v>46179</v>
      </c>
      <c r="Z102" s="136" t="s">
        <v>557</v>
      </c>
      <c r="AA102" s="137" t="s">
        <v>557</v>
      </c>
      <c r="AB102" s="135"/>
      <c r="AC102" s="135">
        <f>AC$3</f>
        <v>46181</v>
      </c>
      <c r="AD102" s="136" t="s">
        <v>557</v>
      </c>
      <c r="AE102" s="137" t="s">
        <v>557</v>
      </c>
      <c r="AF102" s="135">
        <f>AF$3</f>
        <v>46182</v>
      </c>
      <c r="AG102" s="136" t="s">
        <v>557</v>
      </c>
      <c r="AH102" s="137" t="s">
        <v>557</v>
      </c>
      <c r="AI102" s="135">
        <f>AI$3</f>
        <v>46183</v>
      </c>
      <c r="AJ102" s="136" t="s">
        <v>557</v>
      </c>
      <c r="AK102" s="137" t="s">
        <v>557</v>
      </c>
      <c r="AL102" s="135">
        <f>AL$3</f>
        <v>46184</v>
      </c>
      <c r="AM102" s="136" t="s">
        <v>557</v>
      </c>
      <c r="AN102" s="137" t="s">
        <v>557</v>
      </c>
      <c r="AO102" s="135">
        <f>AO$3</f>
        <v>46185</v>
      </c>
      <c r="AP102" s="136" t="s">
        <v>557</v>
      </c>
      <c r="AQ102" s="137" t="s">
        <v>557</v>
      </c>
      <c r="AR102" s="135">
        <f>AR$3</f>
        <v>46186</v>
      </c>
      <c r="AS102" s="136" t="s">
        <v>557</v>
      </c>
      <c r="AT102" s="137" t="s">
        <v>557</v>
      </c>
      <c r="AU102" s="135"/>
      <c r="AV102" s="135">
        <f>AV$3</f>
        <v>46188</v>
      </c>
      <c r="AW102" s="148" t="s">
        <v>557</v>
      </c>
      <c r="AX102" s="137" t="s">
        <v>557</v>
      </c>
      <c r="AY102" s="135">
        <f>AY$3</f>
        <v>46189</v>
      </c>
      <c r="AZ102" s="136" t="s">
        <v>557</v>
      </c>
      <c r="BA102" s="137" t="s">
        <v>557</v>
      </c>
      <c r="BB102" s="135">
        <f>BB$3</f>
        <v>46190</v>
      </c>
      <c r="BC102" s="136" t="s">
        <v>557</v>
      </c>
      <c r="BD102" s="137" t="s">
        <v>557</v>
      </c>
      <c r="BE102" s="135">
        <f>BE$3</f>
        <v>46191</v>
      </c>
      <c r="BF102" s="136" t="s">
        <v>557</v>
      </c>
      <c r="BG102" s="137" t="s">
        <v>557</v>
      </c>
      <c r="BH102" s="135">
        <f>BH$3</f>
        <v>46192</v>
      </c>
      <c r="BI102" s="136" t="s">
        <v>557</v>
      </c>
      <c r="BJ102" s="137" t="s">
        <v>557</v>
      </c>
      <c r="BK102" s="135">
        <f>BK$3</f>
        <v>46193</v>
      </c>
      <c r="BL102" s="136" t="s">
        <v>557</v>
      </c>
      <c r="BM102" s="137" t="s">
        <v>557</v>
      </c>
    </row>
    <row r="103" spans="1:65" outlineLevel="1">
      <c r="A103" s="122" t="str">
        <f>$A$100</f>
        <v>Nguyễn Hải Nam</v>
      </c>
      <c r="B103" s="167" t="str">
        <f>'Bảng 3'!A272</f>
        <v>3.B.TQU.VPTQ.VP.201</v>
      </c>
      <c r="C103" s="81" t="str">
        <f>IF($B103="","",INDEX('All Bảng'!C:C,MATCH($B103,'All Bảng'!$A:$A,0)))</f>
        <v>Quản lý BIM</v>
      </c>
      <c r="D103" s="81" t="str">
        <f>IF($B103="","",INDEX('All Bảng'!D:D,MATCH($B103,'All Bảng'!$A:$A,0)))</f>
        <v>B.TQU.VPTQ.VP</v>
      </c>
      <c r="E103" s="81" t="str">
        <f>IF($B103="","",INDEX('All Bảng'!E:E,MATCH($B103,'All Bảng'!$A:$A,0)))</f>
        <v>Lô C.TM11</v>
      </c>
      <c r="F103" s="81" t="str">
        <f>IF($B103="","",INDEX('All Bảng'!F:F,MATCH($B103,'All Bảng'!$A:$A,0)))</f>
        <v>KC</v>
      </c>
      <c r="G103" s="81" t="str">
        <f>IF($B103="","",INDEX('All Bảng'!G:G,MATCH($B103,'All Bảng'!$A:$A,0)))</f>
        <v>Xuất khối lượng từ mô hình BIM</v>
      </c>
      <c r="H103" s="121"/>
      <c r="I103" s="135"/>
      <c r="J103" s="135">
        <f>J$3</f>
        <v>46174</v>
      </c>
      <c r="K103" s="148" t="s">
        <v>557</v>
      </c>
      <c r="L103" s="163" t="s">
        <v>557</v>
      </c>
      <c r="M103" s="135">
        <f>M$3</f>
        <v>46175</v>
      </c>
      <c r="N103" s="148" t="s">
        <v>706</v>
      </c>
      <c r="O103" s="137">
        <v>1</v>
      </c>
      <c r="P103" s="135">
        <f>P$3</f>
        <v>46176</v>
      </c>
      <c r="Q103" s="148" t="s">
        <v>708</v>
      </c>
      <c r="R103" s="137">
        <v>0.5</v>
      </c>
      <c r="S103" s="135">
        <f>S$3</f>
        <v>46177</v>
      </c>
      <c r="T103" s="136" t="s">
        <v>557</v>
      </c>
      <c r="U103" s="137" t="s">
        <v>557</v>
      </c>
      <c r="V103" s="135">
        <f>V$3</f>
        <v>46178</v>
      </c>
      <c r="W103" s="136" t="s">
        <v>557</v>
      </c>
      <c r="X103" s="137" t="s">
        <v>557</v>
      </c>
      <c r="Y103" s="135">
        <f>Y$3</f>
        <v>46179</v>
      </c>
      <c r="Z103" s="136" t="s">
        <v>557</v>
      </c>
      <c r="AA103" s="137" t="s">
        <v>557</v>
      </c>
      <c r="AB103" s="135"/>
      <c r="AC103" s="135">
        <f>AC$3</f>
        <v>46181</v>
      </c>
      <c r="AD103" s="136" t="s">
        <v>557</v>
      </c>
      <c r="AE103" s="137" t="s">
        <v>557</v>
      </c>
      <c r="AF103" s="135">
        <f>AF$3</f>
        <v>46182</v>
      </c>
      <c r="AG103" s="136" t="s">
        <v>557</v>
      </c>
      <c r="AH103" s="137" t="s">
        <v>557</v>
      </c>
      <c r="AI103" s="135">
        <f>AI$3</f>
        <v>46183</v>
      </c>
      <c r="AJ103" s="136" t="s">
        <v>557</v>
      </c>
      <c r="AK103" s="137" t="s">
        <v>557</v>
      </c>
      <c r="AL103" s="135">
        <f>AL$3</f>
        <v>46184</v>
      </c>
      <c r="AM103" s="136" t="s">
        <v>557</v>
      </c>
      <c r="AN103" s="137" t="s">
        <v>557</v>
      </c>
      <c r="AO103" s="135">
        <f>AO$3</f>
        <v>46185</v>
      </c>
      <c r="AP103" s="136" t="s">
        <v>557</v>
      </c>
      <c r="AQ103" s="137" t="s">
        <v>557</v>
      </c>
      <c r="AR103" s="135">
        <f>AR$3</f>
        <v>46186</v>
      </c>
      <c r="AS103" s="136" t="s">
        <v>557</v>
      </c>
      <c r="AT103" s="137" t="s">
        <v>557</v>
      </c>
      <c r="AU103" s="135"/>
      <c r="AV103" s="135">
        <f>AV$3</f>
        <v>46188</v>
      </c>
      <c r="AW103" s="148" t="s">
        <v>557</v>
      </c>
      <c r="AX103" s="137" t="s">
        <v>557</v>
      </c>
      <c r="AY103" s="135">
        <f>AY$3</f>
        <v>46189</v>
      </c>
      <c r="AZ103" s="136" t="s">
        <v>557</v>
      </c>
      <c r="BA103" s="137" t="s">
        <v>557</v>
      </c>
      <c r="BB103" s="135">
        <f>BB$3</f>
        <v>46190</v>
      </c>
      <c r="BC103" s="136" t="s">
        <v>557</v>
      </c>
      <c r="BD103" s="137" t="s">
        <v>557</v>
      </c>
      <c r="BE103" s="135">
        <f>BE$3</f>
        <v>46191</v>
      </c>
      <c r="BF103" s="136" t="s">
        <v>557</v>
      </c>
      <c r="BG103" s="137" t="s">
        <v>557</v>
      </c>
      <c r="BH103" s="135">
        <f>BH$3</f>
        <v>46192</v>
      </c>
      <c r="BI103" s="136" t="s">
        <v>557</v>
      </c>
      <c r="BJ103" s="137" t="s">
        <v>557</v>
      </c>
      <c r="BK103" s="135">
        <f>BK$3</f>
        <v>46193</v>
      </c>
      <c r="BL103" s="136" t="s">
        <v>557</v>
      </c>
      <c r="BM103" s="137" t="s">
        <v>557</v>
      </c>
    </row>
    <row r="104" spans="1:65" outlineLevel="1">
      <c r="A104" s="122" t="str">
        <f>$A$100</f>
        <v>Nguyễn Hải Nam</v>
      </c>
      <c r="B104" s="82" t="str">
        <f>'Bảng 3'!A273</f>
        <v>3.B.TQU.VPTQ.VP.202</v>
      </c>
      <c r="C104" s="81" t="str">
        <f>IF($B104="","",INDEX('All Bảng'!C:C,MATCH($B104,'All Bảng'!$A:$A,0)))</f>
        <v>Quản lý BIM</v>
      </c>
      <c r="D104" s="81" t="str">
        <f>IF($B104="","",INDEX('All Bảng'!D:D,MATCH($B104,'All Bảng'!$A:$A,0)))</f>
        <v>B.TQU.VPTQ.VP</v>
      </c>
      <c r="E104" s="81" t="str">
        <f>IF($B104="","",INDEX('All Bảng'!E:E,MATCH($B104,'All Bảng'!$A:$A,0)))</f>
        <v>Lô C.TM11</v>
      </c>
      <c r="F104" s="81" t="str">
        <f>IF($B104="","",INDEX('All Bảng'!F:F,MATCH($B104,'All Bảng'!$A:$A,0)))</f>
        <v>KC</v>
      </c>
      <c r="G104" s="81" t="str">
        <f>IF($B104="","",INDEX('All Bảng'!G:G,MATCH($B104,'All Bảng'!$A:$A,0)))</f>
        <v>Cập nhật thông tin mô hình BIM</v>
      </c>
      <c r="H104" s="121"/>
      <c r="I104" s="135"/>
      <c r="J104" s="135">
        <f>J$3</f>
        <v>46174</v>
      </c>
      <c r="K104" s="148" t="s">
        <v>557</v>
      </c>
      <c r="L104" s="163" t="s">
        <v>557</v>
      </c>
      <c r="M104" s="135">
        <f>M$3</f>
        <v>46175</v>
      </c>
      <c r="N104" s="148" t="s">
        <v>709</v>
      </c>
      <c r="O104" s="137">
        <v>6</v>
      </c>
      <c r="P104" s="135">
        <f>P$3</f>
        <v>46176</v>
      </c>
      <c r="Q104" s="148" t="s">
        <v>710</v>
      </c>
      <c r="R104" s="137">
        <v>2.5</v>
      </c>
      <c r="S104" s="135">
        <f>S$3</f>
        <v>46177</v>
      </c>
      <c r="T104" s="136" t="s">
        <v>557</v>
      </c>
      <c r="U104" s="137" t="s">
        <v>557</v>
      </c>
      <c r="V104" s="135">
        <f>V$3</f>
        <v>46178</v>
      </c>
      <c r="W104" s="136" t="s">
        <v>557</v>
      </c>
      <c r="X104" s="137" t="s">
        <v>557</v>
      </c>
      <c r="Y104" s="135">
        <f>Y$3</f>
        <v>46179</v>
      </c>
      <c r="Z104" s="136" t="s">
        <v>557</v>
      </c>
      <c r="AA104" s="137" t="s">
        <v>557</v>
      </c>
      <c r="AB104" s="135"/>
      <c r="AC104" s="135">
        <f>AC$3</f>
        <v>46181</v>
      </c>
      <c r="AD104" s="136" t="s">
        <v>557</v>
      </c>
      <c r="AE104" s="137" t="s">
        <v>557</v>
      </c>
      <c r="AF104" s="135">
        <f>AF$3</f>
        <v>46182</v>
      </c>
      <c r="AG104" s="136" t="s">
        <v>557</v>
      </c>
      <c r="AH104" s="137" t="s">
        <v>557</v>
      </c>
      <c r="AI104" s="135">
        <f>AI$3</f>
        <v>46183</v>
      </c>
      <c r="AJ104" s="136" t="s">
        <v>557</v>
      </c>
      <c r="AK104" s="137" t="s">
        <v>557</v>
      </c>
      <c r="AL104" s="135">
        <f>AL$3</f>
        <v>46184</v>
      </c>
      <c r="AM104" s="136" t="s">
        <v>557</v>
      </c>
      <c r="AN104" s="137" t="s">
        <v>557</v>
      </c>
      <c r="AO104" s="135">
        <f>AO$3</f>
        <v>46185</v>
      </c>
      <c r="AP104" s="136" t="s">
        <v>557</v>
      </c>
      <c r="AQ104" s="137" t="s">
        <v>557</v>
      </c>
      <c r="AR104" s="135">
        <f>AR$3</f>
        <v>46186</v>
      </c>
      <c r="AS104" s="136" t="s">
        <v>557</v>
      </c>
      <c r="AT104" s="137" t="s">
        <v>557</v>
      </c>
      <c r="AU104" s="135"/>
      <c r="AV104" s="135">
        <f>AV$3</f>
        <v>46188</v>
      </c>
      <c r="AW104" s="148" t="s">
        <v>557</v>
      </c>
      <c r="AX104" s="137" t="s">
        <v>557</v>
      </c>
      <c r="AY104" s="135">
        <f>AY$3</f>
        <v>46189</v>
      </c>
      <c r="AZ104" s="136" t="s">
        <v>557</v>
      </c>
      <c r="BA104" s="137" t="s">
        <v>557</v>
      </c>
      <c r="BB104" s="135">
        <f>BB$3</f>
        <v>46190</v>
      </c>
      <c r="BC104" s="136" t="s">
        <v>557</v>
      </c>
      <c r="BD104" s="137" t="s">
        <v>557</v>
      </c>
      <c r="BE104" s="135">
        <f>BE$3</f>
        <v>46191</v>
      </c>
      <c r="BF104" s="136" t="s">
        <v>557</v>
      </c>
      <c r="BG104" s="137" t="s">
        <v>557</v>
      </c>
      <c r="BH104" s="135">
        <f>BH$3</f>
        <v>46192</v>
      </c>
      <c r="BI104" s="136" t="s">
        <v>557</v>
      </c>
      <c r="BJ104" s="137" t="s">
        <v>557</v>
      </c>
      <c r="BK104" s="135">
        <f>BK$3</f>
        <v>46193</v>
      </c>
      <c r="BL104" s="136" t="s">
        <v>557</v>
      </c>
      <c r="BM104" s="137" t="s">
        <v>557</v>
      </c>
    </row>
    <row r="105" spans="1:65" outlineLevel="1">
      <c r="A105" s="122" t="str">
        <f>$A$100</f>
        <v>Nguyễn Hải Nam</v>
      </c>
      <c r="B105" s="167" t="str">
        <f>'Bảng 3'!A44</f>
        <v>3.B.DSHNQN.STA.105</v>
      </c>
      <c r="C105" s="81" t="str">
        <f>IF($B105="","",INDEX('All Bảng'!C:C,MATCH($B105,'All Bảng'!$A:$A,0)))</f>
        <v>Quản lý BIM</v>
      </c>
      <c r="D105" s="81" t="str">
        <f>IF($B105="","",INDEX('All Bảng'!D:D,MATCH($B105,'All Bảng'!$A:$A,0)))</f>
        <v>B.DSHNQN.STA</v>
      </c>
      <c r="E105" s="81" t="str">
        <f>IF($B105="","",INDEX('All Bảng'!E:E,MATCH($B105,'All Bảng'!$A:$A,0)))</f>
        <v>Nhà ga Yên Tử</v>
      </c>
      <c r="F105" s="81" t="str">
        <f>IF($B105="","",INDEX('All Bảng'!F:F,MATCH($B105,'All Bảng'!$A:$A,0)))</f>
        <v>KT</v>
      </c>
      <c r="G105" s="81" t="str">
        <f>IF($B105="","",INDEX('All Bảng'!G:G,MATCH($B105,'All Bảng'!$A:$A,0)))</f>
        <v>Tạo lập mô hình BIM</v>
      </c>
      <c r="H105" s="121"/>
      <c r="I105" s="135"/>
      <c r="J105" s="135">
        <f>J$3</f>
        <v>46174</v>
      </c>
      <c r="K105" s="148" t="s">
        <v>557</v>
      </c>
      <c r="L105" s="163" t="s">
        <v>557</v>
      </c>
      <c r="M105" s="135">
        <f>M$3</f>
        <v>46175</v>
      </c>
      <c r="N105" s="148" t="s">
        <v>557</v>
      </c>
      <c r="O105" s="137" t="s">
        <v>557</v>
      </c>
      <c r="P105" s="135">
        <f>P$3</f>
        <v>46176</v>
      </c>
      <c r="Q105" s="148" t="s">
        <v>557</v>
      </c>
      <c r="R105" s="137" t="s">
        <v>557</v>
      </c>
      <c r="S105" s="135">
        <f>S$3</f>
        <v>46177</v>
      </c>
      <c r="T105" s="136" t="s">
        <v>557</v>
      </c>
      <c r="U105" s="137" t="s">
        <v>557</v>
      </c>
      <c r="V105" s="135">
        <f>V$3</f>
        <v>46178</v>
      </c>
      <c r="W105" s="136" t="s">
        <v>557</v>
      </c>
      <c r="X105" s="137" t="s">
        <v>557</v>
      </c>
      <c r="Y105" s="135">
        <f>Y$3</f>
        <v>46179</v>
      </c>
      <c r="Z105" s="136" t="s">
        <v>557</v>
      </c>
      <c r="AA105" s="137" t="s">
        <v>557</v>
      </c>
      <c r="AB105" s="135"/>
      <c r="AC105" s="135">
        <f>AC$3</f>
        <v>46181</v>
      </c>
      <c r="AD105" s="136" t="s">
        <v>557</v>
      </c>
      <c r="AE105" s="137" t="s">
        <v>557</v>
      </c>
      <c r="AF105" s="135">
        <f>AF$3</f>
        <v>46182</v>
      </c>
      <c r="AG105" s="136" t="s">
        <v>557</v>
      </c>
      <c r="AH105" s="137" t="s">
        <v>557</v>
      </c>
      <c r="AI105" s="135">
        <f>AI$3</f>
        <v>46183</v>
      </c>
      <c r="AJ105" s="136" t="s">
        <v>557</v>
      </c>
      <c r="AK105" s="137" t="s">
        <v>557</v>
      </c>
      <c r="AL105" s="135">
        <f>AL$3</f>
        <v>46184</v>
      </c>
      <c r="AM105" s="136" t="s">
        <v>557</v>
      </c>
      <c r="AN105" s="137" t="s">
        <v>557</v>
      </c>
      <c r="AO105" s="135">
        <f>AO$3</f>
        <v>46185</v>
      </c>
      <c r="AP105" s="136" t="s">
        <v>557</v>
      </c>
      <c r="AQ105" s="137" t="s">
        <v>557</v>
      </c>
      <c r="AR105" s="135">
        <f>AR$3</f>
        <v>46186</v>
      </c>
      <c r="AS105" s="136" t="s">
        <v>557</v>
      </c>
      <c r="AT105" s="137" t="s">
        <v>557</v>
      </c>
      <c r="AU105" s="135"/>
      <c r="AV105" s="135">
        <f>AV$3</f>
        <v>46188</v>
      </c>
      <c r="AW105" s="148" t="s">
        <v>557</v>
      </c>
      <c r="AX105" s="137" t="s">
        <v>557</v>
      </c>
      <c r="AY105" s="135">
        <f>AY$3</f>
        <v>46189</v>
      </c>
      <c r="AZ105" s="136" t="s">
        <v>557</v>
      </c>
      <c r="BA105" s="137" t="s">
        <v>557</v>
      </c>
      <c r="BB105" s="135">
        <f>BB$3</f>
        <v>46190</v>
      </c>
      <c r="BC105" s="136" t="s">
        <v>557</v>
      </c>
      <c r="BD105" s="137" t="s">
        <v>557</v>
      </c>
      <c r="BE105" s="135">
        <f>BE$3</f>
        <v>46191</v>
      </c>
      <c r="BF105" s="136" t="s">
        <v>557</v>
      </c>
      <c r="BG105" s="137" t="s">
        <v>557</v>
      </c>
      <c r="BH105" s="135">
        <f>BH$3</f>
        <v>46192</v>
      </c>
      <c r="BI105" s="136" t="s">
        <v>557</v>
      </c>
      <c r="BJ105" s="137" t="s">
        <v>557</v>
      </c>
      <c r="BK105" s="135">
        <f>BK$3</f>
        <v>46193</v>
      </c>
      <c r="BL105" s="136" t="s">
        <v>557</v>
      </c>
      <c r="BM105" s="137" t="s">
        <v>557</v>
      </c>
    </row>
    <row r="106" spans="1:65" outlineLevel="1">
      <c r="A106" s="166" t="str">
        <f>$A$100</f>
        <v>Nguyễn Hải Nam</v>
      </c>
      <c r="B106" s="167" t="str">
        <f>'Bảng 3'!A45</f>
        <v>3.B.DSHNQN.STA.203</v>
      </c>
      <c r="C106" s="81" t="str">
        <f>IF($B106="","",INDEX('All Bảng'!C:C,MATCH($B106,'All Bảng'!$A:$A,0)))</f>
        <v>Quản lý BIM</v>
      </c>
      <c r="D106" s="81" t="str">
        <f>IF($B106="","",INDEX('All Bảng'!D:D,MATCH($B106,'All Bảng'!$A:$A,0)))</f>
        <v>B.DSHNQN.STA</v>
      </c>
      <c r="E106" s="81" t="str">
        <f>IF($B106="","",INDEX('All Bảng'!E:E,MATCH($B106,'All Bảng'!$A:$A,0)))</f>
        <v>Nhà ga Yên Tử</v>
      </c>
      <c r="F106" s="81" t="str">
        <f>IF($B106="","",INDEX('All Bảng'!F:F,MATCH($B106,'All Bảng'!$A:$A,0)))</f>
        <v>KC</v>
      </c>
      <c r="G106" s="81" t="str">
        <f>IF($B106="","",INDEX('All Bảng'!G:G,MATCH($B106,'All Bảng'!$A:$A,0)))</f>
        <v>KSCL mô hình BIM</v>
      </c>
      <c r="H106" s="121"/>
      <c r="I106" s="135"/>
      <c r="J106" s="135">
        <f>J$3</f>
        <v>46174</v>
      </c>
      <c r="K106" s="148" t="s">
        <v>557</v>
      </c>
      <c r="L106" s="163" t="s">
        <v>557</v>
      </c>
      <c r="M106" s="135">
        <f>M$3</f>
        <v>46175</v>
      </c>
      <c r="N106" s="148"/>
      <c r="O106" s="137"/>
      <c r="P106" s="135">
        <f>P$3</f>
        <v>46176</v>
      </c>
      <c r="Q106" s="148" t="s">
        <v>557</v>
      </c>
      <c r="R106" s="137" t="s">
        <v>557</v>
      </c>
      <c r="S106" s="135">
        <f>S$3</f>
        <v>46177</v>
      </c>
      <c r="T106" s="136" t="s">
        <v>557</v>
      </c>
      <c r="U106" s="137" t="s">
        <v>557</v>
      </c>
      <c r="V106" s="135">
        <f>V$3</f>
        <v>46178</v>
      </c>
      <c r="W106" s="136" t="s">
        <v>557</v>
      </c>
      <c r="X106" s="137" t="s">
        <v>557</v>
      </c>
      <c r="Y106" s="135">
        <f>Y$3</f>
        <v>46179</v>
      </c>
      <c r="Z106" s="136" t="s">
        <v>557</v>
      </c>
      <c r="AA106" s="137" t="s">
        <v>557</v>
      </c>
      <c r="AB106" s="135"/>
      <c r="AC106" s="135">
        <f>AC$3</f>
        <v>46181</v>
      </c>
      <c r="AD106" s="136" t="s">
        <v>557</v>
      </c>
      <c r="AE106" s="137" t="s">
        <v>557</v>
      </c>
      <c r="AF106" s="135">
        <f>AF$3</f>
        <v>46182</v>
      </c>
      <c r="AG106" s="136" t="s">
        <v>557</v>
      </c>
      <c r="AH106" s="137" t="s">
        <v>557</v>
      </c>
      <c r="AI106" s="135">
        <f>AI$3</f>
        <v>46183</v>
      </c>
      <c r="AJ106" s="136" t="s">
        <v>557</v>
      </c>
      <c r="AK106" s="137" t="s">
        <v>557</v>
      </c>
      <c r="AL106" s="135">
        <f>AL$3</f>
        <v>46184</v>
      </c>
      <c r="AM106" s="136" t="s">
        <v>557</v>
      </c>
      <c r="AN106" s="137" t="s">
        <v>557</v>
      </c>
      <c r="AO106" s="135">
        <f>AO$3</f>
        <v>46185</v>
      </c>
      <c r="AP106" s="136" t="s">
        <v>557</v>
      </c>
      <c r="AQ106" s="137" t="s">
        <v>557</v>
      </c>
      <c r="AR106" s="135">
        <f>AR$3</f>
        <v>46186</v>
      </c>
      <c r="AS106" s="136" t="s">
        <v>557</v>
      </c>
      <c r="AT106" s="137" t="s">
        <v>557</v>
      </c>
      <c r="AU106" s="135"/>
      <c r="AV106" s="135">
        <f>AV$3</f>
        <v>46188</v>
      </c>
      <c r="AW106" s="148" t="s">
        <v>557</v>
      </c>
      <c r="AX106" s="137" t="s">
        <v>557</v>
      </c>
      <c r="AY106" s="135">
        <f>AY$3</f>
        <v>46189</v>
      </c>
      <c r="AZ106" s="136" t="s">
        <v>557</v>
      </c>
      <c r="BA106" s="137" t="s">
        <v>557</v>
      </c>
      <c r="BB106" s="135">
        <f>BB$3</f>
        <v>46190</v>
      </c>
      <c r="BC106" s="136" t="s">
        <v>557</v>
      </c>
      <c r="BD106" s="137" t="s">
        <v>557</v>
      </c>
      <c r="BE106" s="135">
        <f>BE$3</f>
        <v>46191</v>
      </c>
      <c r="BF106" s="136" t="s">
        <v>557</v>
      </c>
      <c r="BG106" s="137" t="s">
        <v>557</v>
      </c>
      <c r="BH106" s="135">
        <f>BH$3</f>
        <v>46192</v>
      </c>
      <c r="BI106" s="136" t="s">
        <v>557</v>
      </c>
      <c r="BJ106" s="137" t="s">
        <v>557</v>
      </c>
      <c r="BK106" s="135">
        <f>BK$3</f>
        <v>46193</v>
      </c>
      <c r="BL106" s="136" t="s">
        <v>557</v>
      </c>
      <c r="BM106" s="137" t="s">
        <v>557</v>
      </c>
    </row>
    <row r="107" spans="1:65" outlineLevel="1">
      <c r="A107" s="122" t="str">
        <f>$A$100</f>
        <v>Nguyễn Hải Nam</v>
      </c>
      <c r="B107" s="167" t="str">
        <f>'Bảng 3'!A155</f>
        <v>3.B.HNO.VHOHN.SVD.101</v>
      </c>
      <c r="C107" s="81" t="str">
        <f>IF($B107="","",INDEX('All Bảng'!C:C,MATCH($B107,'All Bảng'!$A:$A,0)))</f>
        <v>Quản lý BIM</v>
      </c>
      <c r="D107" s="81" t="str">
        <f>IF($B107="","",INDEX('All Bảng'!D:D,MATCH($B107,'All Bảng'!$A:$A,0)))</f>
        <v>B.HNO.VHOHN.SVD</v>
      </c>
      <c r="E107" s="81" t="str">
        <f>IF($B107="","",INDEX('All Bảng'!E:E,MATCH($B107,'All Bảng'!$A:$A,0)))</f>
        <v>SVĐ lô đất TDTT01</v>
      </c>
      <c r="F107" s="81" t="str">
        <f>IF($B107="","",INDEX('All Bảng'!F:F,MATCH($B107,'All Bảng'!$A:$A,0)))</f>
        <v>KT</v>
      </c>
      <c r="G107" s="81" t="str">
        <f>IF($B107="","",INDEX('All Bảng'!G:G,MATCH($B107,'All Bảng'!$A:$A,0)))</f>
        <v>KSCL mô hình BIM</v>
      </c>
      <c r="H107" s="121"/>
      <c r="I107" s="135"/>
      <c r="J107" s="135">
        <f>J$3</f>
        <v>46174</v>
      </c>
      <c r="K107" s="148" t="s">
        <v>557</v>
      </c>
      <c r="L107" s="163" t="s">
        <v>557</v>
      </c>
      <c r="M107" s="135">
        <f>M$3</f>
        <v>46175</v>
      </c>
      <c r="N107" s="148" t="s">
        <v>557</v>
      </c>
      <c r="O107" s="137" t="s">
        <v>557</v>
      </c>
      <c r="P107" s="135">
        <f>P$3</f>
        <v>46176</v>
      </c>
      <c r="Q107" s="148" t="s">
        <v>557</v>
      </c>
      <c r="R107" s="137" t="s">
        <v>557</v>
      </c>
      <c r="S107" s="135">
        <f>S$3</f>
        <v>46177</v>
      </c>
      <c r="T107" s="136" t="s">
        <v>557</v>
      </c>
      <c r="U107" s="137" t="s">
        <v>557</v>
      </c>
      <c r="V107" s="135">
        <f>V$3</f>
        <v>46178</v>
      </c>
      <c r="W107" s="136" t="s">
        <v>557</v>
      </c>
      <c r="X107" s="137" t="s">
        <v>557</v>
      </c>
      <c r="Y107" s="135">
        <f>Y$3</f>
        <v>46179</v>
      </c>
      <c r="Z107" s="136" t="s">
        <v>557</v>
      </c>
      <c r="AA107" s="137" t="s">
        <v>557</v>
      </c>
      <c r="AB107" s="135"/>
      <c r="AC107" s="135">
        <f>AC$3</f>
        <v>46181</v>
      </c>
      <c r="AD107" s="136" t="s">
        <v>557</v>
      </c>
      <c r="AE107" s="137" t="s">
        <v>557</v>
      </c>
      <c r="AF107" s="135">
        <f>AF$3</f>
        <v>46182</v>
      </c>
      <c r="AG107" s="136" t="s">
        <v>557</v>
      </c>
      <c r="AH107" s="137" t="s">
        <v>557</v>
      </c>
      <c r="AI107" s="135">
        <f>AI$3</f>
        <v>46183</v>
      </c>
      <c r="AJ107" s="136" t="s">
        <v>557</v>
      </c>
      <c r="AK107" s="137" t="s">
        <v>557</v>
      </c>
      <c r="AL107" s="135">
        <f>AL$3</f>
        <v>46184</v>
      </c>
      <c r="AM107" s="136" t="s">
        <v>557</v>
      </c>
      <c r="AN107" s="137" t="s">
        <v>557</v>
      </c>
      <c r="AO107" s="135">
        <f>AO$3</f>
        <v>46185</v>
      </c>
      <c r="AP107" s="136" t="s">
        <v>557</v>
      </c>
      <c r="AQ107" s="137" t="s">
        <v>557</v>
      </c>
      <c r="AR107" s="135">
        <f>AR$3</f>
        <v>46186</v>
      </c>
      <c r="AS107" s="136" t="s">
        <v>557</v>
      </c>
      <c r="AT107" s="137" t="s">
        <v>557</v>
      </c>
      <c r="AU107" s="135"/>
      <c r="AV107" s="135">
        <f>AV$3</f>
        <v>46188</v>
      </c>
      <c r="AW107" s="148" t="s">
        <v>557</v>
      </c>
      <c r="AX107" s="137" t="s">
        <v>557</v>
      </c>
      <c r="AY107" s="135">
        <f>AY$3</f>
        <v>46189</v>
      </c>
      <c r="AZ107" s="136" t="s">
        <v>557</v>
      </c>
      <c r="BA107" s="137" t="s">
        <v>557</v>
      </c>
      <c r="BB107" s="135">
        <f>BB$3</f>
        <v>46190</v>
      </c>
      <c r="BC107" s="136" t="s">
        <v>557</v>
      </c>
      <c r="BD107" s="137" t="s">
        <v>557</v>
      </c>
      <c r="BE107" s="135">
        <f>BE$3</f>
        <v>46191</v>
      </c>
      <c r="BF107" s="136" t="s">
        <v>557</v>
      </c>
      <c r="BG107" s="137" t="s">
        <v>557</v>
      </c>
      <c r="BH107" s="135">
        <f>BH$3</f>
        <v>46192</v>
      </c>
      <c r="BI107" s="136" t="s">
        <v>557</v>
      </c>
      <c r="BJ107" s="137" t="s">
        <v>557</v>
      </c>
      <c r="BK107" s="135">
        <f>BK$3</f>
        <v>46193</v>
      </c>
      <c r="BL107" s="136" t="s">
        <v>557</v>
      </c>
      <c r="BM107" s="137" t="s">
        <v>557</v>
      </c>
    </row>
    <row r="108" spans="1:65" outlineLevel="1">
      <c r="A108" s="122" t="str">
        <f>$A$100</f>
        <v>Nguyễn Hải Nam</v>
      </c>
      <c r="B108" s="167" t="str">
        <f>'Bảng 3'!A156</f>
        <v>3.B.HNO.VHOHN.SVD.201</v>
      </c>
      <c r="C108" s="81" t="str">
        <f>IF($B108="","",INDEX('All Bảng'!C:C,MATCH($B108,'All Bảng'!$A:$A,0)))</f>
        <v>Quản lý BIM</v>
      </c>
      <c r="D108" s="81" t="str">
        <f>IF($B108="","",INDEX('All Bảng'!D:D,MATCH($B108,'All Bảng'!$A:$A,0)))</f>
        <v>B.HNO.VHOHN.SVD</v>
      </c>
      <c r="E108" s="81" t="str">
        <f>IF($B108="","",INDEX('All Bảng'!E:E,MATCH($B108,'All Bảng'!$A:$A,0)))</f>
        <v>SVĐ lô đất TDTT01</v>
      </c>
      <c r="F108" s="81" t="str">
        <f>IF($B108="","",INDEX('All Bảng'!F:F,MATCH($B108,'All Bảng'!$A:$A,0)))</f>
        <v>KC</v>
      </c>
      <c r="G108" s="81" t="str">
        <f>IF($B108="","",INDEX('All Bảng'!G:G,MATCH($B108,'All Bảng'!$A:$A,0)))</f>
        <v>KSCL mô hình BIM</v>
      </c>
      <c r="H108" s="121"/>
      <c r="I108" s="135"/>
      <c r="J108" s="135">
        <f>J$3</f>
        <v>46174</v>
      </c>
      <c r="K108" s="148" t="s">
        <v>557</v>
      </c>
      <c r="L108" s="163" t="s">
        <v>557</v>
      </c>
      <c r="M108" s="135">
        <f>M$3</f>
        <v>46175</v>
      </c>
      <c r="N108" s="148" t="s">
        <v>557</v>
      </c>
      <c r="O108" s="137" t="s">
        <v>557</v>
      </c>
      <c r="P108" s="135">
        <f>P$3</f>
        <v>46176</v>
      </c>
      <c r="Q108" s="148" t="s">
        <v>557</v>
      </c>
      <c r="R108" s="137" t="s">
        <v>557</v>
      </c>
      <c r="S108" s="135">
        <f>S$3</f>
        <v>46177</v>
      </c>
      <c r="T108" s="136" t="s">
        <v>557</v>
      </c>
      <c r="U108" s="137" t="s">
        <v>557</v>
      </c>
      <c r="V108" s="135">
        <f>V$3</f>
        <v>46178</v>
      </c>
      <c r="W108" s="136" t="s">
        <v>557</v>
      </c>
      <c r="X108" s="137" t="s">
        <v>557</v>
      </c>
      <c r="Y108" s="135">
        <f>Y$3</f>
        <v>46179</v>
      </c>
      <c r="Z108" s="136" t="s">
        <v>557</v>
      </c>
      <c r="AA108" s="137" t="s">
        <v>557</v>
      </c>
      <c r="AB108" s="135"/>
      <c r="AC108" s="135">
        <f>AC$3</f>
        <v>46181</v>
      </c>
      <c r="AD108" s="136" t="s">
        <v>557</v>
      </c>
      <c r="AE108" s="137" t="s">
        <v>557</v>
      </c>
      <c r="AF108" s="135">
        <f>AF$3</f>
        <v>46182</v>
      </c>
      <c r="AG108" s="136" t="s">
        <v>557</v>
      </c>
      <c r="AH108" s="137" t="s">
        <v>557</v>
      </c>
      <c r="AI108" s="135">
        <f>AI$3</f>
        <v>46183</v>
      </c>
      <c r="AJ108" s="136" t="s">
        <v>557</v>
      </c>
      <c r="AK108" s="137" t="s">
        <v>557</v>
      </c>
      <c r="AL108" s="135">
        <f>AL$3</f>
        <v>46184</v>
      </c>
      <c r="AM108" s="136" t="s">
        <v>557</v>
      </c>
      <c r="AN108" s="137" t="s">
        <v>557</v>
      </c>
      <c r="AO108" s="135">
        <f>AO$3</f>
        <v>46185</v>
      </c>
      <c r="AP108" s="136" t="s">
        <v>557</v>
      </c>
      <c r="AQ108" s="137" t="s">
        <v>557</v>
      </c>
      <c r="AR108" s="135">
        <f>AR$3</f>
        <v>46186</v>
      </c>
      <c r="AS108" s="136" t="s">
        <v>557</v>
      </c>
      <c r="AT108" s="137" t="s">
        <v>557</v>
      </c>
      <c r="AU108" s="135"/>
      <c r="AV108" s="135">
        <f>AV$3</f>
        <v>46188</v>
      </c>
      <c r="AW108" s="148" t="s">
        <v>557</v>
      </c>
      <c r="AX108" s="137" t="s">
        <v>557</v>
      </c>
      <c r="AY108" s="135">
        <f>AY$3</f>
        <v>46189</v>
      </c>
      <c r="AZ108" s="136" t="s">
        <v>557</v>
      </c>
      <c r="BA108" s="137" t="s">
        <v>557</v>
      </c>
      <c r="BB108" s="135">
        <f>BB$3</f>
        <v>46190</v>
      </c>
      <c r="BC108" s="136" t="s">
        <v>557</v>
      </c>
      <c r="BD108" s="137" t="s">
        <v>557</v>
      </c>
      <c r="BE108" s="135">
        <f>BE$3</f>
        <v>46191</v>
      </c>
      <c r="BF108" s="136" t="s">
        <v>557</v>
      </c>
      <c r="BG108" s="137" t="s">
        <v>557</v>
      </c>
      <c r="BH108" s="135">
        <f>BH$3</f>
        <v>46192</v>
      </c>
      <c r="BI108" s="136" t="s">
        <v>557</v>
      </c>
      <c r="BJ108" s="137" t="s">
        <v>557</v>
      </c>
      <c r="BK108" s="135">
        <f>BK$3</f>
        <v>46193</v>
      </c>
      <c r="BL108" s="136" t="s">
        <v>557</v>
      </c>
      <c r="BM108" s="137" t="s">
        <v>557</v>
      </c>
    </row>
    <row r="109" spans="1:65" outlineLevel="1">
      <c r="A109" s="122" t="str">
        <f>$A$100</f>
        <v>Nguyễn Hải Nam</v>
      </c>
      <c r="B109" s="167" t="str">
        <f>'Bảng 3'!A192</f>
        <v>3.B.HYE.NOXHPH.NX.101</v>
      </c>
      <c r="C109" s="81" t="str">
        <f>IF($B109="","",INDEX('All Bảng'!C:C,MATCH($B109,'All Bảng'!$A:$A,0)))</f>
        <v>Quản lý BIM</v>
      </c>
      <c r="D109" s="81" t="str">
        <f>IF($B109="","",INDEX('All Bảng'!D:D,MATCH($B109,'All Bảng'!$A:$A,0)))</f>
        <v>B.HYE.NOXHPH.NX</v>
      </c>
      <c r="E109" s="81" t="str">
        <f>IF($B109="","",INDEX('All Bảng'!E:E,MATCH($B109,'All Bảng'!$A:$A,0)))</f>
        <v>Nhà xe BDX-01</v>
      </c>
      <c r="F109" s="81" t="str">
        <f>IF($B109="","",INDEX('All Bảng'!F:F,MATCH($B109,'All Bảng'!$A:$A,0)))</f>
        <v>KT</v>
      </c>
      <c r="G109" s="81" t="str">
        <f>IF($B109="","",INDEX('All Bảng'!G:G,MATCH($B109,'All Bảng'!$A:$A,0)))</f>
        <v>KSCL mô hình BIM</v>
      </c>
      <c r="H109" s="121"/>
      <c r="I109" s="135"/>
      <c r="J109" s="135">
        <f>J$3</f>
        <v>46174</v>
      </c>
      <c r="K109" s="148" t="s">
        <v>557</v>
      </c>
      <c r="L109" s="163" t="s">
        <v>557</v>
      </c>
      <c r="M109" s="135">
        <f>M$3</f>
        <v>46175</v>
      </c>
      <c r="N109" s="148" t="s">
        <v>557</v>
      </c>
      <c r="O109" s="137" t="s">
        <v>557</v>
      </c>
      <c r="P109" s="135">
        <f>P$3</f>
        <v>46176</v>
      </c>
      <c r="Q109" s="148" t="s">
        <v>557</v>
      </c>
      <c r="R109" s="137" t="s">
        <v>557</v>
      </c>
      <c r="S109" s="135">
        <f>S$3</f>
        <v>46177</v>
      </c>
      <c r="T109" s="136" t="s">
        <v>557</v>
      </c>
      <c r="U109" s="137" t="s">
        <v>557</v>
      </c>
      <c r="V109" s="135">
        <f>V$3</f>
        <v>46178</v>
      </c>
      <c r="W109" s="136" t="s">
        <v>557</v>
      </c>
      <c r="X109" s="137" t="s">
        <v>557</v>
      </c>
      <c r="Y109" s="135">
        <f>Y$3</f>
        <v>46179</v>
      </c>
      <c r="Z109" s="136" t="s">
        <v>557</v>
      </c>
      <c r="AA109" s="137" t="s">
        <v>557</v>
      </c>
      <c r="AB109" s="135"/>
      <c r="AC109" s="135">
        <f>AC$3</f>
        <v>46181</v>
      </c>
      <c r="AD109" s="136" t="s">
        <v>557</v>
      </c>
      <c r="AE109" s="137" t="s">
        <v>557</v>
      </c>
      <c r="AF109" s="135">
        <f>AF$3</f>
        <v>46182</v>
      </c>
      <c r="AG109" s="136" t="s">
        <v>557</v>
      </c>
      <c r="AH109" s="137" t="s">
        <v>557</v>
      </c>
      <c r="AI109" s="135">
        <f>AI$3</f>
        <v>46183</v>
      </c>
      <c r="AJ109" s="136" t="s">
        <v>557</v>
      </c>
      <c r="AK109" s="137" t="s">
        <v>557</v>
      </c>
      <c r="AL109" s="135">
        <f>AL$3</f>
        <v>46184</v>
      </c>
      <c r="AM109" s="136" t="s">
        <v>557</v>
      </c>
      <c r="AN109" s="137" t="s">
        <v>557</v>
      </c>
      <c r="AO109" s="135">
        <f>AO$3</f>
        <v>46185</v>
      </c>
      <c r="AP109" s="136" t="s">
        <v>557</v>
      </c>
      <c r="AQ109" s="137" t="s">
        <v>557</v>
      </c>
      <c r="AR109" s="135">
        <f>AR$3</f>
        <v>46186</v>
      </c>
      <c r="AS109" s="136" t="s">
        <v>557</v>
      </c>
      <c r="AT109" s="137" t="s">
        <v>557</v>
      </c>
      <c r="AU109" s="135"/>
      <c r="AV109" s="135">
        <f>AV$3</f>
        <v>46188</v>
      </c>
      <c r="AW109" s="148" t="s">
        <v>557</v>
      </c>
      <c r="AX109" s="137" t="s">
        <v>557</v>
      </c>
      <c r="AY109" s="135">
        <f>AY$3</f>
        <v>46189</v>
      </c>
      <c r="AZ109" s="136" t="s">
        <v>557</v>
      </c>
      <c r="BA109" s="137" t="s">
        <v>557</v>
      </c>
      <c r="BB109" s="135">
        <f>BB$3</f>
        <v>46190</v>
      </c>
      <c r="BC109" s="136" t="s">
        <v>557</v>
      </c>
      <c r="BD109" s="137" t="s">
        <v>557</v>
      </c>
      <c r="BE109" s="135">
        <f>BE$3</f>
        <v>46191</v>
      </c>
      <c r="BF109" s="136" t="s">
        <v>557</v>
      </c>
      <c r="BG109" s="137" t="s">
        <v>557</v>
      </c>
      <c r="BH109" s="135">
        <f>BH$3</f>
        <v>46192</v>
      </c>
      <c r="BI109" s="136" t="s">
        <v>557</v>
      </c>
      <c r="BJ109" s="137" t="s">
        <v>557</v>
      </c>
      <c r="BK109" s="135">
        <f>BK$3</f>
        <v>46193</v>
      </c>
      <c r="BL109" s="136" t="s">
        <v>557</v>
      </c>
      <c r="BM109" s="137" t="s">
        <v>557</v>
      </c>
    </row>
    <row r="110" spans="1:65" outlineLevel="1">
      <c r="A110" s="166" t="str">
        <f>$A$100</f>
        <v>Nguyễn Hải Nam</v>
      </c>
      <c r="B110" s="167" t="str">
        <f>'Bảng 3'!A193</f>
        <v>3.B.HYE.NOXHPH.NX.201</v>
      </c>
      <c r="C110" s="81" t="str">
        <f>IF($B110="","",INDEX('All Bảng'!C:C,MATCH($B110,'All Bảng'!$A:$A,0)))</f>
        <v>Quản lý BIM</v>
      </c>
      <c r="D110" s="81" t="str">
        <f>IF($B110="","",INDEX('All Bảng'!D:D,MATCH($B110,'All Bảng'!$A:$A,0)))</f>
        <v>B.HYE.NOXHPH.NX</v>
      </c>
      <c r="E110" s="81" t="str">
        <f>IF($B110="","",INDEX('All Bảng'!E:E,MATCH($B110,'All Bảng'!$A:$A,0)))</f>
        <v>Nhà xe BDX-01</v>
      </c>
      <c r="F110" s="81" t="str">
        <f>IF($B110="","",INDEX('All Bảng'!F:F,MATCH($B110,'All Bảng'!$A:$A,0)))</f>
        <v>KC</v>
      </c>
      <c r="G110" s="81" t="str">
        <f>IF($B110="","",INDEX('All Bảng'!G:G,MATCH($B110,'All Bảng'!$A:$A,0)))</f>
        <v>KSCL mô hình BIM</v>
      </c>
      <c r="H110" s="121"/>
      <c r="I110" s="135"/>
      <c r="J110" s="135">
        <f>J$3</f>
        <v>46174</v>
      </c>
      <c r="K110" s="148" t="s">
        <v>557</v>
      </c>
      <c r="L110" s="163" t="s">
        <v>557</v>
      </c>
      <c r="M110" s="135">
        <f>M$3</f>
        <v>46175</v>
      </c>
      <c r="N110" s="148"/>
      <c r="O110" s="137"/>
      <c r="P110" s="135">
        <f>P$3</f>
        <v>46176</v>
      </c>
      <c r="Q110" s="148" t="s">
        <v>557</v>
      </c>
      <c r="R110" s="137" t="s">
        <v>557</v>
      </c>
      <c r="S110" s="135">
        <f>S$3</f>
        <v>46177</v>
      </c>
      <c r="T110" s="136" t="s">
        <v>557</v>
      </c>
      <c r="U110" s="137" t="s">
        <v>557</v>
      </c>
      <c r="V110" s="135">
        <f>V$3</f>
        <v>46178</v>
      </c>
      <c r="W110" s="136" t="s">
        <v>557</v>
      </c>
      <c r="X110" s="137" t="s">
        <v>557</v>
      </c>
      <c r="Y110" s="135">
        <f>Y$3</f>
        <v>46179</v>
      </c>
      <c r="Z110" s="136" t="s">
        <v>557</v>
      </c>
      <c r="AA110" s="137" t="s">
        <v>557</v>
      </c>
      <c r="AB110" s="135"/>
      <c r="AC110" s="135">
        <f>AC$3</f>
        <v>46181</v>
      </c>
      <c r="AD110" s="136" t="s">
        <v>557</v>
      </c>
      <c r="AE110" s="137" t="s">
        <v>557</v>
      </c>
      <c r="AF110" s="135">
        <f>AF$3</f>
        <v>46182</v>
      </c>
      <c r="AG110" s="136" t="s">
        <v>557</v>
      </c>
      <c r="AH110" s="137" t="s">
        <v>557</v>
      </c>
      <c r="AI110" s="135">
        <f>AI$3</f>
        <v>46183</v>
      </c>
      <c r="AJ110" s="136" t="s">
        <v>557</v>
      </c>
      <c r="AK110" s="137" t="s">
        <v>557</v>
      </c>
      <c r="AL110" s="135">
        <f>AL$3</f>
        <v>46184</v>
      </c>
      <c r="AM110" s="136" t="s">
        <v>557</v>
      </c>
      <c r="AN110" s="137" t="s">
        <v>557</v>
      </c>
      <c r="AO110" s="135">
        <f>AO$3</f>
        <v>46185</v>
      </c>
      <c r="AP110" s="136" t="s">
        <v>557</v>
      </c>
      <c r="AQ110" s="137" t="s">
        <v>557</v>
      </c>
      <c r="AR110" s="135">
        <f>AR$3</f>
        <v>46186</v>
      </c>
      <c r="AS110" s="136" t="s">
        <v>557</v>
      </c>
      <c r="AT110" s="137" t="s">
        <v>557</v>
      </c>
      <c r="AU110" s="135"/>
      <c r="AV110" s="135">
        <f>AV$3</f>
        <v>46188</v>
      </c>
      <c r="AW110" s="148" t="s">
        <v>557</v>
      </c>
      <c r="AX110" s="137" t="s">
        <v>557</v>
      </c>
      <c r="AY110" s="135">
        <f>AY$3</f>
        <v>46189</v>
      </c>
      <c r="AZ110" s="136" t="s">
        <v>557</v>
      </c>
      <c r="BA110" s="137" t="s">
        <v>557</v>
      </c>
      <c r="BB110" s="135">
        <f>BB$3</f>
        <v>46190</v>
      </c>
      <c r="BC110" s="136" t="s">
        <v>557</v>
      </c>
      <c r="BD110" s="137" t="s">
        <v>557</v>
      </c>
      <c r="BE110" s="135">
        <f>BE$3</f>
        <v>46191</v>
      </c>
      <c r="BF110" s="136" t="s">
        <v>557</v>
      </c>
      <c r="BG110" s="137" t="s">
        <v>557</v>
      </c>
      <c r="BH110" s="135">
        <f>BH$3</f>
        <v>46192</v>
      </c>
      <c r="BI110" s="136" t="s">
        <v>557</v>
      </c>
      <c r="BJ110" s="137" t="s">
        <v>557</v>
      </c>
      <c r="BK110" s="135">
        <f>BK$3</f>
        <v>46193</v>
      </c>
      <c r="BL110" s="136" t="s">
        <v>557</v>
      </c>
      <c r="BM110" s="137" t="s">
        <v>557</v>
      </c>
    </row>
    <row r="111" spans="1:65" outlineLevel="1">
      <c r="A111" s="122" t="str">
        <f>$A$100</f>
        <v>Nguyễn Hải Nam</v>
      </c>
      <c r="B111" s="167" t="str">
        <f>'Bảng 3'!A256</f>
        <v>3.B.QNI.HLXHL.VSC.102</v>
      </c>
      <c r="C111" s="81" t="str">
        <f>IF($B111="","",INDEX('All Bảng'!C:C,MATCH($B111,'All Bảng'!$A:$A,0)))</f>
        <v>Quản lý BIM</v>
      </c>
      <c r="D111" s="81" t="str">
        <f>IF($B111="","",INDEX('All Bảng'!D:D,MATCH($B111,'All Bảng'!$A:$A,0)))</f>
        <v>B.QNI.HLXHL.VSC</v>
      </c>
      <c r="E111" s="81" t="str">
        <f>IF($B111="","",INDEX('All Bảng'!E:E,MATCH($B111,'All Bảng'!$A:$A,0)))</f>
        <v>Trường học lô đất PT-01</v>
      </c>
      <c r="F111" s="81" t="str">
        <f>IF($B111="","",INDEX('All Bảng'!F:F,MATCH($B111,'All Bảng'!$A:$A,0)))</f>
        <v>KT</v>
      </c>
      <c r="G111" s="81" t="str">
        <f>IF($B111="","",INDEX('All Bảng'!G:G,MATCH($B111,'All Bảng'!$A:$A,0)))</f>
        <v>KSCL mô hình BIM</v>
      </c>
      <c r="H111" s="121"/>
      <c r="I111" s="135"/>
      <c r="J111" s="135">
        <f>J$3</f>
        <v>46174</v>
      </c>
      <c r="K111" s="148" t="s">
        <v>557</v>
      </c>
      <c r="L111" s="163" t="s">
        <v>557</v>
      </c>
      <c r="M111" s="135">
        <f>M$3</f>
        <v>46175</v>
      </c>
      <c r="N111" s="148" t="s">
        <v>557</v>
      </c>
      <c r="O111" s="137" t="s">
        <v>557</v>
      </c>
      <c r="P111" s="135">
        <f>P$3</f>
        <v>46176</v>
      </c>
      <c r="Q111" s="148" t="s">
        <v>557</v>
      </c>
      <c r="R111" s="137" t="s">
        <v>557</v>
      </c>
      <c r="S111" s="135">
        <f>S$3</f>
        <v>46177</v>
      </c>
      <c r="T111" s="136" t="s">
        <v>557</v>
      </c>
      <c r="U111" s="137" t="s">
        <v>557</v>
      </c>
      <c r="V111" s="135">
        <f>V$3</f>
        <v>46178</v>
      </c>
      <c r="W111" s="136" t="s">
        <v>557</v>
      </c>
      <c r="X111" s="137" t="s">
        <v>557</v>
      </c>
      <c r="Y111" s="135">
        <f>Y$3</f>
        <v>46179</v>
      </c>
      <c r="Z111" s="136" t="s">
        <v>557</v>
      </c>
      <c r="AA111" s="137" t="s">
        <v>557</v>
      </c>
      <c r="AB111" s="135"/>
      <c r="AC111" s="135">
        <f>AC$3</f>
        <v>46181</v>
      </c>
      <c r="AD111" s="136" t="s">
        <v>557</v>
      </c>
      <c r="AE111" s="137" t="s">
        <v>557</v>
      </c>
      <c r="AF111" s="135">
        <f>AF$3</f>
        <v>46182</v>
      </c>
      <c r="AG111" s="136" t="s">
        <v>557</v>
      </c>
      <c r="AH111" s="137" t="s">
        <v>557</v>
      </c>
      <c r="AI111" s="135">
        <f>AI$3</f>
        <v>46183</v>
      </c>
      <c r="AJ111" s="136" t="s">
        <v>557</v>
      </c>
      <c r="AK111" s="137" t="s">
        <v>557</v>
      </c>
      <c r="AL111" s="135">
        <f>AL$3</f>
        <v>46184</v>
      </c>
      <c r="AM111" s="136" t="s">
        <v>557</v>
      </c>
      <c r="AN111" s="137" t="s">
        <v>557</v>
      </c>
      <c r="AO111" s="135">
        <f>AO$3</f>
        <v>46185</v>
      </c>
      <c r="AP111" s="136" t="s">
        <v>557</v>
      </c>
      <c r="AQ111" s="137" t="s">
        <v>557</v>
      </c>
      <c r="AR111" s="135">
        <f>AR$3</f>
        <v>46186</v>
      </c>
      <c r="AS111" s="136" t="s">
        <v>557</v>
      </c>
      <c r="AT111" s="137" t="s">
        <v>557</v>
      </c>
      <c r="AU111" s="135"/>
      <c r="AV111" s="135">
        <f>AV$3</f>
        <v>46188</v>
      </c>
      <c r="AW111" s="148" t="s">
        <v>557</v>
      </c>
      <c r="AX111" s="137" t="s">
        <v>557</v>
      </c>
      <c r="AY111" s="135">
        <f>AY$3</f>
        <v>46189</v>
      </c>
      <c r="AZ111" s="136" t="s">
        <v>557</v>
      </c>
      <c r="BA111" s="137" t="s">
        <v>557</v>
      </c>
      <c r="BB111" s="135">
        <f>BB$3</f>
        <v>46190</v>
      </c>
      <c r="BC111" s="136" t="s">
        <v>557</v>
      </c>
      <c r="BD111" s="137" t="s">
        <v>557</v>
      </c>
      <c r="BE111" s="135">
        <f>BE$3</f>
        <v>46191</v>
      </c>
      <c r="BF111" s="136" t="s">
        <v>557</v>
      </c>
      <c r="BG111" s="137" t="s">
        <v>557</v>
      </c>
      <c r="BH111" s="135">
        <f>BH$3</f>
        <v>46192</v>
      </c>
      <c r="BI111" s="136" t="s">
        <v>557</v>
      </c>
      <c r="BJ111" s="137" t="s">
        <v>557</v>
      </c>
      <c r="BK111" s="135">
        <f>BK$3</f>
        <v>46193</v>
      </c>
      <c r="BL111" s="136" t="s">
        <v>557</v>
      </c>
      <c r="BM111" s="137" t="s">
        <v>557</v>
      </c>
    </row>
    <row r="112" spans="1:65" outlineLevel="1">
      <c r="A112" s="122" t="str">
        <f>$A$100</f>
        <v>Nguyễn Hải Nam</v>
      </c>
      <c r="B112" s="167" t="str">
        <f>'Bảng 3'!A257</f>
        <v>3.B.QNI.HLXHL.VSC.202</v>
      </c>
      <c r="C112" s="81" t="str">
        <f>IF($B112="","",INDEX('All Bảng'!C:C,MATCH($B112,'All Bảng'!$A:$A,0)))</f>
        <v>Quản lý BIM</v>
      </c>
      <c r="D112" s="81" t="str">
        <f>IF($B112="","",INDEX('All Bảng'!D:D,MATCH($B112,'All Bảng'!$A:$A,0)))</f>
        <v>B.QNI.HLXHL.VSC</v>
      </c>
      <c r="E112" s="81" t="str">
        <f>IF($B112="","",INDEX('All Bảng'!E:E,MATCH($B112,'All Bảng'!$A:$A,0)))</f>
        <v>Trường học lô đất PT-01</v>
      </c>
      <c r="F112" s="81" t="str">
        <f>IF($B112="","",INDEX('All Bảng'!F:F,MATCH($B112,'All Bảng'!$A:$A,0)))</f>
        <v>KC</v>
      </c>
      <c r="G112" s="81" t="str">
        <f>IF($B112="","",INDEX('All Bảng'!G:G,MATCH($B112,'All Bảng'!$A:$A,0)))</f>
        <v>KSCL mô hình BIM</v>
      </c>
      <c r="H112" s="121"/>
      <c r="I112" s="135"/>
      <c r="J112" s="135">
        <f>J$3</f>
        <v>46174</v>
      </c>
      <c r="K112" s="148" t="s">
        <v>557</v>
      </c>
      <c r="L112" s="163" t="s">
        <v>557</v>
      </c>
      <c r="M112" s="135">
        <f>M$3</f>
        <v>46175</v>
      </c>
      <c r="N112" s="148" t="s">
        <v>557</v>
      </c>
      <c r="O112" s="137" t="s">
        <v>557</v>
      </c>
      <c r="P112" s="135">
        <f>P$3</f>
        <v>46176</v>
      </c>
      <c r="Q112" s="148" t="s">
        <v>557</v>
      </c>
      <c r="R112" s="137" t="s">
        <v>557</v>
      </c>
      <c r="S112" s="135">
        <f>S$3</f>
        <v>46177</v>
      </c>
      <c r="T112" s="136" t="s">
        <v>557</v>
      </c>
      <c r="U112" s="137" t="s">
        <v>557</v>
      </c>
      <c r="V112" s="135">
        <f>V$3</f>
        <v>46178</v>
      </c>
      <c r="W112" s="136" t="s">
        <v>557</v>
      </c>
      <c r="X112" s="137" t="s">
        <v>557</v>
      </c>
      <c r="Y112" s="135">
        <f>Y$3</f>
        <v>46179</v>
      </c>
      <c r="Z112" s="136" t="s">
        <v>557</v>
      </c>
      <c r="AA112" s="137" t="s">
        <v>557</v>
      </c>
      <c r="AB112" s="135"/>
      <c r="AC112" s="135">
        <f>AC$3</f>
        <v>46181</v>
      </c>
      <c r="AD112" s="136" t="s">
        <v>557</v>
      </c>
      <c r="AE112" s="137" t="s">
        <v>557</v>
      </c>
      <c r="AF112" s="135">
        <f>AF$3</f>
        <v>46182</v>
      </c>
      <c r="AG112" s="136" t="s">
        <v>557</v>
      </c>
      <c r="AH112" s="137" t="s">
        <v>557</v>
      </c>
      <c r="AI112" s="135">
        <f>AI$3</f>
        <v>46183</v>
      </c>
      <c r="AJ112" s="136" t="s">
        <v>557</v>
      </c>
      <c r="AK112" s="137" t="s">
        <v>557</v>
      </c>
      <c r="AL112" s="135">
        <f>AL$3</f>
        <v>46184</v>
      </c>
      <c r="AM112" s="136" t="s">
        <v>557</v>
      </c>
      <c r="AN112" s="137" t="s">
        <v>557</v>
      </c>
      <c r="AO112" s="135">
        <f>AO$3</f>
        <v>46185</v>
      </c>
      <c r="AP112" s="136" t="s">
        <v>557</v>
      </c>
      <c r="AQ112" s="137" t="s">
        <v>557</v>
      </c>
      <c r="AR112" s="135">
        <f>AR$3</f>
        <v>46186</v>
      </c>
      <c r="AS112" s="136" t="s">
        <v>557</v>
      </c>
      <c r="AT112" s="137" t="s">
        <v>557</v>
      </c>
      <c r="AU112" s="135"/>
      <c r="AV112" s="135">
        <f>AV$3</f>
        <v>46188</v>
      </c>
      <c r="AW112" s="148" t="s">
        <v>557</v>
      </c>
      <c r="AX112" s="137" t="s">
        <v>557</v>
      </c>
      <c r="AY112" s="135">
        <f>AY$3</f>
        <v>46189</v>
      </c>
      <c r="AZ112" s="136" t="s">
        <v>557</v>
      </c>
      <c r="BA112" s="137" t="s">
        <v>557</v>
      </c>
      <c r="BB112" s="135">
        <f>BB$3</f>
        <v>46190</v>
      </c>
      <c r="BC112" s="136" t="s">
        <v>557</v>
      </c>
      <c r="BD112" s="137" t="s">
        <v>557</v>
      </c>
      <c r="BE112" s="135">
        <f>BE$3</f>
        <v>46191</v>
      </c>
      <c r="BF112" s="136" t="s">
        <v>557</v>
      </c>
      <c r="BG112" s="137" t="s">
        <v>557</v>
      </c>
      <c r="BH112" s="135">
        <f>BH$3</f>
        <v>46192</v>
      </c>
      <c r="BI112" s="136" t="s">
        <v>557</v>
      </c>
      <c r="BJ112" s="137" t="s">
        <v>557</v>
      </c>
      <c r="BK112" s="135">
        <f>BK$3</f>
        <v>46193</v>
      </c>
      <c r="BL112" s="136" t="s">
        <v>557</v>
      </c>
      <c r="BM112" s="137" t="s">
        <v>557</v>
      </c>
    </row>
    <row r="113" spans="1:65" outlineLevel="1">
      <c r="A113" s="122" t="str">
        <f>$A$100</f>
        <v>Nguyễn Hải Nam</v>
      </c>
      <c r="B113" s="167" t="str">
        <f>'Bảng 3'!A283</f>
        <v>3.N.DSHCMCG.STA.101</v>
      </c>
      <c r="C113" s="81" t="str">
        <f>IF($B113="","",INDEX('All Bảng'!C:C,MATCH($B113,'All Bảng'!$A:$A,0)))</f>
        <v>Quản lý BIM</v>
      </c>
      <c r="D113" s="81" t="str">
        <f>IF($B113="","",INDEX('All Bảng'!D:D,MATCH($B113,'All Bảng'!$A:$A,0)))</f>
        <v>N.DSHCMCG.STA</v>
      </c>
      <c r="E113" s="81" t="str">
        <f>IF($B113="","",INDEX('All Bảng'!E:E,MATCH($B113,'All Bảng'!$A:$A,0)))</f>
        <v>Nhà Ga Bến Thành</v>
      </c>
      <c r="F113" s="81" t="str">
        <f>IF($B113="","",INDEX('All Bảng'!F:F,MATCH($B113,'All Bảng'!$A:$A,0)))</f>
        <v>KT</v>
      </c>
      <c r="G113" s="81" t="str">
        <f>IF($B113="","",INDEX('All Bảng'!G:G,MATCH($B113,'All Bảng'!$A:$A,0)))</f>
        <v>Tạo lập mô hình BIM</v>
      </c>
      <c r="H113" s="121"/>
      <c r="I113" s="135"/>
      <c r="J113" s="135">
        <f>J$3</f>
        <v>46174</v>
      </c>
      <c r="K113" s="148" t="s">
        <v>557</v>
      </c>
      <c r="L113" s="163" t="s">
        <v>557</v>
      </c>
      <c r="M113" s="135">
        <f>M$3</f>
        <v>46175</v>
      </c>
      <c r="N113" s="148" t="s">
        <v>557</v>
      </c>
      <c r="O113" s="137" t="s">
        <v>557</v>
      </c>
      <c r="P113" s="135">
        <f>P$3</f>
        <v>46176</v>
      </c>
      <c r="Q113" s="148" t="s">
        <v>557</v>
      </c>
      <c r="R113" s="137" t="s">
        <v>557</v>
      </c>
      <c r="S113" s="135">
        <f>S$3</f>
        <v>46177</v>
      </c>
      <c r="T113" s="136" t="s">
        <v>557</v>
      </c>
      <c r="U113" s="137" t="s">
        <v>557</v>
      </c>
      <c r="V113" s="135">
        <f>V$3</f>
        <v>46178</v>
      </c>
      <c r="W113" s="136" t="s">
        <v>557</v>
      </c>
      <c r="X113" s="137" t="s">
        <v>557</v>
      </c>
      <c r="Y113" s="135">
        <f>Y$3</f>
        <v>46179</v>
      </c>
      <c r="Z113" s="136" t="s">
        <v>557</v>
      </c>
      <c r="AA113" s="137" t="s">
        <v>557</v>
      </c>
      <c r="AB113" s="135"/>
      <c r="AC113" s="135">
        <f>AC$3</f>
        <v>46181</v>
      </c>
      <c r="AD113" s="136" t="s">
        <v>557</v>
      </c>
      <c r="AE113" s="137" t="s">
        <v>557</v>
      </c>
      <c r="AF113" s="135">
        <f>AF$3</f>
        <v>46182</v>
      </c>
      <c r="AG113" s="136" t="s">
        <v>557</v>
      </c>
      <c r="AH113" s="137" t="s">
        <v>557</v>
      </c>
      <c r="AI113" s="135">
        <f>AI$3</f>
        <v>46183</v>
      </c>
      <c r="AJ113" s="136" t="s">
        <v>557</v>
      </c>
      <c r="AK113" s="137" t="s">
        <v>557</v>
      </c>
      <c r="AL113" s="135">
        <f>AL$3</f>
        <v>46184</v>
      </c>
      <c r="AM113" s="136" t="s">
        <v>557</v>
      </c>
      <c r="AN113" s="137" t="s">
        <v>557</v>
      </c>
      <c r="AO113" s="135">
        <f>AO$3</f>
        <v>46185</v>
      </c>
      <c r="AP113" s="136" t="s">
        <v>557</v>
      </c>
      <c r="AQ113" s="137" t="s">
        <v>557</v>
      </c>
      <c r="AR113" s="135">
        <f>AR$3</f>
        <v>46186</v>
      </c>
      <c r="AS113" s="136" t="s">
        <v>557</v>
      </c>
      <c r="AT113" s="137" t="s">
        <v>557</v>
      </c>
      <c r="AU113" s="135"/>
      <c r="AV113" s="135">
        <f>AV$3</f>
        <v>46188</v>
      </c>
      <c r="AW113" s="148" t="s">
        <v>557</v>
      </c>
      <c r="AX113" s="137" t="s">
        <v>557</v>
      </c>
      <c r="AY113" s="135">
        <f>AY$3</f>
        <v>46189</v>
      </c>
      <c r="AZ113" s="136" t="s">
        <v>557</v>
      </c>
      <c r="BA113" s="137" t="s">
        <v>557</v>
      </c>
      <c r="BB113" s="135">
        <f>BB$3</f>
        <v>46190</v>
      </c>
      <c r="BC113" s="136" t="s">
        <v>557</v>
      </c>
      <c r="BD113" s="137" t="s">
        <v>557</v>
      </c>
      <c r="BE113" s="135">
        <f>BE$3</f>
        <v>46191</v>
      </c>
      <c r="BF113" s="136" t="s">
        <v>557</v>
      </c>
      <c r="BG113" s="137" t="s">
        <v>557</v>
      </c>
      <c r="BH113" s="135">
        <f>BH$3</f>
        <v>46192</v>
      </c>
      <c r="BI113" s="136" t="s">
        <v>557</v>
      </c>
      <c r="BJ113" s="137" t="s">
        <v>557</v>
      </c>
      <c r="BK113" s="135">
        <f>BK$3</f>
        <v>46193</v>
      </c>
      <c r="BL113" s="136" t="s">
        <v>557</v>
      </c>
      <c r="BM113" s="137" t="s">
        <v>557</v>
      </c>
    </row>
    <row r="114" spans="1:65" outlineLevel="1">
      <c r="A114" s="166" t="str">
        <f>$A$100</f>
        <v>Nguyễn Hải Nam</v>
      </c>
      <c r="B114" s="167" t="str">
        <f>'Bảng 3'!A284</f>
        <v>3.N.DSHCMCG.STA.201</v>
      </c>
      <c r="C114" s="81" t="str">
        <f>IF($B114="","",INDEX('All Bảng'!C:C,MATCH($B114,'All Bảng'!$A:$A,0)))</f>
        <v>Quản lý BIM</v>
      </c>
      <c r="D114" s="81" t="str">
        <f>IF($B114="","",INDEX('All Bảng'!D:D,MATCH($B114,'All Bảng'!$A:$A,0)))</f>
        <v>N.DSHCMCG.STA</v>
      </c>
      <c r="E114" s="81" t="str">
        <f>IF($B114="","",INDEX('All Bảng'!E:E,MATCH($B114,'All Bảng'!$A:$A,0)))</f>
        <v>Nhà Ga Bến Thành</v>
      </c>
      <c r="F114" s="81" t="str">
        <f>IF($B114="","",INDEX('All Bảng'!F:F,MATCH($B114,'All Bảng'!$A:$A,0)))</f>
        <v>KC</v>
      </c>
      <c r="G114" s="81" t="str">
        <f>IF($B114="","",INDEX('All Bảng'!G:G,MATCH($B114,'All Bảng'!$A:$A,0)))</f>
        <v>KSCL mô hình BIM</v>
      </c>
      <c r="H114" s="121"/>
      <c r="I114" s="135"/>
      <c r="J114" s="135">
        <f>J$3</f>
        <v>46174</v>
      </c>
      <c r="K114" s="148" t="s">
        <v>557</v>
      </c>
      <c r="L114" s="163" t="s">
        <v>557</v>
      </c>
      <c r="M114" s="135">
        <f>M$3</f>
        <v>46175</v>
      </c>
      <c r="N114" s="148"/>
      <c r="O114" s="137"/>
      <c r="P114" s="135">
        <f>P$3</f>
        <v>46176</v>
      </c>
      <c r="Q114" s="148" t="s">
        <v>557</v>
      </c>
      <c r="R114" s="137" t="s">
        <v>557</v>
      </c>
      <c r="S114" s="135">
        <f>S$3</f>
        <v>46177</v>
      </c>
      <c r="T114" s="136" t="s">
        <v>557</v>
      </c>
      <c r="U114" s="137" t="s">
        <v>557</v>
      </c>
      <c r="V114" s="135">
        <f>V$3</f>
        <v>46178</v>
      </c>
      <c r="W114" s="136" t="s">
        <v>557</v>
      </c>
      <c r="X114" s="137" t="s">
        <v>557</v>
      </c>
      <c r="Y114" s="135">
        <f>Y$3</f>
        <v>46179</v>
      </c>
      <c r="Z114" s="136" t="s">
        <v>557</v>
      </c>
      <c r="AA114" s="137" t="s">
        <v>557</v>
      </c>
      <c r="AB114" s="135"/>
      <c r="AC114" s="135">
        <f>AC$3</f>
        <v>46181</v>
      </c>
      <c r="AD114" s="136" t="s">
        <v>557</v>
      </c>
      <c r="AE114" s="137" t="s">
        <v>557</v>
      </c>
      <c r="AF114" s="135">
        <f>AF$3</f>
        <v>46182</v>
      </c>
      <c r="AG114" s="136" t="s">
        <v>557</v>
      </c>
      <c r="AH114" s="137" t="s">
        <v>557</v>
      </c>
      <c r="AI114" s="135">
        <f>AI$3</f>
        <v>46183</v>
      </c>
      <c r="AJ114" s="136" t="s">
        <v>557</v>
      </c>
      <c r="AK114" s="137" t="s">
        <v>557</v>
      </c>
      <c r="AL114" s="135">
        <f>AL$3</f>
        <v>46184</v>
      </c>
      <c r="AM114" s="136" t="s">
        <v>557</v>
      </c>
      <c r="AN114" s="137" t="s">
        <v>557</v>
      </c>
      <c r="AO114" s="135">
        <f>AO$3</f>
        <v>46185</v>
      </c>
      <c r="AP114" s="136" t="s">
        <v>557</v>
      </c>
      <c r="AQ114" s="137" t="s">
        <v>557</v>
      </c>
      <c r="AR114" s="135">
        <f>AR$3</f>
        <v>46186</v>
      </c>
      <c r="AS114" s="136" t="s">
        <v>557</v>
      </c>
      <c r="AT114" s="137" t="s">
        <v>557</v>
      </c>
      <c r="AU114" s="135"/>
      <c r="AV114" s="135">
        <f>AV$3</f>
        <v>46188</v>
      </c>
      <c r="AW114" s="148" t="s">
        <v>557</v>
      </c>
      <c r="AX114" s="137" t="s">
        <v>557</v>
      </c>
      <c r="AY114" s="135">
        <f>AY$3</f>
        <v>46189</v>
      </c>
      <c r="AZ114" s="136" t="s">
        <v>557</v>
      </c>
      <c r="BA114" s="137" t="s">
        <v>557</v>
      </c>
      <c r="BB114" s="135">
        <f>BB$3</f>
        <v>46190</v>
      </c>
      <c r="BC114" s="136" t="s">
        <v>557</v>
      </c>
      <c r="BD114" s="137" t="s">
        <v>557</v>
      </c>
      <c r="BE114" s="135">
        <f>BE$3</f>
        <v>46191</v>
      </c>
      <c r="BF114" s="136" t="s">
        <v>557</v>
      </c>
      <c r="BG114" s="137" t="s">
        <v>557</v>
      </c>
      <c r="BH114" s="135">
        <f>BH$3</f>
        <v>46192</v>
      </c>
      <c r="BI114" s="136" t="s">
        <v>557</v>
      </c>
      <c r="BJ114" s="137" t="s">
        <v>557</v>
      </c>
      <c r="BK114" s="135">
        <f>BK$3</f>
        <v>46193</v>
      </c>
      <c r="BL114" s="136" t="s">
        <v>557</v>
      </c>
      <c r="BM114" s="137" t="s">
        <v>557</v>
      </c>
    </row>
    <row r="115" spans="1:65" outlineLevel="1">
      <c r="A115" s="122" t="str">
        <f>$A$100</f>
        <v>Nguyễn Hải Nam</v>
      </c>
      <c r="B115" s="167" t="str">
        <f>'Bảng 3'!A357</f>
        <v>3.N.HCM.CGIO.KSMN.103</v>
      </c>
      <c r="C115" s="81" t="str">
        <f>IF($B115="","",INDEX('All Bảng'!C:C,MATCH($B115,'All Bảng'!$A:$A,0)))</f>
        <v>Quản lý BIM</v>
      </c>
      <c r="D115" s="81" t="str">
        <f>IF($B115="","",INDEX('All Bảng'!D:D,MATCH($B115,'All Bảng'!$A:$A,0)))</f>
        <v>N.HCM.CGIO.KSMN</v>
      </c>
      <c r="E115" s="81" t="str">
        <f>IF($B115="","",INDEX('All Bảng'!E:E,MATCH($B115,'All Bảng'!$A:$A,0)))</f>
        <v>Lô A5.01.02, mẫu M4G, M9, M9G</v>
      </c>
      <c r="F115" s="81" t="str">
        <f>IF($B115="","",INDEX('All Bảng'!F:F,MATCH($B115,'All Bảng'!$A:$A,0)))</f>
        <v>KT</v>
      </c>
      <c r="G115" s="81" t="str">
        <f>IF($B115="","",INDEX('All Bảng'!G:G,MATCH($B115,'All Bảng'!$A:$A,0)))</f>
        <v>KSCL mô hình BIM</v>
      </c>
      <c r="H115" s="121"/>
      <c r="I115" s="135"/>
      <c r="J115" s="135">
        <f>J$3</f>
        <v>46174</v>
      </c>
      <c r="K115" s="148" t="s">
        <v>557</v>
      </c>
      <c r="L115" s="163" t="s">
        <v>557</v>
      </c>
      <c r="M115" s="135">
        <f>M$3</f>
        <v>46175</v>
      </c>
      <c r="N115" s="148" t="s">
        <v>557</v>
      </c>
      <c r="O115" s="137" t="s">
        <v>557</v>
      </c>
      <c r="P115" s="135">
        <f>P$3</f>
        <v>46176</v>
      </c>
      <c r="Q115" s="148" t="s">
        <v>557</v>
      </c>
      <c r="R115" s="137" t="s">
        <v>557</v>
      </c>
      <c r="S115" s="135">
        <f>S$3</f>
        <v>46177</v>
      </c>
      <c r="T115" s="136" t="s">
        <v>557</v>
      </c>
      <c r="U115" s="137" t="s">
        <v>557</v>
      </c>
      <c r="V115" s="135">
        <f>V$3</f>
        <v>46178</v>
      </c>
      <c r="W115" s="136" t="s">
        <v>557</v>
      </c>
      <c r="X115" s="137" t="s">
        <v>557</v>
      </c>
      <c r="Y115" s="135">
        <f>Y$3</f>
        <v>46179</v>
      </c>
      <c r="Z115" s="136" t="s">
        <v>557</v>
      </c>
      <c r="AA115" s="137" t="s">
        <v>557</v>
      </c>
      <c r="AB115" s="135"/>
      <c r="AC115" s="135">
        <f>AC$3</f>
        <v>46181</v>
      </c>
      <c r="AD115" s="136" t="s">
        <v>557</v>
      </c>
      <c r="AE115" s="137" t="s">
        <v>557</v>
      </c>
      <c r="AF115" s="135">
        <f>AF$3</f>
        <v>46182</v>
      </c>
      <c r="AG115" s="136" t="s">
        <v>557</v>
      </c>
      <c r="AH115" s="137" t="s">
        <v>557</v>
      </c>
      <c r="AI115" s="135">
        <f>AI$3</f>
        <v>46183</v>
      </c>
      <c r="AJ115" s="136" t="s">
        <v>557</v>
      </c>
      <c r="AK115" s="137" t="s">
        <v>557</v>
      </c>
      <c r="AL115" s="135">
        <f>AL$3</f>
        <v>46184</v>
      </c>
      <c r="AM115" s="136" t="s">
        <v>557</v>
      </c>
      <c r="AN115" s="137" t="s">
        <v>557</v>
      </c>
      <c r="AO115" s="135">
        <f>AO$3</f>
        <v>46185</v>
      </c>
      <c r="AP115" s="136" t="s">
        <v>557</v>
      </c>
      <c r="AQ115" s="137" t="s">
        <v>557</v>
      </c>
      <c r="AR115" s="135">
        <f>AR$3</f>
        <v>46186</v>
      </c>
      <c r="AS115" s="136" t="s">
        <v>557</v>
      </c>
      <c r="AT115" s="137" t="s">
        <v>557</v>
      </c>
      <c r="AU115" s="135"/>
      <c r="AV115" s="135">
        <f>AV$3</f>
        <v>46188</v>
      </c>
      <c r="AW115" s="148" t="s">
        <v>557</v>
      </c>
      <c r="AX115" s="137" t="s">
        <v>557</v>
      </c>
      <c r="AY115" s="135">
        <f>AY$3</f>
        <v>46189</v>
      </c>
      <c r="AZ115" s="136" t="s">
        <v>557</v>
      </c>
      <c r="BA115" s="137" t="s">
        <v>557</v>
      </c>
      <c r="BB115" s="135">
        <f>BB$3</f>
        <v>46190</v>
      </c>
      <c r="BC115" s="136" t="s">
        <v>557</v>
      </c>
      <c r="BD115" s="137" t="s">
        <v>557</v>
      </c>
      <c r="BE115" s="135">
        <f>BE$3</f>
        <v>46191</v>
      </c>
      <c r="BF115" s="136" t="s">
        <v>557</v>
      </c>
      <c r="BG115" s="137" t="s">
        <v>557</v>
      </c>
      <c r="BH115" s="135">
        <f>BH$3</f>
        <v>46192</v>
      </c>
      <c r="BI115" s="136" t="s">
        <v>557</v>
      </c>
      <c r="BJ115" s="137" t="s">
        <v>557</v>
      </c>
      <c r="BK115" s="135">
        <f>BK$3</f>
        <v>46193</v>
      </c>
      <c r="BL115" s="136" t="s">
        <v>557</v>
      </c>
      <c r="BM115" s="137" t="s">
        <v>557</v>
      </c>
    </row>
    <row r="116" spans="1:65" outlineLevel="1">
      <c r="A116" s="166" t="str">
        <f>$A$100</f>
        <v>Nguyễn Hải Nam</v>
      </c>
      <c r="B116" s="167" t="str">
        <f>'Bảng 3'!A359</f>
        <v>3.N.HCM.CGIO.KSMN.202</v>
      </c>
      <c r="C116" s="81" t="str">
        <f>IF($B116="","",INDEX('All Bảng'!C:C,MATCH($B116,'All Bảng'!$A:$A,0)))</f>
        <v>Quản lý BIM</v>
      </c>
      <c r="D116" s="81" t="str">
        <f>IF($B116="","",INDEX('All Bảng'!D:D,MATCH($B116,'All Bảng'!$A:$A,0)))</f>
        <v>N.HCM.CGIO.KSMN</v>
      </c>
      <c r="E116" s="81" t="str">
        <f>IF($B116="","",INDEX('All Bảng'!E:E,MATCH($B116,'All Bảng'!$A:$A,0)))</f>
        <v>Lô A5.01.02, mẫu M4G, M9, M9G</v>
      </c>
      <c r="F116" s="81" t="str">
        <f>IF($B116="","",INDEX('All Bảng'!F:F,MATCH($B116,'All Bảng'!$A:$A,0)))</f>
        <v>KC</v>
      </c>
      <c r="G116" s="81" t="str">
        <f>IF($B116="","",INDEX('All Bảng'!G:G,MATCH($B116,'All Bảng'!$A:$A,0)))</f>
        <v>KSCL mô hình BIM</v>
      </c>
      <c r="H116" s="121"/>
      <c r="I116" s="135"/>
      <c r="J116" s="135">
        <f>J$3</f>
        <v>46174</v>
      </c>
      <c r="K116" s="148" t="s">
        <v>557</v>
      </c>
      <c r="L116" s="163" t="s">
        <v>557</v>
      </c>
      <c r="M116" s="135">
        <f>M$3</f>
        <v>46175</v>
      </c>
      <c r="N116" s="148"/>
      <c r="O116" s="137"/>
      <c r="P116" s="135">
        <f>P$3</f>
        <v>46176</v>
      </c>
      <c r="Q116" s="148" t="s">
        <v>557</v>
      </c>
      <c r="R116" s="137" t="s">
        <v>557</v>
      </c>
      <c r="S116" s="135">
        <f>S$3</f>
        <v>46177</v>
      </c>
      <c r="T116" s="136" t="s">
        <v>557</v>
      </c>
      <c r="U116" s="137" t="s">
        <v>557</v>
      </c>
      <c r="V116" s="135">
        <f>V$3</f>
        <v>46178</v>
      </c>
      <c r="W116" s="136" t="s">
        <v>557</v>
      </c>
      <c r="X116" s="137" t="s">
        <v>557</v>
      </c>
      <c r="Y116" s="135">
        <f>Y$3</f>
        <v>46179</v>
      </c>
      <c r="Z116" s="136" t="s">
        <v>557</v>
      </c>
      <c r="AA116" s="137" t="s">
        <v>557</v>
      </c>
      <c r="AB116" s="135"/>
      <c r="AC116" s="135">
        <f>AC$3</f>
        <v>46181</v>
      </c>
      <c r="AD116" s="136" t="s">
        <v>557</v>
      </c>
      <c r="AE116" s="137" t="s">
        <v>557</v>
      </c>
      <c r="AF116" s="135">
        <f>AF$3</f>
        <v>46182</v>
      </c>
      <c r="AG116" s="136" t="s">
        <v>557</v>
      </c>
      <c r="AH116" s="137" t="s">
        <v>557</v>
      </c>
      <c r="AI116" s="135">
        <f>AI$3</f>
        <v>46183</v>
      </c>
      <c r="AJ116" s="136" t="s">
        <v>557</v>
      </c>
      <c r="AK116" s="137" t="s">
        <v>557</v>
      </c>
      <c r="AL116" s="135">
        <f>AL$3</f>
        <v>46184</v>
      </c>
      <c r="AM116" s="136" t="s">
        <v>557</v>
      </c>
      <c r="AN116" s="137" t="s">
        <v>557</v>
      </c>
      <c r="AO116" s="135">
        <f>AO$3</f>
        <v>46185</v>
      </c>
      <c r="AP116" s="136" t="s">
        <v>557</v>
      </c>
      <c r="AQ116" s="137" t="s">
        <v>557</v>
      </c>
      <c r="AR116" s="135">
        <f>AR$3</f>
        <v>46186</v>
      </c>
      <c r="AS116" s="136" t="s">
        <v>557</v>
      </c>
      <c r="AT116" s="137" t="s">
        <v>557</v>
      </c>
      <c r="AU116" s="135"/>
      <c r="AV116" s="135">
        <f>AV$3</f>
        <v>46188</v>
      </c>
      <c r="AW116" s="148" t="s">
        <v>557</v>
      </c>
      <c r="AX116" s="137" t="s">
        <v>557</v>
      </c>
      <c r="AY116" s="135">
        <f>AY$3</f>
        <v>46189</v>
      </c>
      <c r="AZ116" s="136" t="s">
        <v>557</v>
      </c>
      <c r="BA116" s="137" t="s">
        <v>557</v>
      </c>
      <c r="BB116" s="135">
        <f>BB$3</f>
        <v>46190</v>
      </c>
      <c r="BC116" s="136" t="s">
        <v>557</v>
      </c>
      <c r="BD116" s="137" t="s">
        <v>557</v>
      </c>
      <c r="BE116" s="135">
        <f>BE$3</f>
        <v>46191</v>
      </c>
      <c r="BF116" s="136" t="s">
        <v>557</v>
      </c>
      <c r="BG116" s="137" t="s">
        <v>557</v>
      </c>
      <c r="BH116" s="135">
        <f>BH$3</f>
        <v>46192</v>
      </c>
      <c r="BI116" s="136" t="s">
        <v>557</v>
      </c>
      <c r="BJ116" s="137" t="s">
        <v>557</v>
      </c>
      <c r="BK116" s="135">
        <f>BK$3</f>
        <v>46193</v>
      </c>
      <c r="BL116" s="136" t="s">
        <v>557</v>
      </c>
      <c r="BM116" s="137" t="s">
        <v>557</v>
      </c>
    </row>
    <row r="117" spans="1:65" outlineLevel="1">
      <c r="A117" s="122" t="str">
        <f>$A$100</f>
        <v>Nguyễn Hải Nam</v>
      </c>
      <c r="B117" s="167" t="str">
        <f>'Bảng 3'!A389</f>
        <v>3.N.HCM.CGIO.VSC.101</v>
      </c>
      <c r="C117" s="81" t="str">
        <f>IF($B117="","",INDEX('All Bảng'!C:C,MATCH($B117,'All Bảng'!$A:$A,0)))</f>
        <v>Quản lý BIM</v>
      </c>
      <c r="D117" s="81" t="str">
        <f>IF($B117="","",INDEX('All Bảng'!D:D,MATCH($B117,'All Bảng'!$A:$A,0)))</f>
        <v>N.HCM.CGIO.VSC</v>
      </c>
      <c r="E117" s="81" t="str">
        <f>IF($B117="","",INDEX('All Bảng'!E:E,MATCH($B117,'All Bảng'!$A:$A,0)))</f>
        <v>Trường MN tại lô đất A4-13</v>
      </c>
      <c r="F117" s="81" t="str">
        <f>IF($B117="","",INDEX('All Bảng'!F:F,MATCH($B117,'All Bảng'!$A:$A,0)))</f>
        <v>KT</v>
      </c>
      <c r="G117" s="81" t="str">
        <f>IF($B117="","",INDEX('All Bảng'!G:G,MATCH($B117,'All Bảng'!$A:$A,0)))</f>
        <v>KSCL mô hình BIM</v>
      </c>
      <c r="H117" s="121"/>
      <c r="I117" s="135"/>
      <c r="J117" s="135">
        <f>J$3</f>
        <v>46174</v>
      </c>
      <c r="K117" s="148" t="s">
        <v>557</v>
      </c>
      <c r="L117" s="163" t="s">
        <v>557</v>
      </c>
      <c r="M117" s="135">
        <f>M$3</f>
        <v>46175</v>
      </c>
      <c r="N117" s="148" t="s">
        <v>557</v>
      </c>
      <c r="O117" s="137" t="s">
        <v>557</v>
      </c>
      <c r="P117" s="135">
        <f>P$3</f>
        <v>46176</v>
      </c>
      <c r="Q117" s="148" t="s">
        <v>557</v>
      </c>
      <c r="R117" s="137" t="s">
        <v>557</v>
      </c>
      <c r="S117" s="135">
        <f>S$3</f>
        <v>46177</v>
      </c>
      <c r="T117" s="136" t="s">
        <v>557</v>
      </c>
      <c r="U117" s="137" t="s">
        <v>557</v>
      </c>
      <c r="V117" s="135">
        <f>V$3</f>
        <v>46178</v>
      </c>
      <c r="W117" s="136" t="s">
        <v>557</v>
      </c>
      <c r="X117" s="137" t="s">
        <v>557</v>
      </c>
      <c r="Y117" s="135">
        <f>Y$3</f>
        <v>46179</v>
      </c>
      <c r="Z117" s="136" t="s">
        <v>557</v>
      </c>
      <c r="AA117" s="137" t="s">
        <v>557</v>
      </c>
      <c r="AB117" s="135"/>
      <c r="AC117" s="135">
        <f>AC$3</f>
        <v>46181</v>
      </c>
      <c r="AD117" s="136" t="s">
        <v>557</v>
      </c>
      <c r="AE117" s="137" t="s">
        <v>557</v>
      </c>
      <c r="AF117" s="135">
        <f>AF$3</f>
        <v>46182</v>
      </c>
      <c r="AG117" s="136" t="s">
        <v>557</v>
      </c>
      <c r="AH117" s="137" t="s">
        <v>557</v>
      </c>
      <c r="AI117" s="135">
        <f>AI$3</f>
        <v>46183</v>
      </c>
      <c r="AJ117" s="136" t="s">
        <v>557</v>
      </c>
      <c r="AK117" s="137" t="s">
        <v>557</v>
      </c>
      <c r="AL117" s="135">
        <f>AL$3</f>
        <v>46184</v>
      </c>
      <c r="AM117" s="136" t="s">
        <v>557</v>
      </c>
      <c r="AN117" s="137" t="s">
        <v>557</v>
      </c>
      <c r="AO117" s="135">
        <f>AO$3</f>
        <v>46185</v>
      </c>
      <c r="AP117" s="136" t="s">
        <v>557</v>
      </c>
      <c r="AQ117" s="137" t="s">
        <v>557</v>
      </c>
      <c r="AR117" s="135">
        <f>AR$3</f>
        <v>46186</v>
      </c>
      <c r="AS117" s="136" t="s">
        <v>557</v>
      </c>
      <c r="AT117" s="137" t="s">
        <v>557</v>
      </c>
      <c r="AU117" s="135"/>
      <c r="AV117" s="135">
        <f>AV$3</f>
        <v>46188</v>
      </c>
      <c r="AW117" s="148" t="s">
        <v>557</v>
      </c>
      <c r="AX117" s="137" t="s">
        <v>557</v>
      </c>
      <c r="AY117" s="135">
        <f>AY$3</f>
        <v>46189</v>
      </c>
      <c r="AZ117" s="136" t="s">
        <v>557</v>
      </c>
      <c r="BA117" s="137" t="s">
        <v>557</v>
      </c>
      <c r="BB117" s="135">
        <f>BB$3</f>
        <v>46190</v>
      </c>
      <c r="BC117" s="136" t="s">
        <v>557</v>
      </c>
      <c r="BD117" s="137" t="s">
        <v>557</v>
      </c>
      <c r="BE117" s="135">
        <f>BE$3</f>
        <v>46191</v>
      </c>
      <c r="BF117" s="136" t="s">
        <v>557</v>
      </c>
      <c r="BG117" s="137" t="s">
        <v>557</v>
      </c>
      <c r="BH117" s="135">
        <f>BH$3</f>
        <v>46192</v>
      </c>
      <c r="BI117" s="136" t="s">
        <v>557</v>
      </c>
      <c r="BJ117" s="137" t="s">
        <v>557</v>
      </c>
      <c r="BK117" s="135">
        <f>BK$3</f>
        <v>46193</v>
      </c>
      <c r="BL117" s="136" t="s">
        <v>557</v>
      </c>
      <c r="BM117" s="137" t="s">
        <v>557</v>
      </c>
    </row>
    <row r="118" spans="1:65" outlineLevel="1">
      <c r="A118" s="166" t="str">
        <f>$A$100</f>
        <v>Nguyễn Hải Nam</v>
      </c>
      <c r="B118" s="167" t="str">
        <f>'Bảng 3'!A390</f>
        <v>3.N.HCM.CGIO.VSC.201</v>
      </c>
      <c r="C118" s="81" t="str">
        <f>IF($B118="","",INDEX('All Bảng'!C:C,MATCH($B118,'All Bảng'!$A:$A,0)))</f>
        <v>Quản lý BIM</v>
      </c>
      <c r="D118" s="81" t="str">
        <f>IF($B118="","",INDEX('All Bảng'!D:D,MATCH($B118,'All Bảng'!$A:$A,0)))</f>
        <v>N.HCM.CGIO.VSC</v>
      </c>
      <c r="E118" s="81" t="str">
        <f>IF($B118="","",INDEX('All Bảng'!E:E,MATCH($B118,'All Bảng'!$A:$A,0)))</f>
        <v>Trường MN tại lô đất A4-13</v>
      </c>
      <c r="F118" s="81" t="str">
        <f>IF($B118="","",INDEX('All Bảng'!F:F,MATCH($B118,'All Bảng'!$A:$A,0)))</f>
        <v>KC</v>
      </c>
      <c r="G118" s="81" t="str">
        <f>IF($B118="","",INDEX('All Bảng'!G:G,MATCH($B118,'All Bảng'!$A:$A,0)))</f>
        <v>KSCL mô hình BIM</v>
      </c>
      <c r="H118" s="121"/>
      <c r="I118" s="135"/>
      <c r="J118" s="135">
        <f>J$3</f>
        <v>46174</v>
      </c>
      <c r="K118" s="148" t="s">
        <v>557</v>
      </c>
      <c r="L118" s="163" t="s">
        <v>557</v>
      </c>
      <c r="M118" s="135">
        <f>M$3</f>
        <v>46175</v>
      </c>
      <c r="N118" s="148"/>
      <c r="O118" s="137"/>
      <c r="P118" s="135">
        <f>P$3</f>
        <v>46176</v>
      </c>
      <c r="Q118" s="148" t="s">
        <v>557</v>
      </c>
      <c r="R118" s="137" t="s">
        <v>557</v>
      </c>
      <c r="S118" s="135">
        <f>S$3</f>
        <v>46177</v>
      </c>
      <c r="T118" s="136" t="s">
        <v>557</v>
      </c>
      <c r="U118" s="137" t="s">
        <v>557</v>
      </c>
      <c r="V118" s="135">
        <f>V$3</f>
        <v>46178</v>
      </c>
      <c r="W118" s="136" t="s">
        <v>557</v>
      </c>
      <c r="X118" s="137" t="s">
        <v>557</v>
      </c>
      <c r="Y118" s="135">
        <f>Y$3</f>
        <v>46179</v>
      </c>
      <c r="Z118" s="136" t="s">
        <v>557</v>
      </c>
      <c r="AA118" s="137" t="s">
        <v>557</v>
      </c>
      <c r="AB118" s="135"/>
      <c r="AC118" s="135">
        <f>AC$3</f>
        <v>46181</v>
      </c>
      <c r="AD118" s="136" t="s">
        <v>557</v>
      </c>
      <c r="AE118" s="137" t="s">
        <v>557</v>
      </c>
      <c r="AF118" s="135">
        <f>AF$3</f>
        <v>46182</v>
      </c>
      <c r="AG118" s="136" t="s">
        <v>557</v>
      </c>
      <c r="AH118" s="137" t="s">
        <v>557</v>
      </c>
      <c r="AI118" s="135">
        <f>AI$3</f>
        <v>46183</v>
      </c>
      <c r="AJ118" s="136" t="s">
        <v>557</v>
      </c>
      <c r="AK118" s="137" t="s">
        <v>557</v>
      </c>
      <c r="AL118" s="135">
        <f>AL$3</f>
        <v>46184</v>
      </c>
      <c r="AM118" s="136" t="s">
        <v>557</v>
      </c>
      <c r="AN118" s="137" t="s">
        <v>557</v>
      </c>
      <c r="AO118" s="135">
        <f>AO$3</f>
        <v>46185</v>
      </c>
      <c r="AP118" s="136" t="s">
        <v>557</v>
      </c>
      <c r="AQ118" s="137" t="s">
        <v>557</v>
      </c>
      <c r="AR118" s="135">
        <f>AR$3</f>
        <v>46186</v>
      </c>
      <c r="AS118" s="136" t="s">
        <v>557</v>
      </c>
      <c r="AT118" s="137" t="s">
        <v>557</v>
      </c>
      <c r="AU118" s="135"/>
      <c r="AV118" s="135">
        <f>AV$3</f>
        <v>46188</v>
      </c>
      <c r="AW118" s="148" t="s">
        <v>557</v>
      </c>
      <c r="AX118" s="137" t="s">
        <v>557</v>
      </c>
      <c r="AY118" s="135">
        <f>AY$3</f>
        <v>46189</v>
      </c>
      <c r="AZ118" s="136" t="s">
        <v>557</v>
      </c>
      <c r="BA118" s="137" t="s">
        <v>557</v>
      </c>
      <c r="BB118" s="135">
        <f>BB$3</f>
        <v>46190</v>
      </c>
      <c r="BC118" s="136" t="s">
        <v>557</v>
      </c>
      <c r="BD118" s="137" t="s">
        <v>557</v>
      </c>
      <c r="BE118" s="135">
        <f>BE$3</f>
        <v>46191</v>
      </c>
      <c r="BF118" s="136" t="s">
        <v>557</v>
      </c>
      <c r="BG118" s="137" t="s">
        <v>557</v>
      </c>
      <c r="BH118" s="135">
        <f>BH$3</f>
        <v>46192</v>
      </c>
      <c r="BI118" s="136" t="s">
        <v>557</v>
      </c>
      <c r="BJ118" s="137" t="s">
        <v>557</v>
      </c>
      <c r="BK118" s="135">
        <f>BK$3</f>
        <v>46193</v>
      </c>
      <c r="BL118" s="136" t="s">
        <v>557</v>
      </c>
      <c r="BM118" s="137" t="s">
        <v>557</v>
      </c>
    </row>
    <row r="119" spans="1:65" outlineLevel="1">
      <c r="A119" s="122" t="str">
        <f>$A$100</f>
        <v>Nguyễn Hải Nam</v>
      </c>
      <c r="B119" s="167" t="str">
        <f>'Bảng 3'!A396</f>
        <v>3.N.HCM.CGIO.VSC.102</v>
      </c>
      <c r="C119" s="81" t="str">
        <f>IF($B119="","",INDEX('All Bảng'!C:C,MATCH($B119,'All Bảng'!$A:$A,0)))</f>
        <v>Quản lý BIM</v>
      </c>
      <c r="D119" s="81" t="str">
        <f>IF($B119="","",INDEX('All Bảng'!D:D,MATCH($B119,'All Bảng'!$A:$A,0)))</f>
        <v>N.HCM.CGIO.VSC</v>
      </c>
      <c r="E119" s="81" t="str">
        <f>IF($B119="","",INDEX('All Bảng'!E:E,MATCH($B119,'All Bảng'!$A:$A,0)))</f>
        <v>Trường TH tại lô đất A4-15</v>
      </c>
      <c r="F119" s="81" t="str">
        <f>IF($B119="","",INDEX('All Bảng'!F:F,MATCH($B119,'All Bảng'!$A:$A,0)))</f>
        <v>KT</v>
      </c>
      <c r="G119" s="81" t="str">
        <f>IF($B119="","",INDEX('All Bảng'!G:G,MATCH($B119,'All Bảng'!$A:$A,0)))</f>
        <v>KSCL mô hình BIM</v>
      </c>
      <c r="H119" s="121"/>
      <c r="I119" s="135"/>
      <c r="J119" s="135">
        <f>J$3</f>
        <v>46174</v>
      </c>
      <c r="K119" s="148" t="s">
        <v>557</v>
      </c>
      <c r="L119" s="163" t="s">
        <v>557</v>
      </c>
      <c r="M119" s="135">
        <f>M$3</f>
        <v>46175</v>
      </c>
      <c r="N119" s="148" t="s">
        <v>557</v>
      </c>
      <c r="O119" s="137" t="s">
        <v>557</v>
      </c>
      <c r="P119" s="135">
        <f>P$3</f>
        <v>46176</v>
      </c>
      <c r="Q119" s="148" t="s">
        <v>557</v>
      </c>
      <c r="R119" s="137" t="s">
        <v>557</v>
      </c>
      <c r="S119" s="135">
        <f>S$3</f>
        <v>46177</v>
      </c>
      <c r="T119" s="136" t="s">
        <v>557</v>
      </c>
      <c r="U119" s="137" t="s">
        <v>557</v>
      </c>
      <c r="V119" s="135">
        <f>V$3</f>
        <v>46178</v>
      </c>
      <c r="W119" s="136" t="s">
        <v>557</v>
      </c>
      <c r="X119" s="137" t="s">
        <v>557</v>
      </c>
      <c r="Y119" s="135">
        <f>Y$3</f>
        <v>46179</v>
      </c>
      <c r="Z119" s="136" t="s">
        <v>557</v>
      </c>
      <c r="AA119" s="137" t="s">
        <v>557</v>
      </c>
      <c r="AB119" s="135"/>
      <c r="AC119" s="135">
        <f>AC$3</f>
        <v>46181</v>
      </c>
      <c r="AD119" s="136" t="s">
        <v>557</v>
      </c>
      <c r="AE119" s="137" t="s">
        <v>557</v>
      </c>
      <c r="AF119" s="135">
        <f>AF$3</f>
        <v>46182</v>
      </c>
      <c r="AG119" s="136" t="s">
        <v>557</v>
      </c>
      <c r="AH119" s="137" t="s">
        <v>557</v>
      </c>
      <c r="AI119" s="135">
        <f>AI$3</f>
        <v>46183</v>
      </c>
      <c r="AJ119" s="136" t="s">
        <v>557</v>
      </c>
      <c r="AK119" s="137" t="s">
        <v>557</v>
      </c>
      <c r="AL119" s="135">
        <f>AL$3</f>
        <v>46184</v>
      </c>
      <c r="AM119" s="136" t="s">
        <v>557</v>
      </c>
      <c r="AN119" s="137" t="s">
        <v>557</v>
      </c>
      <c r="AO119" s="135">
        <f>AO$3</f>
        <v>46185</v>
      </c>
      <c r="AP119" s="136" t="s">
        <v>557</v>
      </c>
      <c r="AQ119" s="137" t="s">
        <v>557</v>
      </c>
      <c r="AR119" s="135">
        <f>AR$3</f>
        <v>46186</v>
      </c>
      <c r="AS119" s="136" t="s">
        <v>557</v>
      </c>
      <c r="AT119" s="137" t="s">
        <v>557</v>
      </c>
      <c r="AU119" s="135"/>
      <c r="AV119" s="135">
        <f>AV$3</f>
        <v>46188</v>
      </c>
      <c r="AW119" s="148" t="s">
        <v>557</v>
      </c>
      <c r="AX119" s="137" t="s">
        <v>557</v>
      </c>
      <c r="AY119" s="135">
        <f>AY$3</f>
        <v>46189</v>
      </c>
      <c r="AZ119" s="136" t="s">
        <v>557</v>
      </c>
      <c r="BA119" s="137" t="s">
        <v>557</v>
      </c>
      <c r="BB119" s="135">
        <f>BB$3</f>
        <v>46190</v>
      </c>
      <c r="BC119" s="136" t="s">
        <v>557</v>
      </c>
      <c r="BD119" s="137" t="s">
        <v>557</v>
      </c>
      <c r="BE119" s="135">
        <f>BE$3</f>
        <v>46191</v>
      </c>
      <c r="BF119" s="136" t="s">
        <v>557</v>
      </c>
      <c r="BG119" s="137" t="s">
        <v>557</v>
      </c>
      <c r="BH119" s="135">
        <f>BH$3</f>
        <v>46192</v>
      </c>
      <c r="BI119" s="136" t="s">
        <v>557</v>
      </c>
      <c r="BJ119" s="137" t="s">
        <v>557</v>
      </c>
      <c r="BK119" s="135">
        <f>BK$3</f>
        <v>46193</v>
      </c>
      <c r="BL119" s="136" t="s">
        <v>557</v>
      </c>
      <c r="BM119" s="137" t="s">
        <v>557</v>
      </c>
    </row>
    <row r="120" spans="1:65" outlineLevel="1">
      <c r="A120" s="166" t="str">
        <f>$A$100</f>
        <v>Nguyễn Hải Nam</v>
      </c>
      <c r="B120" s="167" t="str">
        <f>'Bảng 3'!A397</f>
        <v>3.N.HCM.CGIO.VSC.202</v>
      </c>
      <c r="C120" s="81" t="str">
        <f>IF($B120="","",INDEX('All Bảng'!C:C,MATCH($B120,'All Bảng'!$A:$A,0)))</f>
        <v>Quản lý BIM</v>
      </c>
      <c r="D120" s="81" t="str">
        <f>IF($B120="","",INDEX('All Bảng'!D:D,MATCH($B120,'All Bảng'!$A:$A,0)))</f>
        <v>N.HCM.CGIO.VSC</v>
      </c>
      <c r="E120" s="81" t="str">
        <f>IF($B120="","",INDEX('All Bảng'!E:E,MATCH($B120,'All Bảng'!$A:$A,0)))</f>
        <v>Trường TH tại lô đất A4-15</v>
      </c>
      <c r="F120" s="81" t="str">
        <f>IF($B120="","",INDEX('All Bảng'!F:F,MATCH($B120,'All Bảng'!$A:$A,0)))</f>
        <v>KC</v>
      </c>
      <c r="G120" s="81" t="str">
        <f>IF($B120="","",INDEX('All Bảng'!G:G,MATCH($B120,'All Bảng'!$A:$A,0)))</f>
        <v>KSCL mô hình BIM</v>
      </c>
      <c r="H120" s="121"/>
      <c r="I120" s="135"/>
      <c r="J120" s="135">
        <f>J$3</f>
        <v>46174</v>
      </c>
      <c r="K120" s="148" t="s">
        <v>557</v>
      </c>
      <c r="L120" s="163" t="s">
        <v>557</v>
      </c>
      <c r="M120" s="135">
        <f>M$3</f>
        <v>46175</v>
      </c>
      <c r="N120" s="148"/>
      <c r="O120" s="137"/>
      <c r="P120" s="135">
        <f>P$3</f>
        <v>46176</v>
      </c>
      <c r="Q120" s="148" t="s">
        <v>557</v>
      </c>
      <c r="R120" s="137" t="s">
        <v>557</v>
      </c>
      <c r="S120" s="135">
        <f>S$3</f>
        <v>46177</v>
      </c>
      <c r="T120" s="136" t="s">
        <v>557</v>
      </c>
      <c r="U120" s="137" t="s">
        <v>557</v>
      </c>
      <c r="V120" s="135">
        <f>V$3</f>
        <v>46178</v>
      </c>
      <c r="W120" s="136" t="s">
        <v>557</v>
      </c>
      <c r="X120" s="137" t="s">
        <v>557</v>
      </c>
      <c r="Y120" s="135">
        <f>Y$3</f>
        <v>46179</v>
      </c>
      <c r="Z120" s="136" t="s">
        <v>557</v>
      </c>
      <c r="AA120" s="137" t="s">
        <v>557</v>
      </c>
      <c r="AB120" s="135"/>
      <c r="AC120" s="135">
        <f>AC$3</f>
        <v>46181</v>
      </c>
      <c r="AD120" s="136" t="s">
        <v>557</v>
      </c>
      <c r="AE120" s="137" t="s">
        <v>557</v>
      </c>
      <c r="AF120" s="135">
        <f>AF$3</f>
        <v>46182</v>
      </c>
      <c r="AG120" s="136" t="s">
        <v>557</v>
      </c>
      <c r="AH120" s="137" t="s">
        <v>557</v>
      </c>
      <c r="AI120" s="135">
        <f>AI$3</f>
        <v>46183</v>
      </c>
      <c r="AJ120" s="136" t="s">
        <v>557</v>
      </c>
      <c r="AK120" s="137" t="s">
        <v>557</v>
      </c>
      <c r="AL120" s="135">
        <f>AL$3</f>
        <v>46184</v>
      </c>
      <c r="AM120" s="136" t="s">
        <v>557</v>
      </c>
      <c r="AN120" s="137" t="s">
        <v>557</v>
      </c>
      <c r="AO120" s="135">
        <f>AO$3</f>
        <v>46185</v>
      </c>
      <c r="AP120" s="136" t="s">
        <v>557</v>
      </c>
      <c r="AQ120" s="137" t="s">
        <v>557</v>
      </c>
      <c r="AR120" s="135">
        <f>AR$3</f>
        <v>46186</v>
      </c>
      <c r="AS120" s="136" t="s">
        <v>557</v>
      </c>
      <c r="AT120" s="137" t="s">
        <v>557</v>
      </c>
      <c r="AU120" s="135"/>
      <c r="AV120" s="135">
        <f>AV$3</f>
        <v>46188</v>
      </c>
      <c r="AW120" s="148" t="s">
        <v>557</v>
      </c>
      <c r="AX120" s="137" t="s">
        <v>557</v>
      </c>
      <c r="AY120" s="135">
        <f>AY$3</f>
        <v>46189</v>
      </c>
      <c r="AZ120" s="136" t="s">
        <v>557</v>
      </c>
      <c r="BA120" s="137" t="s">
        <v>557</v>
      </c>
      <c r="BB120" s="135">
        <f>BB$3</f>
        <v>46190</v>
      </c>
      <c r="BC120" s="136" t="s">
        <v>557</v>
      </c>
      <c r="BD120" s="137" t="s">
        <v>557</v>
      </c>
      <c r="BE120" s="135">
        <f>BE$3</f>
        <v>46191</v>
      </c>
      <c r="BF120" s="136" t="s">
        <v>557</v>
      </c>
      <c r="BG120" s="137" t="s">
        <v>557</v>
      </c>
      <c r="BH120" s="135">
        <f>BH$3</f>
        <v>46192</v>
      </c>
      <c r="BI120" s="136" t="s">
        <v>557</v>
      </c>
      <c r="BJ120" s="137" t="s">
        <v>557</v>
      </c>
      <c r="BK120" s="135">
        <f>BK$3</f>
        <v>46193</v>
      </c>
      <c r="BL120" s="136" t="s">
        <v>557</v>
      </c>
      <c r="BM120" s="137" t="s">
        <v>557</v>
      </c>
    </row>
    <row r="121" spans="1:65" outlineLevel="1">
      <c r="A121" s="122" t="str">
        <f>$A$100</f>
        <v>Nguyễn Hải Nam</v>
      </c>
      <c r="B121" s="167" t="str">
        <f>'Bảng 3'!A403</f>
        <v>3.N.HCM.CGIO.VSC.103</v>
      </c>
      <c r="C121" s="81" t="str">
        <f>IF($B121="","",INDEX('All Bảng'!C:C,MATCH($B121,'All Bảng'!$A:$A,0)))</f>
        <v>Quản lý BIM</v>
      </c>
      <c r="D121" s="81" t="str">
        <f>IF($B121="","",INDEX('All Bảng'!D:D,MATCH($B121,'All Bảng'!$A:$A,0)))</f>
        <v>N.HCM.CGIO.VSC</v>
      </c>
      <c r="E121" s="81" t="str">
        <f>IF($B121="","",INDEX('All Bảng'!E:E,MATCH($B121,'All Bảng'!$A:$A,0)))</f>
        <v>Trường THCS tại lô đất A4-16</v>
      </c>
      <c r="F121" s="81" t="str">
        <f>IF($B121="","",INDEX('All Bảng'!F:F,MATCH($B121,'All Bảng'!$A:$A,0)))</f>
        <v>KT</v>
      </c>
      <c r="G121" s="81" t="str">
        <f>IF($B121="","",INDEX('All Bảng'!G:G,MATCH($B121,'All Bảng'!$A:$A,0)))</f>
        <v>KSCL mô hình BIM</v>
      </c>
      <c r="H121" s="121"/>
      <c r="I121" s="135"/>
      <c r="J121" s="135">
        <f>J$3</f>
        <v>46174</v>
      </c>
      <c r="K121" s="148" t="s">
        <v>557</v>
      </c>
      <c r="L121" s="163" t="s">
        <v>557</v>
      </c>
      <c r="M121" s="135">
        <f>M$3</f>
        <v>46175</v>
      </c>
      <c r="N121" s="148" t="s">
        <v>557</v>
      </c>
      <c r="O121" s="137" t="s">
        <v>557</v>
      </c>
      <c r="P121" s="135">
        <f>P$3</f>
        <v>46176</v>
      </c>
      <c r="Q121" s="148" t="s">
        <v>557</v>
      </c>
      <c r="R121" s="137" t="s">
        <v>557</v>
      </c>
      <c r="S121" s="135">
        <f>S$3</f>
        <v>46177</v>
      </c>
      <c r="T121" s="136" t="s">
        <v>557</v>
      </c>
      <c r="U121" s="137" t="s">
        <v>557</v>
      </c>
      <c r="V121" s="135">
        <f>V$3</f>
        <v>46178</v>
      </c>
      <c r="W121" s="136" t="s">
        <v>557</v>
      </c>
      <c r="X121" s="137" t="s">
        <v>557</v>
      </c>
      <c r="Y121" s="135">
        <f>Y$3</f>
        <v>46179</v>
      </c>
      <c r="Z121" s="136" t="s">
        <v>557</v>
      </c>
      <c r="AA121" s="137" t="s">
        <v>557</v>
      </c>
      <c r="AB121" s="135"/>
      <c r="AC121" s="135">
        <f>AC$3</f>
        <v>46181</v>
      </c>
      <c r="AD121" s="136" t="s">
        <v>557</v>
      </c>
      <c r="AE121" s="137" t="s">
        <v>557</v>
      </c>
      <c r="AF121" s="135">
        <f>AF$3</f>
        <v>46182</v>
      </c>
      <c r="AG121" s="136" t="s">
        <v>557</v>
      </c>
      <c r="AH121" s="137" t="s">
        <v>557</v>
      </c>
      <c r="AI121" s="135">
        <f>AI$3</f>
        <v>46183</v>
      </c>
      <c r="AJ121" s="136" t="s">
        <v>557</v>
      </c>
      <c r="AK121" s="137" t="s">
        <v>557</v>
      </c>
      <c r="AL121" s="135">
        <f>AL$3</f>
        <v>46184</v>
      </c>
      <c r="AM121" s="136" t="s">
        <v>557</v>
      </c>
      <c r="AN121" s="137" t="s">
        <v>557</v>
      </c>
      <c r="AO121" s="135">
        <f>AO$3</f>
        <v>46185</v>
      </c>
      <c r="AP121" s="136" t="s">
        <v>557</v>
      </c>
      <c r="AQ121" s="137" t="s">
        <v>557</v>
      </c>
      <c r="AR121" s="135">
        <f>AR$3</f>
        <v>46186</v>
      </c>
      <c r="AS121" s="136" t="s">
        <v>557</v>
      </c>
      <c r="AT121" s="137" t="s">
        <v>557</v>
      </c>
      <c r="AU121" s="135"/>
      <c r="AV121" s="135">
        <f>AV$3</f>
        <v>46188</v>
      </c>
      <c r="AW121" s="148" t="s">
        <v>557</v>
      </c>
      <c r="AX121" s="137" t="s">
        <v>557</v>
      </c>
      <c r="AY121" s="135">
        <f>AY$3</f>
        <v>46189</v>
      </c>
      <c r="AZ121" s="136" t="s">
        <v>557</v>
      </c>
      <c r="BA121" s="137" t="s">
        <v>557</v>
      </c>
      <c r="BB121" s="135">
        <f>BB$3</f>
        <v>46190</v>
      </c>
      <c r="BC121" s="136" t="s">
        <v>557</v>
      </c>
      <c r="BD121" s="137" t="s">
        <v>557</v>
      </c>
      <c r="BE121" s="135">
        <f>BE$3</f>
        <v>46191</v>
      </c>
      <c r="BF121" s="136" t="s">
        <v>557</v>
      </c>
      <c r="BG121" s="137" t="s">
        <v>557</v>
      </c>
      <c r="BH121" s="135">
        <f>BH$3</f>
        <v>46192</v>
      </c>
      <c r="BI121" s="136" t="s">
        <v>557</v>
      </c>
      <c r="BJ121" s="137" t="s">
        <v>557</v>
      </c>
      <c r="BK121" s="135">
        <f>BK$3</f>
        <v>46193</v>
      </c>
      <c r="BL121" s="136" t="s">
        <v>557</v>
      </c>
      <c r="BM121" s="137" t="s">
        <v>557</v>
      </c>
    </row>
    <row r="122" spans="1:65" outlineLevel="1">
      <c r="A122" s="166" t="str">
        <f>$A$100</f>
        <v>Nguyễn Hải Nam</v>
      </c>
      <c r="B122" s="167" t="str">
        <f>'Bảng 3'!A404</f>
        <v>3.N.HCM.CGIO.VSC.203</v>
      </c>
      <c r="C122" s="81" t="str">
        <f>IF($B122="","",INDEX('All Bảng'!C:C,MATCH($B122,'All Bảng'!$A:$A,0)))</f>
        <v>Quản lý BIM</v>
      </c>
      <c r="D122" s="81" t="str">
        <f>IF($B122="","",INDEX('All Bảng'!D:D,MATCH($B122,'All Bảng'!$A:$A,0)))</f>
        <v>N.HCM.CGIO.VSC</v>
      </c>
      <c r="E122" s="81" t="str">
        <f>IF($B122="","",INDEX('All Bảng'!E:E,MATCH($B122,'All Bảng'!$A:$A,0)))</f>
        <v>Trường THCS tại lô đất A4-16</v>
      </c>
      <c r="F122" s="81" t="str">
        <f>IF($B122="","",INDEX('All Bảng'!F:F,MATCH($B122,'All Bảng'!$A:$A,0)))</f>
        <v>KC</v>
      </c>
      <c r="G122" s="81" t="str">
        <f>IF($B122="","",INDEX('All Bảng'!G:G,MATCH($B122,'All Bảng'!$A:$A,0)))</f>
        <v>KSCL mô hình BIM</v>
      </c>
      <c r="H122" s="121"/>
      <c r="I122" s="135"/>
      <c r="J122" s="135">
        <f>J$3</f>
        <v>46174</v>
      </c>
      <c r="K122" s="148" t="s">
        <v>557</v>
      </c>
      <c r="L122" s="163" t="s">
        <v>557</v>
      </c>
      <c r="M122" s="135">
        <f>M$3</f>
        <v>46175</v>
      </c>
      <c r="N122" s="148"/>
      <c r="O122" s="137"/>
      <c r="P122" s="135">
        <f>P$3</f>
        <v>46176</v>
      </c>
      <c r="Q122" s="148" t="s">
        <v>557</v>
      </c>
      <c r="R122" s="137" t="s">
        <v>557</v>
      </c>
      <c r="S122" s="135">
        <f>S$3</f>
        <v>46177</v>
      </c>
      <c r="T122" s="136" t="s">
        <v>557</v>
      </c>
      <c r="U122" s="137" t="s">
        <v>557</v>
      </c>
      <c r="V122" s="135">
        <f>V$3</f>
        <v>46178</v>
      </c>
      <c r="W122" s="136" t="s">
        <v>557</v>
      </c>
      <c r="X122" s="137" t="s">
        <v>557</v>
      </c>
      <c r="Y122" s="135">
        <f>Y$3</f>
        <v>46179</v>
      </c>
      <c r="Z122" s="136" t="s">
        <v>557</v>
      </c>
      <c r="AA122" s="137" t="s">
        <v>557</v>
      </c>
      <c r="AB122" s="135"/>
      <c r="AC122" s="135">
        <f>AC$3</f>
        <v>46181</v>
      </c>
      <c r="AD122" s="136" t="s">
        <v>557</v>
      </c>
      <c r="AE122" s="137" t="s">
        <v>557</v>
      </c>
      <c r="AF122" s="135">
        <f>AF$3</f>
        <v>46182</v>
      </c>
      <c r="AG122" s="136" t="s">
        <v>557</v>
      </c>
      <c r="AH122" s="137" t="s">
        <v>557</v>
      </c>
      <c r="AI122" s="135">
        <f>AI$3</f>
        <v>46183</v>
      </c>
      <c r="AJ122" s="136" t="s">
        <v>557</v>
      </c>
      <c r="AK122" s="137" t="s">
        <v>557</v>
      </c>
      <c r="AL122" s="135">
        <f>AL$3</f>
        <v>46184</v>
      </c>
      <c r="AM122" s="136" t="s">
        <v>557</v>
      </c>
      <c r="AN122" s="137" t="s">
        <v>557</v>
      </c>
      <c r="AO122" s="135">
        <f>AO$3</f>
        <v>46185</v>
      </c>
      <c r="AP122" s="136" t="s">
        <v>557</v>
      </c>
      <c r="AQ122" s="137" t="s">
        <v>557</v>
      </c>
      <c r="AR122" s="135">
        <f>AR$3</f>
        <v>46186</v>
      </c>
      <c r="AS122" s="136" t="s">
        <v>557</v>
      </c>
      <c r="AT122" s="137" t="s">
        <v>557</v>
      </c>
      <c r="AU122" s="135"/>
      <c r="AV122" s="135">
        <f>AV$3</f>
        <v>46188</v>
      </c>
      <c r="AW122" s="148" t="s">
        <v>557</v>
      </c>
      <c r="AX122" s="137" t="s">
        <v>557</v>
      </c>
      <c r="AY122" s="135">
        <f>AY$3</f>
        <v>46189</v>
      </c>
      <c r="AZ122" s="136" t="s">
        <v>557</v>
      </c>
      <c r="BA122" s="137" t="s">
        <v>557</v>
      </c>
      <c r="BB122" s="135">
        <f>BB$3</f>
        <v>46190</v>
      </c>
      <c r="BC122" s="136" t="s">
        <v>557</v>
      </c>
      <c r="BD122" s="137" t="s">
        <v>557</v>
      </c>
      <c r="BE122" s="135">
        <f>BE$3</f>
        <v>46191</v>
      </c>
      <c r="BF122" s="136" t="s">
        <v>557</v>
      </c>
      <c r="BG122" s="137" t="s">
        <v>557</v>
      </c>
      <c r="BH122" s="135">
        <f>BH$3</f>
        <v>46192</v>
      </c>
      <c r="BI122" s="136" t="s">
        <v>557</v>
      </c>
      <c r="BJ122" s="137" t="s">
        <v>557</v>
      </c>
      <c r="BK122" s="135">
        <f>BK$3</f>
        <v>46193</v>
      </c>
      <c r="BL122" s="136" t="s">
        <v>557</v>
      </c>
      <c r="BM122" s="137" t="s">
        <v>557</v>
      </c>
    </row>
    <row r="123" spans="1:65" outlineLevel="1">
      <c r="A123" s="122" t="str">
        <f>$A$100</f>
        <v>Nguyễn Hải Nam</v>
      </c>
      <c r="B123" s="167" t="str">
        <f>'Bảng 3'!A410</f>
        <v>3.N.HCM.CGIO.VSC.104</v>
      </c>
      <c r="C123" s="81" t="str">
        <f>IF($B123="","",INDEX('All Bảng'!C:C,MATCH($B123,'All Bảng'!$A:$A,0)))</f>
        <v>Quản lý BIM</v>
      </c>
      <c r="D123" s="81" t="str">
        <f>IF($B123="","",INDEX('All Bảng'!D:D,MATCH($B123,'All Bảng'!$A:$A,0)))</f>
        <v>N.HCM.CGIO.VSC</v>
      </c>
      <c r="E123" s="81" t="str">
        <f>IF($B123="","",INDEX('All Bảng'!E:E,MATCH($B123,'All Bảng'!$A:$A,0)))</f>
        <v>Trường THPT tại lô đất A4-29</v>
      </c>
      <c r="F123" s="81" t="str">
        <f>IF($B123="","",INDEX('All Bảng'!F:F,MATCH($B123,'All Bảng'!$A:$A,0)))</f>
        <v>KT</v>
      </c>
      <c r="G123" s="81" t="str">
        <f>IF($B123="","",INDEX('All Bảng'!G:G,MATCH($B123,'All Bảng'!$A:$A,0)))</f>
        <v>KSCL mô hình BIM</v>
      </c>
      <c r="H123" s="121"/>
      <c r="I123" s="135"/>
      <c r="J123" s="135">
        <f>J$3</f>
        <v>46174</v>
      </c>
      <c r="K123" s="148" t="s">
        <v>557</v>
      </c>
      <c r="L123" s="163" t="s">
        <v>557</v>
      </c>
      <c r="M123" s="135">
        <f>M$3</f>
        <v>46175</v>
      </c>
      <c r="N123" s="148" t="s">
        <v>557</v>
      </c>
      <c r="O123" s="137" t="s">
        <v>557</v>
      </c>
      <c r="P123" s="135">
        <f>P$3</f>
        <v>46176</v>
      </c>
      <c r="Q123" s="148" t="s">
        <v>557</v>
      </c>
      <c r="R123" s="137" t="s">
        <v>557</v>
      </c>
      <c r="S123" s="135">
        <f>S$3</f>
        <v>46177</v>
      </c>
      <c r="T123" s="136" t="s">
        <v>557</v>
      </c>
      <c r="U123" s="137" t="s">
        <v>557</v>
      </c>
      <c r="V123" s="135">
        <f>V$3</f>
        <v>46178</v>
      </c>
      <c r="W123" s="136" t="s">
        <v>557</v>
      </c>
      <c r="X123" s="137" t="s">
        <v>557</v>
      </c>
      <c r="Y123" s="135">
        <f>Y$3</f>
        <v>46179</v>
      </c>
      <c r="Z123" s="136" t="s">
        <v>557</v>
      </c>
      <c r="AA123" s="137" t="s">
        <v>557</v>
      </c>
      <c r="AB123" s="135"/>
      <c r="AC123" s="135">
        <f>AC$3</f>
        <v>46181</v>
      </c>
      <c r="AD123" s="136" t="s">
        <v>557</v>
      </c>
      <c r="AE123" s="137" t="s">
        <v>557</v>
      </c>
      <c r="AF123" s="135">
        <f>AF$3</f>
        <v>46182</v>
      </c>
      <c r="AG123" s="136" t="s">
        <v>557</v>
      </c>
      <c r="AH123" s="137" t="s">
        <v>557</v>
      </c>
      <c r="AI123" s="135">
        <f>AI$3</f>
        <v>46183</v>
      </c>
      <c r="AJ123" s="136" t="s">
        <v>557</v>
      </c>
      <c r="AK123" s="137" t="s">
        <v>557</v>
      </c>
      <c r="AL123" s="135">
        <f>AL$3</f>
        <v>46184</v>
      </c>
      <c r="AM123" s="136" t="s">
        <v>557</v>
      </c>
      <c r="AN123" s="137" t="s">
        <v>557</v>
      </c>
      <c r="AO123" s="135">
        <f>AO$3</f>
        <v>46185</v>
      </c>
      <c r="AP123" s="136" t="s">
        <v>557</v>
      </c>
      <c r="AQ123" s="137" t="s">
        <v>557</v>
      </c>
      <c r="AR123" s="135">
        <f>AR$3</f>
        <v>46186</v>
      </c>
      <c r="AS123" s="136" t="s">
        <v>557</v>
      </c>
      <c r="AT123" s="137" t="s">
        <v>557</v>
      </c>
      <c r="AU123" s="135"/>
      <c r="AV123" s="135">
        <f>AV$3</f>
        <v>46188</v>
      </c>
      <c r="AW123" s="148" t="s">
        <v>557</v>
      </c>
      <c r="AX123" s="137" t="s">
        <v>557</v>
      </c>
      <c r="AY123" s="135">
        <f>AY$3</f>
        <v>46189</v>
      </c>
      <c r="AZ123" s="136" t="s">
        <v>557</v>
      </c>
      <c r="BA123" s="137" t="s">
        <v>557</v>
      </c>
      <c r="BB123" s="135">
        <f>BB$3</f>
        <v>46190</v>
      </c>
      <c r="BC123" s="136" t="s">
        <v>557</v>
      </c>
      <c r="BD123" s="137" t="s">
        <v>557</v>
      </c>
      <c r="BE123" s="135">
        <f>BE$3</f>
        <v>46191</v>
      </c>
      <c r="BF123" s="136" t="s">
        <v>557</v>
      </c>
      <c r="BG123" s="137" t="s">
        <v>557</v>
      </c>
      <c r="BH123" s="135">
        <f>BH$3</f>
        <v>46192</v>
      </c>
      <c r="BI123" s="136" t="s">
        <v>557</v>
      </c>
      <c r="BJ123" s="137" t="s">
        <v>557</v>
      </c>
      <c r="BK123" s="135">
        <f>BK$3</f>
        <v>46193</v>
      </c>
      <c r="BL123" s="136" t="s">
        <v>557</v>
      </c>
      <c r="BM123" s="137" t="s">
        <v>557</v>
      </c>
    </row>
    <row r="124" spans="1:65" outlineLevel="1">
      <c r="A124" s="166" t="str">
        <f>$A$100</f>
        <v>Nguyễn Hải Nam</v>
      </c>
      <c r="B124" s="167" t="str">
        <f>'Bảng 3'!A411</f>
        <v>3.N.HCM.CGIO.VSC.204</v>
      </c>
      <c r="C124" s="81" t="str">
        <f>IF($B124="","",INDEX('All Bảng'!C:C,MATCH($B124,'All Bảng'!$A:$A,0)))</f>
        <v>Quản lý BIM</v>
      </c>
      <c r="D124" s="81" t="str">
        <f>IF($B124="","",INDEX('All Bảng'!D:D,MATCH($B124,'All Bảng'!$A:$A,0)))</f>
        <v>N.HCM.CGIO.VSC</v>
      </c>
      <c r="E124" s="81" t="str">
        <f>IF($B124="","",INDEX('All Bảng'!E:E,MATCH($B124,'All Bảng'!$A:$A,0)))</f>
        <v>Trường THPT tại lô đất A4-29</v>
      </c>
      <c r="F124" s="81" t="str">
        <f>IF($B124="","",INDEX('All Bảng'!F:F,MATCH($B124,'All Bảng'!$A:$A,0)))</f>
        <v>KC</v>
      </c>
      <c r="G124" s="81" t="str">
        <f>IF($B124="","",INDEX('All Bảng'!G:G,MATCH($B124,'All Bảng'!$A:$A,0)))</f>
        <v>KSCL mô hình BIM</v>
      </c>
      <c r="H124" s="121"/>
      <c r="I124" s="135"/>
      <c r="J124" s="135">
        <f>J$3</f>
        <v>46174</v>
      </c>
      <c r="K124" s="148" t="s">
        <v>557</v>
      </c>
      <c r="L124" s="163" t="s">
        <v>557</v>
      </c>
      <c r="M124" s="135">
        <f>M$3</f>
        <v>46175</v>
      </c>
      <c r="N124" s="148"/>
      <c r="O124" s="137"/>
      <c r="P124" s="135">
        <f>P$3</f>
        <v>46176</v>
      </c>
      <c r="Q124" s="148" t="s">
        <v>557</v>
      </c>
      <c r="R124" s="137" t="s">
        <v>557</v>
      </c>
      <c r="S124" s="135">
        <f>S$3</f>
        <v>46177</v>
      </c>
      <c r="T124" s="136" t="s">
        <v>557</v>
      </c>
      <c r="U124" s="137" t="s">
        <v>557</v>
      </c>
      <c r="V124" s="135">
        <f>V$3</f>
        <v>46178</v>
      </c>
      <c r="W124" s="136" t="s">
        <v>557</v>
      </c>
      <c r="X124" s="137" t="s">
        <v>557</v>
      </c>
      <c r="Y124" s="135">
        <f>Y$3</f>
        <v>46179</v>
      </c>
      <c r="Z124" s="136" t="s">
        <v>557</v>
      </c>
      <c r="AA124" s="137" t="s">
        <v>557</v>
      </c>
      <c r="AB124" s="135"/>
      <c r="AC124" s="135">
        <f>AC$3</f>
        <v>46181</v>
      </c>
      <c r="AD124" s="136" t="s">
        <v>557</v>
      </c>
      <c r="AE124" s="137" t="s">
        <v>557</v>
      </c>
      <c r="AF124" s="135">
        <f>AF$3</f>
        <v>46182</v>
      </c>
      <c r="AG124" s="136" t="s">
        <v>557</v>
      </c>
      <c r="AH124" s="137" t="s">
        <v>557</v>
      </c>
      <c r="AI124" s="135">
        <f>AI$3</f>
        <v>46183</v>
      </c>
      <c r="AJ124" s="136" t="s">
        <v>557</v>
      </c>
      <c r="AK124" s="137" t="s">
        <v>557</v>
      </c>
      <c r="AL124" s="135">
        <f>AL$3</f>
        <v>46184</v>
      </c>
      <c r="AM124" s="136" t="s">
        <v>557</v>
      </c>
      <c r="AN124" s="137" t="s">
        <v>557</v>
      </c>
      <c r="AO124" s="135">
        <f>AO$3</f>
        <v>46185</v>
      </c>
      <c r="AP124" s="136" t="s">
        <v>557</v>
      </c>
      <c r="AQ124" s="137" t="s">
        <v>557</v>
      </c>
      <c r="AR124" s="135">
        <f>AR$3</f>
        <v>46186</v>
      </c>
      <c r="AS124" s="136" t="s">
        <v>557</v>
      </c>
      <c r="AT124" s="137" t="s">
        <v>557</v>
      </c>
      <c r="AU124" s="135"/>
      <c r="AV124" s="135">
        <f>AV$3</f>
        <v>46188</v>
      </c>
      <c r="AW124" s="148" t="s">
        <v>557</v>
      </c>
      <c r="AX124" s="137" t="s">
        <v>557</v>
      </c>
      <c r="AY124" s="135">
        <f>AY$3</f>
        <v>46189</v>
      </c>
      <c r="AZ124" s="136" t="s">
        <v>557</v>
      </c>
      <c r="BA124" s="137" t="s">
        <v>557</v>
      </c>
      <c r="BB124" s="135">
        <f>BB$3</f>
        <v>46190</v>
      </c>
      <c r="BC124" s="136" t="s">
        <v>557</v>
      </c>
      <c r="BD124" s="137" t="s">
        <v>557</v>
      </c>
      <c r="BE124" s="135">
        <f>BE$3</f>
        <v>46191</v>
      </c>
      <c r="BF124" s="136" t="s">
        <v>557</v>
      </c>
      <c r="BG124" s="137" t="s">
        <v>557</v>
      </c>
      <c r="BH124" s="135">
        <f>BH$3</f>
        <v>46192</v>
      </c>
      <c r="BI124" s="136" t="s">
        <v>557</v>
      </c>
      <c r="BJ124" s="137" t="s">
        <v>557</v>
      </c>
      <c r="BK124" s="135">
        <f>BK$3</f>
        <v>46193</v>
      </c>
      <c r="BL124" s="136" t="s">
        <v>557</v>
      </c>
      <c r="BM124" s="137" t="s">
        <v>557</v>
      </c>
    </row>
    <row r="125" spans="1:65" outlineLevel="1">
      <c r="A125" s="166" t="str">
        <f>$A$100</f>
        <v>Nguyễn Hải Nam</v>
      </c>
      <c r="B125" s="167" t="str">
        <f>'Bảng 3'!A436</f>
        <v>3.N.TNI.HNLA.VSC.101</v>
      </c>
      <c r="C125" s="81" t="str">
        <f>IF($B125="","",INDEX('All Bảng'!C:C,MATCH($B125,'All Bảng'!$A:$A,0)))</f>
        <v>Quản lý BIM</v>
      </c>
      <c r="D125" s="81" t="str">
        <f>IF($B125="","",INDEX('All Bảng'!D:D,MATCH($B125,'All Bảng'!$A:$A,0)))</f>
        <v>N.TNI.HNLA.VSC</v>
      </c>
      <c r="E125" s="81" t="str">
        <f>IF($B125="","",INDEX('All Bảng'!E:E,MATCH($B125,'All Bảng'!$A:$A,0)))</f>
        <v>Trường PTLC lô THCS-01</v>
      </c>
      <c r="F125" s="81" t="str">
        <f>IF($B125="","",INDEX('All Bảng'!F:F,MATCH($B125,'All Bảng'!$A:$A,0)))</f>
        <v>KT</v>
      </c>
      <c r="G125" s="81" t="str">
        <f>IF($B125="","",INDEX('All Bảng'!G:G,MATCH($B125,'All Bảng'!$A:$A,0)))</f>
        <v>KSCL mô hình BIM</v>
      </c>
      <c r="H125" s="121"/>
      <c r="I125" s="135"/>
      <c r="J125" s="135">
        <f>J$3</f>
        <v>46174</v>
      </c>
      <c r="K125" s="148" t="s">
        <v>557</v>
      </c>
      <c r="L125" s="163" t="s">
        <v>557</v>
      </c>
      <c r="M125" s="135">
        <f>M$3</f>
        <v>46175</v>
      </c>
      <c r="N125" s="148"/>
      <c r="O125" s="137"/>
      <c r="P125" s="135">
        <f>P$3</f>
        <v>46176</v>
      </c>
      <c r="Q125" s="148" t="s">
        <v>557</v>
      </c>
      <c r="R125" s="137" t="s">
        <v>557</v>
      </c>
      <c r="S125" s="135">
        <f>S$3</f>
        <v>46177</v>
      </c>
      <c r="T125" s="136" t="s">
        <v>557</v>
      </c>
      <c r="U125" s="137" t="s">
        <v>557</v>
      </c>
      <c r="V125" s="135">
        <f>V$3</f>
        <v>46178</v>
      </c>
      <c r="W125" s="136" t="s">
        <v>557</v>
      </c>
      <c r="X125" s="137" t="s">
        <v>557</v>
      </c>
      <c r="Y125" s="135">
        <f>Y$3</f>
        <v>46179</v>
      </c>
      <c r="Z125" s="136" t="s">
        <v>557</v>
      </c>
      <c r="AA125" s="137" t="s">
        <v>557</v>
      </c>
      <c r="AB125" s="135"/>
      <c r="AC125" s="135">
        <f>AC$3</f>
        <v>46181</v>
      </c>
      <c r="AD125" s="136" t="s">
        <v>557</v>
      </c>
      <c r="AE125" s="137" t="s">
        <v>557</v>
      </c>
      <c r="AF125" s="135">
        <f>AF$3</f>
        <v>46182</v>
      </c>
      <c r="AG125" s="136" t="s">
        <v>557</v>
      </c>
      <c r="AH125" s="137" t="s">
        <v>557</v>
      </c>
      <c r="AI125" s="135">
        <f>AI$3</f>
        <v>46183</v>
      </c>
      <c r="AJ125" s="136" t="s">
        <v>557</v>
      </c>
      <c r="AK125" s="137" t="s">
        <v>557</v>
      </c>
      <c r="AL125" s="135">
        <f>AL$3</f>
        <v>46184</v>
      </c>
      <c r="AM125" s="136" t="s">
        <v>557</v>
      </c>
      <c r="AN125" s="137" t="s">
        <v>557</v>
      </c>
      <c r="AO125" s="135">
        <f>AO$3</f>
        <v>46185</v>
      </c>
      <c r="AP125" s="136" t="s">
        <v>557</v>
      </c>
      <c r="AQ125" s="137" t="s">
        <v>557</v>
      </c>
      <c r="AR125" s="135">
        <f>AR$3</f>
        <v>46186</v>
      </c>
      <c r="AS125" s="136" t="s">
        <v>557</v>
      </c>
      <c r="AT125" s="137" t="s">
        <v>557</v>
      </c>
      <c r="AU125" s="135"/>
      <c r="AV125" s="135">
        <f>AV$3</f>
        <v>46188</v>
      </c>
      <c r="AW125" s="148" t="s">
        <v>557</v>
      </c>
      <c r="AX125" s="137" t="s">
        <v>557</v>
      </c>
      <c r="AY125" s="135">
        <f>AY$3</f>
        <v>46189</v>
      </c>
      <c r="AZ125" s="136" t="s">
        <v>557</v>
      </c>
      <c r="BA125" s="137" t="s">
        <v>557</v>
      </c>
      <c r="BB125" s="135">
        <f>BB$3</f>
        <v>46190</v>
      </c>
      <c r="BC125" s="136" t="s">
        <v>557</v>
      </c>
      <c r="BD125" s="137" t="s">
        <v>557</v>
      </c>
      <c r="BE125" s="135">
        <f>BE$3</f>
        <v>46191</v>
      </c>
      <c r="BF125" s="136" t="s">
        <v>557</v>
      </c>
      <c r="BG125" s="137" t="s">
        <v>557</v>
      </c>
      <c r="BH125" s="135">
        <f>BH$3</f>
        <v>46192</v>
      </c>
      <c r="BI125" s="136" t="s">
        <v>557</v>
      </c>
      <c r="BJ125" s="137" t="s">
        <v>557</v>
      </c>
      <c r="BK125" s="135">
        <f>BK$3</f>
        <v>46193</v>
      </c>
      <c r="BL125" s="136" t="s">
        <v>557</v>
      </c>
      <c r="BM125" s="137" t="s">
        <v>557</v>
      </c>
    </row>
    <row r="126" spans="1:65" outlineLevel="1">
      <c r="A126" s="166" t="str">
        <f>$A$100</f>
        <v>Nguyễn Hải Nam</v>
      </c>
      <c r="B126" s="167" t="str">
        <f>'Bảng 3'!A437</f>
        <v>3.N.TNI.HNLA.VSC.201</v>
      </c>
      <c r="C126" s="81" t="str">
        <f>IF($B126="","",INDEX('All Bảng'!C:C,MATCH($B126,'All Bảng'!$A:$A,0)))</f>
        <v>Quản lý BIM</v>
      </c>
      <c r="D126" s="81" t="str">
        <f>IF($B126="","",INDEX('All Bảng'!D:D,MATCH($B126,'All Bảng'!$A:$A,0)))</f>
        <v>N.TNI.HNLA.VSC</v>
      </c>
      <c r="E126" s="81" t="str">
        <f>IF($B126="","",INDEX('All Bảng'!E:E,MATCH($B126,'All Bảng'!$A:$A,0)))</f>
        <v>Trường PTLC lô THCS-01</v>
      </c>
      <c r="F126" s="81" t="str">
        <f>IF($B126="","",INDEX('All Bảng'!F:F,MATCH($B126,'All Bảng'!$A:$A,0)))</f>
        <v>KC</v>
      </c>
      <c r="G126" s="81" t="str">
        <f>IF($B126="","",INDEX('All Bảng'!G:G,MATCH($B126,'All Bảng'!$A:$A,0)))</f>
        <v>KSCL mô hình BIM</v>
      </c>
      <c r="H126" s="121"/>
      <c r="I126" s="135"/>
      <c r="J126" s="135">
        <f>J$3</f>
        <v>46174</v>
      </c>
      <c r="K126" s="148" t="s">
        <v>557</v>
      </c>
      <c r="L126" s="163" t="s">
        <v>557</v>
      </c>
      <c r="M126" s="135">
        <f>M$3</f>
        <v>46175</v>
      </c>
      <c r="N126" s="148"/>
      <c r="O126" s="137"/>
      <c r="P126" s="135">
        <f>P$3</f>
        <v>46176</v>
      </c>
      <c r="Q126" s="148" t="s">
        <v>557</v>
      </c>
      <c r="R126" s="137" t="s">
        <v>557</v>
      </c>
      <c r="S126" s="135">
        <f>S$3</f>
        <v>46177</v>
      </c>
      <c r="T126" s="136" t="s">
        <v>557</v>
      </c>
      <c r="U126" s="137" t="s">
        <v>557</v>
      </c>
      <c r="V126" s="135">
        <f>V$3</f>
        <v>46178</v>
      </c>
      <c r="W126" s="136" t="s">
        <v>557</v>
      </c>
      <c r="X126" s="137" t="s">
        <v>557</v>
      </c>
      <c r="Y126" s="135">
        <f>Y$3</f>
        <v>46179</v>
      </c>
      <c r="Z126" s="136" t="s">
        <v>557</v>
      </c>
      <c r="AA126" s="137" t="s">
        <v>557</v>
      </c>
      <c r="AB126" s="135"/>
      <c r="AC126" s="135">
        <f>AC$3</f>
        <v>46181</v>
      </c>
      <c r="AD126" s="136" t="s">
        <v>557</v>
      </c>
      <c r="AE126" s="137" t="s">
        <v>557</v>
      </c>
      <c r="AF126" s="135">
        <f>AF$3</f>
        <v>46182</v>
      </c>
      <c r="AG126" s="136" t="s">
        <v>557</v>
      </c>
      <c r="AH126" s="137" t="s">
        <v>557</v>
      </c>
      <c r="AI126" s="135">
        <f>AI$3</f>
        <v>46183</v>
      </c>
      <c r="AJ126" s="136" t="s">
        <v>557</v>
      </c>
      <c r="AK126" s="137" t="s">
        <v>557</v>
      </c>
      <c r="AL126" s="135">
        <f>AL$3</f>
        <v>46184</v>
      </c>
      <c r="AM126" s="136" t="s">
        <v>557</v>
      </c>
      <c r="AN126" s="137" t="s">
        <v>557</v>
      </c>
      <c r="AO126" s="135">
        <f>AO$3</f>
        <v>46185</v>
      </c>
      <c r="AP126" s="136" t="s">
        <v>557</v>
      </c>
      <c r="AQ126" s="137" t="s">
        <v>557</v>
      </c>
      <c r="AR126" s="135">
        <f>AR$3</f>
        <v>46186</v>
      </c>
      <c r="AS126" s="136" t="s">
        <v>557</v>
      </c>
      <c r="AT126" s="137" t="s">
        <v>557</v>
      </c>
      <c r="AU126" s="135"/>
      <c r="AV126" s="135">
        <f>AV$3</f>
        <v>46188</v>
      </c>
      <c r="AW126" s="148" t="s">
        <v>557</v>
      </c>
      <c r="AX126" s="137" t="s">
        <v>557</v>
      </c>
      <c r="AY126" s="135">
        <f>AY$3</f>
        <v>46189</v>
      </c>
      <c r="AZ126" s="136" t="s">
        <v>557</v>
      </c>
      <c r="BA126" s="137" t="s">
        <v>557</v>
      </c>
      <c r="BB126" s="135">
        <f>BB$3</f>
        <v>46190</v>
      </c>
      <c r="BC126" s="136" t="s">
        <v>557</v>
      </c>
      <c r="BD126" s="137" t="s">
        <v>557</v>
      </c>
      <c r="BE126" s="135">
        <f>BE$3</f>
        <v>46191</v>
      </c>
      <c r="BF126" s="136" t="s">
        <v>557</v>
      </c>
      <c r="BG126" s="137" t="s">
        <v>557</v>
      </c>
      <c r="BH126" s="135">
        <f>BH$3</f>
        <v>46192</v>
      </c>
      <c r="BI126" s="136" t="s">
        <v>557</v>
      </c>
      <c r="BJ126" s="137" t="s">
        <v>557</v>
      </c>
      <c r="BK126" s="135">
        <f>BK$3</f>
        <v>46193</v>
      </c>
      <c r="BL126" s="136" t="s">
        <v>557</v>
      </c>
      <c r="BM126" s="137" t="s">
        <v>557</v>
      </c>
    </row>
    <row r="127" spans="1:65" outlineLevel="1">
      <c r="A127" s="166" t="str">
        <f>$A$100</f>
        <v>Nguyễn Hải Nam</v>
      </c>
      <c r="B127" s="167" t="str">
        <f>'Bảng 3'!A464</f>
        <v>3.T.KHO.VPNT.KSMN.105</v>
      </c>
      <c r="C127" s="81" t="str">
        <f>IF($B127="","",INDEX('All Bảng'!C:C,MATCH($B127,'All Bảng'!$A:$A,0)))</f>
        <v>Quản lý BIM</v>
      </c>
      <c r="D127" s="81" t="str">
        <f>IF($B127="","",INDEX('All Bảng'!D:D,MATCH($B127,'All Bảng'!$A:$A,0)))</f>
        <v>T.KHO.VPNT.KSMN</v>
      </c>
      <c r="E127" s="81" t="str">
        <f>IF($B127="","",INDEX('All Bảng'!E:E,MATCH($B127,'All Bảng'!$A:$A,0)))</f>
        <v>Mẫu M3</v>
      </c>
      <c r="F127" s="81" t="str">
        <f>IF($B127="","",INDEX('All Bảng'!F:F,MATCH($B127,'All Bảng'!$A:$A,0)))</f>
        <v>KT</v>
      </c>
      <c r="G127" s="81" t="str">
        <f>IF($B127="","",INDEX('All Bảng'!G:G,MATCH($B127,'All Bảng'!$A:$A,0)))</f>
        <v>KSCL mô hình BIM</v>
      </c>
      <c r="H127" s="121"/>
      <c r="I127" s="135"/>
      <c r="J127" s="135">
        <f>J$3</f>
        <v>46174</v>
      </c>
      <c r="K127" s="148" t="s">
        <v>557</v>
      </c>
      <c r="L127" s="163" t="s">
        <v>557</v>
      </c>
      <c r="M127" s="135">
        <f>M$3</f>
        <v>46175</v>
      </c>
      <c r="N127" s="148"/>
      <c r="O127" s="137"/>
      <c r="P127" s="135">
        <f>P$3</f>
        <v>46176</v>
      </c>
      <c r="Q127" s="148" t="s">
        <v>557</v>
      </c>
      <c r="R127" s="137" t="s">
        <v>557</v>
      </c>
      <c r="S127" s="135">
        <f>S$3</f>
        <v>46177</v>
      </c>
      <c r="T127" s="136" t="s">
        <v>557</v>
      </c>
      <c r="U127" s="137" t="s">
        <v>557</v>
      </c>
      <c r="V127" s="135">
        <f>V$3</f>
        <v>46178</v>
      </c>
      <c r="W127" s="136" t="s">
        <v>557</v>
      </c>
      <c r="X127" s="137" t="s">
        <v>557</v>
      </c>
      <c r="Y127" s="135">
        <f>Y$3</f>
        <v>46179</v>
      </c>
      <c r="Z127" s="136" t="s">
        <v>557</v>
      </c>
      <c r="AA127" s="137" t="s">
        <v>557</v>
      </c>
      <c r="AB127" s="135"/>
      <c r="AC127" s="135">
        <f>AC$3</f>
        <v>46181</v>
      </c>
      <c r="AD127" s="136" t="s">
        <v>557</v>
      </c>
      <c r="AE127" s="137" t="s">
        <v>557</v>
      </c>
      <c r="AF127" s="135">
        <f>AF$3</f>
        <v>46182</v>
      </c>
      <c r="AG127" s="136" t="s">
        <v>557</v>
      </c>
      <c r="AH127" s="137" t="s">
        <v>557</v>
      </c>
      <c r="AI127" s="135">
        <f>AI$3</f>
        <v>46183</v>
      </c>
      <c r="AJ127" s="136" t="s">
        <v>557</v>
      </c>
      <c r="AK127" s="137" t="s">
        <v>557</v>
      </c>
      <c r="AL127" s="135">
        <f>AL$3</f>
        <v>46184</v>
      </c>
      <c r="AM127" s="136" t="s">
        <v>557</v>
      </c>
      <c r="AN127" s="137" t="s">
        <v>557</v>
      </c>
      <c r="AO127" s="135">
        <f>AO$3</f>
        <v>46185</v>
      </c>
      <c r="AP127" s="136" t="s">
        <v>557</v>
      </c>
      <c r="AQ127" s="137" t="s">
        <v>557</v>
      </c>
      <c r="AR127" s="135">
        <f>AR$3</f>
        <v>46186</v>
      </c>
      <c r="AS127" s="136" t="s">
        <v>557</v>
      </c>
      <c r="AT127" s="137" t="s">
        <v>557</v>
      </c>
      <c r="AU127" s="135"/>
      <c r="AV127" s="135">
        <f>AV$3</f>
        <v>46188</v>
      </c>
      <c r="AW127" s="148" t="s">
        <v>557</v>
      </c>
      <c r="AX127" s="137" t="s">
        <v>557</v>
      </c>
      <c r="AY127" s="135">
        <f>AY$3</f>
        <v>46189</v>
      </c>
      <c r="AZ127" s="136" t="s">
        <v>557</v>
      </c>
      <c r="BA127" s="137" t="s">
        <v>557</v>
      </c>
      <c r="BB127" s="135">
        <f>BB$3</f>
        <v>46190</v>
      </c>
      <c r="BC127" s="136" t="s">
        <v>557</v>
      </c>
      <c r="BD127" s="137" t="s">
        <v>557</v>
      </c>
      <c r="BE127" s="135">
        <f>BE$3</f>
        <v>46191</v>
      </c>
      <c r="BF127" s="136" t="s">
        <v>557</v>
      </c>
      <c r="BG127" s="137" t="s">
        <v>557</v>
      </c>
      <c r="BH127" s="135">
        <f>BH$3</f>
        <v>46192</v>
      </c>
      <c r="BI127" s="136" t="s">
        <v>557</v>
      </c>
      <c r="BJ127" s="137" t="s">
        <v>557</v>
      </c>
      <c r="BK127" s="135">
        <f>BK$3</f>
        <v>46193</v>
      </c>
      <c r="BL127" s="136" t="s">
        <v>557</v>
      </c>
      <c r="BM127" s="137" t="s">
        <v>557</v>
      </c>
    </row>
    <row r="128" spans="1:65" outlineLevel="1">
      <c r="A128" s="166" t="str">
        <f>$A$100</f>
        <v>Nguyễn Hải Nam</v>
      </c>
      <c r="B128" s="167" t="str">
        <f>'Bảng 3'!A466</f>
        <v>3.T.KHO.VPNT.KSMN.203</v>
      </c>
      <c r="C128" s="81" t="str">
        <f>IF($B128="","",INDEX('All Bảng'!C:C,MATCH($B128,'All Bảng'!$A:$A,0)))</f>
        <v>Quản lý BIM</v>
      </c>
      <c r="D128" s="81" t="str">
        <f>IF($B128="","",INDEX('All Bảng'!D:D,MATCH($B128,'All Bảng'!$A:$A,0)))</f>
        <v>T.KHO.VPNT.KSMN</v>
      </c>
      <c r="E128" s="81" t="str">
        <f>IF($B128="","",INDEX('All Bảng'!E:E,MATCH($B128,'All Bảng'!$A:$A,0)))</f>
        <v>Mẫu M3</v>
      </c>
      <c r="F128" s="81" t="str">
        <f>IF($B128="","",INDEX('All Bảng'!F:F,MATCH($B128,'All Bảng'!$A:$A,0)))</f>
        <v>KC</v>
      </c>
      <c r="G128" s="81" t="str">
        <f>IF($B128="","",INDEX('All Bảng'!G:G,MATCH($B128,'All Bảng'!$A:$A,0)))</f>
        <v>KSCL mô hình BIM</v>
      </c>
      <c r="H128" s="121"/>
      <c r="I128" s="135"/>
      <c r="J128" s="135">
        <f>J$3</f>
        <v>46174</v>
      </c>
      <c r="K128" s="148" t="s">
        <v>557</v>
      </c>
      <c r="L128" s="163" t="s">
        <v>557</v>
      </c>
      <c r="M128" s="135">
        <f>M$3</f>
        <v>46175</v>
      </c>
      <c r="N128" s="148"/>
      <c r="O128" s="137"/>
      <c r="P128" s="135">
        <f>P$3</f>
        <v>46176</v>
      </c>
      <c r="Q128" s="148" t="s">
        <v>557</v>
      </c>
      <c r="R128" s="137" t="s">
        <v>557</v>
      </c>
      <c r="S128" s="135">
        <f>S$3</f>
        <v>46177</v>
      </c>
      <c r="T128" s="136" t="s">
        <v>557</v>
      </c>
      <c r="U128" s="137" t="s">
        <v>557</v>
      </c>
      <c r="V128" s="135">
        <f>V$3</f>
        <v>46178</v>
      </c>
      <c r="W128" s="136" t="s">
        <v>557</v>
      </c>
      <c r="X128" s="137" t="s">
        <v>557</v>
      </c>
      <c r="Y128" s="135">
        <f>Y$3</f>
        <v>46179</v>
      </c>
      <c r="Z128" s="136" t="s">
        <v>557</v>
      </c>
      <c r="AA128" s="137" t="s">
        <v>557</v>
      </c>
      <c r="AB128" s="135"/>
      <c r="AC128" s="135">
        <f>AC$3</f>
        <v>46181</v>
      </c>
      <c r="AD128" s="136" t="s">
        <v>557</v>
      </c>
      <c r="AE128" s="137" t="s">
        <v>557</v>
      </c>
      <c r="AF128" s="135">
        <f>AF$3</f>
        <v>46182</v>
      </c>
      <c r="AG128" s="136" t="s">
        <v>557</v>
      </c>
      <c r="AH128" s="137" t="s">
        <v>557</v>
      </c>
      <c r="AI128" s="135">
        <f>AI$3</f>
        <v>46183</v>
      </c>
      <c r="AJ128" s="136" t="s">
        <v>557</v>
      </c>
      <c r="AK128" s="137" t="s">
        <v>557</v>
      </c>
      <c r="AL128" s="135">
        <f>AL$3</f>
        <v>46184</v>
      </c>
      <c r="AM128" s="136" t="s">
        <v>557</v>
      </c>
      <c r="AN128" s="137" t="s">
        <v>557</v>
      </c>
      <c r="AO128" s="135">
        <f>AO$3</f>
        <v>46185</v>
      </c>
      <c r="AP128" s="136" t="s">
        <v>557</v>
      </c>
      <c r="AQ128" s="137" t="s">
        <v>557</v>
      </c>
      <c r="AR128" s="135">
        <f>AR$3</f>
        <v>46186</v>
      </c>
      <c r="AS128" s="136" t="s">
        <v>557</v>
      </c>
      <c r="AT128" s="137" t="s">
        <v>557</v>
      </c>
      <c r="AU128" s="135"/>
      <c r="AV128" s="135">
        <f>AV$3</f>
        <v>46188</v>
      </c>
      <c r="AW128" s="148" t="s">
        <v>557</v>
      </c>
      <c r="AX128" s="137" t="s">
        <v>557</v>
      </c>
      <c r="AY128" s="135">
        <f>AY$3</f>
        <v>46189</v>
      </c>
      <c r="AZ128" s="136" t="s">
        <v>557</v>
      </c>
      <c r="BA128" s="137" t="s">
        <v>557</v>
      </c>
      <c r="BB128" s="135">
        <f>BB$3</f>
        <v>46190</v>
      </c>
      <c r="BC128" s="136" t="s">
        <v>557</v>
      </c>
      <c r="BD128" s="137" t="s">
        <v>557</v>
      </c>
      <c r="BE128" s="135">
        <f>BE$3</f>
        <v>46191</v>
      </c>
      <c r="BF128" s="136" t="s">
        <v>557</v>
      </c>
      <c r="BG128" s="137" t="s">
        <v>557</v>
      </c>
      <c r="BH128" s="135">
        <f>BH$3</f>
        <v>46192</v>
      </c>
      <c r="BI128" s="136" t="s">
        <v>557</v>
      </c>
      <c r="BJ128" s="137" t="s">
        <v>557</v>
      </c>
      <c r="BK128" s="135">
        <f>BK$3</f>
        <v>46193</v>
      </c>
      <c r="BL128" s="136" t="s">
        <v>557</v>
      </c>
      <c r="BM128" s="137" t="s">
        <v>557</v>
      </c>
    </row>
    <row r="129" spans="1:65" outlineLevel="1">
      <c r="A129" s="166" t="str">
        <f>$A$100</f>
        <v>Nguyễn Hải Nam</v>
      </c>
      <c r="B129" s="28" t="str">
        <f>'Bảng 3'!A588</f>
        <v>3.N.HCM.CGIO.KSMN.107</v>
      </c>
      <c r="C129" s="81" t="str">
        <f>IF($B129="","",INDEX('All Bảng'!C:C,MATCH($B129,'All Bảng'!$A:$A,0)))</f>
        <v>Quản lý BIM</v>
      </c>
      <c r="D129" s="81" t="str">
        <f>IF($B129="","",INDEX('All Bảng'!D:D,MATCH($B129,'All Bảng'!$A:$A,0)))</f>
        <v>N.HCM.CGIO.KSMN</v>
      </c>
      <c r="E129" s="81" t="str">
        <f>IF($B129="","",INDEX('All Bảng'!E:E,MATCH($B129,'All Bảng'!$A:$A,0)))</f>
        <v>Lô A5.01.01, mẫu M1G, M7, M8G</v>
      </c>
      <c r="F129" s="81" t="str">
        <f>IF($B129="","",INDEX('All Bảng'!F:F,MATCH($B129,'All Bảng'!$A:$A,0)))</f>
        <v>KT</v>
      </c>
      <c r="G129" s="81" t="str">
        <f>IF($B129="","",INDEX('All Bảng'!G:G,MATCH($B129,'All Bảng'!$A:$A,0)))</f>
        <v>Tạo lập thư viện</v>
      </c>
      <c r="H129" s="121"/>
      <c r="I129" s="135"/>
      <c r="J129" s="135">
        <f>J$3</f>
        <v>46174</v>
      </c>
      <c r="K129" s="148" t="s">
        <v>557</v>
      </c>
      <c r="L129" s="163" t="s">
        <v>557</v>
      </c>
      <c r="M129" s="135">
        <f>M$3</f>
        <v>46175</v>
      </c>
      <c r="N129" s="148"/>
      <c r="O129" s="137"/>
      <c r="P129" s="135">
        <f>P$3</f>
        <v>46176</v>
      </c>
      <c r="Q129" s="148" t="s">
        <v>557</v>
      </c>
      <c r="R129" s="137" t="s">
        <v>557</v>
      </c>
      <c r="S129" s="135">
        <f>S$3</f>
        <v>46177</v>
      </c>
      <c r="T129" s="136" t="s">
        <v>557</v>
      </c>
      <c r="U129" s="137" t="s">
        <v>557</v>
      </c>
      <c r="V129" s="135">
        <f>V$3</f>
        <v>46178</v>
      </c>
      <c r="W129" s="136" t="s">
        <v>557</v>
      </c>
      <c r="X129" s="137" t="s">
        <v>557</v>
      </c>
      <c r="Y129" s="135">
        <f>Y$3</f>
        <v>46179</v>
      </c>
      <c r="Z129" s="136" t="s">
        <v>557</v>
      </c>
      <c r="AA129" s="137" t="s">
        <v>557</v>
      </c>
      <c r="AB129" s="135"/>
      <c r="AC129" s="135">
        <f>AC$3</f>
        <v>46181</v>
      </c>
      <c r="AD129" s="136" t="s">
        <v>557</v>
      </c>
      <c r="AE129" s="137" t="s">
        <v>557</v>
      </c>
      <c r="AF129" s="135">
        <f>AF$3</f>
        <v>46182</v>
      </c>
      <c r="AG129" s="136" t="s">
        <v>557</v>
      </c>
      <c r="AH129" s="137" t="s">
        <v>557</v>
      </c>
      <c r="AI129" s="135">
        <f>AI$3</f>
        <v>46183</v>
      </c>
      <c r="AJ129" s="136" t="s">
        <v>557</v>
      </c>
      <c r="AK129" s="137" t="s">
        <v>557</v>
      </c>
      <c r="AL129" s="135">
        <f>AL$3</f>
        <v>46184</v>
      </c>
      <c r="AM129" s="136" t="s">
        <v>557</v>
      </c>
      <c r="AN129" s="137" t="s">
        <v>557</v>
      </c>
      <c r="AO129" s="135">
        <f>AO$3</f>
        <v>46185</v>
      </c>
      <c r="AP129" s="136" t="s">
        <v>557</v>
      </c>
      <c r="AQ129" s="137" t="s">
        <v>557</v>
      </c>
      <c r="AR129" s="135">
        <f>AR$3</f>
        <v>46186</v>
      </c>
      <c r="AS129" s="136" t="s">
        <v>557</v>
      </c>
      <c r="AT129" s="137" t="s">
        <v>557</v>
      </c>
      <c r="AU129" s="135"/>
      <c r="AV129" s="135">
        <f>AV$3</f>
        <v>46188</v>
      </c>
      <c r="AW129" s="148" t="s">
        <v>557</v>
      </c>
      <c r="AX129" s="137" t="s">
        <v>557</v>
      </c>
      <c r="AY129" s="135">
        <f>AY$3</f>
        <v>46189</v>
      </c>
      <c r="AZ129" s="136" t="s">
        <v>557</v>
      </c>
      <c r="BA129" s="137" t="s">
        <v>557</v>
      </c>
      <c r="BB129" s="135">
        <f>BB$3</f>
        <v>46190</v>
      </c>
      <c r="BC129" s="136" t="s">
        <v>557</v>
      </c>
      <c r="BD129" s="137" t="s">
        <v>557</v>
      </c>
      <c r="BE129" s="135">
        <f>BE$3</f>
        <v>46191</v>
      </c>
      <c r="BF129" s="136" t="s">
        <v>557</v>
      </c>
      <c r="BG129" s="137" t="s">
        <v>557</v>
      </c>
      <c r="BH129" s="135">
        <f>BH$3</f>
        <v>46192</v>
      </c>
      <c r="BI129" s="136" t="s">
        <v>557</v>
      </c>
      <c r="BJ129" s="137" t="s">
        <v>557</v>
      </c>
      <c r="BK129" s="135">
        <f>BK$3</f>
        <v>46193</v>
      </c>
      <c r="BL129" s="136" t="s">
        <v>557</v>
      </c>
      <c r="BM129" s="137" t="s">
        <v>557</v>
      </c>
    </row>
    <row r="130" spans="1:65" outlineLevel="1">
      <c r="A130" s="166" t="str">
        <f>$A$100</f>
        <v>Nguyễn Hải Nam</v>
      </c>
      <c r="B130" s="28" t="str">
        <f>'Bảng 3'!A589</f>
        <v>3.N.HCM.CGIO.KSMN.108</v>
      </c>
      <c r="C130" s="81" t="str">
        <f>IF($B130="","",INDEX('All Bảng'!C:C,MATCH($B130,'All Bảng'!$A:$A,0)))</f>
        <v>Quản lý BIM</v>
      </c>
      <c r="D130" s="81" t="str">
        <f>IF($B130="","",INDEX('All Bảng'!D:D,MATCH($B130,'All Bảng'!$A:$A,0)))</f>
        <v>N.HCM.CGIO.KSMN</v>
      </c>
      <c r="E130" s="81" t="str">
        <f>IF($B130="","",INDEX('All Bảng'!E:E,MATCH($B130,'All Bảng'!$A:$A,0)))</f>
        <v>A5.01.02_M4G</v>
      </c>
      <c r="F130" s="81" t="str">
        <f>IF($B130="","",INDEX('All Bảng'!F:F,MATCH($B130,'All Bảng'!$A:$A,0)))</f>
        <v>KT</v>
      </c>
      <c r="G130" s="81" t="str">
        <f>IF($B130="","",INDEX('All Bảng'!G:G,MATCH($B130,'All Bảng'!$A:$A,0)))</f>
        <v>Tạo lập thư viện</v>
      </c>
      <c r="H130" s="121"/>
      <c r="I130" s="135"/>
      <c r="J130" s="135">
        <f>J$3</f>
        <v>46174</v>
      </c>
      <c r="K130" s="148" t="s">
        <v>557</v>
      </c>
      <c r="L130" s="163" t="s">
        <v>557</v>
      </c>
      <c r="M130" s="135">
        <f>M$3</f>
        <v>46175</v>
      </c>
      <c r="N130" s="148"/>
      <c r="O130" s="137"/>
      <c r="P130" s="135">
        <f>P$3</f>
        <v>46176</v>
      </c>
      <c r="Q130" s="148" t="s">
        <v>557</v>
      </c>
      <c r="R130" s="137" t="s">
        <v>557</v>
      </c>
      <c r="S130" s="135">
        <f>S$3</f>
        <v>46177</v>
      </c>
      <c r="T130" s="136" t="s">
        <v>557</v>
      </c>
      <c r="U130" s="137">
        <v>1</v>
      </c>
      <c r="V130" s="135">
        <f>V$3</f>
        <v>46178</v>
      </c>
      <c r="W130" s="136" t="s">
        <v>557</v>
      </c>
      <c r="X130" s="137" t="s">
        <v>557</v>
      </c>
      <c r="Y130" s="135">
        <f>Y$3</f>
        <v>46179</v>
      </c>
      <c r="Z130" s="136" t="s">
        <v>557</v>
      </c>
      <c r="AA130" s="137" t="s">
        <v>557</v>
      </c>
      <c r="AB130" s="135"/>
      <c r="AC130" s="135">
        <f>AC$3</f>
        <v>46181</v>
      </c>
      <c r="AD130" s="136" t="s">
        <v>557</v>
      </c>
      <c r="AE130" s="137" t="s">
        <v>557</v>
      </c>
      <c r="AF130" s="135">
        <f>AF$3</f>
        <v>46182</v>
      </c>
      <c r="AG130" s="136" t="s">
        <v>557</v>
      </c>
      <c r="AH130" s="137" t="s">
        <v>557</v>
      </c>
      <c r="AI130" s="135">
        <f>AI$3</f>
        <v>46183</v>
      </c>
      <c r="AJ130" s="136" t="s">
        <v>557</v>
      </c>
      <c r="AK130" s="137" t="s">
        <v>557</v>
      </c>
      <c r="AL130" s="135">
        <f>AL$3</f>
        <v>46184</v>
      </c>
      <c r="AM130" s="136" t="s">
        <v>557</v>
      </c>
      <c r="AN130" s="137" t="s">
        <v>557</v>
      </c>
      <c r="AO130" s="135">
        <f>AO$3</f>
        <v>46185</v>
      </c>
      <c r="AP130" s="136" t="s">
        <v>557</v>
      </c>
      <c r="AQ130" s="137" t="s">
        <v>557</v>
      </c>
      <c r="AR130" s="135">
        <f>AR$3</f>
        <v>46186</v>
      </c>
      <c r="AS130" s="136" t="s">
        <v>557</v>
      </c>
      <c r="AT130" s="137" t="s">
        <v>557</v>
      </c>
      <c r="AU130" s="135"/>
      <c r="AV130" s="135">
        <f>AV$3</f>
        <v>46188</v>
      </c>
      <c r="AW130" s="148" t="s">
        <v>557</v>
      </c>
      <c r="AX130" s="137" t="s">
        <v>557</v>
      </c>
      <c r="AY130" s="135">
        <f>AY$3</f>
        <v>46189</v>
      </c>
      <c r="AZ130" s="136" t="s">
        <v>557</v>
      </c>
      <c r="BA130" s="137" t="s">
        <v>557</v>
      </c>
      <c r="BB130" s="135">
        <f>BB$3</f>
        <v>46190</v>
      </c>
      <c r="BC130" s="136" t="s">
        <v>557</v>
      </c>
      <c r="BD130" s="137" t="s">
        <v>557</v>
      </c>
      <c r="BE130" s="135">
        <f>BE$3</f>
        <v>46191</v>
      </c>
      <c r="BF130" s="136" t="s">
        <v>557</v>
      </c>
      <c r="BG130" s="137" t="s">
        <v>557</v>
      </c>
      <c r="BH130" s="135">
        <f>BH$3</f>
        <v>46192</v>
      </c>
      <c r="BI130" s="136" t="s">
        <v>557</v>
      </c>
      <c r="BJ130" s="137" t="s">
        <v>557</v>
      </c>
      <c r="BK130" s="135">
        <f>BK$3</f>
        <v>46193</v>
      </c>
      <c r="BL130" s="136" t="s">
        <v>557</v>
      </c>
      <c r="BM130" s="137" t="s">
        <v>557</v>
      </c>
    </row>
    <row r="131" spans="1:65" outlineLevel="1">
      <c r="A131" s="166" t="str">
        <f>$A$100</f>
        <v>Nguyễn Hải Nam</v>
      </c>
      <c r="B131" s="28"/>
      <c r="C131" s="81" t="str">
        <f>IF($B131="","",INDEX('All Bảng'!C:C,MATCH($B131,'All Bảng'!$A:$A,0)))</f>
        <v/>
      </c>
      <c r="D131" s="81" t="str">
        <f>IF($B131="","",INDEX('All Bảng'!D:D,MATCH($B131,'All Bảng'!$A:$A,0)))</f>
        <v/>
      </c>
      <c r="E131" s="81" t="str">
        <f>IF($B131="","",INDEX('All Bảng'!E:E,MATCH($B131,'All Bảng'!$A:$A,0)))</f>
        <v/>
      </c>
      <c r="F131" s="81" t="str">
        <f>IF($B131="","",INDEX('All Bảng'!F:F,MATCH($B131,'All Bảng'!$A:$A,0)))</f>
        <v/>
      </c>
      <c r="G131" s="81" t="str">
        <f>IF($B131="","",INDEX('All Bảng'!G:G,MATCH($B131,'All Bảng'!$A:$A,0)))</f>
        <v/>
      </c>
      <c r="H131" s="121"/>
      <c r="I131" s="135"/>
      <c r="J131" s="135">
        <f>J$3</f>
        <v>46174</v>
      </c>
      <c r="K131" s="148" t="s">
        <v>557</v>
      </c>
      <c r="L131" s="163" t="s">
        <v>557</v>
      </c>
      <c r="M131" s="135">
        <f>M$3</f>
        <v>46175</v>
      </c>
      <c r="N131" s="148"/>
      <c r="O131" s="137"/>
      <c r="P131" s="135">
        <f>P$3</f>
        <v>46176</v>
      </c>
      <c r="Q131" s="148" t="s">
        <v>557</v>
      </c>
      <c r="R131" s="137" t="s">
        <v>557</v>
      </c>
      <c r="S131" s="135">
        <f>S$3</f>
        <v>46177</v>
      </c>
      <c r="T131" s="136" t="s">
        <v>557</v>
      </c>
      <c r="U131" s="137" t="s">
        <v>557</v>
      </c>
      <c r="V131" s="135">
        <f>V$3</f>
        <v>46178</v>
      </c>
      <c r="W131" s="136" t="s">
        <v>557</v>
      </c>
      <c r="X131" s="137" t="s">
        <v>557</v>
      </c>
      <c r="Y131" s="135">
        <f>Y$3</f>
        <v>46179</v>
      </c>
      <c r="Z131" s="136" t="s">
        <v>557</v>
      </c>
      <c r="AA131" s="137" t="s">
        <v>557</v>
      </c>
      <c r="AB131" s="135"/>
      <c r="AC131" s="135">
        <f>AC$3</f>
        <v>46181</v>
      </c>
      <c r="AD131" s="136" t="s">
        <v>557</v>
      </c>
      <c r="AE131" s="137" t="s">
        <v>557</v>
      </c>
      <c r="AF131" s="135">
        <f>AF$3</f>
        <v>46182</v>
      </c>
      <c r="AG131" s="136" t="s">
        <v>557</v>
      </c>
      <c r="AH131" s="137" t="s">
        <v>557</v>
      </c>
      <c r="AI131" s="135">
        <f>AI$3</f>
        <v>46183</v>
      </c>
      <c r="AJ131" s="136" t="s">
        <v>557</v>
      </c>
      <c r="AK131" s="137" t="s">
        <v>557</v>
      </c>
      <c r="AL131" s="135">
        <f>AL$3</f>
        <v>46184</v>
      </c>
      <c r="AM131" s="136" t="s">
        <v>557</v>
      </c>
      <c r="AN131" s="137" t="s">
        <v>557</v>
      </c>
      <c r="AO131" s="135">
        <f>AO$3</f>
        <v>46185</v>
      </c>
      <c r="AP131" s="136" t="s">
        <v>557</v>
      </c>
      <c r="AQ131" s="137" t="s">
        <v>557</v>
      </c>
      <c r="AR131" s="135">
        <f>AR$3</f>
        <v>46186</v>
      </c>
      <c r="AS131" s="136" t="s">
        <v>557</v>
      </c>
      <c r="AT131" s="137" t="s">
        <v>557</v>
      </c>
      <c r="AU131" s="135"/>
      <c r="AV131" s="135">
        <f>AV$3</f>
        <v>46188</v>
      </c>
      <c r="AW131" s="148" t="s">
        <v>557</v>
      </c>
      <c r="AX131" s="137" t="s">
        <v>557</v>
      </c>
      <c r="AY131" s="135">
        <f>AY$3</f>
        <v>46189</v>
      </c>
      <c r="AZ131" s="136" t="s">
        <v>557</v>
      </c>
      <c r="BA131" s="137" t="s">
        <v>557</v>
      </c>
      <c r="BB131" s="135">
        <f>BB$3</f>
        <v>46190</v>
      </c>
      <c r="BC131" s="136" t="s">
        <v>557</v>
      </c>
      <c r="BD131" s="137" t="s">
        <v>557</v>
      </c>
      <c r="BE131" s="135">
        <f>BE$3</f>
        <v>46191</v>
      </c>
      <c r="BF131" s="136" t="s">
        <v>557</v>
      </c>
      <c r="BG131" s="137" t="s">
        <v>557</v>
      </c>
      <c r="BH131" s="135">
        <f>BH$3</f>
        <v>46192</v>
      </c>
      <c r="BI131" s="136" t="s">
        <v>557</v>
      </c>
      <c r="BJ131" s="137" t="s">
        <v>557</v>
      </c>
      <c r="BK131" s="135">
        <f>BK$3</f>
        <v>46193</v>
      </c>
      <c r="BL131" s="136" t="s">
        <v>557</v>
      </c>
      <c r="BM131" s="137" t="s">
        <v>557</v>
      </c>
    </row>
    <row r="132" spans="1:65" outlineLevel="1">
      <c r="A132" s="166" t="str">
        <f>$A$100</f>
        <v>Nguyễn Hải Nam</v>
      </c>
      <c r="B132" s="28"/>
      <c r="C132" s="81" t="str">
        <f>IF($B132="","",INDEX('All Bảng'!C:C,MATCH($B132,'All Bảng'!$A:$A,0)))</f>
        <v/>
      </c>
      <c r="D132" s="81" t="str">
        <f>IF($B132="","",INDEX('All Bảng'!D:D,MATCH($B132,'All Bảng'!$A:$A,0)))</f>
        <v/>
      </c>
      <c r="E132" s="81" t="str">
        <f>IF($B132="","",INDEX('All Bảng'!E:E,MATCH($B132,'All Bảng'!$A:$A,0)))</f>
        <v/>
      </c>
      <c r="F132" s="81" t="str">
        <f>IF($B132="","",INDEX('All Bảng'!F:F,MATCH($B132,'All Bảng'!$A:$A,0)))</f>
        <v/>
      </c>
      <c r="G132" s="81" t="str">
        <f>IF($B132="","",INDEX('All Bảng'!G:G,MATCH($B132,'All Bảng'!$A:$A,0)))</f>
        <v/>
      </c>
      <c r="H132" s="121"/>
      <c r="I132" s="135"/>
      <c r="J132" s="135">
        <f>J$3</f>
        <v>46174</v>
      </c>
      <c r="K132" s="148" t="s">
        <v>557</v>
      </c>
      <c r="L132" s="163" t="s">
        <v>557</v>
      </c>
      <c r="M132" s="135">
        <f>M$3</f>
        <v>46175</v>
      </c>
      <c r="N132" s="148"/>
      <c r="O132" s="137"/>
      <c r="P132" s="135">
        <f>P$3</f>
        <v>46176</v>
      </c>
      <c r="Q132" s="148" t="s">
        <v>557</v>
      </c>
      <c r="R132" s="137" t="s">
        <v>557</v>
      </c>
      <c r="S132" s="135">
        <f>S$3</f>
        <v>46177</v>
      </c>
      <c r="T132" s="136" t="s">
        <v>557</v>
      </c>
      <c r="U132" s="137" t="s">
        <v>557</v>
      </c>
      <c r="V132" s="135">
        <f>V$3</f>
        <v>46178</v>
      </c>
      <c r="W132" s="136" t="s">
        <v>557</v>
      </c>
      <c r="X132" s="137" t="s">
        <v>557</v>
      </c>
      <c r="Y132" s="135">
        <f>Y$3</f>
        <v>46179</v>
      </c>
      <c r="Z132" s="136" t="s">
        <v>557</v>
      </c>
      <c r="AA132" s="137" t="s">
        <v>557</v>
      </c>
      <c r="AB132" s="135"/>
      <c r="AC132" s="135">
        <f>AC$3</f>
        <v>46181</v>
      </c>
      <c r="AD132" s="136" t="s">
        <v>557</v>
      </c>
      <c r="AE132" s="137" t="s">
        <v>557</v>
      </c>
      <c r="AF132" s="135">
        <f>AF$3</f>
        <v>46182</v>
      </c>
      <c r="AG132" s="136" t="s">
        <v>557</v>
      </c>
      <c r="AH132" s="137" t="s">
        <v>557</v>
      </c>
      <c r="AI132" s="135">
        <f>AI$3</f>
        <v>46183</v>
      </c>
      <c r="AJ132" s="136" t="s">
        <v>557</v>
      </c>
      <c r="AK132" s="137" t="s">
        <v>557</v>
      </c>
      <c r="AL132" s="135">
        <f>AL$3</f>
        <v>46184</v>
      </c>
      <c r="AM132" s="136" t="s">
        <v>557</v>
      </c>
      <c r="AN132" s="137" t="s">
        <v>557</v>
      </c>
      <c r="AO132" s="135">
        <f>AO$3</f>
        <v>46185</v>
      </c>
      <c r="AP132" s="136" t="s">
        <v>557</v>
      </c>
      <c r="AQ132" s="137" t="s">
        <v>557</v>
      </c>
      <c r="AR132" s="135">
        <f>AR$3</f>
        <v>46186</v>
      </c>
      <c r="AS132" s="136" t="s">
        <v>557</v>
      </c>
      <c r="AT132" s="137" t="s">
        <v>557</v>
      </c>
      <c r="AU132" s="135"/>
      <c r="AV132" s="135">
        <f>AV$3</f>
        <v>46188</v>
      </c>
      <c r="AW132" s="148" t="s">
        <v>557</v>
      </c>
      <c r="AX132" s="137" t="s">
        <v>557</v>
      </c>
      <c r="AY132" s="135">
        <f>AY$3</f>
        <v>46189</v>
      </c>
      <c r="AZ132" s="136" t="s">
        <v>557</v>
      </c>
      <c r="BA132" s="137" t="s">
        <v>557</v>
      </c>
      <c r="BB132" s="135">
        <f>BB$3</f>
        <v>46190</v>
      </c>
      <c r="BC132" s="136" t="s">
        <v>557</v>
      </c>
      <c r="BD132" s="137" t="s">
        <v>557</v>
      </c>
      <c r="BE132" s="135">
        <f>BE$3</f>
        <v>46191</v>
      </c>
      <c r="BF132" s="136" t="s">
        <v>557</v>
      </c>
      <c r="BG132" s="137" t="s">
        <v>557</v>
      </c>
      <c r="BH132" s="135">
        <f>BH$3</f>
        <v>46192</v>
      </c>
      <c r="BI132" s="136" t="s">
        <v>557</v>
      </c>
      <c r="BJ132" s="137" t="s">
        <v>557</v>
      </c>
      <c r="BK132" s="135">
        <f>BK$3</f>
        <v>46193</v>
      </c>
      <c r="BL132" s="136" t="s">
        <v>557</v>
      </c>
      <c r="BM132" s="137" t="s">
        <v>557</v>
      </c>
    </row>
    <row r="133" spans="1:65" ht="45.75" outlineLevel="1">
      <c r="A133" s="166" t="str">
        <f>$A$100</f>
        <v>Nguyễn Hải Nam</v>
      </c>
      <c r="B133" s="28" t="str">
        <f>'Bảng 7'!A5</f>
        <v>1.Công việc khác.003</v>
      </c>
      <c r="C133" s="81" t="str">
        <f>IF($B133="","",INDEX('All Bảng'!C:C,MATCH($B133,'All Bảng'!$A:$A,0)))</f>
        <v>Công việc khác</v>
      </c>
      <c r="D133" s="81" t="str">
        <f>IF($B133="","",INDEX('All Bảng'!D:D,MATCH($B133,'All Bảng'!$A:$A,0)))</f>
        <v>Công việc khác</v>
      </c>
      <c r="E133" s="81" t="str">
        <f>IF($B133="","",INDEX('All Bảng'!E:E,MATCH($B133,'All Bảng'!$A:$A,0)))</f>
        <v>Công việc khác</v>
      </c>
      <c r="F133" s="81" t="str">
        <f>IF($B133="","",INDEX('All Bảng'!F:F,MATCH($B133,'All Bảng'!$A:$A,0)))</f>
        <v>BIM</v>
      </c>
      <c r="G133" s="81" t="str">
        <f>IF($B133="","",INDEX('All Bảng'!G:G,MATCH($B133,'All Bảng'!$A:$A,0)))</f>
        <v>Phối hợp, hỗ trợ các BP khác</v>
      </c>
      <c r="H133" s="121"/>
      <c r="I133" s="135"/>
      <c r="J133" s="135">
        <f>J$3</f>
        <v>46174</v>
      </c>
      <c r="K133" s="148" t="s">
        <v>557</v>
      </c>
      <c r="L133" s="163"/>
      <c r="M133" s="135">
        <f>M$3</f>
        <v>46175</v>
      </c>
      <c r="N133" s="148"/>
      <c r="O133" s="137"/>
      <c r="P133" s="135">
        <f>P$3</f>
        <v>46176</v>
      </c>
      <c r="Q133" s="148" t="s">
        <v>711</v>
      </c>
      <c r="R133" s="137">
        <v>5</v>
      </c>
      <c r="S133" s="135">
        <f>S$3</f>
        <v>46177</v>
      </c>
      <c r="T133" s="148" t="s">
        <v>712</v>
      </c>
      <c r="U133" s="137">
        <v>7</v>
      </c>
      <c r="V133" s="135">
        <f>V$3</f>
        <v>46178</v>
      </c>
      <c r="W133" s="136" t="s">
        <v>557</v>
      </c>
      <c r="X133" s="137" t="s">
        <v>557</v>
      </c>
      <c r="Y133" s="135">
        <f>Y$3</f>
        <v>46179</v>
      </c>
      <c r="Z133" s="136" t="s">
        <v>557</v>
      </c>
      <c r="AA133" s="137" t="s">
        <v>557</v>
      </c>
      <c r="AB133" s="135"/>
      <c r="AC133" s="135">
        <f>AC$3</f>
        <v>46181</v>
      </c>
      <c r="AD133" s="136" t="s">
        <v>557</v>
      </c>
      <c r="AE133" s="137" t="s">
        <v>557</v>
      </c>
      <c r="AF133" s="135">
        <f>AF$3</f>
        <v>46182</v>
      </c>
      <c r="AG133" s="136" t="s">
        <v>557</v>
      </c>
      <c r="AH133" s="137" t="s">
        <v>557</v>
      </c>
      <c r="AI133" s="135">
        <f>AI$3</f>
        <v>46183</v>
      </c>
      <c r="AJ133" s="136" t="s">
        <v>557</v>
      </c>
      <c r="AK133" s="137" t="s">
        <v>557</v>
      </c>
      <c r="AL133" s="135">
        <f>AL$3</f>
        <v>46184</v>
      </c>
      <c r="AM133" s="136" t="s">
        <v>557</v>
      </c>
      <c r="AN133" s="137" t="s">
        <v>557</v>
      </c>
      <c r="AO133" s="135">
        <f>AO$3</f>
        <v>46185</v>
      </c>
      <c r="AP133" s="136" t="s">
        <v>557</v>
      </c>
      <c r="AQ133" s="137" t="s">
        <v>557</v>
      </c>
      <c r="AR133" s="135">
        <f>AR$3</f>
        <v>46186</v>
      </c>
      <c r="AS133" s="136" t="s">
        <v>557</v>
      </c>
      <c r="AT133" s="137" t="s">
        <v>557</v>
      </c>
      <c r="AU133" s="135"/>
      <c r="AV133" s="135">
        <f>AV$3</f>
        <v>46188</v>
      </c>
      <c r="AW133" s="148" t="s">
        <v>557</v>
      </c>
      <c r="AX133" s="137" t="s">
        <v>557</v>
      </c>
      <c r="AY133" s="135">
        <f>AY$3</f>
        <v>46189</v>
      </c>
      <c r="AZ133" s="136" t="s">
        <v>557</v>
      </c>
      <c r="BA133" s="137" t="s">
        <v>557</v>
      </c>
      <c r="BB133" s="135">
        <f>BB$3</f>
        <v>46190</v>
      </c>
      <c r="BC133" s="136" t="s">
        <v>557</v>
      </c>
      <c r="BD133" s="137" t="s">
        <v>557</v>
      </c>
      <c r="BE133" s="135">
        <f>BE$3</f>
        <v>46191</v>
      </c>
      <c r="BF133" s="136" t="s">
        <v>557</v>
      </c>
      <c r="BG133" s="137" t="s">
        <v>557</v>
      </c>
      <c r="BH133" s="135">
        <f>BH$3</f>
        <v>46192</v>
      </c>
      <c r="BI133" s="136" t="s">
        <v>557</v>
      </c>
      <c r="BJ133" s="137" t="s">
        <v>557</v>
      </c>
      <c r="BK133" s="135">
        <f>BK$3</f>
        <v>46193</v>
      </c>
      <c r="BL133" s="136" t="s">
        <v>557</v>
      </c>
      <c r="BM133" s="137" t="s">
        <v>557</v>
      </c>
    </row>
    <row r="134" spans="1:65">
      <c r="A134" s="302" t="s">
        <v>196</v>
      </c>
      <c r="B134" s="300"/>
      <c r="C134" s="292" t="str">
        <f>IF($B134="","",INDEX('All Bảng'!C:C,MATCH($B134,'All Bảng'!$A:$A,0)))</f>
        <v/>
      </c>
      <c r="D134" s="292" t="str">
        <f>IF($B134="","",INDEX('All Bảng'!D:D,MATCH($B134,'All Bảng'!$A:$A,0)))</f>
        <v/>
      </c>
      <c r="E134" s="292" t="str">
        <f>IF($B134="","",INDEX('All Bảng'!E:E,MATCH($B134,'All Bảng'!$A:$A,0)))</f>
        <v/>
      </c>
      <c r="F134" s="292" t="str">
        <f>IF($B134="","",INDEX('All Bảng'!F:F,MATCH($B134,'All Bảng'!$A:$A,0)))</f>
        <v/>
      </c>
      <c r="G134" s="292" t="str">
        <f>IF($B134="","",INDEX('All Bảng'!G:G,MATCH($B134,'All Bảng'!$A:$A,0)))</f>
        <v/>
      </c>
      <c r="H134" s="293"/>
      <c r="I134" s="294"/>
      <c r="J134" s="294">
        <f>J$3</f>
        <v>46174</v>
      </c>
      <c r="K134" s="295" t="s">
        <v>557</v>
      </c>
      <c r="L134" s="296">
        <f>SUM(L139:L170)</f>
        <v>9</v>
      </c>
      <c r="M134" s="294">
        <f>M$3</f>
        <v>46175</v>
      </c>
      <c r="N134" s="297" t="s">
        <v>557</v>
      </c>
      <c r="O134" s="298">
        <f>SUM(O135:O170)</f>
        <v>9.5</v>
      </c>
      <c r="P134" s="294">
        <f>P$3</f>
        <v>46176</v>
      </c>
      <c r="Q134" s="297" t="s">
        <v>557</v>
      </c>
      <c r="R134" s="298">
        <f>SUM(R135:R170)</f>
        <v>8.5</v>
      </c>
      <c r="S134" s="294">
        <f>S$3</f>
        <v>46177</v>
      </c>
      <c r="T134" s="299" t="s">
        <v>557</v>
      </c>
      <c r="U134" s="298">
        <f>SUM(U135:U170)</f>
        <v>8</v>
      </c>
      <c r="V134" s="294">
        <f>V$3</f>
        <v>46178</v>
      </c>
      <c r="W134" s="299" t="s">
        <v>557</v>
      </c>
      <c r="X134" s="298">
        <f>SUM(X135:X170)</f>
        <v>0</v>
      </c>
      <c r="Y134" s="294">
        <f>Y$3</f>
        <v>46179</v>
      </c>
      <c r="Z134" s="299" t="s">
        <v>557</v>
      </c>
      <c r="AA134" s="298">
        <f>SUM(AA135:AA170)</f>
        <v>0</v>
      </c>
      <c r="AB134" s="294"/>
      <c r="AC134" s="294">
        <f>AC$3</f>
        <v>46181</v>
      </c>
      <c r="AD134" s="299" t="s">
        <v>557</v>
      </c>
      <c r="AE134" s="298">
        <f>SUM(AE135:AE170)</f>
        <v>0</v>
      </c>
      <c r="AF134" s="294">
        <f>AF$3</f>
        <v>46182</v>
      </c>
      <c r="AG134" s="299" t="s">
        <v>557</v>
      </c>
      <c r="AH134" s="298">
        <f>SUM(AH135:AH170)</f>
        <v>0</v>
      </c>
      <c r="AI134" s="294">
        <f>AI$3</f>
        <v>46183</v>
      </c>
      <c r="AJ134" s="299" t="s">
        <v>557</v>
      </c>
      <c r="AK134" s="298">
        <f>SUM(AK135:AK170)</f>
        <v>0</v>
      </c>
      <c r="AL134" s="294">
        <f>AL$3</f>
        <v>46184</v>
      </c>
      <c r="AM134" s="299" t="s">
        <v>557</v>
      </c>
      <c r="AN134" s="298">
        <f>SUM(AN135:AN170)</f>
        <v>0</v>
      </c>
      <c r="AO134" s="294">
        <f>AO$3</f>
        <v>46185</v>
      </c>
      <c r="AP134" s="299" t="s">
        <v>557</v>
      </c>
      <c r="AQ134" s="298">
        <f>SUM(AQ135:AQ170)</f>
        <v>0</v>
      </c>
      <c r="AR134" s="294">
        <f>AR$3</f>
        <v>46186</v>
      </c>
      <c r="AS134" s="299" t="s">
        <v>557</v>
      </c>
      <c r="AT134" s="298">
        <f>SUM(AT135:AT170)</f>
        <v>0</v>
      </c>
      <c r="AU134" s="294"/>
      <c r="AV134" s="294">
        <f>AV$3</f>
        <v>46188</v>
      </c>
      <c r="AW134" s="297" t="s">
        <v>557</v>
      </c>
      <c r="AX134" s="298">
        <f>SUM(AX135:AX170)</f>
        <v>0</v>
      </c>
      <c r="AY134" s="294">
        <f>AY$3</f>
        <v>46189</v>
      </c>
      <c r="AZ134" s="299" t="s">
        <v>557</v>
      </c>
      <c r="BA134" s="298">
        <f>SUM(BA135:BA170)</f>
        <v>0</v>
      </c>
      <c r="BB134" s="294">
        <f>BB$3</f>
        <v>46190</v>
      </c>
      <c r="BC134" s="299" t="s">
        <v>557</v>
      </c>
      <c r="BD134" s="298">
        <f>SUM(BD135:BD170)</f>
        <v>0</v>
      </c>
      <c r="BE134" s="294">
        <f>BE$3</f>
        <v>46191</v>
      </c>
      <c r="BF134" s="299" t="s">
        <v>557</v>
      </c>
      <c r="BG134" s="298">
        <f>SUM(BG135:BG170)</f>
        <v>0</v>
      </c>
      <c r="BH134" s="294">
        <f>BH$3</f>
        <v>46192</v>
      </c>
      <c r="BI134" s="299" t="s">
        <v>557</v>
      </c>
      <c r="BJ134" s="298">
        <f>SUM(BJ135:BJ170)</f>
        <v>0</v>
      </c>
      <c r="BK134" s="294">
        <f>BK$3</f>
        <v>46193</v>
      </c>
      <c r="BL134" s="299" t="s">
        <v>557</v>
      </c>
      <c r="BM134" s="298">
        <f>SUM(BM135:BM170)</f>
        <v>0</v>
      </c>
    </row>
    <row r="135" spans="1:65" outlineLevel="1">
      <c r="A135" s="122" t="str">
        <f>$A$134</f>
        <v>Vũ Thị Thêu</v>
      </c>
      <c r="B135" s="123" t="str">
        <f>'Bảng 3'!A30</f>
        <v>3.B.DSHNQN.STA.103</v>
      </c>
      <c r="C135" s="81" t="str">
        <f>IF($B135="","",INDEX('All Bảng'!C:C,MATCH($B135,'All Bảng'!$A:$A,0)))</f>
        <v>Quản lý BIM</v>
      </c>
      <c r="D135" s="81" t="str">
        <f>IF($B135="","",INDEX('All Bảng'!D:D,MATCH($B135,'All Bảng'!$A:$A,0)))</f>
        <v>B.DSHNQN.STA</v>
      </c>
      <c r="E135" s="81" t="str">
        <f>IF($B135="","",INDEX('All Bảng'!E:E,MATCH($B135,'All Bảng'!$A:$A,0)))</f>
        <v>Nhà ga Hạ Long Xanh</v>
      </c>
      <c r="F135" s="81" t="str">
        <f>IF($B135="","",INDEX('All Bảng'!F:F,MATCH($B135,'All Bảng'!$A:$A,0)))</f>
        <v>KT</v>
      </c>
      <c r="G135" s="81" t="str">
        <f>IF($B135="","",INDEX('All Bảng'!G:G,MATCH($B135,'All Bảng'!$A:$A,0)))</f>
        <v>Tạo lập mô hình BIM</v>
      </c>
      <c r="H135" s="121"/>
      <c r="I135" s="135"/>
      <c r="J135" s="135">
        <f>J$3</f>
        <v>46174</v>
      </c>
      <c r="K135" s="148" t="s">
        <v>557</v>
      </c>
      <c r="L135" s="163" t="s">
        <v>557</v>
      </c>
      <c r="M135" s="135">
        <f>M$3</f>
        <v>46175</v>
      </c>
      <c r="N135" s="148" t="s">
        <v>557</v>
      </c>
      <c r="O135" s="137" t="s">
        <v>557</v>
      </c>
      <c r="P135" s="135">
        <f>P$3</f>
        <v>46176</v>
      </c>
      <c r="Q135" s="148" t="s">
        <v>557</v>
      </c>
      <c r="R135" s="137" t="s">
        <v>557</v>
      </c>
      <c r="S135" s="135">
        <f>S$3</f>
        <v>46177</v>
      </c>
      <c r="T135" s="136" t="s">
        <v>557</v>
      </c>
      <c r="U135" s="137" t="s">
        <v>557</v>
      </c>
      <c r="V135" s="135">
        <f>V$3</f>
        <v>46178</v>
      </c>
      <c r="W135" s="136" t="s">
        <v>557</v>
      </c>
      <c r="X135" s="137" t="s">
        <v>557</v>
      </c>
      <c r="Y135" s="135">
        <f>Y$3</f>
        <v>46179</v>
      </c>
      <c r="Z135" s="136" t="s">
        <v>557</v>
      </c>
      <c r="AA135" s="137" t="s">
        <v>557</v>
      </c>
      <c r="AB135" s="135"/>
      <c r="AC135" s="135">
        <f>AC$3</f>
        <v>46181</v>
      </c>
      <c r="AD135" s="136" t="s">
        <v>557</v>
      </c>
      <c r="AE135" s="137" t="s">
        <v>557</v>
      </c>
      <c r="AF135" s="135">
        <f>AF$3</f>
        <v>46182</v>
      </c>
      <c r="AG135" s="136" t="s">
        <v>557</v>
      </c>
      <c r="AH135" s="137" t="s">
        <v>557</v>
      </c>
      <c r="AI135" s="135">
        <f>AI$3</f>
        <v>46183</v>
      </c>
      <c r="AJ135" s="136" t="s">
        <v>557</v>
      </c>
      <c r="AK135" s="137" t="s">
        <v>557</v>
      </c>
      <c r="AL135" s="135">
        <f>AL$3</f>
        <v>46184</v>
      </c>
      <c r="AM135" s="136" t="s">
        <v>557</v>
      </c>
      <c r="AN135" s="137" t="s">
        <v>557</v>
      </c>
      <c r="AO135" s="135">
        <f>AO$3</f>
        <v>46185</v>
      </c>
      <c r="AP135" s="136" t="s">
        <v>557</v>
      </c>
      <c r="AQ135" s="137" t="s">
        <v>557</v>
      </c>
      <c r="AR135" s="135">
        <f>AR$3</f>
        <v>46186</v>
      </c>
      <c r="AS135" s="136" t="s">
        <v>557</v>
      </c>
      <c r="AT135" s="137" t="s">
        <v>557</v>
      </c>
      <c r="AU135" s="135"/>
      <c r="AV135" s="135">
        <f>AV$3</f>
        <v>46188</v>
      </c>
      <c r="AW135" s="148" t="s">
        <v>557</v>
      </c>
      <c r="AX135" s="137" t="s">
        <v>557</v>
      </c>
      <c r="AY135" s="135">
        <f>AY$3</f>
        <v>46189</v>
      </c>
      <c r="AZ135" s="136" t="s">
        <v>557</v>
      </c>
      <c r="BA135" s="137" t="s">
        <v>557</v>
      </c>
      <c r="BB135" s="135">
        <f>BB$3</f>
        <v>46190</v>
      </c>
      <c r="BC135" s="136" t="s">
        <v>557</v>
      </c>
      <c r="BD135" s="137" t="s">
        <v>557</v>
      </c>
      <c r="BE135" s="135">
        <f>BE$3</f>
        <v>46191</v>
      </c>
      <c r="BF135" s="136" t="s">
        <v>557</v>
      </c>
      <c r="BG135" s="137" t="s">
        <v>557</v>
      </c>
      <c r="BH135" s="135">
        <f>BH$3</f>
        <v>46192</v>
      </c>
      <c r="BI135" s="136" t="s">
        <v>557</v>
      </c>
      <c r="BJ135" s="137" t="s">
        <v>557</v>
      </c>
      <c r="BK135" s="135">
        <f>BK$3</f>
        <v>46193</v>
      </c>
      <c r="BL135" s="136" t="s">
        <v>557</v>
      </c>
      <c r="BM135" s="137" t="s">
        <v>557</v>
      </c>
    </row>
    <row r="136" spans="1:65" outlineLevel="1">
      <c r="A136" s="122" t="str">
        <f>$A$134</f>
        <v>Vũ Thị Thêu</v>
      </c>
      <c r="B136" s="123" t="str">
        <f>'Bảng 3'!A31</f>
        <v>3.B.DSHNQN.STA.201</v>
      </c>
      <c r="C136" s="81" t="str">
        <f>IF($B136="","",INDEX('All Bảng'!C:C,MATCH($B136,'All Bảng'!$A:$A,0)))</f>
        <v>Quản lý BIM</v>
      </c>
      <c r="D136" s="81" t="str">
        <f>IF($B136="","",INDEX('All Bảng'!D:D,MATCH($B136,'All Bảng'!$A:$A,0)))</f>
        <v>B.DSHNQN.STA</v>
      </c>
      <c r="E136" s="81" t="str">
        <f>IF($B136="","",INDEX('All Bảng'!E:E,MATCH($B136,'All Bảng'!$A:$A,0)))</f>
        <v>Nhà ga Hạ Long Xanh</v>
      </c>
      <c r="F136" s="81" t="str">
        <f>IF($B136="","",INDEX('All Bảng'!F:F,MATCH($B136,'All Bảng'!$A:$A,0)))</f>
        <v>KC</v>
      </c>
      <c r="G136" s="81" t="str">
        <f>IF($B136="","",INDEX('All Bảng'!G:G,MATCH($B136,'All Bảng'!$A:$A,0)))</f>
        <v>KSCL mô hình BIM</v>
      </c>
      <c r="H136" s="121"/>
      <c r="I136" s="135"/>
      <c r="J136" s="135">
        <f>J$3</f>
        <v>46174</v>
      </c>
      <c r="K136" s="148" t="s">
        <v>557</v>
      </c>
      <c r="L136" s="163" t="s">
        <v>557</v>
      </c>
      <c r="M136" s="135">
        <f>M$3</f>
        <v>46175</v>
      </c>
      <c r="N136" s="148" t="s">
        <v>557</v>
      </c>
      <c r="O136" s="137" t="s">
        <v>557</v>
      </c>
      <c r="P136" s="135">
        <f>P$3</f>
        <v>46176</v>
      </c>
      <c r="Q136" s="148" t="s">
        <v>557</v>
      </c>
      <c r="R136" s="137" t="s">
        <v>557</v>
      </c>
      <c r="S136" s="135">
        <f>S$3</f>
        <v>46177</v>
      </c>
      <c r="T136" s="136" t="s">
        <v>557</v>
      </c>
      <c r="U136" s="137" t="s">
        <v>557</v>
      </c>
      <c r="V136" s="135">
        <f>V$3</f>
        <v>46178</v>
      </c>
      <c r="W136" s="136" t="s">
        <v>557</v>
      </c>
      <c r="X136" s="137" t="s">
        <v>557</v>
      </c>
      <c r="Y136" s="135">
        <f>Y$3</f>
        <v>46179</v>
      </c>
      <c r="Z136" s="136" t="s">
        <v>557</v>
      </c>
      <c r="AA136" s="137" t="s">
        <v>557</v>
      </c>
      <c r="AB136" s="135"/>
      <c r="AC136" s="135">
        <f>AC$3</f>
        <v>46181</v>
      </c>
      <c r="AD136" s="136" t="s">
        <v>557</v>
      </c>
      <c r="AE136" s="137" t="s">
        <v>557</v>
      </c>
      <c r="AF136" s="135">
        <f>AF$3</f>
        <v>46182</v>
      </c>
      <c r="AG136" s="136" t="s">
        <v>557</v>
      </c>
      <c r="AH136" s="137" t="s">
        <v>557</v>
      </c>
      <c r="AI136" s="135">
        <f>AI$3</f>
        <v>46183</v>
      </c>
      <c r="AJ136" s="136" t="s">
        <v>557</v>
      </c>
      <c r="AK136" s="137" t="s">
        <v>557</v>
      </c>
      <c r="AL136" s="135">
        <f>AL$3</f>
        <v>46184</v>
      </c>
      <c r="AM136" s="136" t="s">
        <v>557</v>
      </c>
      <c r="AN136" s="137" t="s">
        <v>557</v>
      </c>
      <c r="AO136" s="135">
        <f>AO$3</f>
        <v>46185</v>
      </c>
      <c r="AP136" s="136" t="s">
        <v>557</v>
      </c>
      <c r="AQ136" s="137" t="s">
        <v>557</v>
      </c>
      <c r="AR136" s="135">
        <f>AR$3</f>
        <v>46186</v>
      </c>
      <c r="AS136" s="136" t="s">
        <v>557</v>
      </c>
      <c r="AT136" s="137" t="s">
        <v>557</v>
      </c>
      <c r="AU136" s="135"/>
      <c r="AV136" s="135">
        <f>AV$3</f>
        <v>46188</v>
      </c>
      <c r="AW136" s="148" t="s">
        <v>557</v>
      </c>
      <c r="AX136" s="137" t="s">
        <v>557</v>
      </c>
      <c r="AY136" s="135">
        <f>AY$3</f>
        <v>46189</v>
      </c>
      <c r="AZ136" s="136" t="s">
        <v>557</v>
      </c>
      <c r="BA136" s="137" t="s">
        <v>557</v>
      </c>
      <c r="BB136" s="135">
        <f>BB$3</f>
        <v>46190</v>
      </c>
      <c r="BC136" s="136" t="s">
        <v>557</v>
      </c>
      <c r="BD136" s="137" t="s">
        <v>557</v>
      </c>
      <c r="BE136" s="135">
        <f>BE$3</f>
        <v>46191</v>
      </c>
      <c r="BF136" s="136" t="s">
        <v>557</v>
      </c>
      <c r="BG136" s="137" t="s">
        <v>557</v>
      </c>
      <c r="BH136" s="135">
        <f>BH$3</f>
        <v>46192</v>
      </c>
      <c r="BI136" s="136" t="s">
        <v>557</v>
      </c>
      <c r="BJ136" s="137" t="s">
        <v>557</v>
      </c>
      <c r="BK136" s="135">
        <f>BK$3</f>
        <v>46193</v>
      </c>
      <c r="BL136" s="136" t="s">
        <v>557</v>
      </c>
      <c r="BM136" s="137" t="s">
        <v>557</v>
      </c>
    </row>
    <row r="137" spans="1:65" outlineLevel="1">
      <c r="A137" s="122" t="str">
        <f>$A$134</f>
        <v>Vũ Thị Thêu</v>
      </c>
      <c r="B137" s="123" t="str">
        <f>'Bảng 3'!A37</f>
        <v>3.B.DSHNQN.STA.104</v>
      </c>
      <c r="C137" s="81" t="str">
        <f>IF($B137="","",INDEX('All Bảng'!C:C,MATCH($B137,'All Bảng'!$A:$A,0)))</f>
        <v>Quản lý BIM</v>
      </c>
      <c r="D137" s="81" t="str">
        <f>IF($B137="","",INDEX('All Bảng'!D:D,MATCH($B137,'All Bảng'!$A:$A,0)))</f>
        <v>B.DSHNQN.STA</v>
      </c>
      <c r="E137" s="81" t="str">
        <f>IF($B137="","",INDEX('All Bảng'!E:E,MATCH($B137,'All Bảng'!$A:$A,0)))</f>
        <v>Nhà ga Ninh Xá</v>
      </c>
      <c r="F137" s="81" t="str">
        <f>IF($B137="","",INDEX('All Bảng'!F:F,MATCH($B137,'All Bảng'!$A:$A,0)))</f>
        <v>KT</v>
      </c>
      <c r="G137" s="81" t="str">
        <f>IF($B137="","",INDEX('All Bảng'!G:G,MATCH($B137,'All Bảng'!$A:$A,0)))</f>
        <v>Tạo lập mô hình BIM</v>
      </c>
      <c r="H137" s="121"/>
      <c r="I137" s="135"/>
      <c r="J137" s="135">
        <f>J$3</f>
        <v>46174</v>
      </c>
      <c r="K137" s="148" t="s">
        <v>557</v>
      </c>
      <c r="L137" s="163" t="s">
        <v>557</v>
      </c>
      <c r="M137" s="135">
        <f>M$3</f>
        <v>46175</v>
      </c>
      <c r="N137" s="148" t="s">
        <v>557</v>
      </c>
      <c r="O137" s="137" t="s">
        <v>557</v>
      </c>
      <c r="P137" s="135">
        <f>P$3</f>
        <v>46176</v>
      </c>
      <c r="Q137" s="148" t="s">
        <v>557</v>
      </c>
      <c r="R137" s="137" t="s">
        <v>557</v>
      </c>
      <c r="S137" s="135">
        <f>S$3</f>
        <v>46177</v>
      </c>
      <c r="T137" s="136" t="s">
        <v>557</v>
      </c>
      <c r="U137" s="137" t="s">
        <v>557</v>
      </c>
      <c r="V137" s="135">
        <f>V$3</f>
        <v>46178</v>
      </c>
      <c r="W137" s="136" t="s">
        <v>557</v>
      </c>
      <c r="X137" s="137" t="s">
        <v>557</v>
      </c>
      <c r="Y137" s="135">
        <f>Y$3</f>
        <v>46179</v>
      </c>
      <c r="Z137" s="136" t="s">
        <v>557</v>
      </c>
      <c r="AA137" s="137" t="s">
        <v>557</v>
      </c>
      <c r="AB137" s="135"/>
      <c r="AC137" s="135">
        <f>AC$3</f>
        <v>46181</v>
      </c>
      <c r="AD137" s="136" t="s">
        <v>557</v>
      </c>
      <c r="AE137" s="137" t="s">
        <v>557</v>
      </c>
      <c r="AF137" s="135">
        <f>AF$3</f>
        <v>46182</v>
      </c>
      <c r="AG137" s="136" t="s">
        <v>557</v>
      </c>
      <c r="AH137" s="137" t="s">
        <v>557</v>
      </c>
      <c r="AI137" s="135">
        <f>AI$3</f>
        <v>46183</v>
      </c>
      <c r="AJ137" s="136" t="s">
        <v>557</v>
      </c>
      <c r="AK137" s="137" t="s">
        <v>557</v>
      </c>
      <c r="AL137" s="135">
        <f>AL$3</f>
        <v>46184</v>
      </c>
      <c r="AM137" s="136" t="s">
        <v>557</v>
      </c>
      <c r="AN137" s="137" t="s">
        <v>557</v>
      </c>
      <c r="AO137" s="135">
        <f>AO$3</f>
        <v>46185</v>
      </c>
      <c r="AP137" s="136" t="s">
        <v>557</v>
      </c>
      <c r="AQ137" s="137" t="s">
        <v>557</v>
      </c>
      <c r="AR137" s="135">
        <f>AR$3</f>
        <v>46186</v>
      </c>
      <c r="AS137" s="136" t="s">
        <v>557</v>
      </c>
      <c r="AT137" s="137" t="s">
        <v>557</v>
      </c>
      <c r="AU137" s="135"/>
      <c r="AV137" s="135">
        <f>AV$3</f>
        <v>46188</v>
      </c>
      <c r="AW137" s="148" t="s">
        <v>557</v>
      </c>
      <c r="AX137" s="137" t="s">
        <v>557</v>
      </c>
      <c r="AY137" s="135">
        <f>AY$3</f>
        <v>46189</v>
      </c>
      <c r="AZ137" s="136" t="s">
        <v>557</v>
      </c>
      <c r="BA137" s="137" t="s">
        <v>557</v>
      </c>
      <c r="BB137" s="135">
        <f>BB$3</f>
        <v>46190</v>
      </c>
      <c r="BC137" s="136" t="s">
        <v>557</v>
      </c>
      <c r="BD137" s="137" t="s">
        <v>557</v>
      </c>
      <c r="BE137" s="135">
        <f>BE$3</f>
        <v>46191</v>
      </c>
      <c r="BF137" s="136" t="s">
        <v>557</v>
      </c>
      <c r="BG137" s="137" t="s">
        <v>557</v>
      </c>
      <c r="BH137" s="135">
        <f>BH$3</f>
        <v>46192</v>
      </c>
      <c r="BI137" s="136" t="s">
        <v>557</v>
      </c>
      <c r="BJ137" s="137" t="s">
        <v>557</v>
      </c>
      <c r="BK137" s="135">
        <f>BK$3</f>
        <v>46193</v>
      </c>
      <c r="BL137" s="136" t="s">
        <v>557</v>
      </c>
      <c r="BM137" s="137" t="s">
        <v>557</v>
      </c>
    </row>
    <row r="138" spans="1:65" outlineLevel="1">
      <c r="A138" s="122" t="str">
        <f>$A$134</f>
        <v>Vũ Thị Thêu</v>
      </c>
      <c r="B138" s="123" t="str">
        <f>'Bảng 3'!A38</f>
        <v>3.B.DSHNQN.STA.202</v>
      </c>
      <c r="C138" s="81" t="str">
        <f>IF($B138="","",INDEX('All Bảng'!C:C,MATCH($B138,'All Bảng'!$A:$A,0)))</f>
        <v>Quản lý BIM</v>
      </c>
      <c r="D138" s="81" t="str">
        <f>IF($B138="","",INDEX('All Bảng'!D:D,MATCH($B138,'All Bảng'!$A:$A,0)))</f>
        <v>B.DSHNQN.STA</v>
      </c>
      <c r="E138" s="81" t="str">
        <f>IF($B138="","",INDEX('All Bảng'!E:E,MATCH($B138,'All Bảng'!$A:$A,0)))</f>
        <v>Nhà ga Ninh Xá</v>
      </c>
      <c r="F138" s="81" t="str">
        <f>IF($B138="","",INDEX('All Bảng'!F:F,MATCH($B138,'All Bảng'!$A:$A,0)))</f>
        <v>KC</v>
      </c>
      <c r="G138" s="81" t="str">
        <f>IF($B138="","",INDEX('All Bảng'!G:G,MATCH($B138,'All Bảng'!$A:$A,0)))</f>
        <v>KSCL mô hình BIM</v>
      </c>
      <c r="H138" s="121"/>
      <c r="I138" s="135"/>
      <c r="J138" s="135">
        <f>J$3</f>
        <v>46174</v>
      </c>
      <c r="K138" s="148" t="s">
        <v>557</v>
      </c>
      <c r="L138" s="163" t="s">
        <v>557</v>
      </c>
      <c r="M138" s="135">
        <f>M$3</f>
        <v>46175</v>
      </c>
      <c r="N138" s="148" t="s">
        <v>557</v>
      </c>
      <c r="O138" s="137" t="s">
        <v>557</v>
      </c>
      <c r="P138" s="135">
        <f>P$3</f>
        <v>46176</v>
      </c>
      <c r="Q138" s="148" t="s">
        <v>557</v>
      </c>
      <c r="R138" s="137" t="s">
        <v>557</v>
      </c>
      <c r="S138" s="135">
        <f>S$3</f>
        <v>46177</v>
      </c>
      <c r="T138" s="136" t="s">
        <v>557</v>
      </c>
      <c r="U138" s="137" t="s">
        <v>557</v>
      </c>
      <c r="V138" s="135">
        <f>V$3</f>
        <v>46178</v>
      </c>
      <c r="W138" s="136" t="s">
        <v>557</v>
      </c>
      <c r="X138" s="137" t="s">
        <v>557</v>
      </c>
      <c r="Y138" s="135">
        <f>Y$3</f>
        <v>46179</v>
      </c>
      <c r="Z138" s="136" t="s">
        <v>557</v>
      </c>
      <c r="AA138" s="137" t="s">
        <v>557</v>
      </c>
      <c r="AB138" s="135"/>
      <c r="AC138" s="135">
        <f>AC$3</f>
        <v>46181</v>
      </c>
      <c r="AD138" s="136" t="s">
        <v>557</v>
      </c>
      <c r="AE138" s="137" t="s">
        <v>557</v>
      </c>
      <c r="AF138" s="135">
        <f>AF$3</f>
        <v>46182</v>
      </c>
      <c r="AG138" s="136" t="s">
        <v>557</v>
      </c>
      <c r="AH138" s="137" t="s">
        <v>557</v>
      </c>
      <c r="AI138" s="135">
        <f>AI$3</f>
        <v>46183</v>
      </c>
      <c r="AJ138" s="136" t="s">
        <v>557</v>
      </c>
      <c r="AK138" s="137" t="s">
        <v>557</v>
      </c>
      <c r="AL138" s="135">
        <f>AL$3</f>
        <v>46184</v>
      </c>
      <c r="AM138" s="136" t="s">
        <v>557</v>
      </c>
      <c r="AN138" s="137" t="s">
        <v>557</v>
      </c>
      <c r="AO138" s="135">
        <f>AO$3</f>
        <v>46185</v>
      </c>
      <c r="AP138" s="136" t="s">
        <v>557</v>
      </c>
      <c r="AQ138" s="137" t="s">
        <v>557</v>
      </c>
      <c r="AR138" s="135">
        <f>AR$3</f>
        <v>46186</v>
      </c>
      <c r="AS138" s="136" t="s">
        <v>557</v>
      </c>
      <c r="AT138" s="137" t="s">
        <v>557</v>
      </c>
      <c r="AU138" s="135"/>
      <c r="AV138" s="135">
        <f>AV$3</f>
        <v>46188</v>
      </c>
      <c r="AW138" s="148" t="s">
        <v>557</v>
      </c>
      <c r="AX138" s="137" t="s">
        <v>557</v>
      </c>
      <c r="AY138" s="135">
        <f>AY$3</f>
        <v>46189</v>
      </c>
      <c r="AZ138" s="136" t="s">
        <v>557</v>
      </c>
      <c r="BA138" s="137" t="s">
        <v>557</v>
      </c>
      <c r="BB138" s="135">
        <f>BB$3</f>
        <v>46190</v>
      </c>
      <c r="BC138" s="136" t="s">
        <v>557</v>
      </c>
      <c r="BD138" s="137" t="s">
        <v>557</v>
      </c>
      <c r="BE138" s="135">
        <f>BE$3</f>
        <v>46191</v>
      </c>
      <c r="BF138" s="136" t="s">
        <v>557</v>
      </c>
      <c r="BG138" s="137" t="s">
        <v>557</v>
      </c>
      <c r="BH138" s="135">
        <f>BH$3</f>
        <v>46192</v>
      </c>
      <c r="BI138" s="136" t="s">
        <v>557</v>
      </c>
      <c r="BJ138" s="137" t="s">
        <v>557</v>
      </c>
      <c r="BK138" s="135">
        <f>BK$3</f>
        <v>46193</v>
      </c>
      <c r="BL138" s="136" t="s">
        <v>557</v>
      </c>
      <c r="BM138" s="137" t="s">
        <v>557</v>
      </c>
    </row>
    <row r="139" spans="1:65" outlineLevel="1">
      <c r="A139" s="122" t="str">
        <f>$A$134</f>
        <v>Vũ Thị Thêu</v>
      </c>
      <c r="B139" s="123" t="str">
        <f>'Bảng 3'!A114</f>
        <v>3.B.HNO.GL.VUNI.101</v>
      </c>
      <c r="C139" s="81" t="str">
        <f>IF($B139="","",INDEX('All Bảng'!C:C,MATCH($B139,'All Bảng'!$A:$A,0)))</f>
        <v>Quản lý BIM</v>
      </c>
      <c r="D139" s="81" t="str">
        <f>IF($B139="","",INDEX('All Bảng'!D:D,MATCH($B139,'All Bảng'!$A:$A,0)))</f>
        <v>B.HNO.GL.VUNI</v>
      </c>
      <c r="E139" s="81" t="str">
        <f>IF($B139="","",INDEX('All Bảng'!E:E,MATCH($B139,'All Bảng'!$A:$A,0)))</f>
        <v>Trường Vinuni  - Tòa M</v>
      </c>
      <c r="F139" s="81" t="str">
        <f>IF($B139="","",INDEX('All Bảng'!F:F,MATCH($B139,'All Bảng'!$A:$A,0)))</f>
        <v>KT</v>
      </c>
      <c r="G139" s="81" t="str">
        <f>IF($B139="","",INDEX('All Bảng'!G:G,MATCH($B139,'All Bảng'!$A:$A,0)))</f>
        <v>KSCL mô hình BIM</v>
      </c>
      <c r="H139" s="121"/>
      <c r="I139" s="135"/>
      <c r="J139" s="135">
        <f>J$3</f>
        <v>46174</v>
      </c>
      <c r="K139" s="148" t="s">
        <v>557</v>
      </c>
      <c r="L139" s="163" t="s">
        <v>557</v>
      </c>
      <c r="M139" s="135">
        <f>M$3</f>
        <v>46175</v>
      </c>
      <c r="N139" s="148" t="s">
        <v>713</v>
      </c>
      <c r="O139" s="137">
        <v>6</v>
      </c>
      <c r="P139" s="135">
        <f>P$3</f>
        <v>46176</v>
      </c>
      <c r="Q139" s="148"/>
      <c r="R139" s="137" t="s">
        <v>557</v>
      </c>
      <c r="S139" s="135">
        <f>S$3</f>
        <v>46177</v>
      </c>
      <c r="T139" s="136" t="s">
        <v>557</v>
      </c>
      <c r="U139" s="137" t="s">
        <v>557</v>
      </c>
      <c r="V139" s="135">
        <f>V$3</f>
        <v>46178</v>
      </c>
      <c r="W139" s="136" t="s">
        <v>557</v>
      </c>
      <c r="X139" s="137" t="s">
        <v>557</v>
      </c>
      <c r="Y139" s="135">
        <f>Y$3</f>
        <v>46179</v>
      </c>
      <c r="Z139" s="136" t="s">
        <v>557</v>
      </c>
      <c r="AA139" s="137" t="s">
        <v>557</v>
      </c>
      <c r="AB139" s="135"/>
      <c r="AC139" s="135">
        <f>AC$3</f>
        <v>46181</v>
      </c>
      <c r="AD139" s="136" t="s">
        <v>557</v>
      </c>
      <c r="AE139" s="137" t="s">
        <v>557</v>
      </c>
      <c r="AF139" s="135">
        <f>AF$3</f>
        <v>46182</v>
      </c>
      <c r="AG139" s="136" t="s">
        <v>557</v>
      </c>
      <c r="AH139" s="137" t="s">
        <v>557</v>
      </c>
      <c r="AI139" s="135">
        <f>AI$3</f>
        <v>46183</v>
      </c>
      <c r="AJ139" s="136" t="s">
        <v>557</v>
      </c>
      <c r="AK139" s="137" t="s">
        <v>557</v>
      </c>
      <c r="AL139" s="135">
        <f>AL$3</f>
        <v>46184</v>
      </c>
      <c r="AM139" s="136" t="s">
        <v>557</v>
      </c>
      <c r="AN139" s="137" t="s">
        <v>557</v>
      </c>
      <c r="AO139" s="135">
        <f>AO$3</f>
        <v>46185</v>
      </c>
      <c r="AP139" s="136" t="s">
        <v>557</v>
      </c>
      <c r="AQ139" s="137" t="s">
        <v>557</v>
      </c>
      <c r="AR139" s="135">
        <f>AR$3</f>
        <v>46186</v>
      </c>
      <c r="AS139" s="136" t="s">
        <v>557</v>
      </c>
      <c r="AT139" s="137" t="s">
        <v>557</v>
      </c>
      <c r="AU139" s="135"/>
      <c r="AV139" s="135">
        <f>AV$3</f>
        <v>46188</v>
      </c>
      <c r="AW139" s="148" t="s">
        <v>557</v>
      </c>
      <c r="AX139" s="137" t="s">
        <v>557</v>
      </c>
      <c r="AY139" s="135">
        <f>AY$3</f>
        <v>46189</v>
      </c>
      <c r="AZ139" s="136" t="s">
        <v>557</v>
      </c>
      <c r="BA139" s="137" t="s">
        <v>557</v>
      </c>
      <c r="BB139" s="135">
        <f>BB$3</f>
        <v>46190</v>
      </c>
      <c r="BC139" s="136" t="s">
        <v>557</v>
      </c>
      <c r="BD139" s="137" t="s">
        <v>557</v>
      </c>
      <c r="BE139" s="135">
        <f>BE$3</f>
        <v>46191</v>
      </c>
      <c r="BF139" s="136" t="s">
        <v>557</v>
      </c>
      <c r="BG139" s="137" t="s">
        <v>557</v>
      </c>
      <c r="BH139" s="135">
        <f>BH$3</f>
        <v>46192</v>
      </c>
      <c r="BI139" s="136" t="s">
        <v>557</v>
      </c>
      <c r="BJ139" s="137" t="s">
        <v>557</v>
      </c>
      <c r="BK139" s="135">
        <f>BK$3</f>
        <v>46193</v>
      </c>
      <c r="BL139" s="136" t="s">
        <v>557</v>
      </c>
      <c r="BM139" s="137" t="s">
        <v>557</v>
      </c>
    </row>
    <row r="140" spans="1:65" outlineLevel="1">
      <c r="A140" s="122" t="str">
        <f>$A$134</f>
        <v>Vũ Thị Thêu</v>
      </c>
      <c r="B140" s="123" t="str">
        <f>'Bảng 3'!A115</f>
        <v>3.B.HNO.GL.VUNI.201</v>
      </c>
      <c r="C140" s="81" t="str">
        <f>IF($B140="","",INDEX('All Bảng'!C:C,MATCH($B140,'All Bảng'!$A:$A,0)))</f>
        <v>Quản lý BIM</v>
      </c>
      <c r="D140" s="81" t="str">
        <f>IF($B140="","",INDEX('All Bảng'!D:D,MATCH($B140,'All Bảng'!$A:$A,0)))</f>
        <v>B.HNO.GL.VUNI</v>
      </c>
      <c r="E140" s="81" t="str">
        <f>IF($B140="","",INDEX('All Bảng'!E:E,MATCH($B140,'All Bảng'!$A:$A,0)))</f>
        <v>Trường Vinuni  - Tòa M</v>
      </c>
      <c r="F140" s="81" t="str">
        <f>IF($B140="","",INDEX('All Bảng'!F:F,MATCH($B140,'All Bảng'!$A:$A,0)))</f>
        <v>KC</v>
      </c>
      <c r="G140" s="81" t="str">
        <f>IF($B140="","",INDEX('All Bảng'!G:G,MATCH($B140,'All Bảng'!$A:$A,0)))</f>
        <v>KSCL mô hình BIM</v>
      </c>
      <c r="H140" s="121"/>
      <c r="I140" s="135"/>
      <c r="J140" s="135">
        <f>J$3</f>
        <v>46174</v>
      </c>
      <c r="K140" s="148" t="s">
        <v>557</v>
      </c>
      <c r="L140" s="163" t="s">
        <v>557</v>
      </c>
      <c r="M140" s="135">
        <f>M$3</f>
        <v>46175</v>
      </c>
      <c r="N140" s="148" t="s">
        <v>714</v>
      </c>
      <c r="O140" s="137">
        <v>3</v>
      </c>
      <c r="P140" s="135">
        <f>P$3</f>
        <v>46176</v>
      </c>
      <c r="Q140" s="148"/>
      <c r="R140" s="137" t="s">
        <v>557</v>
      </c>
      <c r="S140" s="135">
        <f>S$3</f>
        <v>46177</v>
      </c>
      <c r="T140" s="136" t="s">
        <v>557</v>
      </c>
      <c r="U140" s="137" t="s">
        <v>557</v>
      </c>
      <c r="V140" s="135">
        <f>V$3</f>
        <v>46178</v>
      </c>
      <c r="W140" s="136" t="s">
        <v>557</v>
      </c>
      <c r="X140" s="137" t="s">
        <v>557</v>
      </c>
      <c r="Y140" s="135">
        <f>Y$3</f>
        <v>46179</v>
      </c>
      <c r="Z140" s="136" t="s">
        <v>557</v>
      </c>
      <c r="AA140" s="137" t="s">
        <v>557</v>
      </c>
      <c r="AB140" s="135"/>
      <c r="AC140" s="135">
        <f>AC$3</f>
        <v>46181</v>
      </c>
      <c r="AD140" s="136" t="s">
        <v>557</v>
      </c>
      <c r="AE140" s="137" t="s">
        <v>557</v>
      </c>
      <c r="AF140" s="135">
        <f>AF$3</f>
        <v>46182</v>
      </c>
      <c r="AG140" s="136" t="s">
        <v>557</v>
      </c>
      <c r="AH140" s="137" t="s">
        <v>557</v>
      </c>
      <c r="AI140" s="135">
        <f>AI$3</f>
        <v>46183</v>
      </c>
      <c r="AJ140" s="136" t="s">
        <v>557</v>
      </c>
      <c r="AK140" s="137" t="s">
        <v>557</v>
      </c>
      <c r="AL140" s="135">
        <f>AL$3</f>
        <v>46184</v>
      </c>
      <c r="AM140" s="136" t="s">
        <v>557</v>
      </c>
      <c r="AN140" s="137" t="s">
        <v>557</v>
      </c>
      <c r="AO140" s="135">
        <f>AO$3</f>
        <v>46185</v>
      </c>
      <c r="AP140" s="136" t="s">
        <v>557</v>
      </c>
      <c r="AQ140" s="137" t="s">
        <v>557</v>
      </c>
      <c r="AR140" s="135">
        <f>AR$3</f>
        <v>46186</v>
      </c>
      <c r="AS140" s="136" t="s">
        <v>557</v>
      </c>
      <c r="AT140" s="137" t="s">
        <v>557</v>
      </c>
      <c r="AU140" s="135"/>
      <c r="AV140" s="135">
        <f>AV$3</f>
        <v>46188</v>
      </c>
      <c r="AW140" s="148" t="s">
        <v>557</v>
      </c>
      <c r="AX140" s="137" t="s">
        <v>557</v>
      </c>
      <c r="AY140" s="135">
        <f>AY$3</f>
        <v>46189</v>
      </c>
      <c r="AZ140" s="136" t="s">
        <v>557</v>
      </c>
      <c r="BA140" s="137" t="s">
        <v>557</v>
      </c>
      <c r="BB140" s="135">
        <f>BB$3</f>
        <v>46190</v>
      </c>
      <c r="BC140" s="136" t="s">
        <v>557</v>
      </c>
      <c r="BD140" s="137" t="s">
        <v>557</v>
      </c>
      <c r="BE140" s="135">
        <f>BE$3</f>
        <v>46191</v>
      </c>
      <c r="BF140" s="136" t="s">
        <v>557</v>
      </c>
      <c r="BG140" s="137" t="s">
        <v>557</v>
      </c>
      <c r="BH140" s="135">
        <f>BH$3</f>
        <v>46192</v>
      </c>
      <c r="BI140" s="136" t="s">
        <v>557</v>
      </c>
      <c r="BJ140" s="137" t="s">
        <v>557</v>
      </c>
      <c r="BK140" s="135">
        <f>BK$3</f>
        <v>46193</v>
      </c>
      <c r="BL140" s="136" t="s">
        <v>557</v>
      </c>
      <c r="BM140" s="137" t="s">
        <v>557</v>
      </c>
    </row>
    <row r="141" spans="1:65" outlineLevel="1">
      <c r="A141" s="122" t="str">
        <f>$A$134</f>
        <v>Vũ Thị Thêu</v>
      </c>
      <c r="B141" s="123" t="str">
        <f>'Bảng 3'!A121</f>
        <v>3.B.HNO.GL.VUNI.102</v>
      </c>
      <c r="C141" s="81" t="str">
        <f>IF($B141="","",INDEX('All Bảng'!C:C,MATCH($B141,'All Bảng'!$A:$A,0)))</f>
        <v>Quản lý BIM</v>
      </c>
      <c r="D141" s="81" t="str">
        <f>IF($B141="","",INDEX('All Bảng'!D:D,MATCH($B141,'All Bảng'!$A:$A,0)))</f>
        <v>B.HNO.GL.VUNI</v>
      </c>
      <c r="E141" s="81" t="str">
        <f>IF($B141="","",INDEX('All Bảng'!E:E,MATCH($B141,'All Bảng'!$A:$A,0)))</f>
        <v>Trường Vinuni  - Tòa P</v>
      </c>
      <c r="F141" s="81" t="str">
        <f>IF($B141="","",INDEX('All Bảng'!F:F,MATCH($B141,'All Bảng'!$A:$A,0)))</f>
        <v>KT</v>
      </c>
      <c r="G141" s="81" t="str">
        <f>IF($B141="","",INDEX('All Bảng'!G:G,MATCH($B141,'All Bảng'!$A:$A,0)))</f>
        <v>KSCL mô hình BIM</v>
      </c>
      <c r="H141" s="121"/>
      <c r="I141" s="135"/>
      <c r="J141" s="135">
        <f>J$3</f>
        <v>46174</v>
      </c>
      <c r="K141" s="148" t="s">
        <v>557</v>
      </c>
      <c r="L141" s="163" t="s">
        <v>557</v>
      </c>
      <c r="M141" s="135">
        <f>M$3</f>
        <v>46175</v>
      </c>
      <c r="N141" s="148" t="s">
        <v>557</v>
      </c>
      <c r="O141" s="137" t="s">
        <v>557</v>
      </c>
      <c r="P141" s="135">
        <f>P$3</f>
        <v>46176</v>
      </c>
      <c r="Q141" s="148" t="s">
        <v>713</v>
      </c>
      <c r="R141" s="137">
        <v>6</v>
      </c>
      <c r="S141" s="135">
        <f>S$3</f>
        <v>46177</v>
      </c>
      <c r="T141" s="136" t="s">
        <v>715</v>
      </c>
      <c r="U141" s="137">
        <v>1.5</v>
      </c>
      <c r="V141" s="135">
        <f>V$3</f>
        <v>46178</v>
      </c>
      <c r="W141" s="136" t="s">
        <v>557</v>
      </c>
      <c r="X141" s="137" t="s">
        <v>557</v>
      </c>
      <c r="Y141" s="135">
        <f>Y$3</f>
        <v>46179</v>
      </c>
      <c r="Z141" s="136" t="s">
        <v>557</v>
      </c>
      <c r="AA141" s="137" t="s">
        <v>557</v>
      </c>
      <c r="AB141" s="135"/>
      <c r="AC141" s="135">
        <f>AC$3</f>
        <v>46181</v>
      </c>
      <c r="AD141" s="136" t="s">
        <v>557</v>
      </c>
      <c r="AE141" s="137" t="s">
        <v>557</v>
      </c>
      <c r="AF141" s="135">
        <f>AF$3</f>
        <v>46182</v>
      </c>
      <c r="AG141" s="136" t="s">
        <v>557</v>
      </c>
      <c r="AH141" s="137" t="s">
        <v>557</v>
      </c>
      <c r="AI141" s="135">
        <f>AI$3</f>
        <v>46183</v>
      </c>
      <c r="AJ141" s="136" t="s">
        <v>557</v>
      </c>
      <c r="AK141" s="137" t="s">
        <v>557</v>
      </c>
      <c r="AL141" s="135">
        <f>AL$3</f>
        <v>46184</v>
      </c>
      <c r="AM141" s="136" t="s">
        <v>557</v>
      </c>
      <c r="AN141" s="137" t="s">
        <v>557</v>
      </c>
      <c r="AO141" s="135">
        <f>AO$3</f>
        <v>46185</v>
      </c>
      <c r="AP141" s="136" t="s">
        <v>557</v>
      </c>
      <c r="AQ141" s="137" t="s">
        <v>557</v>
      </c>
      <c r="AR141" s="135">
        <f>AR$3</f>
        <v>46186</v>
      </c>
      <c r="AS141" s="136" t="s">
        <v>557</v>
      </c>
      <c r="AT141" s="137" t="s">
        <v>557</v>
      </c>
      <c r="AU141" s="135"/>
      <c r="AV141" s="135">
        <f>AV$3</f>
        <v>46188</v>
      </c>
      <c r="AW141" s="148" t="s">
        <v>557</v>
      </c>
      <c r="AX141" s="137" t="s">
        <v>557</v>
      </c>
      <c r="AY141" s="135">
        <f>AY$3</f>
        <v>46189</v>
      </c>
      <c r="AZ141" s="136" t="s">
        <v>557</v>
      </c>
      <c r="BA141" s="137" t="s">
        <v>557</v>
      </c>
      <c r="BB141" s="135">
        <f>BB$3</f>
        <v>46190</v>
      </c>
      <c r="BC141" s="136" t="s">
        <v>557</v>
      </c>
      <c r="BD141" s="137" t="s">
        <v>557</v>
      </c>
      <c r="BE141" s="135">
        <f>BE$3</f>
        <v>46191</v>
      </c>
      <c r="BF141" s="136" t="s">
        <v>557</v>
      </c>
      <c r="BG141" s="137" t="s">
        <v>557</v>
      </c>
      <c r="BH141" s="135">
        <f>BH$3</f>
        <v>46192</v>
      </c>
      <c r="BI141" s="136" t="s">
        <v>557</v>
      </c>
      <c r="BJ141" s="137" t="s">
        <v>557</v>
      </c>
      <c r="BK141" s="135">
        <f>BK$3</f>
        <v>46193</v>
      </c>
      <c r="BL141" s="136" t="s">
        <v>557</v>
      </c>
      <c r="BM141" s="137" t="s">
        <v>557</v>
      </c>
    </row>
    <row r="142" spans="1:65" outlineLevel="1">
      <c r="A142" s="122" t="str">
        <f>$A$134</f>
        <v>Vũ Thị Thêu</v>
      </c>
      <c r="B142" s="123" t="str">
        <f>'Bảng 3'!A122</f>
        <v>3.B.HNO.GL.VUNI.202</v>
      </c>
      <c r="C142" s="81" t="str">
        <f>IF($B142="","",INDEX('All Bảng'!C:C,MATCH($B142,'All Bảng'!$A:$A,0)))</f>
        <v>Quản lý BIM</v>
      </c>
      <c r="D142" s="81" t="str">
        <f>IF($B142="","",INDEX('All Bảng'!D:D,MATCH($B142,'All Bảng'!$A:$A,0)))</f>
        <v>B.HNO.GL.VUNI</v>
      </c>
      <c r="E142" s="81" t="str">
        <f>IF($B142="","",INDEX('All Bảng'!E:E,MATCH($B142,'All Bảng'!$A:$A,0)))</f>
        <v>Trường Vinuni  - Tòa P</v>
      </c>
      <c r="F142" s="81" t="str">
        <f>IF($B142="","",INDEX('All Bảng'!F:F,MATCH($B142,'All Bảng'!$A:$A,0)))</f>
        <v>KC</v>
      </c>
      <c r="G142" s="81" t="str">
        <f>IF($B142="","",INDEX('All Bảng'!G:G,MATCH($B142,'All Bảng'!$A:$A,0)))</f>
        <v>KSCL mô hình BIM</v>
      </c>
      <c r="H142" s="121"/>
      <c r="I142" s="135"/>
      <c r="J142" s="135">
        <f>J$3</f>
        <v>46174</v>
      </c>
      <c r="K142" s="148" t="s">
        <v>557</v>
      </c>
      <c r="L142" s="163" t="s">
        <v>557</v>
      </c>
      <c r="M142" s="135">
        <f>M$3</f>
        <v>46175</v>
      </c>
      <c r="N142" s="148" t="s">
        <v>557</v>
      </c>
      <c r="O142" s="137" t="s">
        <v>557</v>
      </c>
      <c r="P142" s="135">
        <f>P$3</f>
        <v>46176</v>
      </c>
      <c r="Q142" s="148" t="s">
        <v>714</v>
      </c>
      <c r="R142" s="137">
        <v>2</v>
      </c>
      <c r="S142" s="135">
        <f>S$3</f>
        <v>46177</v>
      </c>
      <c r="T142" s="136" t="s">
        <v>715</v>
      </c>
      <c r="U142" s="137">
        <v>1.5</v>
      </c>
      <c r="V142" s="135">
        <f>V$3</f>
        <v>46178</v>
      </c>
      <c r="W142" s="136" t="s">
        <v>557</v>
      </c>
      <c r="X142" s="137" t="s">
        <v>557</v>
      </c>
      <c r="Y142" s="135">
        <f>Y$3</f>
        <v>46179</v>
      </c>
      <c r="Z142" s="136" t="s">
        <v>557</v>
      </c>
      <c r="AA142" s="137" t="s">
        <v>557</v>
      </c>
      <c r="AB142" s="135"/>
      <c r="AC142" s="135">
        <f>AC$3</f>
        <v>46181</v>
      </c>
      <c r="AD142" s="136" t="s">
        <v>557</v>
      </c>
      <c r="AE142" s="137" t="s">
        <v>557</v>
      </c>
      <c r="AF142" s="135">
        <f>AF$3</f>
        <v>46182</v>
      </c>
      <c r="AG142" s="136" t="s">
        <v>557</v>
      </c>
      <c r="AH142" s="137" t="s">
        <v>557</v>
      </c>
      <c r="AI142" s="135">
        <f>AI$3</f>
        <v>46183</v>
      </c>
      <c r="AJ142" s="136" t="s">
        <v>557</v>
      </c>
      <c r="AK142" s="137" t="s">
        <v>557</v>
      </c>
      <c r="AL142" s="135">
        <f>AL$3</f>
        <v>46184</v>
      </c>
      <c r="AM142" s="136" t="s">
        <v>557</v>
      </c>
      <c r="AN142" s="137" t="s">
        <v>557</v>
      </c>
      <c r="AO142" s="135">
        <f>AO$3</f>
        <v>46185</v>
      </c>
      <c r="AP142" s="136" t="s">
        <v>557</v>
      </c>
      <c r="AQ142" s="137" t="s">
        <v>557</v>
      </c>
      <c r="AR142" s="135">
        <f>AR$3</f>
        <v>46186</v>
      </c>
      <c r="AS142" s="136" t="s">
        <v>557</v>
      </c>
      <c r="AT142" s="137" t="s">
        <v>557</v>
      </c>
      <c r="AU142" s="135"/>
      <c r="AV142" s="135">
        <f>AV$3</f>
        <v>46188</v>
      </c>
      <c r="AW142" s="148" t="s">
        <v>557</v>
      </c>
      <c r="AX142" s="137" t="s">
        <v>557</v>
      </c>
      <c r="AY142" s="135">
        <f>AY$3</f>
        <v>46189</v>
      </c>
      <c r="AZ142" s="136" t="s">
        <v>557</v>
      </c>
      <c r="BA142" s="137" t="s">
        <v>557</v>
      </c>
      <c r="BB142" s="135">
        <f>BB$3</f>
        <v>46190</v>
      </c>
      <c r="BC142" s="136" t="s">
        <v>557</v>
      </c>
      <c r="BD142" s="137" t="s">
        <v>557</v>
      </c>
      <c r="BE142" s="135">
        <f>BE$3</f>
        <v>46191</v>
      </c>
      <c r="BF142" s="136" t="s">
        <v>557</v>
      </c>
      <c r="BG142" s="137" t="s">
        <v>557</v>
      </c>
      <c r="BH142" s="135">
        <f>BH$3</f>
        <v>46192</v>
      </c>
      <c r="BI142" s="136" t="s">
        <v>557</v>
      </c>
      <c r="BJ142" s="137" t="s">
        <v>557</v>
      </c>
      <c r="BK142" s="135">
        <f>BK$3</f>
        <v>46193</v>
      </c>
      <c r="BL142" s="136" t="s">
        <v>557</v>
      </c>
      <c r="BM142" s="137" t="s">
        <v>557</v>
      </c>
    </row>
    <row r="143" spans="1:65" ht="33" customHeight="1" outlineLevel="1">
      <c r="A143" s="122" t="str">
        <f>$A$134</f>
        <v>Vũ Thị Thêu</v>
      </c>
      <c r="B143" s="123" t="str">
        <f>'Bảng 3'!A128</f>
        <v>3.B.HNO.GL.VUNI.103</v>
      </c>
      <c r="C143" s="81" t="str">
        <f>IF($B143="","",INDEX('All Bảng'!C:C,MATCH($B143,'All Bảng'!$A:$A,0)))</f>
        <v>Quản lý BIM</v>
      </c>
      <c r="D143" s="81" t="str">
        <f>IF($B143="","",INDEX('All Bảng'!D:D,MATCH($B143,'All Bảng'!$A:$A,0)))</f>
        <v>B.HNO.GL.VUNI</v>
      </c>
      <c r="E143" s="81" t="str">
        <f>IF($B143="","",INDEX('All Bảng'!E:E,MATCH($B143,'All Bảng'!$A:$A,0)))</f>
        <v>Trường Vinuni  - Tòa Q, R, S</v>
      </c>
      <c r="F143" s="81" t="str">
        <f>IF($B143="","",INDEX('All Bảng'!F:F,MATCH($B143,'All Bảng'!$A:$A,0)))</f>
        <v>KT</v>
      </c>
      <c r="G143" s="81" t="str">
        <f>IF($B143="","",INDEX('All Bảng'!G:G,MATCH($B143,'All Bảng'!$A:$A,0)))</f>
        <v>KSCL mô hình BIM</v>
      </c>
      <c r="H143" s="121"/>
      <c r="I143" s="135"/>
      <c r="J143" s="135">
        <f>J$3</f>
        <v>46174</v>
      </c>
      <c r="K143" s="148" t="s">
        <v>716</v>
      </c>
      <c r="L143" s="163">
        <v>0.5</v>
      </c>
      <c r="M143" s="135">
        <f>M$3</f>
        <v>46175</v>
      </c>
      <c r="N143" s="148" t="s">
        <v>557</v>
      </c>
      <c r="O143" s="137" t="s">
        <v>557</v>
      </c>
      <c r="P143" s="135">
        <f>P$3</f>
        <v>46176</v>
      </c>
      <c r="Q143" s="148" t="s">
        <v>557</v>
      </c>
      <c r="R143" s="137" t="s">
        <v>557</v>
      </c>
      <c r="S143" s="135">
        <f>S$3</f>
        <v>46177</v>
      </c>
      <c r="T143" s="148" t="s">
        <v>717</v>
      </c>
      <c r="U143" s="137">
        <v>2.5</v>
      </c>
      <c r="V143" s="135">
        <f>V$3</f>
        <v>46178</v>
      </c>
      <c r="W143" s="136" t="s">
        <v>557</v>
      </c>
      <c r="X143" s="137" t="s">
        <v>557</v>
      </c>
      <c r="Y143" s="135">
        <f>Y$3</f>
        <v>46179</v>
      </c>
      <c r="Z143" s="136" t="s">
        <v>557</v>
      </c>
      <c r="AA143" s="137" t="s">
        <v>557</v>
      </c>
      <c r="AB143" s="135"/>
      <c r="AC143" s="135">
        <f>AC$3</f>
        <v>46181</v>
      </c>
      <c r="AD143" s="136" t="s">
        <v>557</v>
      </c>
      <c r="AE143" s="137" t="s">
        <v>557</v>
      </c>
      <c r="AF143" s="135">
        <f>AF$3</f>
        <v>46182</v>
      </c>
      <c r="AG143" s="136" t="s">
        <v>557</v>
      </c>
      <c r="AH143" s="137" t="s">
        <v>557</v>
      </c>
      <c r="AI143" s="135">
        <f>AI$3</f>
        <v>46183</v>
      </c>
      <c r="AJ143" s="136" t="s">
        <v>557</v>
      </c>
      <c r="AK143" s="137" t="s">
        <v>557</v>
      </c>
      <c r="AL143" s="135">
        <f>AL$3</f>
        <v>46184</v>
      </c>
      <c r="AM143" s="136" t="s">
        <v>557</v>
      </c>
      <c r="AN143" s="137" t="s">
        <v>557</v>
      </c>
      <c r="AO143" s="135">
        <f>AO$3</f>
        <v>46185</v>
      </c>
      <c r="AP143" s="136" t="s">
        <v>557</v>
      </c>
      <c r="AQ143" s="137" t="s">
        <v>557</v>
      </c>
      <c r="AR143" s="135">
        <f>AR$3</f>
        <v>46186</v>
      </c>
      <c r="AS143" s="136" t="s">
        <v>557</v>
      </c>
      <c r="AT143" s="137" t="s">
        <v>557</v>
      </c>
      <c r="AU143" s="135"/>
      <c r="AV143" s="135">
        <f>AV$3</f>
        <v>46188</v>
      </c>
      <c r="AW143" s="148" t="s">
        <v>557</v>
      </c>
      <c r="AX143" s="137" t="s">
        <v>557</v>
      </c>
      <c r="AY143" s="135">
        <f>AY$3</f>
        <v>46189</v>
      </c>
      <c r="AZ143" s="136" t="s">
        <v>557</v>
      </c>
      <c r="BA143" s="137" t="s">
        <v>557</v>
      </c>
      <c r="BB143" s="135">
        <f>BB$3</f>
        <v>46190</v>
      </c>
      <c r="BC143" s="136" t="s">
        <v>557</v>
      </c>
      <c r="BD143" s="137" t="s">
        <v>557</v>
      </c>
      <c r="BE143" s="135">
        <f>BE$3</f>
        <v>46191</v>
      </c>
      <c r="BF143" s="136" t="s">
        <v>557</v>
      </c>
      <c r="BG143" s="137" t="s">
        <v>557</v>
      </c>
      <c r="BH143" s="135">
        <f>BH$3</f>
        <v>46192</v>
      </c>
      <c r="BI143" s="136" t="s">
        <v>557</v>
      </c>
      <c r="BJ143" s="137" t="s">
        <v>557</v>
      </c>
      <c r="BK143" s="135">
        <f>BK$3</f>
        <v>46193</v>
      </c>
      <c r="BL143" s="136" t="s">
        <v>557</v>
      </c>
      <c r="BM143" s="137" t="s">
        <v>557</v>
      </c>
    </row>
    <row r="144" spans="1:65" outlineLevel="1">
      <c r="A144" s="122" t="str">
        <f>$A$134</f>
        <v>Vũ Thị Thêu</v>
      </c>
      <c r="B144" s="123" t="str">
        <f>'Bảng 3'!A129</f>
        <v>3.B.HNO.GL.VUNI.203</v>
      </c>
      <c r="C144" s="81" t="str">
        <f>IF($B144="","",INDEX('All Bảng'!C:C,MATCH($B144,'All Bảng'!$A:$A,0)))</f>
        <v>Quản lý BIM</v>
      </c>
      <c r="D144" s="81" t="str">
        <f>IF($B144="","",INDEX('All Bảng'!D:D,MATCH($B144,'All Bảng'!$A:$A,0)))</f>
        <v>B.HNO.GL.VUNI</v>
      </c>
      <c r="E144" s="81" t="str">
        <f>IF($B144="","",INDEX('All Bảng'!E:E,MATCH($B144,'All Bảng'!$A:$A,0)))</f>
        <v>Trường Vinuni  - Tòa Q, R, S</v>
      </c>
      <c r="F144" s="81" t="str">
        <f>IF($B144="","",INDEX('All Bảng'!F:F,MATCH($B144,'All Bảng'!$A:$A,0)))</f>
        <v>KC</v>
      </c>
      <c r="G144" s="81" t="str">
        <f>IF($B144="","",INDEX('All Bảng'!G:G,MATCH($B144,'All Bảng'!$A:$A,0)))</f>
        <v>KSCL mô hình BIM</v>
      </c>
      <c r="H144" s="121"/>
      <c r="I144" s="135"/>
      <c r="J144" s="135">
        <f>J$3</f>
        <v>46174</v>
      </c>
      <c r="K144" s="148"/>
      <c r="L144" s="163"/>
      <c r="M144" s="135">
        <f>M$3</f>
        <v>46175</v>
      </c>
      <c r="N144" s="148" t="s">
        <v>557</v>
      </c>
      <c r="O144" s="137" t="s">
        <v>557</v>
      </c>
      <c r="P144" s="135">
        <f>P$3</f>
        <v>46176</v>
      </c>
      <c r="Q144" s="148" t="s">
        <v>557</v>
      </c>
      <c r="R144" s="137" t="s">
        <v>557</v>
      </c>
      <c r="S144" s="135">
        <f>S$3</f>
        <v>46177</v>
      </c>
      <c r="T144" s="136" t="s">
        <v>715</v>
      </c>
      <c r="U144" s="137">
        <v>2.5</v>
      </c>
      <c r="V144" s="135">
        <f>V$3</f>
        <v>46178</v>
      </c>
      <c r="W144" s="136" t="s">
        <v>557</v>
      </c>
      <c r="X144" s="137" t="s">
        <v>557</v>
      </c>
      <c r="Y144" s="135">
        <f>Y$3</f>
        <v>46179</v>
      </c>
      <c r="Z144" s="136" t="s">
        <v>557</v>
      </c>
      <c r="AA144" s="137" t="s">
        <v>557</v>
      </c>
      <c r="AB144" s="135"/>
      <c r="AC144" s="135">
        <f>AC$3</f>
        <v>46181</v>
      </c>
      <c r="AD144" s="136" t="s">
        <v>557</v>
      </c>
      <c r="AE144" s="137" t="s">
        <v>557</v>
      </c>
      <c r="AF144" s="135">
        <f>AF$3</f>
        <v>46182</v>
      </c>
      <c r="AG144" s="136" t="s">
        <v>557</v>
      </c>
      <c r="AH144" s="137" t="s">
        <v>557</v>
      </c>
      <c r="AI144" s="135">
        <f>AI$3</f>
        <v>46183</v>
      </c>
      <c r="AJ144" s="136" t="s">
        <v>557</v>
      </c>
      <c r="AK144" s="137" t="s">
        <v>557</v>
      </c>
      <c r="AL144" s="135">
        <f>AL$3</f>
        <v>46184</v>
      </c>
      <c r="AM144" s="136" t="s">
        <v>557</v>
      </c>
      <c r="AN144" s="137" t="s">
        <v>557</v>
      </c>
      <c r="AO144" s="135">
        <f>AO$3</f>
        <v>46185</v>
      </c>
      <c r="AP144" s="136" t="s">
        <v>557</v>
      </c>
      <c r="AQ144" s="137" t="s">
        <v>557</v>
      </c>
      <c r="AR144" s="135">
        <f>AR$3</f>
        <v>46186</v>
      </c>
      <c r="AS144" s="136" t="s">
        <v>557</v>
      </c>
      <c r="AT144" s="137" t="s">
        <v>557</v>
      </c>
      <c r="AU144" s="135"/>
      <c r="AV144" s="135">
        <f>AV$3</f>
        <v>46188</v>
      </c>
      <c r="AW144" s="148" t="s">
        <v>557</v>
      </c>
      <c r="AX144" s="137" t="s">
        <v>557</v>
      </c>
      <c r="AY144" s="135">
        <f>AY$3</f>
        <v>46189</v>
      </c>
      <c r="AZ144" s="136" t="s">
        <v>557</v>
      </c>
      <c r="BA144" s="137" t="s">
        <v>557</v>
      </c>
      <c r="BB144" s="135">
        <f>BB$3</f>
        <v>46190</v>
      </c>
      <c r="BC144" s="136" t="s">
        <v>557</v>
      </c>
      <c r="BD144" s="137" t="s">
        <v>557</v>
      </c>
      <c r="BE144" s="135">
        <f>BE$3</f>
        <v>46191</v>
      </c>
      <c r="BF144" s="136" t="s">
        <v>557</v>
      </c>
      <c r="BG144" s="137" t="s">
        <v>557</v>
      </c>
      <c r="BH144" s="135">
        <f>BH$3</f>
        <v>46192</v>
      </c>
      <c r="BI144" s="136" t="s">
        <v>557</v>
      </c>
      <c r="BJ144" s="137" t="s">
        <v>557</v>
      </c>
      <c r="BK144" s="135">
        <f>BK$3</f>
        <v>46193</v>
      </c>
      <c r="BL144" s="136" t="s">
        <v>557</v>
      </c>
      <c r="BM144" s="137" t="s">
        <v>557</v>
      </c>
    </row>
    <row r="145" spans="1:65" outlineLevel="1">
      <c r="A145" s="122" t="str">
        <f>$A$134</f>
        <v>Vũ Thị Thêu</v>
      </c>
      <c r="B145" s="123" t="str">
        <f>'Bảng 3'!A135</f>
        <v>3.B.HNO.GL.VUNI.104</v>
      </c>
      <c r="C145" s="81" t="str">
        <f>IF($B145="","",INDEX('All Bảng'!C:C,MATCH($B145,'All Bảng'!$A:$A,0)))</f>
        <v>Quản lý BIM</v>
      </c>
      <c r="D145" s="81" t="str">
        <f>IF($B145="","",INDEX('All Bảng'!D:D,MATCH($B145,'All Bảng'!$A:$A,0)))</f>
        <v>B.HNO.GL.VUNI</v>
      </c>
      <c r="E145" s="81" t="str">
        <f>IF($B145="","",INDEX('All Bảng'!E:E,MATCH($B145,'All Bảng'!$A:$A,0)))</f>
        <v>Trường Vinuni  - Tòa T (KTX)</v>
      </c>
      <c r="F145" s="81" t="str">
        <f>IF($B145="","",INDEX('All Bảng'!F:F,MATCH($B145,'All Bảng'!$A:$A,0)))</f>
        <v>KT</v>
      </c>
      <c r="G145" s="81" t="str">
        <f>IF($B145="","",INDEX('All Bảng'!G:G,MATCH($B145,'All Bảng'!$A:$A,0)))</f>
        <v>KSCL mô hình BIM</v>
      </c>
      <c r="H145" s="121"/>
      <c r="I145" s="135"/>
      <c r="J145" s="135">
        <f>J$3</f>
        <v>46174</v>
      </c>
      <c r="K145" s="148" t="s">
        <v>557</v>
      </c>
      <c r="L145" s="163" t="s">
        <v>557</v>
      </c>
      <c r="M145" s="135">
        <f>M$3</f>
        <v>46175</v>
      </c>
      <c r="N145" s="148" t="s">
        <v>557</v>
      </c>
      <c r="O145" s="137" t="s">
        <v>557</v>
      </c>
      <c r="P145" s="135">
        <f>P$3</f>
        <v>46176</v>
      </c>
      <c r="Q145" s="148" t="s">
        <v>557</v>
      </c>
      <c r="R145" s="137" t="s">
        <v>557</v>
      </c>
      <c r="S145" s="135">
        <f>S$3</f>
        <v>46177</v>
      </c>
      <c r="T145" s="136" t="s">
        <v>557</v>
      </c>
      <c r="U145" s="137" t="s">
        <v>557</v>
      </c>
      <c r="V145" s="135">
        <f>V$3</f>
        <v>46178</v>
      </c>
      <c r="W145" s="136" t="s">
        <v>557</v>
      </c>
      <c r="X145" s="137" t="s">
        <v>557</v>
      </c>
      <c r="Y145" s="135">
        <f>Y$3</f>
        <v>46179</v>
      </c>
      <c r="Z145" s="136" t="s">
        <v>557</v>
      </c>
      <c r="AA145" s="137" t="s">
        <v>557</v>
      </c>
      <c r="AB145" s="135"/>
      <c r="AC145" s="135">
        <f>AC$3</f>
        <v>46181</v>
      </c>
      <c r="AD145" s="136" t="s">
        <v>557</v>
      </c>
      <c r="AE145" s="137" t="s">
        <v>557</v>
      </c>
      <c r="AF145" s="135">
        <f>AF$3</f>
        <v>46182</v>
      </c>
      <c r="AG145" s="136" t="s">
        <v>557</v>
      </c>
      <c r="AH145" s="137" t="s">
        <v>557</v>
      </c>
      <c r="AI145" s="135">
        <f>AI$3</f>
        <v>46183</v>
      </c>
      <c r="AJ145" s="136" t="s">
        <v>557</v>
      </c>
      <c r="AK145" s="137" t="s">
        <v>557</v>
      </c>
      <c r="AL145" s="135">
        <f>AL$3</f>
        <v>46184</v>
      </c>
      <c r="AM145" s="136" t="s">
        <v>557</v>
      </c>
      <c r="AN145" s="137" t="s">
        <v>557</v>
      </c>
      <c r="AO145" s="135">
        <f>AO$3</f>
        <v>46185</v>
      </c>
      <c r="AP145" s="136" t="s">
        <v>557</v>
      </c>
      <c r="AQ145" s="137" t="s">
        <v>557</v>
      </c>
      <c r="AR145" s="135">
        <f>AR$3</f>
        <v>46186</v>
      </c>
      <c r="AS145" s="136" t="s">
        <v>557</v>
      </c>
      <c r="AT145" s="137" t="s">
        <v>557</v>
      </c>
      <c r="AU145" s="135"/>
      <c r="AV145" s="135">
        <f>AV$3</f>
        <v>46188</v>
      </c>
      <c r="AW145" s="148" t="s">
        <v>557</v>
      </c>
      <c r="AX145" s="137" t="s">
        <v>557</v>
      </c>
      <c r="AY145" s="135">
        <f>AY$3</f>
        <v>46189</v>
      </c>
      <c r="AZ145" s="136" t="s">
        <v>557</v>
      </c>
      <c r="BA145" s="137" t="s">
        <v>557</v>
      </c>
      <c r="BB145" s="135">
        <f>BB$3</f>
        <v>46190</v>
      </c>
      <c r="BC145" s="136" t="s">
        <v>557</v>
      </c>
      <c r="BD145" s="137" t="s">
        <v>557</v>
      </c>
      <c r="BE145" s="135">
        <f>BE$3</f>
        <v>46191</v>
      </c>
      <c r="BF145" s="136" t="s">
        <v>557</v>
      </c>
      <c r="BG145" s="137" t="s">
        <v>557</v>
      </c>
      <c r="BH145" s="135">
        <f>BH$3</f>
        <v>46192</v>
      </c>
      <c r="BI145" s="136" t="s">
        <v>557</v>
      </c>
      <c r="BJ145" s="137" t="s">
        <v>557</v>
      </c>
      <c r="BK145" s="135">
        <f>BK$3</f>
        <v>46193</v>
      </c>
      <c r="BL145" s="136" t="s">
        <v>557</v>
      </c>
      <c r="BM145" s="137" t="s">
        <v>557</v>
      </c>
    </row>
    <row r="146" spans="1:65" outlineLevel="1">
      <c r="A146" s="122" t="str">
        <f>$A$134</f>
        <v>Vũ Thị Thêu</v>
      </c>
      <c r="B146" s="123" t="str">
        <f>'Bảng 3'!A136</f>
        <v>3.B.HNO.GL.VUNI.204</v>
      </c>
      <c r="C146" s="81" t="str">
        <f>IF($B146="","",INDEX('All Bảng'!C:C,MATCH($B146,'All Bảng'!$A:$A,0)))</f>
        <v>Quản lý BIM</v>
      </c>
      <c r="D146" s="81" t="str">
        <f>IF($B146="","",INDEX('All Bảng'!D:D,MATCH($B146,'All Bảng'!$A:$A,0)))</f>
        <v>B.HNO.GL.VUNI</v>
      </c>
      <c r="E146" s="81" t="str">
        <f>IF($B146="","",INDEX('All Bảng'!E:E,MATCH($B146,'All Bảng'!$A:$A,0)))</f>
        <v>Trường Vinuni  - Tòa T (KTX)</v>
      </c>
      <c r="F146" s="81" t="str">
        <f>IF($B146="","",INDEX('All Bảng'!F:F,MATCH($B146,'All Bảng'!$A:$A,0)))</f>
        <v>KC</v>
      </c>
      <c r="G146" s="81" t="str">
        <f>IF($B146="","",INDEX('All Bảng'!G:G,MATCH($B146,'All Bảng'!$A:$A,0)))</f>
        <v>KSCL mô hình BIM</v>
      </c>
      <c r="H146" s="121"/>
      <c r="I146" s="135"/>
      <c r="J146" s="135">
        <f>J$3</f>
        <v>46174</v>
      </c>
      <c r="K146" s="148" t="s">
        <v>557</v>
      </c>
      <c r="L146" s="163" t="s">
        <v>557</v>
      </c>
      <c r="M146" s="135">
        <f>M$3</f>
        <v>46175</v>
      </c>
      <c r="N146" s="148" t="s">
        <v>557</v>
      </c>
      <c r="O146" s="137" t="s">
        <v>557</v>
      </c>
      <c r="P146" s="135">
        <f>P$3</f>
        <v>46176</v>
      </c>
      <c r="Q146" s="148" t="s">
        <v>557</v>
      </c>
      <c r="R146" s="137" t="s">
        <v>557</v>
      </c>
      <c r="S146" s="135">
        <f>S$3</f>
        <v>46177</v>
      </c>
      <c r="T146" s="136" t="s">
        <v>557</v>
      </c>
      <c r="U146" s="137" t="s">
        <v>557</v>
      </c>
      <c r="V146" s="135">
        <f>V$3</f>
        <v>46178</v>
      </c>
      <c r="W146" s="136" t="s">
        <v>557</v>
      </c>
      <c r="X146" s="137" t="s">
        <v>557</v>
      </c>
      <c r="Y146" s="135">
        <f>Y$3</f>
        <v>46179</v>
      </c>
      <c r="Z146" s="136" t="s">
        <v>557</v>
      </c>
      <c r="AA146" s="137" t="s">
        <v>557</v>
      </c>
      <c r="AB146" s="135"/>
      <c r="AC146" s="135">
        <f>AC$3</f>
        <v>46181</v>
      </c>
      <c r="AD146" s="136" t="s">
        <v>557</v>
      </c>
      <c r="AE146" s="137" t="s">
        <v>557</v>
      </c>
      <c r="AF146" s="135">
        <f>AF$3</f>
        <v>46182</v>
      </c>
      <c r="AG146" s="136" t="s">
        <v>557</v>
      </c>
      <c r="AH146" s="137" t="s">
        <v>557</v>
      </c>
      <c r="AI146" s="135">
        <f>AI$3</f>
        <v>46183</v>
      </c>
      <c r="AJ146" s="136" t="s">
        <v>557</v>
      </c>
      <c r="AK146" s="137" t="s">
        <v>557</v>
      </c>
      <c r="AL146" s="135">
        <f>AL$3</f>
        <v>46184</v>
      </c>
      <c r="AM146" s="136" t="s">
        <v>557</v>
      </c>
      <c r="AN146" s="137" t="s">
        <v>557</v>
      </c>
      <c r="AO146" s="135">
        <f>AO$3</f>
        <v>46185</v>
      </c>
      <c r="AP146" s="136" t="s">
        <v>557</v>
      </c>
      <c r="AQ146" s="137" t="s">
        <v>557</v>
      </c>
      <c r="AR146" s="135">
        <f>AR$3</f>
        <v>46186</v>
      </c>
      <c r="AS146" s="136" t="s">
        <v>557</v>
      </c>
      <c r="AT146" s="137" t="s">
        <v>557</v>
      </c>
      <c r="AU146" s="135"/>
      <c r="AV146" s="135">
        <f>AV$3</f>
        <v>46188</v>
      </c>
      <c r="AW146" s="148" t="s">
        <v>557</v>
      </c>
      <c r="AX146" s="137" t="s">
        <v>557</v>
      </c>
      <c r="AY146" s="135">
        <f>AY$3</f>
        <v>46189</v>
      </c>
      <c r="AZ146" s="136" t="s">
        <v>557</v>
      </c>
      <c r="BA146" s="137" t="s">
        <v>557</v>
      </c>
      <c r="BB146" s="135">
        <f>BB$3</f>
        <v>46190</v>
      </c>
      <c r="BC146" s="136" t="s">
        <v>557</v>
      </c>
      <c r="BD146" s="137" t="s">
        <v>557</v>
      </c>
      <c r="BE146" s="135">
        <f>BE$3</f>
        <v>46191</v>
      </c>
      <c r="BF146" s="136" t="s">
        <v>557</v>
      </c>
      <c r="BG146" s="137" t="s">
        <v>557</v>
      </c>
      <c r="BH146" s="135">
        <f>BH$3</f>
        <v>46192</v>
      </c>
      <c r="BI146" s="136" t="s">
        <v>557</v>
      </c>
      <c r="BJ146" s="137" t="s">
        <v>557</v>
      </c>
      <c r="BK146" s="135">
        <f>BK$3</f>
        <v>46193</v>
      </c>
      <c r="BL146" s="136" t="s">
        <v>557</v>
      </c>
      <c r="BM146" s="137" t="s">
        <v>557</v>
      </c>
    </row>
    <row r="147" spans="1:65" outlineLevel="1">
      <c r="A147" s="122" t="str">
        <f>$A$134</f>
        <v>Vũ Thị Thêu</v>
      </c>
      <c r="B147" s="123" t="str">
        <f>'Bảng 3'!A137</f>
        <v>3.B.HNO.GL.VUNI.105</v>
      </c>
      <c r="C147" s="81" t="str">
        <f>IF($B147="","",INDEX('All Bảng'!C:C,MATCH($B147,'All Bảng'!$A:$A,0)))</f>
        <v>Quản lý BIM</v>
      </c>
      <c r="D147" s="81" t="str">
        <f>IF($B147="","",INDEX('All Bảng'!D:D,MATCH($B147,'All Bảng'!$A:$A,0)))</f>
        <v>B.HNO.GL.VUNI</v>
      </c>
      <c r="E147" s="81" t="str">
        <f>IF($B147="","",INDEX('All Bảng'!E:E,MATCH($B147,'All Bảng'!$A:$A,0)))</f>
        <v>Trường Vinuni  - Tòa U (KTX)</v>
      </c>
      <c r="F147" s="81" t="str">
        <f>IF($B147="","",INDEX('All Bảng'!F:F,MATCH($B147,'All Bảng'!$A:$A,0)))</f>
        <v>KT</v>
      </c>
      <c r="G147" s="81" t="str">
        <f>IF($B147="","",INDEX('All Bảng'!G:G,MATCH($B147,'All Bảng'!$A:$A,0)))</f>
        <v>KSCL mô hình BIM</v>
      </c>
      <c r="H147" s="121"/>
      <c r="I147" s="135"/>
      <c r="J147" s="135">
        <f>J$3</f>
        <v>46174</v>
      </c>
      <c r="K147" s="148" t="s">
        <v>557</v>
      </c>
      <c r="L147" s="163" t="s">
        <v>557</v>
      </c>
      <c r="M147" s="135">
        <f>M$3</f>
        <v>46175</v>
      </c>
      <c r="N147" s="148" t="s">
        <v>557</v>
      </c>
      <c r="O147" s="137" t="s">
        <v>557</v>
      </c>
      <c r="P147" s="135">
        <f>P$3</f>
        <v>46176</v>
      </c>
      <c r="Q147" s="148" t="s">
        <v>557</v>
      </c>
      <c r="R147" s="137" t="s">
        <v>557</v>
      </c>
      <c r="S147" s="135">
        <f>S$3</f>
        <v>46177</v>
      </c>
      <c r="T147" s="136" t="s">
        <v>557</v>
      </c>
      <c r="U147" s="137" t="s">
        <v>557</v>
      </c>
      <c r="V147" s="135">
        <f>V$3</f>
        <v>46178</v>
      </c>
      <c r="W147" s="136" t="s">
        <v>557</v>
      </c>
      <c r="X147" s="137" t="s">
        <v>557</v>
      </c>
      <c r="Y147" s="135">
        <f>Y$3</f>
        <v>46179</v>
      </c>
      <c r="Z147" s="136" t="s">
        <v>557</v>
      </c>
      <c r="AA147" s="137" t="s">
        <v>557</v>
      </c>
      <c r="AB147" s="135"/>
      <c r="AC147" s="135">
        <f>AC$3</f>
        <v>46181</v>
      </c>
      <c r="AD147" s="136" t="s">
        <v>557</v>
      </c>
      <c r="AE147" s="137" t="s">
        <v>557</v>
      </c>
      <c r="AF147" s="135">
        <f>AF$3</f>
        <v>46182</v>
      </c>
      <c r="AG147" s="136" t="s">
        <v>557</v>
      </c>
      <c r="AH147" s="137" t="s">
        <v>557</v>
      </c>
      <c r="AI147" s="135">
        <f>AI$3</f>
        <v>46183</v>
      </c>
      <c r="AJ147" s="136" t="s">
        <v>557</v>
      </c>
      <c r="AK147" s="137" t="s">
        <v>557</v>
      </c>
      <c r="AL147" s="135">
        <f>AL$3</f>
        <v>46184</v>
      </c>
      <c r="AM147" s="136" t="s">
        <v>557</v>
      </c>
      <c r="AN147" s="137" t="s">
        <v>557</v>
      </c>
      <c r="AO147" s="135">
        <f>AO$3</f>
        <v>46185</v>
      </c>
      <c r="AP147" s="136" t="s">
        <v>557</v>
      </c>
      <c r="AQ147" s="137" t="s">
        <v>557</v>
      </c>
      <c r="AR147" s="135">
        <f>AR$3</f>
        <v>46186</v>
      </c>
      <c r="AS147" s="136" t="s">
        <v>557</v>
      </c>
      <c r="AT147" s="137" t="s">
        <v>557</v>
      </c>
      <c r="AU147" s="135"/>
      <c r="AV147" s="135">
        <f>AV$3</f>
        <v>46188</v>
      </c>
      <c r="AW147" s="148" t="s">
        <v>557</v>
      </c>
      <c r="AX147" s="137" t="s">
        <v>557</v>
      </c>
      <c r="AY147" s="135">
        <f>AY$3</f>
        <v>46189</v>
      </c>
      <c r="AZ147" s="136" t="s">
        <v>557</v>
      </c>
      <c r="BA147" s="137" t="s">
        <v>557</v>
      </c>
      <c r="BB147" s="135">
        <f>BB$3</f>
        <v>46190</v>
      </c>
      <c r="BC147" s="136" t="s">
        <v>557</v>
      </c>
      <c r="BD147" s="137" t="s">
        <v>557</v>
      </c>
      <c r="BE147" s="135">
        <f>BE$3</f>
        <v>46191</v>
      </c>
      <c r="BF147" s="136" t="s">
        <v>557</v>
      </c>
      <c r="BG147" s="137" t="s">
        <v>557</v>
      </c>
      <c r="BH147" s="135">
        <f>BH$3</f>
        <v>46192</v>
      </c>
      <c r="BI147" s="136" t="s">
        <v>557</v>
      </c>
      <c r="BJ147" s="137" t="s">
        <v>557</v>
      </c>
      <c r="BK147" s="135">
        <f>BK$3</f>
        <v>46193</v>
      </c>
      <c r="BL147" s="136" t="s">
        <v>557</v>
      </c>
      <c r="BM147" s="137" t="s">
        <v>557</v>
      </c>
    </row>
    <row r="148" spans="1:65" outlineLevel="1">
      <c r="A148" s="122" t="str">
        <f>$A$134</f>
        <v>Vũ Thị Thêu</v>
      </c>
      <c r="B148" s="123" t="str">
        <f>'Bảng 3'!A138</f>
        <v>3.B.HNO.GL.VUNI.205</v>
      </c>
      <c r="C148" s="81" t="str">
        <f>IF($B148="","",INDEX('All Bảng'!C:C,MATCH($B148,'All Bảng'!$A:$A,0)))</f>
        <v>Quản lý BIM</v>
      </c>
      <c r="D148" s="81" t="str">
        <f>IF($B148="","",INDEX('All Bảng'!D:D,MATCH($B148,'All Bảng'!$A:$A,0)))</f>
        <v>B.HNO.GL.VUNI</v>
      </c>
      <c r="E148" s="81" t="str">
        <f>IF($B148="","",INDEX('All Bảng'!E:E,MATCH($B148,'All Bảng'!$A:$A,0)))</f>
        <v>Trường Vinuni  - Tòa U (KTX)</v>
      </c>
      <c r="F148" s="81" t="str">
        <f>IF($B148="","",INDEX('All Bảng'!F:F,MATCH($B148,'All Bảng'!$A:$A,0)))</f>
        <v>KC</v>
      </c>
      <c r="G148" s="81" t="str">
        <f>IF($B148="","",INDEX('All Bảng'!G:G,MATCH($B148,'All Bảng'!$A:$A,0)))</f>
        <v>KSCL mô hình BIM</v>
      </c>
      <c r="H148" s="121"/>
      <c r="I148" s="135"/>
      <c r="J148" s="135">
        <f>J$3</f>
        <v>46174</v>
      </c>
      <c r="K148" s="148" t="s">
        <v>557</v>
      </c>
      <c r="L148" s="163" t="s">
        <v>557</v>
      </c>
      <c r="M148" s="135">
        <f>M$3</f>
        <v>46175</v>
      </c>
      <c r="N148" s="148" t="s">
        <v>557</v>
      </c>
      <c r="O148" s="137" t="s">
        <v>557</v>
      </c>
      <c r="P148" s="135">
        <f>P$3</f>
        <v>46176</v>
      </c>
      <c r="Q148" s="148" t="s">
        <v>557</v>
      </c>
      <c r="R148" s="137" t="s">
        <v>557</v>
      </c>
      <c r="S148" s="135">
        <f>S$3</f>
        <v>46177</v>
      </c>
      <c r="T148" s="136" t="s">
        <v>557</v>
      </c>
      <c r="U148" s="137" t="s">
        <v>557</v>
      </c>
      <c r="V148" s="135">
        <f>V$3</f>
        <v>46178</v>
      </c>
      <c r="W148" s="136" t="s">
        <v>557</v>
      </c>
      <c r="X148" s="137" t="s">
        <v>557</v>
      </c>
      <c r="Y148" s="135">
        <f>Y$3</f>
        <v>46179</v>
      </c>
      <c r="Z148" s="136" t="s">
        <v>557</v>
      </c>
      <c r="AA148" s="137" t="s">
        <v>557</v>
      </c>
      <c r="AB148" s="135"/>
      <c r="AC148" s="135">
        <f>AC$3</f>
        <v>46181</v>
      </c>
      <c r="AD148" s="136" t="s">
        <v>557</v>
      </c>
      <c r="AE148" s="137" t="s">
        <v>557</v>
      </c>
      <c r="AF148" s="135">
        <f>AF$3</f>
        <v>46182</v>
      </c>
      <c r="AG148" s="136" t="s">
        <v>557</v>
      </c>
      <c r="AH148" s="137" t="s">
        <v>557</v>
      </c>
      <c r="AI148" s="135">
        <f>AI$3</f>
        <v>46183</v>
      </c>
      <c r="AJ148" s="136" t="s">
        <v>557</v>
      </c>
      <c r="AK148" s="137" t="s">
        <v>557</v>
      </c>
      <c r="AL148" s="135">
        <f>AL$3</f>
        <v>46184</v>
      </c>
      <c r="AM148" s="136" t="s">
        <v>557</v>
      </c>
      <c r="AN148" s="137" t="s">
        <v>557</v>
      </c>
      <c r="AO148" s="135">
        <f>AO$3</f>
        <v>46185</v>
      </c>
      <c r="AP148" s="136" t="s">
        <v>557</v>
      </c>
      <c r="AQ148" s="137" t="s">
        <v>557</v>
      </c>
      <c r="AR148" s="135">
        <f>AR$3</f>
        <v>46186</v>
      </c>
      <c r="AS148" s="136" t="s">
        <v>557</v>
      </c>
      <c r="AT148" s="137" t="s">
        <v>557</v>
      </c>
      <c r="AU148" s="135"/>
      <c r="AV148" s="135">
        <f>AV$3</f>
        <v>46188</v>
      </c>
      <c r="AW148" s="148" t="s">
        <v>557</v>
      </c>
      <c r="AX148" s="137" t="s">
        <v>557</v>
      </c>
      <c r="AY148" s="135">
        <f>AY$3</f>
        <v>46189</v>
      </c>
      <c r="AZ148" s="136" t="s">
        <v>557</v>
      </c>
      <c r="BA148" s="137" t="s">
        <v>557</v>
      </c>
      <c r="BB148" s="135">
        <f>BB$3</f>
        <v>46190</v>
      </c>
      <c r="BC148" s="136" t="s">
        <v>557</v>
      </c>
      <c r="BD148" s="137" t="s">
        <v>557</v>
      </c>
      <c r="BE148" s="135">
        <f>BE$3</f>
        <v>46191</v>
      </c>
      <c r="BF148" s="136" t="s">
        <v>557</v>
      </c>
      <c r="BG148" s="137" t="s">
        <v>557</v>
      </c>
      <c r="BH148" s="135">
        <f>BH$3</f>
        <v>46192</v>
      </c>
      <c r="BI148" s="136" t="s">
        <v>557</v>
      </c>
      <c r="BJ148" s="137" t="s">
        <v>557</v>
      </c>
      <c r="BK148" s="135">
        <f>BK$3</f>
        <v>46193</v>
      </c>
      <c r="BL148" s="136" t="s">
        <v>557</v>
      </c>
      <c r="BM148" s="137" t="s">
        <v>557</v>
      </c>
    </row>
    <row r="149" spans="1:65" outlineLevel="1">
      <c r="A149" s="122" t="str">
        <f>$A$134</f>
        <v>Vũ Thị Thêu</v>
      </c>
      <c r="B149" s="123" t="str">
        <f>'Bảng 3'!A178</f>
        <v>3.B.HYE.NOXHHY.CT.103</v>
      </c>
      <c r="C149" s="81" t="str">
        <f>IF($B149="","",INDEX('All Bảng'!C:C,MATCH($B149,'All Bảng'!$A:$A,0)))</f>
        <v>Quản lý BIM</v>
      </c>
      <c r="D149" s="81" t="str">
        <f>IF($B149="","",INDEX('All Bảng'!D:D,MATCH($B149,'All Bảng'!$A:$A,0)))</f>
        <v>B.HYE.NOXHHY.CT</v>
      </c>
      <c r="E149" s="81" t="str">
        <f>IF($B149="","",INDEX('All Bảng'!E:E,MATCH($B149,'All Bảng'!$A:$A,0)))</f>
        <v>NOXH03 (05 tòa)</v>
      </c>
      <c r="F149" s="81" t="str">
        <f>IF($B149="","",INDEX('All Bảng'!F:F,MATCH($B149,'All Bảng'!$A:$A,0)))</f>
        <v>KT</v>
      </c>
      <c r="G149" s="81" t="str">
        <f>IF($B149="","",INDEX('All Bảng'!G:G,MATCH($B149,'All Bảng'!$A:$A,0)))</f>
        <v>KSCL mô hình BIM</v>
      </c>
      <c r="H149" s="121"/>
      <c r="I149" s="135"/>
      <c r="J149" s="135">
        <f>J$3</f>
        <v>46174</v>
      </c>
      <c r="K149" s="148" t="s">
        <v>557</v>
      </c>
      <c r="L149" s="163" t="s">
        <v>557</v>
      </c>
      <c r="M149" s="135">
        <f>M$3</f>
        <v>46175</v>
      </c>
      <c r="N149" s="148" t="s">
        <v>557</v>
      </c>
      <c r="O149" s="137" t="s">
        <v>557</v>
      </c>
      <c r="P149" s="135">
        <f>P$3</f>
        <v>46176</v>
      </c>
      <c r="Q149" s="148" t="s">
        <v>557</v>
      </c>
      <c r="R149" s="137" t="s">
        <v>557</v>
      </c>
      <c r="S149" s="135">
        <f>S$3</f>
        <v>46177</v>
      </c>
      <c r="T149" s="136" t="s">
        <v>557</v>
      </c>
      <c r="U149" s="137" t="s">
        <v>557</v>
      </c>
      <c r="V149" s="135">
        <f>V$3</f>
        <v>46178</v>
      </c>
      <c r="W149" s="136" t="s">
        <v>557</v>
      </c>
      <c r="X149" s="137" t="s">
        <v>557</v>
      </c>
      <c r="Y149" s="135">
        <f>Y$3</f>
        <v>46179</v>
      </c>
      <c r="Z149" s="136" t="s">
        <v>557</v>
      </c>
      <c r="AA149" s="137" t="s">
        <v>557</v>
      </c>
      <c r="AB149" s="135"/>
      <c r="AC149" s="135">
        <f>AC$3</f>
        <v>46181</v>
      </c>
      <c r="AD149" s="136" t="s">
        <v>557</v>
      </c>
      <c r="AE149" s="137" t="s">
        <v>557</v>
      </c>
      <c r="AF149" s="135">
        <f>AF$3</f>
        <v>46182</v>
      </c>
      <c r="AG149" s="136" t="s">
        <v>557</v>
      </c>
      <c r="AH149" s="137" t="s">
        <v>557</v>
      </c>
      <c r="AI149" s="135">
        <f>AI$3</f>
        <v>46183</v>
      </c>
      <c r="AJ149" s="136" t="s">
        <v>557</v>
      </c>
      <c r="AK149" s="137" t="s">
        <v>557</v>
      </c>
      <c r="AL149" s="135">
        <f>AL$3</f>
        <v>46184</v>
      </c>
      <c r="AM149" s="136" t="s">
        <v>557</v>
      </c>
      <c r="AN149" s="137" t="s">
        <v>557</v>
      </c>
      <c r="AO149" s="135">
        <f>AO$3</f>
        <v>46185</v>
      </c>
      <c r="AP149" s="136" t="s">
        <v>557</v>
      </c>
      <c r="AQ149" s="137" t="s">
        <v>557</v>
      </c>
      <c r="AR149" s="135">
        <f>AR$3</f>
        <v>46186</v>
      </c>
      <c r="AS149" s="136" t="s">
        <v>557</v>
      </c>
      <c r="AT149" s="137" t="s">
        <v>557</v>
      </c>
      <c r="AU149" s="135"/>
      <c r="AV149" s="135">
        <f>AV$3</f>
        <v>46188</v>
      </c>
      <c r="AW149" s="148" t="s">
        <v>557</v>
      </c>
      <c r="AX149" s="137" t="s">
        <v>557</v>
      </c>
      <c r="AY149" s="135">
        <f>AY$3</f>
        <v>46189</v>
      </c>
      <c r="AZ149" s="136" t="s">
        <v>557</v>
      </c>
      <c r="BA149" s="137" t="s">
        <v>557</v>
      </c>
      <c r="BB149" s="135">
        <f>BB$3</f>
        <v>46190</v>
      </c>
      <c r="BC149" s="136" t="s">
        <v>557</v>
      </c>
      <c r="BD149" s="137" t="s">
        <v>557</v>
      </c>
      <c r="BE149" s="135">
        <f>BE$3</f>
        <v>46191</v>
      </c>
      <c r="BF149" s="136" t="s">
        <v>557</v>
      </c>
      <c r="BG149" s="137" t="s">
        <v>557</v>
      </c>
      <c r="BH149" s="135">
        <f>BH$3</f>
        <v>46192</v>
      </c>
      <c r="BI149" s="136" t="s">
        <v>557</v>
      </c>
      <c r="BJ149" s="137" t="s">
        <v>557</v>
      </c>
      <c r="BK149" s="135">
        <f>BK$3</f>
        <v>46193</v>
      </c>
      <c r="BL149" s="136" t="s">
        <v>557</v>
      </c>
      <c r="BM149" s="137" t="s">
        <v>557</v>
      </c>
    </row>
    <row r="150" spans="1:65" outlineLevel="1">
      <c r="A150" s="122" t="str">
        <f>$A$134</f>
        <v>Vũ Thị Thêu</v>
      </c>
      <c r="B150" s="123" t="str">
        <f>'Bảng 3'!A179</f>
        <v>3.B.HYE.NOXHHY.CT.203</v>
      </c>
      <c r="C150" s="81" t="str">
        <f>IF($B150="","",INDEX('All Bảng'!C:C,MATCH($B150,'All Bảng'!$A:$A,0)))</f>
        <v>Quản lý BIM</v>
      </c>
      <c r="D150" s="81" t="str">
        <f>IF($B150="","",INDEX('All Bảng'!D:D,MATCH($B150,'All Bảng'!$A:$A,0)))</f>
        <v>B.HYE.NOXHHY.CT</v>
      </c>
      <c r="E150" s="81" t="str">
        <f>IF($B150="","",INDEX('All Bảng'!E:E,MATCH($B150,'All Bảng'!$A:$A,0)))</f>
        <v>NOXH03 (05 tòa)</v>
      </c>
      <c r="F150" s="81" t="str">
        <f>IF($B150="","",INDEX('All Bảng'!F:F,MATCH($B150,'All Bảng'!$A:$A,0)))</f>
        <v>KC</v>
      </c>
      <c r="G150" s="81" t="str">
        <f>IF($B150="","",INDEX('All Bảng'!G:G,MATCH($B150,'All Bảng'!$A:$A,0)))</f>
        <v>KSCL mô hình BIM</v>
      </c>
      <c r="H150" s="121"/>
      <c r="I150" s="135"/>
      <c r="J150" s="135">
        <f>J$3</f>
        <v>46174</v>
      </c>
      <c r="K150" s="148" t="s">
        <v>557</v>
      </c>
      <c r="L150" s="163" t="s">
        <v>557</v>
      </c>
      <c r="M150" s="135">
        <f>M$3</f>
        <v>46175</v>
      </c>
      <c r="N150" s="148" t="s">
        <v>557</v>
      </c>
      <c r="O150" s="137" t="s">
        <v>557</v>
      </c>
      <c r="P150" s="135">
        <f>P$3</f>
        <v>46176</v>
      </c>
      <c r="Q150" s="148" t="s">
        <v>557</v>
      </c>
      <c r="R150" s="137" t="s">
        <v>557</v>
      </c>
      <c r="S150" s="135">
        <f>S$3</f>
        <v>46177</v>
      </c>
      <c r="T150" s="136" t="s">
        <v>557</v>
      </c>
      <c r="U150" s="137" t="s">
        <v>557</v>
      </c>
      <c r="V150" s="135">
        <f>V$3</f>
        <v>46178</v>
      </c>
      <c r="W150" s="136" t="s">
        <v>557</v>
      </c>
      <c r="X150" s="137" t="s">
        <v>557</v>
      </c>
      <c r="Y150" s="135">
        <f>Y$3</f>
        <v>46179</v>
      </c>
      <c r="Z150" s="136" t="s">
        <v>557</v>
      </c>
      <c r="AA150" s="137" t="s">
        <v>557</v>
      </c>
      <c r="AB150" s="135"/>
      <c r="AC150" s="135">
        <f>AC$3</f>
        <v>46181</v>
      </c>
      <c r="AD150" s="136" t="s">
        <v>557</v>
      </c>
      <c r="AE150" s="137" t="s">
        <v>557</v>
      </c>
      <c r="AF150" s="135">
        <f>AF$3</f>
        <v>46182</v>
      </c>
      <c r="AG150" s="136" t="s">
        <v>557</v>
      </c>
      <c r="AH150" s="137" t="s">
        <v>557</v>
      </c>
      <c r="AI150" s="135">
        <f>AI$3</f>
        <v>46183</v>
      </c>
      <c r="AJ150" s="136" t="s">
        <v>557</v>
      </c>
      <c r="AK150" s="137" t="s">
        <v>557</v>
      </c>
      <c r="AL150" s="135">
        <f>AL$3</f>
        <v>46184</v>
      </c>
      <c r="AM150" s="136" t="s">
        <v>557</v>
      </c>
      <c r="AN150" s="137" t="s">
        <v>557</v>
      </c>
      <c r="AO150" s="135">
        <f>AO$3</f>
        <v>46185</v>
      </c>
      <c r="AP150" s="136" t="s">
        <v>557</v>
      </c>
      <c r="AQ150" s="137" t="s">
        <v>557</v>
      </c>
      <c r="AR150" s="135">
        <f>AR$3</f>
        <v>46186</v>
      </c>
      <c r="AS150" s="136" t="s">
        <v>557</v>
      </c>
      <c r="AT150" s="137" t="s">
        <v>557</v>
      </c>
      <c r="AU150" s="135"/>
      <c r="AV150" s="135">
        <f>AV$3</f>
        <v>46188</v>
      </c>
      <c r="AW150" s="148" t="s">
        <v>557</v>
      </c>
      <c r="AX150" s="137" t="s">
        <v>557</v>
      </c>
      <c r="AY150" s="135">
        <f>AY$3</f>
        <v>46189</v>
      </c>
      <c r="AZ150" s="136" t="s">
        <v>557</v>
      </c>
      <c r="BA150" s="137" t="s">
        <v>557</v>
      </c>
      <c r="BB150" s="135">
        <f>BB$3</f>
        <v>46190</v>
      </c>
      <c r="BC150" s="136" t="s">
        <v>557</v>
      </c>
      <c r="BD150" s="137" t="s">
        <v>557</v>
      </c>
      <c r="BE150" s="135">
        <f>BE$3</f>
        <v>46191</v>
      </c>
      <c r="BF150" s="136" t="s">
        <v>557</v>
      </c>
      <c r="BG150" s="137" t="s">
        <v>557</v>
      </c>
      <c r="BH150" s="135">
        <f>BH$3</f>
        <v>46192</v>
      </c>
      <c r="BI150" s="136" t="s">
        <v>557</v>
      </c>
      <c r="BJ150" s="137" t="s">
        <v>557</v>
      </c>
      <c r="BK150" s="135">
        <f>BK$3</f>
        <v>46193</v>
      </c>
      <c r="BL150" s="136" t="s">
        <v>557</v>
      </c>
      <c r="BM150" s="137" t="s">
        <v>557</v>
      </c>
    </row>
    <row r="151" spans="1:65" outlineLevel="1">
      <c r="A151" s="122" t="str">
        <f>$A$134</f>
        <v>Vũ Thị Thêu</v>
      </c>
      <c r="B151" s="123" t="str">
        <f>'Bảng 3'!A185</f>
        <v>3.B.HYE.NOXHHY.CT.104</v>
      </c>
      <c r="C151" s="81" t="str">
        <f>IF($B151="","",INDEX('All Bảng'!C:C,MATCH($B151,'All Bảng'!$A:$A,0)))</f>
        <v>Quản lý BIM</v>
      </c>
      <c r="D151" s="81" t="str">
        <f>IF($B151="","",INDEX('All Bảng'!D:D,MATCH($B151,'All Bảng'!$A:$A,0)))</f>
        <v>B.HYE.NOXHHY.CT</v>
      </c>
      <c r="E151" s="81" t="str">
        <f>IF($B151="","",INDEX('All Bảng'!E:E,MATCH($B151,'All Bảng'!$A:$A,0)))</f>
        <v>NOXH04 (07 tòa)</v>
      </c>
      <c r="F151" s="81" t="str">
        <f>IF($B151="","",INDEX('All Bảng'!F:F,MATCH($B151,'All Bảng'!$A:$A,0)))</f>
        <v>KT</v>
      </c>
      <c r="G151" s="81" t="str">
        <f>IF($B151="","",INDEX('All Bảng'!G:G,MATCH($B151,'All Bảng'!$A:$A,0)))</f>
        <v>KSCL mô hình BIM</v>
      </c>
      <c r="H151" s="121"/>
      <c r="I151" s="135"/>
      <c r="J151" s="135">
        <f>J$3</f>
        <v>46174</v>
      </c>
      <c r="K151" s="148" t="s">
        <v>718</v>
      </c>
      <c r="L151" s="163">
        <v>6</v>
      </c>
      <c r="M151" s="135">
        <f>M$3</f>
        <v>46175</v>
      </c>
      <c r="N151" s="148" t="s">
        <v>719</v>
      </c>
      <c r="O151" s="137">
        <v>0.5</v>
      </c>
      <c r="P151" s="135">
        <f>P$3</f>
        <v>46176</v>
      </c>
      <c r="Q151" s="148" t="s">
        <v>720</v>
      </c>
      <c r="R151" s="137">
        <v>0.5</v>
      </c>
      <c r="S151" s="135">
        <f>S$3</f>
        <v>46177</v>
      </c>
      <c r="T151" s="136" t="s">
        <v>557</v>
      </c>
      <c r="U151" s="137" t="s">
        <v>557</v>
      </c>
      <c r="V151" s="135">
        <f>V$3</f>
        <v>46178</v>
      </c>
      <c r="W151" s="136" t="s">
        <v>557</v>
      </c>
      <c r="X151" s="137" t="s">
        <v>557</v>
      </c>
      <c r="Y151" s="135">
        <f>Y$3</f>
        <v>46179</v>
      </c>
      <c r="Z151" s="136" t="s">
        <v>557</v>
      </c>
      <c r="AA151" s="137" t="s">
        <v>557</v>
      </c>
      <c r="AB151" s="135"/>
      <c r="AC151" s="135">
        <f>AC$3</f>
        <v>46181</v>
      </c>
      <c r="AD151" s="136" t="s">
        <v>557</v>
      </c>
      <c r="AE151" s="137" t="s">
        <v>557</v>
      </c>
      <c r="AF151" s="135">
        <f>AF$3</f>
        <v>46182</v>
      </c>
      <c r="AG151" s="136" t="s">
        <v>557</v>
      </c>
      <c r="AH151" s="137" t="s">
        <v>557</v>
      </c>
      <c r="AI151" s="135">
        <f>AI$3</f>
        <v>46183</v>
      </c>
      <c r="AJ151" s="136" t="s">
        <v>557</v>
      </c>
      <c r="AK151" s="137" t="s">
        <v>557</v>
      </c>
      <c r="AL151" s="135">
        <f>AL$3</f>
        <v>46184</v>
      </c>
      <c r="AM151" s="136" t="s">
        <v>557</v>
      </c>
      <c r="AN151" s="137" t="s">
        <v>557</v>
      </c>
      <c r="AO151" s="135">
        <f>AO$3</f>
        <v>46185</v>
      </c>
      <c r="AP151" s="136" t="s">
        <v>557</v>
      </c>
      <c r="AQ151" s="137" t="s">
        <v>557</v>
      </c>
      <c r="AR151" s="135">
        <f>AR$3</f>
        <v>46186</v>
      </c>
      <c r="AS151" s="136" t="s">
        <v>557</v>
      </c>
      <c r="AT151" s="137" t="s">
        <v>557</v>
      </c>
      <c r="AU151" s="135"/>
      <c r="AV151" s="135">
        <f>AV$3</f>
        <v>46188</v>
      </c>
      <c r="AW151" s="148" t="s">
        <v>557</v>
      </c>
      <c r="AX151" s="137" t="s">
        <v>557</v>
      </c>
      <c r="AY151" s="135">
        <f>AY$3</f>
        <v>46189</v>
      </c>
      <c r="AZ151" s="136" t="s">
        <v>557</v>
      </c>
      <c r="BA151" s="137" t="s">
        <v>557</v>
      </c>
      <c r="BB151" s="135">
        <f>BB$3</f>
        <v>46190</v>
      </c>
      <c r="BC151" s="136" t="s">
        <v>557</v>
      </c>
      <c r="BD151" s="137" t="s">
        <v>557</v>
      </c>
      <c r="BE151" s="135">
        <f>BE$3</f>
        <v>46191</v>
      </c>
      <c r="BF151" s="136" t="s">
        <v>557</v>
      </c>
      <c r="BG151" s="137" t="s">
        <v>557</v>
      </c>
      <c r="BH151" s="135">
        <f>BH$3</f>
        <v>46192</v>
      </c>
      <c r="BI151" s="136" t="s">
        <v>557</v>
      </c>
      <c r="BJ151" s="137" t="s">
        <v>557</v>
      </c>
      <c r="BK151" s="135">
        <f>BK$3</f>
        <v>46193</v>
      </c>
      <c r="BL151" s="136" t="s">
        <v>557</v>
      </c>
      <c r="BM151" s="137" t="s">
        <v>557</v>
      </c>
    </row>
    <row r="152" spans="1:65" outlineLevel="1">
      <c r="A152" s="122" t="str">
        <f>$A$134</f>
        <v>Vũ Thị Thêu</v>
      </c>
      <c r="B152" s="123" t="str">
        <f>'Bảng 3'!A186</f>
        <v>3.B.HYE.NOXHHY.CT.204</v>
      </c>
      <c r="C152" s="81" t="str">
        <f>IF($B152="","",INDEX('All Bảng'!C:C,MATCH($B152,'All Bảng'!$A:$A,0)))</f>
        <v>Quản lý BIM</v>
      </c>
      <c r="D152" s="81" t="str">
        <f>IF($B152="","",INDEX('All Bảng'!D:D,MATCH($B152,'All Bảng'!$A:$A,0)))</f>
        <v>B.HYE.NOXHHY.CT</v>
      </c>
      <c r="E152" s="81" t="str">
        <f>IF($B152="","",INDEX('All Bảng'!E:E,MATCH($B152,'All Bảng'!$A:$A,0)))</f>
        <v>NOXH04 (07 tòa)</v>
      </c>
      <c r="F152" s="81" t="str">
        <f>IF($B152="","",INDEX('All Bảng'!F:F,MATCH($B152,'All Bảng'!$A:$A,0)))</f>
        <v>KC</v>
      </c>
      <c r="G152" s="81" t="str">
        <f>IF($B152="","",INDEX('All Bảng'!G:G,MATCH($B152,'All Bảng'!$A:$A,0)))</f>
        <v>KSCL mô hình BIM</v>
      </c>
      <c r="H152" s="121"/>
      <c r="I152" s="135"/>
      <c r="J152" s="135">
        <f>J$3</f>
        <v>46174</v>
      </c>
      <c r="K152" s="148" t="s">
        <v>721</v>
      </c>
      <c r="L152" s="163">
        <v>2</v>
      </c>
      <c r="M152" s="135">
        <f>M$3</f>
        <v>46175</v>
      </c>
      <c r="N152" s="148" t="s">
        <v>557</v>
      </c>
      <c r="O152" s="137" t="s">
        <v>557</v>
      </c>
      <c r="P152" s="135">
        <f>P$3</f>
        <v>46176</v>
      </c>
      <c r="Q152" s="148" t="s">
        <v>557</v>
      </c>
      <c r="R152" s="137" t="s">
        <v>557</v>
      </c>
      <c r="S152" s="135">
        <f>S$3</f>
        <v>46177</v>
      </c>
      <c r="T152" s="136" t="s">
        <v>557</v>
      </c>
      <c r="U152" s="137" t="s">
        <v>557</v>
      </c>
      <c r="V152" s="135">
        <f>V$3</f>
        <v>46178</v>
      </c>
      <c r="W152" s="136" t="s">
        <v>557</v>
      </c>
      <c r="X152" s="137" t="s">
        <v>557</v>
      </c>
      <c r="Y152" s="135">
        <f>Y$3</f>
        <v>46179</v>
      </c>
      <c r="Z152" s="136" t="s">
        <v>557</v>
      </c>
      <c r="AA152" s="137" t="s">
        <v>557</v>
      </c>
      <c r="AB152" s="135"/>
      <c r="AC152" s="135">
        <f>AC$3</f>
        <v>46181</v>
      </c>
      <c r="AD152" s="136" t="s">
        <v>557</v>
      </c>
      <c r="AE152" s="137" t="s">
        <v>557</v>
      </c>
      <c r="AF152" s="135">
        <f>AF$3</f>
        <v>46182</v>
      </c>
      <c r="AG152" s="136" t="s">
        <v>557</v>
      </c>
      <c r="AH152" s="137" t="s">
        <v>557</v>
      </c>
      <c r="AI152" s="135">
        <f>AI$3</f>
        <v>46183</v>
      </c>
      <c r="AJ152" s="136" t="s">
        <v>557</v>
      </c>
      <c r="AK152" s="137" t="s">
        <v>557</v>
      </c>
      <c r="AL152" s="135">
        <f>AL$3</f>
        <v>46184</v>
      </c>
      <c r="AM152" s="136" t="s">
        <v>557</v>
      </c>
      <c r="AN152" s="137" t="s">
        <v>557</v>
      </c>
      <c r="AO152" s="135">
        <f>AO$3</f>
        <v>46185</v>
      </c>
      <c r="AP152" s="136" t="s">
        <v>557</v>
      </c>
      <c r="AQ152" s="137" t="s">
        <v>557</v>
      </c>
      <c r="AR152" s="135">
        <f>AR$3</f>
        <v>46186</v>
      </c>
      <c r="AS152" s="136" t="s">
        <v>557</v>
      </c>
      <c r="AT152" s="137" t="s">
        <v>557</v>
      </c>
      <c r="AU152" s="135"/>
      <c r="AV152" s="135">
        <f>AV$3</f>
        <v>46188</v>
      </c>
      <c r="AW152" s="148" t="s">
        <v>557</v>
      </c>
      <c r="AX152" s="137" t="s">
        <v>557</v>
      </c>
      <c r="AY152" s="135">
        <f>AY$3</f>
        <v>46189</v>
      </c>
      <c r="AZ152" s="136" t="s">
        <v>557</v>
      </c>
      <c r="BA152" s="137" t="s">
        <v>557</v>
      </c>
      <c r="BB152" s="135">
        <f>BB$3</f>
        <v>46190</v>
      </c>
      <c r="BC152" s="136" t="s">
        <v>557</v>
      </c>
      <c r="BD152" s="137" t="s">
        <v>557</v>
      </c>
      <c r="BE152" s="135">
        <f>BE$3</f>
        <v>46191</v>
      </c>
      <c r="BF152" s="136" t="s">
        <v>557</v>
      </c>
      <c r="BG152" s="137" t="s">
        <v>557</v>
      </c>
      <c r="BH152" s="135">
        <f>BH$3</f>
        <v>46192</v>
      </c>
      <c r="BI152" s="136" t="s">
        <v>557</v>
      </c>
      <c r="BJ152" s="137" t="s">
        <v>557</v>
      </c>
      <c r="BK152" s="135">
        <f>BK$3</f>
        <v>46193</v>
      </c>
      <c r="BL152" s="136" t="s">
        <v>557</v>
      </c>
      <c r="BM152" s="137" t="s">
        <v>557</v>
      </c>
    </row>
    <row r="153" spans="1:65" outlineLevel="1">
      <c r="A153" s="122" t="str">
        <f>$A$134</f>
        <v>Vũ Thị Thêu</v>
      </c>
      <c r="B153" s="123" t="str">
        <f>'Bảng 3'!A249</f>
        <v>3.B.QNI.HLXHL.VSC.101</v>
      </c>
      <c r="C153" s="81" t="str">
        <f>IF($B153="","",INDEX('All Bảng'!C:C,MATCH($B153,'All Bảng'!$A:$A,0)))</f>
        <v>Quản lý BIM</v>
      </c>
      <c r="D153" s="81" t="str">
        <f>IF($B153="","",INDEX('All Bảng'!D:D,MATCH($B153,'All Bảng'!$A:$A,0)))</f>
        <v>B.QNI.HLXHL.VSC</v>
      </c>
      <c r="E153" s="81" t="str">
        <f>IF($B153="","",INDEX('All Bảng'!E:E,MATCH($B153,'All Bảng'!$A:$A,0)))</f>
        <v>Trường học các lô đất A2-MG-06, A2-TH-05, A2-CS-04</v>
      </c>
      <c r="F153" s="81" t="str">
        <f>IF($B153="","",INDEX('All Bảng'!F:F,MATCH($B153,'All Bảng'!$A:$A,0)))</f>
        <v>KT</v>
      </c>
      <c r="G153" s="81" t="str">
        <f>IF($B153="","",INDEX('All Bảng'!G:G,MATCH($B153,'All Bảng'!$A:$A,0)))</f>
        <v>KSCL mô hình BIM</v>
      </c>
      <c r="H153" s="121"/>
      <c r="I153" s="135"/>
      <c r="J153" s="135">
        <f>J$3</f>
        <v>46174</v>
      </c>
      <c r="K153" s="148" t="s">
        <v>557</v>
      </c>
      <c r="L153" s="163" t="s">
        <v>557</v>
      </c>
      <c r="M153" s="135">
        <f>M$3</f>
        <v>46175</v>
      </c>
      <c r="N153" s="148" t="s">
        <v>557</v>
      </c>
      <c r="O153" s="137" t="s">
        <v>557</v>
      </c>
      <c r="P153" s="135">
        <f>P$3</f>
        <v>46176</v>
      </c>
      <c r="Q153" s="148" t="s">
        <v>557</v>
      </c>
      <c r="R153" s="137" t="s">
        <v>557</v>
      </c>
      <c r="S153" s="135">
        <f>S$3</f>
        <v>46177</v>
      </c>
      <c r="T153" s="136" t="s">
        <v>557</v>
      </c>
      <c r="U153" s="137" t="s">
        <v>557</v>
      </c>
      <c r="V153" s="135">
        <f>V$3</f>
        <v>46178</v>
      </c>
      <c r="W153" s="136" t="s">
        <v>557</v>
      </c>
      <c r="X153" s="137" t="s">
        <v>557</v>
      </c>
      <c r="Y153" s="135">
        <f>Y$3</f>
        <v>46179</v>
      </c>
      <c r="Z153" s="136" t="s">
        <v>557</v>
      </c>
      <c r="AA153" s="137" t="s">
        <v>557</v>
      </c>
      <c r="AB153" s="135"/>
      <c r="AC153" s="135">
        <f>AC$3</f>
        <v>46181</v>
      </c>
      <c r="AD153" s="136" t="s">
        <v>557</v>
      </c>
      <c r="AE153" s="137" t="s">
        <v>557</v>
      </c>
      <c r="AF153" s="135">
        <f>AF$3</f>
        <v>46182</v>
      </c>
      <c r="AG153" s="136" t="s">
        <v>557</v>
      </c>
      <c r="AH153" s="137" t="s">
        <v>557</v>
      </c>
      <c r="AI153" s="135">
        <f>AI$3</f>
        <v>46183</v>
      </c>
      <c r="AJ153" s="136" t="s">
        <v>557</v>
      </c>
      <c r="AK153" s="137" t="s">
        <v>557</v>
      </c>
      <c r="AL153" s="135">
        <f>AL$3</f>
        <v>46184</v>
      </c>
      <c r="AM153" s="136" t="s">
        <v>557</v>
      </c>
      <c r="AN153" s="137" t="s">
        <v>557</v>
      </c>
      <c r="AO153" s="135">
        <f>AO$3</f>
        <v>46185</v>
      </c>
      <c r="AP153" s="136" t="s">
        <v>557</v>
      </c>
      <c r="AQ153" s="137" t="s">
        <v>557</v>
      </c>
      <c r="AR153" s="135">
        <f>AR$3</f>
        <v>46186</v>
      </c>
      <c r="AS153" s="136" t="s">
        <v>557</v>
      </c>
      <c r="AT153" s="137" t="s">
        <v>557</v>
      </c>
      <c r="AU153" s="135"/>
      <c r="AV153" s="135">
        <f>AV$3</f>
        <v>46188</v>
      </c>
      <c r="AW153" s="148" t="s">
        <v>557</v>
      </c>
      <c r="AX153" s="137" t="s">
        <v>557</v>
      </c>
      <c r="AY153" s="135">
        <f>AY$3</f>
        <v>46189</v>
      </c>
      <c r="AZ153" s="136" t="s">
        <v>557</v>
      </c>
      <c r="BA153" s="137" t="s">
        <v>557</v>
      </c>
      <c r="BB153" s="135">
        <f>BB$3</f>
        <v>46190</v>
      </c>
      <c r="BC153" s="136" t="s">
        <v>557</v>
      </c>
      <c r="BD153" s="137" t="s">
        <v>557</v>
      </c>
      <c r="BE153" s="135">
        <f>BE$3</f>
        <v>46191</v>
      </c>
      <c r="BF153" s="136" t="s">
        <v>557</v>
      </c>
      <c r="BG153" s="137" t="s">
        <v>557</v>
      </c>
      <c r="BH153" s="135">
        <f>BH$3</f>
        <v>46192</v>
      </c>
      <c r="BI153" s="136" t="s">
        <v>557</v>
      </c>
      <c r="BJ153" s="137" t="s">
        <v>557</v>
      </c>
      <c r="BK153" s="135">
        <f>BK$3</f>
        <v>46193</v>
      </c>
      <c r="BL153" s="136" t="s">
        <v>557</v>
      </c>
      <c r="BM153" s="137" t="s">
        <v>557</v>
      </c>
    </row>
    <row r="154" spans="1:65" outlineLevel="1">
      <c r="A154" s="122" t="str">
        <f>$A$134</f>
        <v>Vũ Thị Thêu</v>
      </c>
      <c r="B154" s="123" t="str">
        <f>'Bảng 3'!A250</f>
        <v>3.B.QNI.HLXHL.VSC.201</v>
      </c>
      <c r="C154" s="81" t="str">
        <f>IF($B154="","",INDEX('All Bảng'!C:C,MATCH($B154,'All Bảng'!$A:$A,0)))</f>
        <v>Quản lý BIM</v>
      </c>
      <c r="D154" s="81" t="str">
        <f>IF($B154="","",INDEX('All Bảng'!D:D,MATCH($B154,'All Bảng'!$A:$A,0)))</f>
        <v>B.QNI.HLXHL.VSC</v>
      </c>
      <c r="E154" s="81" t="str">
        <f>IF($B154="","",INDEX('All Bảng'!E:E,MATCH($B154,'All Bảng'!$A:$A,0)))</f>
        <v>Trường học các lô đất A2-MG-06, A2-TH-05, A2-CS-04</v>
      </c>
      <c r="F154" s="81" t="str">
        <f>IF($B154="","",INDEX('All Bảng'!F:F,MATCH($B154,'All Bảng'!$A:$A,0)))</f>
        <v>KC</v>
      </c>
      <c r="G154" s="81" t="str">
        <f>IF($B154="","",INDEX('All Bảng'!G:G,MATCH($B154,'All Bảng'!$A:$A,0)))</f>
        <v>KSCL mô hình BIM</v>
      </c>
      <c r="H154" s="121"/>
      <c r="I154" s="135"/>
      <c r="J154" s="135">
        <f>J$3</f>
        <v>46174</v>
      </c>
      <c r="K154" s="148" t="s">
        <v>557</v>
      </c>
      <c r="L154" s="163" t="s">
        <v>557</v>
      </c>
      <c r="M154" s="135">
        <f>M$3</f>
        <v>46175</v>
      </c>
      <c r="N154" s="148" t="s">
        <v>557</v>
      </c>
      <c r="O154" s="137" t="s">
        <v>557</v>
      </c>
      <c r="P154" s="135">
        <f>P$3</f>
        <v>46176</v>
      </c>
      <c r="Q154" s="148" t="s">
        <v>557</v>
      </c>
      <c r="R154" s="137" t="s">
        <v>557</v>
      </c>
      <c r="S154" s="135">
        <f>S$3</f>
        <v>46177</v>
      </c>
      <c r="T154" s="136" t="s">
        <v>557</v>
      </c>
      <c r="U154" s="137" t="s">
        <v>557</v>
      </c>
      <c r="V154" s="135">
        <f>V$3</f>
        <v>46178</v>
      </c>
      <c r="W154" s="136" t="s">
        <v>557</v>
      </c>
      <c r="X154" s="137" t="s">
        <v>557</v>
      </c>
      <c r="Y154" s="135">
        <f>Y$3</f>
        <v>46179</v>
      </c>
      <c r="Z154" s="136" t="s">
        <v>557</v>
      </c>
      <c r="AA154" s="137" t="s">
        <v>557</v>
      </c>
      <c r="AB154" s="135"/>
      <c r="AC154" s="135">
        <f>AC$3</f>
        <v>46181</v>
      </c>
      <c r="AD154" s="136" t="s">
        <v>557</v>
      </c>
      <c r="AE154" s="137" t="s">
        <v>557</v>
      </c>
      <c r="AF154" s="135">
        <f>AF$3</f>
        <v>46182</v>
      </c>
      <c r="AG154" s="136" t="s">
        <v>557</v>
      </c>
      <c r="AH154" s="137" t="s">
        <v>557</v>
      </c>
      <c r="AI154" s="135">
        <f>AI$3</f>
        <v>46183</v>
      </c>
      <c r="AJ154" s="136" t="s">
        <v>557</v>
      </c>
      <c r="AK154" s="137" t="s">
        <v>557</v>
      </c>
      <c r="AL154" s="135">
        <f>AL$3</f>
        <v>46184</v>
      </c>
      <c r="AM154" s="136" t="s">
        <v>557</v>
      </c>
      <c r="AN154" s="137" t="s">
        <v>557</v>
      </c>
      <c r="AO154" s="135">
        <f>AO$3</f>
        <v>46185</v>
      </c>
      <c r="AP154" s="136" t="s">
        <v>557</v>
      </c>
      <c r="AQ154" s="137" t="s">
        <v>557</v>
      </c>
      <c r="AR154" s="135">
        <f>AR$3</f>
        <v>46186</v>
      </c>
      <c r="AS154" s="136" t="s">
        <v>557</v>
      </c>
      <c r="AT154" s="137" t="s">
        <v>557</v>
      </c>
      <c r="AU154" s="135"/>
      <c r="AV154" s="135">
        <f>AV$3</f>
        <v>46188</v>
      </c>
      <c r="AW154" s="148" t="s">
        <v>557</v>
      </c>
      <c r="AX154" s="137" t="s">
        <v>557</v>
      </c>
      <c r="AY154" s="135">
        <f>AY$3</f>
        <v>46189</v>
      </c>
      <c r="AZ154" s="136" t="s">
        <v>557</v>
      </c>
      <c r="BA154" s="137" t="s">
        <v>557</v>
      </c>
      <c r="BB154" s="135">
        <f>BB$3</f>
        <v>46190</v>
      </c>
      <c r="BC154" s="136" t="s">
        <v>557</v>
      </c>
      <c r="BD154" s="137" t="s">
        <v>557</v>
      </c>
      <c r="BE154" s="135">
        <f>BE$3</f>
        <v>46191</v>
      </c>
      <c r="BF154" s="136" t="s">
        <v>557</v>
      </c>
      <c r="BG154" s="137" t="s">
        <v>557</v>
      </c>
      <c r="BH154" s="135">
        <f>BH$3</f>
        <v>46192</v>
      </c>
      <c r="BI154" s="136" t="s">
        <v>557</v>
      </c>
      <c r="BJ154" s="137" t="s">
        <v>557</v>
      </c>
      <c r="BK154" s="135">
        <f>BK$3</f>
        <v>46193</v>
      </c>
      <c r="BL154" s="136" t="s">
        <v>557</v>
      </c>
      <c r="BM154" s="137" t="s">
        <v>557</v>
      </c>
    </row>
    <row r="155" spans="1:65" outlineLevel="1">
      <c r="A155" s="122" t="str">
        <f>$A$134</f>
        <v>Vũ Thị Thêu</v>
      </c>
      <c r="B155" s="123" t="str">
        <f>'Bảng 3'!A311</f>
        <v>3.N.HCM.CGIO.KS.101</v>
      </c>
      <c r="C155" s="81" t="str">
        <f>IF($B155="","",INDEX('All Bảng'!C:C,MATCH($B155,'All Bảng'!$A:$A,0)))</f>
        <v>Quản lý BIM</v>
      </c>
      <c r="D155" s="81" t="str">
        <f>IF($B155="","",INDEX('All Bảng'!D:D,MATCH($B155,'All Bảng'!$A:$A,0)))</f>
        <v>N.HCM.CGIO.KS</v>
      </c>
      <c r="E155" s="81" t="str">
        <f>IF($B155="","",INDEX('All Bảng'!E:E,MATCH($B155,'All Bảng'!$A:$A,0)))</f>
        <v>Khách sạn Grand Hyatt - A3.24.04</v>
      </c>
      <c r="F155" s="81" t="str">
        <f>IF($B155="","",INDEX('All Bảng'!F:F,MATCH($B155,'All Bảng'!$A:$A,0)))</f>
        <v>KT</v>
      </c>
      <c r="G155" s="81" t="str">
        <f>IF($B155="","",INDEX('All Bảng'!G:G,MATCH($B155,'All Bảng'!$A:$A,0)))</f>
        <v>Tạo lập mô hình BIM</v>
      </c>
      <c r="H155" s="121"/>
      <c r="I155" s="135"/>
      <c r="J155" s="135">
        <f>J$3</f>
        <v>46174</v>
      </c>
      <c r="K155" s="148" t="s">
        <v>557</v>
      </c>
      <c r="L155" s="163" t="s">
        <v>557</v>
      </c>
      <c r="M155" s="135">
        <f>M$3</f>
        <v>46175</v>
      </c>
      <c r="N155" s="148" t="s">
        <v>557</v>
      </c>
      <c r="O155" s="137" t="s">
        <v>557</v>
      </c>
      <c r="P155" s="135">
        <f>P$3</f>
        <v>46176</v>
      </c>
      <c r="Q155" s="148" t="s">
        <v>557</v>
      </c>
      <c r="R155" s="137" t="s">
        <v>557</v>
      </c>
      <c r="S155" s="135">
        <f>S$3</f>
        <v>46177</v>
      </c>
      <c r="T155" s="136" t="s">
        <v>557</v>
      </c>
      <c r="U155" s="137" t="s">
        <v>557</v>
      </c>
      <c r="V155" s="135">
        <f>V$3</f>
        <v>46178</v>
      </c>
      <c r="W155" s="136" t="s">
        <v>557</v>
      </c>
      <c r="X155" s="137" t="s">
        <v>557</v>
      </c>
      <c r="Y155" s="135">
        <f>Y$3</f>
        <v>46179</v>
      </c>
      <c r="Z155" s="136" t="s">
        <v>557</v>
      </c>
      <c r="AA155" s="137" t="s">
        <v>557</v>
      </c>
      <c r="AB155" s="135"/>
      <c r="AC155" s="135">
        <f>AC$3</f>
        <v>46181</v>
      </c>
      <c r="AD155" s="136" t="s">
        <v>557</v>
      </c>
      <c r="AE155" s="137" t="s">
        <v>557</v>
      </c>
      <c r="AF155" s="135">
        <f>AF$3</f>
        <v>46182</v>
      </c>
      <c r="AG155" s="136" t="s">
        <v>557</v>
      </c>
      <c r="AH155" s="137" t="s">
        <v>557</v>
      </c>
      <c r="AI155" s="135">
        <f>AI$3</f>
        <v>46183</v>
      </c>
      <c r="AJ155" s="136" t="s">
        <v>557</v>
      </c>
      <c r="AK155" s="137" t="s">
        <v>557</v>
      </c>
      <c r="AL155" s="135">
        <f>AL$3</f>
        <v>46184</v>
      </c>
      <c r="AM155" s="136" t="s">
        <v>557</v>
      </c>
      <c r="AN155" s="137" t="s">
        <v>557</v>
      </c>
      <c r="AO155" s="135">
        <f>AO$3</f>
        <v>46185</v>
      </c>
      <c r="AP155" s="136" t="s">
        <v>557</v>
      </c>
      <c r="AQ155" s="137" t="s">
        <v>557</v>
      </c>
      <c r="AR155" s="135">
        <f>AR$3</f>
        <v>46186</v>
      </c>
      <c r="AS155" s="136" t="s">
        <v>557</v>
      </c>
      <c r="AT155" s="137" t="s">
        <v>557</v>
      </c>
      <c r="AU155" s="135"/>
      <c r="AV155" s="135">
        <f>AV$3</f>
        <v>46188</v>
      </c>
      <c r="AW155" s="148" t="s">
        <v>557</v>
      </c>
      <c r="AX155" s="137" t="s">
        <v>557</v>
      </c>
      <c r="AY155" s="135">
        <f>AY$3</f>
        <v>46189</v>
      </c>
      <c r="AZ155" s="136" t="s">
        <v>557</v>
      </c>
      <c r="BA155" s="137" t="s">
        <v>557</v>
      </c>
      <c r="BB155" s="135">
        <f>BB$3</f>
        <v>46190</v>
      </c>
      <c r="BC155" s="136" t="s">
        <v>557</v>
      </c>
      <c r="BD155" s="137" t="s">
        <v>557</v>
      </c>
      <c r="BE155" s="135">
        <f>BE$3</f>
        <v>46191</v>
      </c>
      <c r="BF155" s="136" t="s">
        <v>557</v>
      </c>
      <c r="BG155" s="137" t="s">
        <v>557</v>
      </c>
      <c r="BH155" s="135">
        <f>BH$3</f>
        <v>46192</v>
      </c>
      <c r="BI155" s="136" t="s">
        <v>557</v>
      </c>
      <c r="BJ155" s="137" t="s">
        <v>557</v>
      </c>
      <c r="BK155" s="135">
        <f>BK$3</f>
        <v>46193</v>
      </c>
      <c r="BL155" s="136" t="s">
        <v>557</v>
      </c>
      <c r="BM155" s="137" t="s">
        <v>557</v>
      </c>
    </row>
    <row r="156" spans="1:65" outlineLevel="1">
      <c r="A156" s="122" t="str">
        <f>$A$134</f>
        <v>Vũ Thị Thêu</v>
      </c>
      <c r="B156" s="123" t="str">
        <f>'Bảng 3'!A312</f>
        <v>3.N.HCM.CGIO.KS.201</v>
      </c>
      <c r="C156" s="81" t="str">
        <f>IF($B156="","",INDEX('All Bảng'!C:C,MATCH($B156,'All Bảng'!$A:$A,0)))</f>
        <v>Quản lý BIM</v>
      </c>
      <c r="D156" s="81" t="str">
        <f>IF($B156="","",INDEX('All Bảng'!D:D,MATCH($B156,'All Bảng'!$A:$A,0)))</f>
        <v>N.HCM.CGIO.KS</v>
      </c>
      <c r="E156" s="81" t="str">
        <f>IF($B156="","",INDEX('All Bảng'!E:E,MATCH($B156,'All Bảng'!$A:$A,0)))</f>
        <v>Khách sạn Grand Hyatt - A3.24.04</v>
      </c>
      <c r="F156" s="81" t="str">
        <f>IF($B156="","",INDEX('All Bảng'!F:F,MATCH($B156,'All Bảng'!$A:$A,0)))</f>
        <v>KC</v>
      </c>
      <c r="G156" s="81" t="str">
        <f>IF($B156="","",INDEX('All Bảng'!G:G,MATCH($B156,'All Bảng'!$A:$A,0)))</f>
        <v>Tạo lập mô hình BIM</v>
      </c>
      <c r="H156" s="121"/>
      <c r="I156" s="135"/>
      <c r="J156" s="135">
        <f>J$3</f>
        <v>46174</v>
      </c>
      <c r="K156" s="148" t="s">
        <v>557</v>
      </c>
      <c r="L156" s="163" t="s">
        <v>557</v>
      </c>
      <c r="M156" s="135">
        <f>M$3</f>
        <v>46175</v>
      </c>
      <c r="N156" s="148" t="s">
        <v>557</v>
      </c>
      <c r="O156" s="137" t="s">
        <v>557</v>
      </c>
      <c r="P156" s="135">
        <f>P$3</f>
        <v>46176</v>
      </c>
      <c r="Q156" s="148" t="s">
        <v>557</v>
      </c>
      <c r="R156" s="137" t="s">
        <v>557</v>
      </c>
      <c r="S156" s="135">
        <f>S$3</f>
        <v>46177</v>
      </c>
      <c r="T156" s="136" t="s">
        <v>557</v>
      </c>
      <c r="U156" s="137" t="s">
        <v>557</v>
      </c>
      <c r="V156" s="135">
        <f>V$3</f>
        <v>46178</v>
      </c>
      <c r="W156" s="136" t="s">
        <v>557</v>
      </c>
      <c r="X156" s="137" t="s">
        <v>557</v>
      </c>
      <c r="Y156" s="135">
        <f>Y$3</f>
        <v>46179</v>
      </c>
      <c r="Z156" s="136" t="s">
        <v>557</v>
      </c>
      <c r="AA156" s="137" t="s">
        <v>557</v>
      </c>
      <c r="AB156" s="135"/>
      <c r="AC156" s="135">
        <f>AC$3</f>
        <v>46181</v>
      </c>
      <c r="AD156" s="136" t="s">
        <v>557</v>
      </c>
      <c r="AE156" s="137" t="s">
        <v>557</v>
      </c>
      <c r="AF156" s="135">
        <f>AF$3</f>
        <v>46182</v>
      </c>
      <c r="AG156" s="136" t="s">
        <v>557</v>
      </c>
      <c r="AH156" s="137" t="s">
        <v>557</v>
      </c>
      <c r="AI156" s="135">
        <f>AI$3</f>
        <v>46183</v>
      </c>
      <c r="AJ156" s="136" t="s">
        <v>557</v>
      </c>
      <c r="AK156" s="137" t="s">
        <v>557</v>
      </c>
      <c r="AL156" s="135">
        <f>AL$3</f>
        <v>46184</v>
      </c>
      <c r="AM156" s="136" t="s">
        <v>557</v>
      </c>
      <c r="AN156" s="137" t="s">
        <v>557</v>
      </c>
      <c r="AO156" s="135">
        <f>AO$3</f>
        <v>46185</v>
      </c>
      <c r="AP156" s="136" t="s">
        <v>557</v>
      </c>
      <c r="AQ156" s="137" t="s">
        <v>557</v>
      </c>
      <c r="AR156" s="135">
        <f>AR$3</f>
        <v>46186</v>
      </c>
      <c r="AS156" s="136" t="s">
        <v>557</v>
      </c>
      <c r="AT156" s="137" t="s">
        <v>557</v>
      </c>
      <c r="AU156" s="135"/>
      <c r="AV156" s="135">
        <f>AV$3</f>
        <v>46188</v>
      </c>
      <c r="AW156" s="148" t="s">
        <v>557</v>
      </c>
      <c r="AX156" s="137" t="s">
        <v>557</v>
      </c>
      <c r="AY156" s="135">
        <f>AY$3</f>
        <v>46189</v>
      </c>
      <c r="AZ156" s="136" t="s">
        <v>557</v>
      </c>
      <c r="BA156" s="137" t="s">
        <v>557</v>
      </c>
      <c r="BB156" s="135">
        <f>BB$3</f>
        <v>46190</v>
      </c>
      <c r="BC156" s="136" t="s">
        <v>557</v>
      </c>
      <c r="BD156" s="137" t="s">
        <v>557</v>
      </c>
      <c r="BE156" s="135">
        <f>BE$3</f>
        <v>46191</v>
      </c>
      <c r="BF156" s="136" t="s">
        <v>557</v>
      </c>
      <c r="BG156" s="137" t="s">
        <v>557</v>
      </c>
      <c r="BH156" s="135">
        <f>BH$3</f>
        <v>46192</v>
      </c>
      <c r="BI156" s="136" t="s">
        <v>557</v>
      </c>
      <c r="BJ156" s="137" t="s">
        <v>557</v>
      </c>
      <c r="BK156" s="135">
        <f>BK$3</f>
        <v>46193</v>
      </c>
      <c r="BL156" s="136" t="s">
        <v>557</v>
      </c>
      <c r="BM156" s="137" t="s">
        <v>557</v>
      </c>
    </row>
    <row r="157" spans="1:65" outlineLevel="1">
      <c r="A157" s="122" t="str">
        <f>$A$134</f>
        <v>Vũ Thị Thêu</v>
      </c>
      <c r="B157" s="123" t="str">
        <f>'Bảng 3'!A325</f>
        <v>3.N.HCM.CGIO.KS.103</v>
      </c>
      <c r="C157" s="81" t="str">
        <f>IF($B157="","",INDEX('All Bảng'!C:C,MATCH($B157,'All Bảng'!$A:$A,0)))</f>
        <v>Quản lý BIM</v>
      </c>
      <c r="D157" s="81" t="str">
        <f>IF($B157="","",INDEX('All Bảng'!D:D,MATCH($B157,'All Bảng'!$A:$A,0)))</f>
        <v>N.HCM.CGIO.KS</v>
      </c>
      <c r="E157" s="81" t="str">
        <f>IF($B157="","",INDEX('All Bảng'!E:E,MATCH($B157,'All Bảng'!$A:$A,0)))</f>
        <v xml:space="preserve">Khách sạn Ritz Carlton - B5-06-10,11 </v>
      </c>
      <c r="F157" s="81" t="str">
        <f>IF($B157="","",INDEX('All Bảng'!F:F,MATCH($B157,'All Bảng'!$A:$A,0)))</f>
        <v>KT</v>
      </c>
      <c r="G157" s="81" t="str">
        <f>IF($B157="","",INDEX('All Bảng'!G:G,MATCH($B157,'All Bảng'!$A:$A,0)))</f>
        <v>Tạo lập mô hình BIM</v>
      </c>
      <c r="H157" s="121"/>
      <c r="I157" s="135"/>
      <c r="J157" s="135">
        <f>J$3</f>
        <v>46174</v>
      </c>
      <c r="K157" s="148" t="s">
        <v>557</v>
      </c>
      <c r="L157" s="163" t="s">
        <v>557</v>
      </c>
      <c r="M157" s="135">
        <f>M$3</f>
        <v>46175</v>
      </c>
      <c r="N157" s="148" t="s">
        <v>557</v>
      </c>
      <c r="O157" s="137" t="s">
        <v>557</v>
      </c>
      <c r="P157" s="135">
        <f>P$3</f>
        <v>46176</v>
      </c>
      <c r="Q157" s="148" t="s">
        <v>557</v>
      </c>
      <c r="R157" s="137" t="s">
        <v>557</v>
      </c>
      <c r="S157" s="135">
        <f>S$3</f>
        <v>46177</v>
      </c>
      <c r="T157" s="136" t="s">
        <v>557</v>
      </c>
      <c r="U157" s="137" t="s">
        <v>557</v>
      </c>
      <c r="V157" s="135">
        <f>V$3</f>
        <v>46178</v>
      </c>
      <c r="W157" s="136" t="s">
        <v>557</v>
      </c>
      <c r="X157" s="137" t="s">
        <v>557</v>
      </c>
      <c r="Y157" s="135">
        <f>Y$3</f>
        <v>46179</v>
      </c>
      <c r="Z157" s="136" t="s">
        <v>557</v>
      </c>
      <c r="AA157" s="137" t="s">
        <v>557</v>
      </c>
      <c r="AB157" s="135"/>
      <c r="AC157" s="135">
        <f>AC$3</f>
        <v>46181</v>
      </c>
      <c r="AD157" s="136" t="s">
        <v>557</v>
      </c>
      <c r="AE157" s="137" t="s">
        <v>557</v>
      </c>
      <c r="AF157" s="135">
        <f>AF$3</f>
        <v>46182</v>
      </c>
      <c r="AG157" s="136" t="s">
        <v>557</v>
      </c>
      <c r="AH157" s="137" t="s">
        <v>557</v>
      </c>
      <c r="AI157" s="135">
        <f>AI$3</f>
        <v>46183</v>
      </c>
      <c r="AJ157" s="136" t="s">
        <v>557</v>
      </c>
      <c r="AK157" s="137" t="s">
        <v>557</v>
      </c>
      <c r="AL157" s="135">
        <f>AL$3</f>
        <v>46184</v>
      </c>
      <c r="AM157" s="136" t="s">
        <v>557</v>
      </c>
      <c r="AN157" s="137" t="s">
        <v>557</v>
      </c>
      <c r="AO157" s="135">
        <f>AO$3</f>
        <v>46185</v>
      </c>
      <c r="AP157" s="136" t="s">
        <v>557</v>
      </c>
      <c r="AQ157" s="137" t="s">
        <v>557</v>
      </c>
      <c r="AR157" s="135">
        <f>AR$3</f>
        <v>46186</v>
      </c>
      <c r="AS157" s="136" t="s">
        <v>557</v>
      </c>
      <c r="AT157" s="137" t="s">
        <v>557</v>
      </c>
      <c r="AU157" s="135"/>
      <c r="AV157" s="135">
        <f>AV$3</f>
        <v>46188</v>
      </c>
      <c r="AW157" s="148" t="s">
        <v>557</v>
      </c>
      <c r="AX157" s="137" t="s">
        <v>557</v>
      </c>
      <c r="AY157" s="135">
        <f>AY$3</f>
        <v>46189</v>
      </c>
      <c r="AZ157" s="136" t="s">
        <v>557</v>
      </c>
      <c r="BA157" s="137" t="s">
        <v>557</v>
      </c>
      <c r="BB157" s="135">
        <f>BB$3</f>
        <v>46190</v>
      </c>
      <c r="BC157" s="136" t="s">
        <v>557</v>
      </c>
      <c r="BD157" s="137" t="s">
        <v>557</v>
      </c>
      <c r="BE157" s="135">
        <f>BE$3</f>
        <v>46191</v>
      </c>
      <c r="BF157" s="136" t="s">
        <v>557</v>
      </c>
      <c r="BG157" s="137" t="s">
        <v>557</v>
      </c>
      <c r="BH157" s="135">
        <f>BH$3</f>
        <v>46192</v>
      </c>
      <c r="BI157" s="136" t="s">
        <v>557</v>
      </c>
      <c r="BJ157" s="137" t="s">
        <v>557</v>
      </c>
      <c r="BK157" s="135">
        <f>BK$3</f>
        <v>46193</v>
      </c>
      <c r="BL157" s="136" t="s">
        <v>557</v>
      </c>
      <c r="BM157" s="137" t="s">
        <v>557</v>
      </c>
    </row>
    <row r="158" spans="1:65" outlineLevel="1">
      <c r="A158" s="122" t="str">
        <f>$A$134</f>
        <v>Vũ Thị Thêu</v>
      </c>
      <c r="B158" s="123" t="str">
        <f>'Bảng 3'!A326</f>
        <v>3.N.HCM.CGIO.KS.203</v>
      </c>
      <c r="C158" s="81" t="str">
        <f>IF($B158="","",INDEX('All Bảng'!C:C,MATCH($B158,'All Bảng'!$A:$A,0)))</f>
        <v>Quản lý BIM</v>
      </c>
      <c r="D158" s="81" t="str">
        <f>IF($B158="","",INDEX('All Bảng'!D:D,MATCH($B158,'All Bảng'!$A:$A,0)))</f>
        <v>N.HCM.CGIO.KS</v>
      </c>
      <c r="E158" s="81" t="str">
        <f>IF($B158="","",INDEX('All Bảng'!E:E,MATCH($B158,'All Bảng'!$A:$A,0)))</f>
        <v xml:space="preserve">Khách sạn Ritz Carlton - B5-06-10,11 </v>
      </c>
      <c r="F158" s="81" t="str">
        <f>IF($B158="","",INDEX('All Bảng'!F:F,MATCH($B158,'All Bảng'!$A:$A,0)))</f>
        <v>KC</v>
      </c>
      <c r="G158" s="81" t="str">
        <f>IF($B158="","",INDEX('All Bảng'!G:G,MATCH($B158,'All Bảng'!$A:$A,0)))</f>
        <v>Tạo lập mô hình BIM</v>
      </c>
      <c r="H158" s="121"/>
      <c r="I158" s="135"/>
      <c r="J158" s="135">
        <f>J$3</f>
        <v>46174</v>
      </c>
      <c r="K158" s="148" t="s">
        <v>557</v>
      </c>
      <c r="L158" s="163" t="s">
        <v>557</v>
      </c>
      <c r="M158" s="135">
        <f>M$3</f>
        <v>46175</v>
      </c>
      <c r="N158" s="148" t="s">
        <v>557</v>
      </c>
      <c r="O158" s="137" t="s">
        <v>557</v>
      </c>
      <c r="P158" s="135">
        <f>P$3</f>
        <v>46176</v>
      </c>
      <c r="Q158" s="148" t="s">
        <v>557</v>
      </c>
      <c r="R158" s="137" t="s">
        <v>557</v>
      </c>
      <c r="S158" s="135">
        <f>S$3</f>
        <v>46177</v>
      </c>
      <c r="T158" s="136" t="s">
        <v>557</v>
      </c>
      <c r="U158" s="137" t="s">
        <v>557</v>
      </c>
      <c r="V158" s="135">
        <f>V$3</f>
        <v>46178</v>
      </c>
      <c r="W158" s="136" t="s">
        <v>557</v>
      </c>
      <c r="X158" s="137" t="s">
        <v>557</v>
      </c>
      <c r="Y158" s="135">
        <f>Y$3</f>
        <v>46179</v>
      </c>
      <c r="Z158" s="136" t="s">
        <v>557</v>
      </c>
      <c r="AA158" s="137" t="s">
        <v>557</v>
      </c>
      <c r="AB158" s="135"/>
      <c r="AC158" s="135">
        <f>AC$3</f>
        <v>46181</v>
      </c>
      <c r="AD158" s="136" t="s">
        <v>557</v>
      </c>
      <c r="AE158" s="137" t="s">
        <v>557</v>
      </c>
      <c r="AF158" s="135">
        <f>AF$3</f>
        <v>46182</v>
      </c>
      <c r="AG158" s="136" t="s">
        <v>557</v>
      </c>
      <c r="AH158" s="137" t="s">
        <v>557</v>
      </c>
      <c r="AI158" s="135">
        <f>AI$3</f>
        <v>46183</v>
      </c>
      <c r="AJ158" s="136" t="s">
        <v>557</v>
      </c>
      <c r="AK158" s="137" t="s">
        <v>557</v>
      </c>
      <c r="AL158" s="135">
        <f>AL$3</f>
        <v>46184</v>
      </c>
      <c r="AM158" s="136" t="s">
        <v>557</v>
      </c>
      <c r="AN158" s="137" t="s">
        <v>557</v>
      </c>
      <c r="AO158" s="135">
        <f>AO$3</f>
        <v>46185</v>
      </c>
      <c r="AP158" s="136" t="s">
        <v>557</v>
      </c>
      <c r="AQ158" s="137" t="s">
        <v>557</v>
      </c>
      <c r="AR158" s="135">
        <f>AR$3</f>
        <v>46186</v>
      </c>
      <c r="AS158" s="136" t="s">
        <v>557</v>
      </c>
      <c r="AT158" s="137" t="s">
        <v>557</v>
      </c>
      <c r="AU158" s="135"/>
      <c r="AV158" s="135">
        <f>AV$3</f>
        <v>46188</v>
      </c>
      <c r="AW158" s="148" t="s">
        <v>557</v>
      </c>
      <c r="AX158" s="137" t="s">
        <v>557</v>
      </c>
      <c r="AY158" s="135">
        <f>AY$3</f>
        <v>46189</v>
      </c>
      <c r="AZ158" s="136" t="s">
        <v>557</v>
      </c>
      <c r="BA158" s="137" t="s">
        <v>557</v>
      </c>
      <c r="BB158" s="135">
        <f>BB$3</f>
        <v>46190</v>
      </c>
      <c r="BC158" s="136" t="s">
        <v>557</v>
      </c>
      <c r="BD158" s="137" t="s">
        <v>557</v>
      </c>
      <c r="BE158" s="135">
        <f>BE$3</f>
        <v>46191</v>
      </c>
      <c r="BF158" s="136" t="s">
        <v>557</v>
      </c>
      <c r="BG158" s="137" t="s">
        <v>557</v>
      </c>
      <c r="BH158" s="135">
        <f>BH$3</f>
        <v>46192</v>
      </c>
      <c r="BI158" s="136" t="s">
        <v>557</v>
      </c>
      <c r="BJ158" s="137" t="s">
        <v>557</v>
      </c>
      <c r="BK158" s="135">
        <f>BK$3</f>
        <v>46193</v>
      </c>
      <c r="BL158" s="136" t="s">
        <v>557</v>
      </c>
      <c r="BM158" s="137" t="s">
        <v>557</v>
      </c>
    </row>
    <row r="159" spans="1:65" outlineLevel="1">
      <c r="A159" s="122" t="str">
        <f>$A$134</f>
        <v>Vũ Thị Thêu</v>
      </c>
      <c r="B159" s="123" t="str">
        <f>'Bảng 3'!A349</f>
        <v>3.N.HCM.CGIO.KSMN.101</v>
      </c>
      <c r="C159" s="81" t="str">
        <f>IF($B159="","",INDEX('All Bảng'!C:C,MATCH($B159,'All Bảng'!$A:$A,0)))</f>
        <v>Quản lý BIM</v>
      </c>
      <c r="D159" s="81" t="str">
        <f>IF($B159="","",INDEX('All Bảng'!D:D,MATCH($B159,'All Bảng'!$A:$A,0)))</f>
        <v>N.HCM.CGIO.KSMN</v>
      </c>
      <c r="E159" s="81" t="str">
        <f>IF($B159="","",INDEX('All Bảng'!E:E,MATCH($B159,'All Bảng'!$A:$A,0)))</f>
        <v>Lô A5.01.01, mẫu M1G, M7, M8G</v>
      </c>
      <c r="F159" s="81" t="str">
        <f>IF($B159="","",INDEX('All Bảng'!F:F,MATCH($B159,'All Bảng'!$A:$A,0)))</f>
        <v>KT</v>
      </c>
      <c r="G159" s="81" t="str">
        <f>IF($B159="","",INDEX('All Bảng'!G:G,MATCH($B159,'All Bảng'!$A:$A,0)))</f>
        <v>KSCL mô hình BIM</v>
      </c>
      <c r="H159" s="121"/>
      <c r="I159" s="135"/>
      <c r="J159" s="135">
        <f>J$3</f>
        <v>46174</v>
      </c>
      <c r="K159" s="148" t="s">
        <v>557</v>
      </c>
      <c r="L159" s="163" t="s">
        <v>557</v>
      </c>
      <c r="M159" s="135">
        <f>M$3</f>
        <v>46175</v>
      </c>
      <c r="N159" s="148" t="s">
        <v>557</v>
      </c>
      <c r="O159" s="137" t="s">
        <v>557</v>
      </c>
      <c r="P159" s="135">
        <f>P$3</f>
        <v>46176</v>
      </c>
      <c r="Q159" s="148" t="s">
        <v>557</v>
      </c>
      <c r="R159" s="137" t="s">
        <v>557</v>
      </c>
      <c r="S159" s="135">
        <f>S$3</f>
        <v>46177</v>
      </c>
      <c r="T159" s="136" t="s">
        <v>557</v>
      </c>
      <c r="U159" s="137" t="s">
        <v>557</v>
      </c>
      <c r="V159" s="135">
        <f>V$3</f>
        <v>46178</v>
      </c>
      <c r="W159" s="136" t="s">
        <v>557</v>
      </c>
      <c r="X159" s="137" t="s">
        <v>557</v>
      </c>
      <c r="Y159" s="135">
        <f>Y$3</f>
        <v>46179</v>
      </c>
      <c r="Z159" s="136" t="s">
        <v>557</v>
      </c>
      <c r="AA159" s="137" t="s">
        <v>557</v>
      </c>
      <c r="AB159" s="135"/>
      <c r="AC159" s="135">
        <f>AC$3</f>
        <v>46181</v>
      </c>
      <c r="AD159" s="136" t="s">
        <v>557</v>
      </c>
      <c r="AE159" s="137" t="s">
        <v>557</v>
      </c>
      <c r="AF159" s="135">
        <f>AF$3</f>
        <v>46182</v>
      </c>
      <c r="AG159" s="136" t="s">
        <v>557</v>
      </c>
      <c r="AH159" s="137" t="s">
        <v>557</v>
      </c>
      <c r="AI159" s="135">
        <f>AI$3</f>
        <v>46183</v>
      </c>
      <c r="AJ159" s="136" t="s">
        <v>557</v>
      </c>
      <c r="AK159" s="137" t="s">
        <v>557</v>
      </c>
      <c r="AL159" s="135">
        <f>AL$3</f>
        <v>46184</v>
      </c>
      <c r="AM159" s="136" t="s">
        <v>557</v>
      </c>
      <c r="AN159" s="137" t="s">
        <v>557</v>
      </c>
      <c r="AO159" s="135">
        <f>AO$3</f>
        <v>46185</v>
      </c>
      <c r="AP159" s="136" t="s">
        <v>557</v>
      </c>
      <c r="AQ159" s="137" t="s">
        <v>557</v>
      </c>
      <c r="AR159" s="135">
        <f>AR$3</f>
        <v>46186</v>
      </c>
      <c r="AS159" s="136" t="s">
        <v>557</v>
      </c>
      <c r="AT159" s="137" t="s">
        <v>557</v>
      </c>
      <c r="AU159" s="135"/>
      <c r="AV159" s="135">
        <f>AV$3</f>
        <v>46188</v>
      </c>
      <c r="AW159" s="148" t="s">
        <v>557</v>
      </c>
      <c r="AX159" s="137" t="s">
        <v>557</v>
      </c>
      <c r="AY159" s="135">
        <f>AY$3</f>
        <v>46189</v>
      </c>
      <c r="AZ159" s="136" t="s">
        <v>557</v>
      </c>
      <c r="BA159" s="137" t="s">
        <v>557</v>
      </c>
      <c r="BB159" s="135">
        <f>BB$3</f>
        <v>46190</v>
      </c>
      <c r="BC159" s="136" t="s">
        <v>557</v>
      </c>
      <c r="BD159" s="137" t="s">
        <v>557</v>
      </c>
      <c r="BE159" s="135">
        <f>BE$3</f>
        <v>46191</v>
      </c>
      <c r="BF159" s="136" t="s">
        <v>557</v>
      </c>
      <c r="BG159" s="137" t="s">
        <v>557</v>
      </c>
      <c r="BH159" s="135">
        <f>BH$3</f>
        <v>46192</v>
      </c>
      <c r="BI159" s="136" t="s">
        <v>557</v>
      </c>
      <c r="BJ159" s="137" t="s">
        <v>557</v>
      </c>
      <c r="BK159" s="135">
        <f>BK$3</f>
        <v>46193</v>
      </c>
      <c r="BL159" s="136" t="s">
        <v>557</v>
      </c>
      <c r="BM159" s="137" t="s">
        <v>557</v>
      </c>
    </row>
    <row r="160" spans="1:65" outlineLevel="1">
      <c r="A160" s="122" t="str">
        <f>$A$134</f>
        <v>Vũ Thị Thêu</v>
      </c>
      <c r="B160" s="123" t="str">
        <f>'Bảng 3'!A351</f>
        <v>3.N.HCM.CGIO.KSMN.201</v>
      </c>
      <c r="C160" s="81" t="str">
        <f>IF($B160="","",INDEX('All Bảng'!C:C,MATCH($B160,'All Bảng'!$A:$A,0)))</f>
        <v>Quản lý BIM</v>
      </c>
      <c r="D160" s="81" t="str">
        <f>IF($B160="","",INDEX('All Bảng'!D:D,MATCH($B160,'All Bảng'!$A:$A,0)))</f>
        <v>N.HCM.CGIO.KSMN</v>
      </c>
      <c r="E160" s="81" t="str">
        <f>IF($B160="","",INDEX('All Bảng'!E:E,MATCH($B160,'All Bảng'!$A:$A,0)))</f>
        <v>Lô A5.01.01, mẫu M1G, M7, M8G</v>
      </c>
      <c r="F160" s="81" t="str">
        <f>IF($B160="","",INDEX('All Bảng'!F:F,MATCH($B160,'All Bảng'!$A:$A,0)))</f>
        <v>KC</v>
      </c>
      <c r="G160" s="81" t="str">
        <f>IF($B160="","",INDEX('All Bảng'!G:G,MATCH($B160,'All Bảng'!$A:$A,0)))</f>
        <v>KSCL mô hình BIM</v>
      </c>
      <c r="H160" s="121"/>
      <c r="I160" s="135"/>
      <c r="J160" s="135">
        <f>J$3</f>
        <v>46174</v>
      </c>
      <c r="K160" s="148" t="s">
        <v>557</v>
      </c>
      <c r="L160" s="163" t="s">
        <v>557</v>
      </c>
      <c r="M160" s="135">
        <f>M$3</f>
        <v>46175</v>
      </c>
      <c r="N160" s="148" t="s">
        <v>557</v>
      </c>
      <c r="O160" s="137" t="s">
        <v>557</v>
      </c>
      <c r="P160" s="135">
        <f>P$3</f>
        <v>46176</v>
      </c>
      <c r="Q160" s="148" t="s">
        <v>557</v>
      </c>
      <c r="R160" s="137" t="s">
        <v>557</v>
      </c>
      <c r="S160" s="135">
        <f>S$3</f>
        <v>46177</v>
      </c>
      <c r="T160" s="136" t="s">
        <v>557</v>
      </c>
      <c r="U160" s="137" t="s">
        <v>557</v>
      </c>
      <c r="V160" s="135">
        <f>V$3</f>
        <v>46178</v>
      </c>
      <c r="W160" s="136" t="s">
        <v>557</v>
      </c>
      <c r="X160" s="137" t="s">
        <v>557</v>
      </c>
      <c r="Y160" s="135">
        <f>Y$3</f>
        <v>46179</v>
      </c>
      <c r="Z160" s="136" t="s">
        <v>557</v>
      </c>
      <c r="AA160" s="137" t="s">
        <v>557</v>
      </c>
      <c r="AB160" s="135"/>
      <c r="AC160" s="135">
        <f>AC$3</f>
        <v>46181</v>
      </c>
      <c r="AD160" s="136" t="s">
        <v>557</v>
      </c>
      <c r="AE160" s="137" t="s">
        <v>557</v>
      </c>
      <c r="AF160" s="135">
        <f>AF$3</f>
        <v>46182</v>
      </c>
      <c r="AG160" s="136" t="s">
        <v>557</v>
      </c>
      <c r="AH160" s="137" t="s">
        <v>557</v>
      </c>
      <c r="AI160" s="135">
        <f>AI$3</f>
        <v>46183</v>
      </c>
      <c r="AJ160" s="136" t="s">
        <v>557</v>
      </c>
      <c r="AK160" s="137" t="s">
        <v>557</v>
      </c>
      <c r="AL160" s="135">
        <f>AL$3</f>
        <v>46184</v>
      </c>
      <c r="AM160" s="136" t="s">
        <v>557</v>
      </c>
      <c r="AN160" s="137" t="s">
        <v>557</v>
      </c>
      <c r="AO160" s="135">
        <f>AO$3</f>
        <v>46185</v>
      </c>
      <c r="AP160" s="136" t="s">
        <v>557</v>
      </c>
      <c r="AQ160" s="137" t="s">
        <v>557</v>
      </c>
      <c r="AR160" s="135">
        <f>AR$3</f>
        <v>46186</v>
      </c>
      <c r="AS160" s="136" t="s">
        <v>557</v>
      </c>
      <c r="AT160" s="137" t="s">
        <v>557</v>
      </c>
      <c r="AU160" s="135"/>
      <c r="AV160" s="135">
        <f>AV$3</f>
        <v>46188</v>
      </c>
      <c r="AW160" s="148" t="s">
        <v>557</v>
      </c>
      <c r="AX160" s="137" t="s">
        <v>557</v>
      </c>
      <c r="AY160" s="135">
        <f>AY$3</f>
        <v>46189</v>
      </c>
      <c r="AZ160" s="136" t="s">
        <v>557</v>
      </c>
      <c r="BA160" s="137" t="s">
        <v>557</v>
      </c>
      <c r="BB160" s="135">
        <f>BB$3</f>
        <v>46190</v>
      </c>
      <c r="BC160" s="136" t="s">
        <v>557</v>
      </c>
      <c r="BD160" s="137" t="s">
        <v>557</v>
      </c>
      <c r="BE160" s="135">
        <f>BE$3</f>
        <v>46191</v>
      </c>
      <c r="BF160" s="136" t="s">
        <v>557</v>
      </c>
      <c r="BG160" s="137" t="s">
        <v>557</v>
      </c>
      <c r="BH160" s="135">
        <f>BH$3</f>
        <v>46192</v>
      </c>
      <c r="BI160" s="136" t="s">
        <v>557</v>
      </c>
      <c r="BJ160" s="137" t="s">
        <v>557</v>
      </c>
      <c r="BK160" s="135">
        <f>BK$3</f>
        <v>46193</v>
      </c>
      <c r="BL160" s="136" t="s">
        <v>557</v>
      </c>
      <c r="BM160" s="137" t="s">
        <v>557</v>
      </c>
    </row>
    <row r="161" spans="1:65" outlineLevel="1">
      <c r="A161" s="122" t="str">
        <f>$A$134</f>
        <v>Vũ Thị Thêu</v>
      </c>
      <c r="B161" s="123" t="str">
        <f>'Bảng 3'!A357</f>
        <v>3.N.HCM.CGIO.KSMN.103</v>
      </c>
      <c r="C161" s="81" t="str">
        <f>IF($B161="","",INDEX('All Bảng'!C:C,MATCH($B161,'All Bảng'!$A:$A,0)))</f>
        <v>Quản lý BIM</v>
      </c>
      <c r="D161" s="81" t="str">
        <f>IF($B161="","",INDEX('All Bảng'!D:D,MATCH($B161,'All Bảng'!$A:$A,0)))</f>
        <v>N.HCM.CGIO.KSMN</v>
      </c>
      <c r="E161" s="81" t="str">
        <f>IF($B161="","",INDEX('All Bảng'!E:E,MATCH($B161,'All Bảng'!$A:$A,0)))</f>
        <v>Lô A5.01.02, mẫu M4G, M9, M9G</v>
      </c>
      <c r="F161" s="81" t="str">
        <f>IF($B161="","",INDEX('All Bảng'!F:F,MATCH($B161,'All Bảng'!$A:$A,0)))</f>
        <v>KT</v>
      </c>
      <c r="G161" s="81" t="str">
        <f>IF($B161="","",INDEX('All Bảng'!G:G,MATCH($B161,'All Bảng'!$A:$A,0)))</f>
        <v>KSCL mô hình BIM</v>
      </c>
      <c r="H161" s="121"/>
      <c r="I161" s="135"/>
      <c r="J161" s="135">
        <f>J$3</f>
        <v>46174</v>
      </c>
      <c r="K161" s="148" t="s">
        <v>557</v>
      </c>
      <c r="L161" s="163" t="s">
        <v>557</v>
      </c>
      <c r="M161" s="135">
        <f>M$3</f>
        <v>46175</v>
      </c>
      <c r="N161" s="148" t="s">
        <v>557</v>
      </c>
      <c r="O161" s="137" t="s">
        <v>557</v>
      </c>
      <c r="P161" s="135">
        <f>P$3</f>
        <v>46176</v>
      </c>
      <c r="Q161" s="148" t="s">
        <v>557</v>
      </c>
      <c r="R161" s="137" t="s">
        <v>557</v>
      </c>
      <c r="S161" s="135">
        <f>S$3</f>
        <v>46177</v>
      </c>
      <c r="T161" s="136" t="s">
        <v>557</v>
      </c>
      <c r="U161" s="137" t="s">
        <v>557</v>
      </c>
      <c r="V161" s="135">
        <f>V$3</f>
        <v>46178</v>
      </c>
      <c r="W161" s="136" t="s">
        <v>557</v>
      </c>
      <c r="X161" s="137" t="s">
        <v>557</v>
      </c>
      <c r="Y161" s="135">
        <f>Y$3</f>
        <v>46179</v>
      </c>
      <c r="Z161" s="136" t="s">
        <v>557</v>
      </c>
      <c r="AA161" s="137" t="s">
        <v>557</v>
      </c>
      <c r="AB161" s="135"/>
      <c r="AC161" s="135">
        <f>AC$3</f>
        <v>46181</v>
      </c>
      <c r="AD161" s="136" t="s">
        <v>557</v>
      </c>
      <c r="AE161" s="137" t="s">
        <v>557</v>
      </c>
      <c r="AF161" s="135">
        <f>AF$3</f>
        <v>46182</v>
      </c>
      <c r="AG161" s="136" t="s">
        <v>557</v>
      </c>
      <c r="AH161" s="137" t="s">
        <v>557</v>
      </c>
      <c r="AI161" s="135">
        <f>AI$3</f>
        <v>46183</v>
      </c>
      <c r="AJ161" s="136" t="s">
        <v>557</v>
      </c>
      <c r="AK161" s="137" t="s">
        <v>557</v>
      </c>
      <c r="AL161" s="135">
        <f>AL$3</f>
        <v>46184</v>
      </c>
      <c r="AM161" s="136" t="s">
        <v>557</v>
      </c>
      <c r="AN161" s="137" t="s">
        <v>557</v>
      </c>
      <c r="AO161" s="135">
        <f>AO$3</f>
        <v>46185</v>
      </c>
      <c r="AP161" s="136" t="s">
        <v>557</v>
      </c>
      <c r="AQ161" s="137" t="s">
        <v>557</v>
      </c>
      <c r="AR161" s="135">
        <f>AR$3</f>
        <v>46186</v>
      </c>
      <c r="AS161" s="136" t="s">
        <v>557</v>
      </c>
      <c r="AT161" s="137" t="s">
        <v>557</v>
      </c>
      <c r="AU161" s="135"/>
      <c r="AV161" s="135">
        <f>AV$3</f>
        <v>46188</v>
      </c>
      <c r="AW161" s="148" t="s">
        <v>557</v>
      </c>
      <c r="AX161" s="137" t="s">
        <v>557</v>
      </c>
      <c r="AY161" s="135">
        <f>AY$3</f>
        <v>46189</v>
      </c>
      <c r="AZ161" s="136" t="s">
        <v>557</v>
      </c>
      <c r="BA161" s="137" t="s">
        <v>557</v>
      </c>
      <c r="BB161" s="135">
        <f>BB$3</f>
        <v>46190</v>
      </c>
      <c r="BC161" s="136" t="s">
        <v>557</v>
      </c>
      <c r="BD161" s="137" t="s">
        <v>557</v>
      </c>
      <c r="BE161" s="135">
        <f>BE$3</f>
        <v>46191</v>
      </c>
      <c r="BF161" s="136" t="s">
        <v>557</v>
      </c>
      <c r="BG161" s="137" t="s">
        <v>557</v>
      </c>
      <c r="BH161" s="135">
        <f>BH$3</f>
        <v>46192</v>
      </c>
      <c r="BI161" s="136" t="s">
        <v>557</v>
      </c>
      <c r="BJ161" s="137" t="s">
        <v>557</v>
      </c>
      <c r="BK161" s="135">
        <f>BK$3</f>
        <v>46193</v>
      </c>
      <c r="BL161" s="136" t="s">
        <v>557</v>
      </c>
      <c r="BM161" s="137" t="s">
        <v>557</v>
      </c>
    </row>
    <row r="162" spans="1:65" outlineLevel="1">
      <c r="A162" s="122" t="str">
        <f>$A$134</f>
        <v>Vũ Thị Thêu</v>
      </c>
      <c r="B162" s="123" t="str">
        <f>'Bảng 3'!A359</f>
        <v>3.N.HCM.CGIO.KSMN.202</v>
      </c>
      <c r="C162" s="81" t="str">
        <f>IF($B162="","",INDEX('All Bảng'!C:C,MATCH($B162,'All Bảng'!$A:$A,0)))</f>
        <v>Quản lý BIM</v>
      </c>
      <c r="D162" s="81" t="str">
        <f>IF($B162="","",INDEX('All Bảng'!D:D,MATCH($B162,'All Bảng'!$A:$A,0)))</f>
        <v>N.HCM.CGIO.KSMN</v>
      </c>
      <c r="E162" s="81" t="str">
        <f>IF($B162="","",INDEX('All Bảng'!E:E,MATCH($B162,'All Bảng'!$A:$A,0)))</f>
        <v>Lô A5.01.02, mẫu M4G, M9, M9G</v>
      </c>
      <c r="F162" s="81" t="str">
        <f>IF($B162="","",INDEX('All Bảng'!F:F,MATCH($B162,'All Bảng'!$A:$A,0)))</f>
        <v>KC</v>
      </c>
      <c r="G162" s="81" t="str">
        <f>IF($B162="","",INDEX('All Bảng'!G:G,MATCH($B162,'All Bảng'!$A:$A,0)))</f>
        <v>KSCL mô hình BIM</v>
      </c>
      <c r="H162" s="121"/>
      <c r="I162" s="135"/>
      <c r="J162" s="135">
        <f>J$3</f>
        <v>46174</v>
      </c>
      <c r="K162" s="148" t="s">
        <v>557</v>
      </c>
      <c r="L162" s="163" t="s">
        <v>557</v>
      </c>
      <c r="M162" s="135">
        <f>M$3</f>
        <v>46175</v>
      </c>
      <c r="N162" s="148" t="s">
        <v>557</v>
      </c>
      <c r="O162" s="137" t="s">
        <v>557</v>
      </c>
      <c r="P162" s="135">
        <f>P$3</f>
        <v>46176</v>
      </c>
      <c r="Q162" s="148" t="s">
        <v>557</v>
      </c>
      <c r="R162" s="137" t="s">
        <v>557</v>
      </c>
      <c r="S162" s="135">
        <f>S$3</f>
        <v>46177</v>
      </c>
      <c r="T162" s="136" t="s">
        <v>557</v>
      </c>
      <c r="U162" s="137" t="s">
        <v>557</v>
      </c>
      <c r="V162" s="135">
        <f>V$3</f>
        <v>46178</v>
      </c>
      <c r="W162" s="136" t="s">
        <v>557</v>
      </c>
      <c r="X162" s="137" t="s">
        <v>557</v>
      </c>
      <c r="Y162" s="135">
        <f>Y$3</f>
        <v>46179</v>
      </c>
      <c r="Z162" s="136" t="s">
        <v>557</v>
      </c>
      <c r="AA162" s="137" t="s">
        <v>557</v>
      </c>
      <c r="AB162" s="135"/>
      <c r="AC162" s="135">
        <f>AC$3</f>
        <v>46181</v>
      </c>
      <c r="AD162" s="136" t="s">
        <v>557</v>
      </c>
      <c r="AE162" s="137" t="s">
        <v>557</v>
      </c>
      <c r="AF162" s="135">
        <f>AF$3</f>
        <v>46182</v>
      </c>
      <c r="AG162" s="136" t="s">
        <v>557</v>
      </c>
      <c r="AH162" s="137" t="s">
        <v>557</v>
      </c>
      <c r="AI162" s="135">
        <f>AI$3</f>
        <v>46183</v>
      </c>
      <c r="AJ162" s="136" t="s">
        <v>557</v>
      </c>
      <c r="AK162" s="137" t="s">
        <v>557</v>
      </c>
      <c r="AL162" s="135">
        <f>AL$3</f>
        <v>46184</v>
      </c>
      <c r="AM162" s="136" t="s">
        <v>557</v>
      </c>
      <c r="AN162" s="137" t="s">
        <v>557</v>
      </c>
      <c r="AO162" s="135">
        <f>AO$3</f>
        <v>46185</v>
      </c>
      <c r="AP162" s="136" t="s">
        <v>557</v>
      </c>
      <c r="AQ162" s="137" t="s">
        <v>557</v>
      </c>
      <c r="AR162" s="135">
        <f>AR$3</f>
        <v>46186</v>
      </c>
      <c r="AS162" s="136" t="s">
        <v>557</v>
      </c>
      <c r="AT162" s="137" t="s">
        <v>557</v>
      </c>
      <c r="AU162" s="135"/>
      <c r="AV162" s="135">
        <f>AV$3</f>
        <v>46188</v>
      </c>
      <c r="AW162" s="148" t="s">
        <v>557</v>
      </c>
      <c r="AX162" s="137" t="s">
        <v>557</v>
      </c>
      <c r="AY162" s="135">
        <f>AY$3</f>
        <v>46189</v>
      </c>
      <c r="AZ162" s="136" t="s">
        <v>557</v>
      </c>
      <c r="BA162" s="137" t="s">
        <v>557</v>
      </c>
      <c r="BB162" s="135">
        <f>BB$3</f>
        <v>46190</v>
      </c>
      <c r="BC162" s="136" t="s">
        <v>557</v>
      </c>
      <c r="BD162" s="137" t="s">
        <v>557</v>
      </c>
      <c r="BE162" s="135">
        <f>BE$3</f>
        <v>46191</v>
      </c>
      <c r="BF162" s="136" t="s">
        <v>557</v>
      </c>
      <c r="BG162" s="137" t="s">
        <v>557</v>
      </c>
      <c r="BH162" s="135">
        <f>BH$3</f>
        <v>46192</v>
      </c>
      <c r="BI162" s="136" t="s">
        <v>557</v>
      </c>
      <c r="BJ162" s="137" t="s">
        <v>557</v>
      </c>
      <c r="BK162" s="135">
        <f>BK$3</f>
        <v>46193</v>
      </c>
      <c r="BL162" s="136" t="s">
        <v>557</v>
      </c>
      <c r="BM162" s="137" t="s">
        <v>557</v>
      </c>
    </row>
    <row r="163" spans="1:65" outlineLevel="1">
      <c r="A163" s="122" t="str">
        <f>$A$134</f>
        <v>Vũ Thị Thêu</v>
      </c>
      <c r="B163" s="123" t="str">
        <f>'Bảng 3'!A438</f>
        <v>3.T.DAN.LVDN.KS.101</v>
      </c>
      <c r="C163" s="81" t="str">
        <f>IF($B163="","",INDEX('All Bảng'!C:C,MATCH($B163,'All Bảng'!$A:$A,0)))</f>
        <v>Quản lý BIM</v>
      </c>
      <c r="D163" s="81" t="str">
        <f>IF($B163="","",INDEX('All Bảng'!D:D,MATCH($B163,'All Bảng'!$A:$A,0)))</f>
        <v>T.DAN.LVDN.KS</v>
      </c>
      <c r="E163" s="81" t="str">
        <f>IF($B163="","",INDEX('All Bảng'!E:E,MATCH($B163,'All Bảng'!$A:$A,0)))</f>
        <v>KS JW Marriott- Làng Vân (Cao 9 tầng)</v>
      </c>
      <c r="F163" s="81" t="str">
        <f>IF($B163="","",INDEX('All Bảng'!F:F,MATCH($B163,'All Bảng'!$A:$A,0)))</f>
        <v>KT</v>
      </c>
      <c r="G163" s="81" t="str">
        <f>IF($B163="","",INDEX('All Bảng'!G:G,MATCH($B163,'All Bảng'!$A:$A,0)))</f>
        <v>Tạo lập mô hình BIM</v>
      </c>
      <c r="H163" s="121"/>
      <c r="I163" s="135"/>
      <c r="J163" s="135">
        <f>J$3</f>
        <v>46174</v>
      </c>
      <c r="K163" s="148" t="s">
        <v>557</v>
      </c>
      <c r="L163" s="163" t="s">
        <v>557</v>
      </c>
      <c r="M163" s="135">
        <f>M$3</f>
        <v>46175</v>
      </c>
      <c r="N163" s="148" t="s">
        <v>557</v>
      </c>
      <c r="O163" s="137" t="s">
        <v>557</v>
      </c>
      <c r="P163" s="135">
        <f>P$3</f>
        <v>46176</v>
      </c>
      <c r="Q163" s="148" t="s">
        <v>557</v>
      </c>
      <c r="R163" s="137" t="s">
        <v>557</v>
      </c>
      <c r="S163" s="135">
        <f>S$3</f>
        <v>46177</v>
      </c>
      <c r="T163" s="136" t="s">
        <v>557</v>
      </c>
      <c r="U163" s="137" t="s">
        <v>557</v>
      </c>
      <c r="V163" s="135">
        <f>V$3</f>
        <v>46178</v>
      </c>
      <c r="W163" s="136" t="s">
        <v>557</v>
      </c>
      <c r="X163" s="137" t="s">
        <v>557</v>
      </c>
      <c r="Y163" s="135">
        <f>Y$3</f>
        <v>46179</v>
      </c>
      <c r="Z163" s="136" t="s">
        <v>557</v>
      </c>
      <c r="AA163" s="137" t="s">
        <v>557</v>
      </c>
      <c r="AB163" s="135"/>
      <c r="AC163" s="135">
        <f>AC$3</f>
        <v>46181</v>
      </c>
      <c r="AD163" s="136" t="s">
        <v>557</v>
      </c>
      <c r="AE163" s="137" t="s">
        <v>557</v>
      </c>
      <c r="AF163" s="135">
        <f>AF$3</f>
        <v>46182</v>
      </c>
      <c r="AG163" s="136" t="s">
        <v>557</v>
      </c>
      <c r="AH163" s="137" t="s">
        <v>557</v>
      </c>
      <c r="AI163" s="135">
        <f>AI$3</f>
        <v>46183</v>
      </c>
      <c r="AJ163" s="136" t="s">
        <v>557</v>
      </c>
      <c r="AK163" s="137" t="s">
        <v>557</v>
      </c>
      <c r="AL163" s="135">
        <f>AL$3</f>
        <v>46184</v>
      </c>
      <c r="AM163" s="136" t="s">
        <v>557</v>
      </c>
      <c r="AN163" s="137" t="s">
        <v>557</v>
      </c>
      <c r="AO163" s="135">
        <f>AO$3</f>
        <v>46185</v>
      </c>
      <c r="AP163" s="136" t="s">
        <v>557</v>
      </c>
      <c r="AQ163" s="137" t="s">
        <v>557</v>
      </c>
      <c r="AR163" s="135">
        <f>AR$3</f>
        <v>46186</v>
      </c>
      <c r="AS163" s="136" t="s">
        <v>557</v>
      </c>
      <c r="AT163" s="137" t="s">
        <v>557</v>
      </c>
      <c r="AU163" s="135"/>
      <c r="AV163" s="135">
        <f>AV$3</f>
        <v>46188</v>
      </c>
      <c r="AW163" s="148" t="s">
        <v>557</v>
      </c>
      <c r="AX163" s="137" t="s">
        <v>557</v>
      </c>
      <c r="AY163" s="135">
        <f>AY$3</f>
        <v>46189</v>
      </c>
      <c r="AZ163" s="136" t="s">
        <v>557</v>
      </c>
      <c r="BA163" s="137" t="s">
        <v>557</v>
      </c>
      <c r="BB163" s="135">
        <f>BB$3</f>
        <v>46190</v>
      </c>
      <c r="BC163" s="136" t="s">
        <v>557</v>
      </c>
      <c r="BD163" s="137" t="s">
        <v>557</v>
      </c>
      <c r="BE163" s="135">
        <f>BE$3</f>
        <v>46191</v>
      </c>
      <c r="BF163" s="136" t="s">
        <v>557</v>
      </c>
      <c r="BG163" s="137" t="s">
        <v>557</v>
      </c>
      <c r="BH163" s="135">
        <f>BH$3</f>
        <v>46192</v>
      </c>
      <c r="BI163" s="136" t="s">
        <v>557</v>
      </c>
      <c r="BJ163" s="137" t="s">
        <v>557</v>
      </c>
      <c r="BK163" s="135">
        <f>BK$3</f>
        <v>46193</v>
      </c>
      <c r="BL163" s="136" t="s">
        <v>557</v>
      </c>
      <c r="BM163" s="137" t="s">
        <v>557</v>
      </c>
    </row>
    <row r="164" spans="1:65" outlineLevel="1">
      <c r="A164" s="122" t="str">
        <f>$A$134</f>
        <v>Vũ Thị Thêu</v>
      </c>
      <c r="B164" s="123" t="str">
        <f>'Bảng 3'!A439</f>
        <v>3.T.DAN.LVDN.KS.201</v>
      </c>
      <c r="C164" s="81" t="str">
        <f>IF($B164="","",INDEX('All Bảng'!C:C,MATCH($B164,'All Bảng'!$A:$A,0)))</f>
        <v>Quản lý BIM</v>
      </c>
      <c r="D164" s="81" t="str">
        <f>IF($B164="","",INDEX('All Bảng'!D:D,MATCH($B164,'All Bảng'!$A:$A,0)))</f>
        <v>T.DAN.LVDN.KS</v>
      </c>
      <c r="E164" s="81" t="str">
        <f>IF($B164="","",INDEX('All Bảng'!E:E,MATCH($B164,'All Bảng'!$A:$A,0)))</f>
        <v>KS JW Marriott- Làng Vân (Cao 9 tầng)</v>
      </c>
      <c r="F164" s="81" t="str">
        <f>IF($B164="","",INDEX('All Bảng'!F:F,MATCH($B164,'All Bảng'!$A:$A,0)))</f>
        <v>KC</v>
      </c>
      <c r="G164" s="81" t="str">
        <f>IF($B164="","",INDEX('All Bảng'!G:G,MATCH($B164,'All Bảng'!$A:$A,0)))</f>
        <v>Tạo lập mô hình BIM</v>
      </c>
      <c r="H164" s="121"/>
      <c r="I164" s="135"/>
      <c r="J164" s="135">
        <f>J$3</f>
        <v>46174</v>
      </c>
      <c r="K164" s="148" t="s">
        <v>557</v>
      </c>
      <c r="L164" s="163" t="s">
        <v>557</v>
      </c>
      <c r="M164" s="135">
        <f>M$3</f>
        <v>46175</v>
      </c>
      <c r="N164" s="148" t="s">
        <v>557</v>
      </c>
      <c r="O164" s="137" t="s">
        <v>557</v>
      </c>
      <c r="P164" s="135">
        <f>P$3</f>
        <v>46176</v>
      </c>
      <c r="Q164" s="148" t="s">
        <v>557</v>
      </c>
      <c r="R164" s="137" t="s">
        <v>557</v>
      </c>
      <c r="S164" s="135">
        <f>S$3</f>
        <v>46177</v>
      </c>
      <c r="T164" s="136" t="s">
        <v>557</v>
      </c>
      <c r="U164" s="137" t="s">
        <v>557</v>
      </c>
      <c r="V164" s="135">
        <f>V$3</f>
        <v>46178</v>
      </c>
      <c r="W164" s="136" t="s">
        <v>557</v>
      </c>
      <c r="X164" s="137" t="s">
        <v>557</v>
      </c>
      <c r="Y164" s="135">
        <f>Y$3</f>
        <v>46179</v>
      </c>
      <c r="Z164" s="136" t="s">
        <v>557</v>
      </c>
      <c r="AA164" s="137" t="s">
        <v>557</v>
      </c>
      <c r="AB164" s="135"/>
      <c r="AC164" s="135">
        <f>AC$3</f>
        <v>46181</v>
      </c>
      <c r="AD164" s="136" t="s">
        <v>557</v>
      </c>
      <c r="AE164" s="137" t="s">
        <v>557</v>
      </c>
      <c r="AF164" s="135">
        <f>AF$3</f>
        <v>46182</v>
      </c>
      <c r="AG164" s="136" t="s">
        <v>557</v>
      </c>
      <c r="AH164" s="137" t="s">
        <v>557</v>
      </c>
      <c r="AI164" s="135">
        <f>AI$3</f>
        <v>46183</v>
      </c>
      <c r="AJ164" s="136" t="s">
        <v>557</v>
      </c>
      <c r="AK164" s="137" t="s">
        <v>557</v>
      </c>
      <c r="AL164" s="135">
        <f>AL$3</f>
        <v>46184</v>
      </c>
      <c r="AM164" s="136" t="s">
        <v>557</v>
      </c>
      <c r="AN164" s="137" t="s">
        <v>557</v>
      </c>
      <c r="AO164" s="135">
        <f>AO$3</f>
        <v>46185</v>
      </c>
      <c r="AP164" s="136" t="s">
        <v>557</v>
      </c>
      <c r="AQ164" s="137" t="s">
        <v>557</v>
      </c>
      <c r="AR164" s="135">
        <f>AR$3</f>
        <v>46186</v>
      </c>
      <c r="AS164" s="136" t="s">
        <v>557</v>
      </c>
      <c r="AT164" s="137" t="s">
        <v>557</v>
      </c>
      <c r="AU164" s="135"/>
      <c r="AV164" s="135">
        <f>AV$3</f>
        <v>46188</v>
      </c>
      <c r="AW164" s="148" t="s">
        <v>557</v>
      </c>
      <c r="AX164" s="137" t="s">
        <v>557</v>
      </c>
      <c r="AY164" s="135">
        <f>AY$3</f>
        <v>46189</v>
      </c>
      <c r="AZ164" s="136" t="s">
        <v>557</v>
      </c>
      <c r="BA164" s="137" t="s">
        <v>557</v>
      </c>
      <c r="BB164" s="135">
        <f>BB$3</f>
        <v>46190</v>
      </c>
      <c r="BC164" s="136" t="s">
        <v>557</v>
      </c>
      <c r="BD164" s="137" t="s">
        <v>557</v>
      </c>
      <c r="BE164" s="135">
        <f>BE$3</f>
        <v>46191</v>
      </c>
      <c r="BF164" s="136" t="s">
        <v>557</v>
      </c>
      <c r="BG164" s="137" t="s">
        <v>557</v>
      </c>
      <c r="BH164" s="135">
        <f>BH$3</f>
        <v>46192</v>
      </c>
      <c r="BI164" s="136" t="s">
        <v>557</v>
      </c>
      <c r="BJ164" s="137" t="s">
        <v>557</v>
      </c>
      <c r="BK164" s="135">
        <f>BK$3</f>
        <v>46193</v>
      </c>
      <c r="BL164" s="136" t="s">
        <v>557</v>
      </c>
      <c r="BM164" s="137" t="s">
        <v>557</v>
      </c>
    </row>
    <row r="165" spans="1:65" outlineLevel="1">
      <c r="A165" s="122" t="str">
        <f>$A$134</f>
        <v>Vũ Thị Thêu</v>
      </c>
      <c r="B165" s="123" t="str">
        <f>'Bảng 3'!A456</f>
        <v>3.T.KHO.VPNT.KSMN.103</v>
      </c>
      <c r="C165" s="81" t="str">
        <f>IF($B165="","",INDEX('All Bảng'!C:C,MATCH($B165,'All Bảng'!$A:$A,0)))</f>
        <v>Quản lý BIM</v>
      </c>
      <c r="D165" s="81" t="str">
        <f>IF($B165="","",INDEX('All Bảng'!D:D,MATCH($B165,'All Bảng'!$A:$A,0)))</f>
        <v>T.KHO.VPNT.KSMN</v>
      </c>
      <c r="E165" s="81" t="str">
        <f>IF($B165="","",INDEX('All Bảng'!E:E,MATCH($B165,'All Bảng'!$A:$A,0)))</f>
        <v>Mẫu M2</v>
      </c>
      <c r="F165" s="81" t="str">
        <f>IF($B165="","",INDEX('All Bảng'!F:F,MATCH($B165,'All Bảng'!$A:$A,0)))</f>
        <v>KT</v>
      </c>
      <c r="G165" s="81" t="str">
        <f>IF($B165="","",INDEX('All Bảng'!G:G,MATCH($B165,'All Bảng'!$A:$A,0)))</f>
        <v>KSCL mô hình BIM</v>
      </c>
      <c r="H165" s="121"/>
      <c r="I165" s="135"/>
      <c r="J165" s="135">
        <f>J$3</f>
        <v>46174</v>
      </c>
      <c r="K165" s="148" t="s">
        <v>557</v>
      </c>
      <c r="L165" s="163" t="s">
        <v>557</v>
      </c>
      <c r="M165" s="135">
        <f>M$3</f>
        <v>46175</v>
      </c>
      <c r="N165" s="148" t="s">
        <v>557</v>
      </c>
      <c r="O165" s="137" t="s">
        <v>557</v>
      </c>
      <c r="P165" s="135">
        <f>P$3</f>
        <v>46176</v>
      </c>
      <c r="Q165" s="148" t="s">
        <v>557</v>
      </c>
      <c r="R165" s="137" t="s">
        <v>557</v>
      </c>
      <c r="S165" s="135">
        <f>S$3</f>
        <v>46177</v>
      </c>
      <c r="T165" s="136" t="s">
        <v>557</v>
      </c>
      <c r="U165" s="137" t="s">
        <v>557</v>
      </c>
      <c r="V165" s="135">
        <f>V$3</f>
        <v>46178</v>
      </c>
      <c r="W165" s="136" t="s">
        <v>557</v>
      </c>
      <c r="X165" s="137" t="s">
        <v>557</v>
      </c>
      <c r="Y165" s="135">
        <f>Y$3</f>
        <v>46179</v>
      </c>
      <c r="Z165" s="136" t="s">
        <v>557</v>
      </c>
      <c r="AA165" s="137" t="s">
        <v>557</v>
      </c>
      <c r="AB165" s="135"/>
      <c r="AC165" s="135">
        <f>AC$3</f>
        <v>46181</v>
      </c>
      <c r="AD165" s="136" t="s">
        <v>557</v>
      </c>
      <c r="AE165" s="137" t="s">
        <v>557</v>
      </c>
      <c r="AF165" s="135">
        <f>AF$3</f>
        <v>46182</v>
      </c>
      <c r="AG165" s="136" t="s">
        <v>557</v>
      </c>
      <c r="AH165" s="137" t="s">
        <v>557</v>
      </c>
      <c r="AI165" s="135">
        <f>AI$3</f>
        <v>46183</v>
      </c>
      <c r="AJ165" s="136" t="s">
        <v>557</v>
      </c>
      <c r="AK165" s="137" t="s">
        <v>557</v>
      </c>
      <c r="AL165" s="135">
        <f>AL$3</f>
        <v>46184</v>
      </c>
      <c r="AM165" s="136" t="s">
        <v>557</v>
      </c>
      <c r="AN165" s="137" t="s">
        <v>557</v>
      </c>
      <c r="AO165" s="135">
        <f>AO$3</f>
        <v>46185</v>
      </c>
      <c r="AP165" s="136" t="s">
        <v>557</v>
      </c>
      <c r="AQ165" s="137" t="s">
        <v>557</v>
      </c>
      <c r="AR165" s="135">
        <f>AR$3</f>
        <v>46186</v>
      </c>
      <c r="AS165" s="136" t="s">
        <v>557</v>
      </c>
      <c r="AT165" s="137" t="s">
        <v>557</v>
      </c>
      <c r="AU165" s="135"/>
      <c r="AV165" s="135">
        <f>AV$3</f>
        <v>46188</v>
      </c>
      <c r="AW165" s="148" t="s">
        <v>557</v>
      </c>
      <c r="AX165" s="137" t="s">
        <v>557</v>
      </c>
      <c r="AY165" s="135">
        <f>AY$3</f>
        <v>46189</v>
      </c>
      <c r="AZ165" s="136" t="s">
        <v>557</v>
      </c>
      <c r="BA165" s="137" t="s">
        <v>557</v>
      </c>
      <c r="BB165" s="135">
        <f>BB$3</f>
        <v>46190</v>
      </c>
      <c r="BC165" s="136" t="s">
        <v>557</v>
      </c>
      <c r="BD165" s="137" t="s">
        <v>557</v>
      </c>
      <c r="BE165" s="135">
        <f>BE$3</f>
        <v>46191</v>
      </c>
      <c r="BF165" s="136" t="s">
        <v>557</v>
      </c>
      <c r="BG165" s="137" t="s">
        <v>557</v>
      </c>
      <c r="BH165" s="135">
        <f>BH$3</f>
        <v>46192</v>
      </c>
      <c r="BI165" s="136" t="s">
        <v>557</v>
      </c>
      <c r="BJ165" s="137" t="s">
        <v>557</v>
      </c>
      <c r="BK165" s="135">
        <f>BK$3</f>
        <v>46193</v>
      </c>
      <c r="BL165" s="136" t="s">
        <v>557</v>
      </c>
      <c r="BM165" s="137" t="s">
        <v>557</v>
      </c>
    </row>
    <row r="166" spans="1:65" outlineLevel="1">
      <c r="A166" s="122" t="str">
        <f>$A$134</f>
        <v>Vũ Thị Thêu</v>
      </c>
      <c r="B166" s="123" t="str">
        <f>'Bảng 3'!A458</f>
        <v>3.T.KHO.VPNT.KSMN.202</v>
      </c>
      <c r="C166" s="81" t="str">
        <f>IF($B166="","",INDEX('All Bảng'!C:C,MATCH($B166,'All Bảng'!$A:$A,0)))</f>
        <v>Quản lý BIM</v>
      </c>
      <c r="D166" s="81" t="str">
        <f>IF($B166="","",INDEX('All Bảng'!D:D,MATCH($B166,'All Bảng'!$A:$A,0)))</f>
        <v>T.KHO.VPNT.KSMN</v>
      </c>
      <c r="E166" s="81" t="str">
        <f>IF($B166="","",INDEX('All Bảng'!E:E,MATCH($B166,'All Bảng'!$A:$A,0)))</f>
        <v>Mẫu M2</v>
      </c>
      <c r="F166" s="81" t="str">
        <f>IF($B166="","",INDEX('All Bảng'!F:F,MATCH($B166,'All Bảng'!$A:$A,0)))</f>
        <v>KC</v>
      </c>
      <c r="G166" s="81" t="str">
        <f>IF($B166="","",INDEX('All Bảng'!G:G,MATCH($B166,'All Bảng'!$A:$A,0)))</f>
        <v>KSCL mô hình BIM</v>
      </c>
      <c r="H166" s="121"/>
      <c r="I166" s="135"/>
      <c r="J166" s="135">
        <f>J$3</f>
        <v>46174</v>
      </c>
      <c r="K166" s="148" t="s">
        <v>557</v>
      </c>
      <c r="L166" s="163" t="s">
        <v>557</v>
      </c>
      <c r="M166" s="135">
        <f>M$3</f>
        <v>46175</v>
      </c>
      <c r="N166" s="148" t="s">
        <v>557</v>
      </c>
      <c r="O166" s="137" t="s">
        <v>557</v>
      </c>
      <c r="P166" s="135">
        <f>P$3</f>
        <v>46176</v>
      </c>
      <c r="Q166" s="148" t="s">
        <v>557</v>
      </c>
      <c r="R166" s="137" t="s">
        <v>557</v>
      </c>
      <c r="S166" s="135">
        <f>S$3</f>
        <v>46177</v>
      </c>
      <c r="T166" s="136" t="s">
        <v>557</v>
      </c>
      <c r="U166" s="137" t="s">
        <v>557</v>
      </c>
      <c r="V166" s="135">
        <f>V$3</f>
        <v>46178</v>
      </c>
      <c r="W166" s="136" t="s">
        <v>557</v>
      </c>
      <c r="X166" s="137" t="s">
        <v>557</v>
      </c>
      <c r="Y166" s="135">
        <f>Y$3</f>
        <v>46179</v>
      </c>
      <c r="Z166" s="136" t="s">
        <v>557</v>
      </c>
      <c r="AA166" s="137" t="s">
        <v>557</v>
      </c>
      <c r="AB166" s="135"/>
      <c r="AC166" s="135">
        <f>AC$3</f>
        <v>46181</v>
      </c>
      <c r="AD166" s="136" t="s">
        <v>557</v>
      </c>
      <c r="AE166" s="137" t="s">
        <v>557</v>
      </c>
      <c r="AF166" s="135">
        <f>AF$3</f>
        <v>46182</v>
      </c>
      <c r="AG166" s="136" t="s">
        <v>557</v>
      </c>
      <c r="AH166" s="137" t="s">
        <v>557</v>
      </c>
      <c r="AI166" s="135">
        <f>AI$3</f>
        <v>46183</v>
      </c>
      <c r="AJ166" s="136" t="s">
        <v>557</v>
      </c>
      <c r="AK166" s="137" t="s">
        <v>557</v>
      </c>
      <c r="AL166" s="135">
        <f>AL$3</f>
        <v>46184</v>
      </c>
      <c r="AM166" s="136" t="s">
        <v>557</v>
      </c>
      <c r="AN166" s="137" t="s">
        <v>557</v>
      </c>
      <c r="AO166" s="135">
        <f>AO$3</f>
        <v>46185</v>
      </c>
      <c r="AP166" s="136" t="s">
        <v>557</v>
      </c>
      <c r="AQ166" s="137" t="s">
        <v>557</v>
      </c>
      <c r="AR166" s="135">
        <f>AR$3</f>
        <v>46186</v>
      </c>
      <c r="AS166" s="136" t="s">
        <v>557</v>
      </c>
      <c r="AT166" s="137" t="s">
        <v>557</v>
      </c>
      <c r="AU166" s="135"/>
      <c r="AV166" s="135">
        <f>AV$3</f>
        <v>46188</v>
      </c>
      <c r="AW166" s="148" t="s">
        <v>557</v>
      </c>
      <c r="AX166" s="137" t="s">
        <v>557</v>
      </c>
      <c r="AY166" s="135">
        <f>AY$3</f>
        <v>46189</v>
      </c>
      <c r="AZ166" s="136" t="s">
        <v>557</v>
      </c>
      <c r="BA166" s="137" t="s">
        <v>557</v>
      </c>
      <c r="BB166" s="135">
        <f>BB$3</f>
        <v>46190</v>
      </c>
      <c r="BC166" s="136" t="s">
        <v>557</v>
      </c>
      <c r="BD166" s="137" t="s">
        <v>557</v>
      </c>
      <c r="BE166" s="135">
        <f>BE$3</f>
        <v>46191</v>
      </c>
      <c r="BF166" s="136" t="s">
        <v>557</v>
      </c>
      <c r="BG166" s="137" t="s">
        <v>557</v>
      </c>
      <c r="BH166" s="135">
        <f>BH$3</f>
        <v>46192</v>
      </c>
      <c r="BI166" s="136" t="s">
        <v>557</v>
      </c>
      <c r="BJ166" s="137" t="s">
        <v>557</v>
      </c>
      <c r="BK166" s="135">
        <f>BK$3</f>
        <v>46193</v>
      </c>
      <c r="BL166" s="136" t="s">
        <v>557</v>
      </c>
      <c r="BM166" s="137" t="s">
        <v>557</v>
      </c>
    </row>
    <row r="167" spans="1:65" outlineLevel="1">
      <c r="A167" s="122" t="str">
        <f>$A$134</f>
        <v>Vũ Thị Thêu</v>
      </c>
      <c r="B167" s="82"/>
      <c r="C167" s="81" t="str">
        <f>IF($B167="","",INDEX('All Bảng'!C:C,MATCH($B167,'All Bảng'!$A:$A,0)))</f>
        <v/>
      </c>
      <c r="D167" s="81" t="str">
        <f>IF($B167="","",INDEX('All Bảng'!D:D,MATCH($B167,'All Bảng'!$A:$A,0)))</f>
        <v/>
      </c>
      <c r="E167" s="81" t="str">
        <f>IF($B167="","",INDEX('All Bảng'!E:E,MATCH($B167,'All Bảng'!$A:$A,0)))</f>
        <v/>
      </c>
      <c r="F167" s="81" t="str">
        <f>IF($B167="","",INDEX('All Bảng'!F:F,MATCH($B167,'All Bảng'!$A:$A,0)))</f>
        <v/>
      </c>
      <c r="G167" s="81" t="str">
        <f>IF($B167="","",INDEX('All Bảng'!G:G,MATCH($B167,'All Bảng'!$A:$A,0)))</f>
        <v/>
      </c>
      <c r="H167" s="121"/>
      <c r="I167" s="135"/>
      <c r="J167" s="135">
        <f>J$3</f>
        <v>46174</v>
      </c>
      <c r="K167" s="148" t="s">
        <v>557</v>
      </c>
      <c r="L167" s="163" t="s">
        <v>557</v>
      </c>
      <c r="M167" s="135">
        <f>M$3</f>
        <v>46175</v>
      </c>
      <c r="N167" s="148" t="s">
        <v>557</v>
      </c>
      <c r="O167" s="137" t="s">
        <v>557</v>
      </c>
      <c r="P167" s="135">
        <f>P$3</f>
        <v>46176</v>
      </c>
      <c r="Q167" s="148" t="s">
        <v>557</v>
      </c>
      <c r="R167" s="137" t="s">
        <v>557</v>
      </c>
      <c r="S167" s="135">
        <f>S$3</f>
        <v>46177</v>
      </c>
      <c r="T167" s="136" t="s">
        <v>557</v>
      </c>
      <c r="U167" s="137" t="s">
        <v>557</v>
      </c>
      <c r="V167" s="135">
        <f>V$3</f>
        <v>46178</v>
      </c>
      <c r="W167" s="136" t="s">
        <v>557</v>
      </c>
      <c r="X167" s="137" t="s">
        <v>557</v>
      </c>
      <c r="Y167" s="135">
        <f>Y$3</f>
        <v>46179</v>
      </c>
      <c r="Z167" s="136" t="s">
        <v>557</v>
      </c>
      <c r="AA167" s="137" t="s">
        <v>557</v>
      </c>
      <c r="AB167" s="135"/>
      <c r="AC167" s="135">
        <f>AC$3</f>
        <v>46181</v>
      </c>
      <c r="AD167" s="136" t="s">
        <v>557</v>
      </c>
      <c r="AE167" s="137" t="s">
        <v>557</v>
      </c>
      <c r="AF167" s="135">
        <f>AF$3</f>
        <v>46182</v>
      </c>
      <c r="AG167" s="136" t="s">
        <v>557</v>
      </c>
      <c r="AH167" s="137" t="s">
        <v>557</v>
      </c>
      <c r="AI167" s="135">
        <f>AI$3</f>
        <v>46183</v>
      </c>
      <c r="AJ167" s="136" t="s">
        <v>557</v>
      </c>
      <c r="AK167" s="137" t="s">
        <v>557</v>
      </c>
      <c r="AL167" s="135">
        <f>AL$3</f>
        <v>46184</v>
      </c>
      <c r="AM167" s="136" t="s">
        <v>557</v>
      </c>
      <c r="AN167" s="137" t="s">
        <v>557</v>
      </c>
      <c r="AO167" s="135">
        <f>AO$3</f>
        <v>46185</v>
      </c>
      <c r="AP167" s="136" t="s">
        <v>557</v>
      </c>
      <c r="AQ167" s="137" t="s">
        <v>557</v>
      </c>
      <c r="AR167" s="135">
        <f>AR$3</f>
        <v>46186</v>
      </c>
      <c r="AS167" s="136" t="s">
        <v>557</v>
      </c>
      <c r="AT167" s="137" t="s">
        <v>557</v>
      </c>
      <c r="AU167" s="135"/>
      <c r="AV167" s="135">
        <f>AV$3</f>
        <v>46188</v>
      </c>
      <c r="AW167" s="148" t="s">
        <v>557</v>
      </c>
      <c r="AX167" s="137" t="s">
        <v>557</v>
      </c>
      <c r="AY167" s="135">
        <f>AY$3</f>
        <v>46189</v>
      </c>
      <c r="AZ167" s="136" t="s">
        <v>557</v>
      </c>
      <c r="BA167" s="137" t="s">
        <v>557</v>
      </c>
      <c r="BB167" s="135">
        <f>BB$3</f>
        <v>46190</v>
      </c>
      <c r="BC167" s="136" t="s">
        <v>557</v>
      </c>
      <c r="BD167" s="137" t="s">
        <v>557</v>
      </c>
      <c r="BE167" s="135">
        <f>BE$3</f>
        <v>46191</v>
      </c>
      <c r="BF167" s="136" t="s">
        <v>557</v>
      </c>
      <c r="BG167" s="137" t="s">
        <v>557</v>
      </c>
      <c r="BH167" s="135">
        <f>BH$3</f>
        <v>46192</v>
      </c>
      <c r="BI167" s="136" t="s">
        <v>557</v>
      </c>
      <c r="BJ167" s="137" t="s">
        <v>557</v>
      </c>
      <c r="BK167" s="135">
        <f>BK$3</f>
        <v>46193</v>
      </c>
      <c r="BL167" s="136" t="s">
        <v>557</v>
      </c>
      <c r="BM167" s="137" t="s">
        <v>557</v>
      </c>
    </row>
    <row r="168" spans="1:65" outlineLevel="1">
      <c r="A168" s="122" t="str">
        <f>$A$134</f>
        <v>Vũ Thị Thêu</v>
      </c>
      <c r="B168" s="82"/>
      <c r="C168" s="81" t="str">
        <f>IF($B168="","",INDEX('All Bảng'!C:C,MATCH($B168,'All Bảng'!$A:$A,0)))</f>
        <v/>
      </c>
      <c r="D168" s="81" t="str">
        <f>IF($B168="","",INDEX('All Bảng'!D:D,MATCH($B168,'All Bảng'!$A:$A,0)))</f>
        <v/>
      </c>
      <c r="E168" s="81" t="str">
        <f>IF($B168="","",INDEX('All Bảng'!E:E,MATCH($B168,'All Bảng'!$A:$A,0)))</f>
        <v/>
      </c>
      <c r="F168" s="81" t="str">
        <f>IF($B168="","",INDEX('All Bảng'!F:F,MATCH($B168,'All Bảng'!$A:$A,0)))</f>
        <v/>
      </c>
      <c r="G168" s="81" t="str">
        <f>IF($B168="","",INDEX('All Bảng'!G:G,MATCH($B168,'All Bảng'!$A:$A,0)))</f>
        <v/>
      </c>
      <c r="H168" s="121"/>
      <c r="I168" s="135"/>
      <c r="J168" s="135">
        <f>J$3</f>
        <v>46174</v>
      </c>
      <c r="K168" s="148" t="s">
        <v>557</v>
      </c>
      <c r="L168" s="163" t="s">
        <v>557</v>
      </c>
      <c r="M168" s="135">
        <f>M$3</f>
        <v>46175</v>
      </c>
      <c r="N168" s="148" t="s">
        <v>557</v>
      </c>
      <c r="O168" s="137" t="s">
        <v>557</v>
      </c>
      <c r="P168" s="135">
        <f>P$3</f>
        <v>46176</v>
      </c>
      <c r="Q168" s="148" t="s">
        <v>557</v>
      </c>
      <c r="R168" s="137" t="s">
        <v>557</v>
      </c>
      <c r="S168" s="135">
        <f>S$3</f>
        <v>46177</v>
      </c>
      <c r="T168" s="136" t="s">
        <v>557</v>
      </c>
      <c r="U168" s="137" t="s">
        <v>557</v>
      </c>
      <c r="V168" s="135">
        <f>V$3</f>
        <v>46178</v>
      </c>
      <c r="W168" s="136" t="s">
        <v>557</v>
      </c>
      <c r="X168" s="137" t="s">
        <v>557</v>
      </c>
      <c r="Y168" s="135">
        <f>Y$3</f>
        <v>46179</v>
      </c>
      <c r="Z168" s="136" t="s">
        <v>557</v>
      </c>
      <c r="AA168" s="137" t="s">
        <v>557</v>
      </c>
      <c r="AB168" s="135"/>
      <c r="AC168" s="135">
        <f>AC$3</f>
        <v>46181</v>
      </c>
      <c r="AD168" s="136" t="s">
        <v>557</v>
      </c>
      <c r="AE168" s="137" t="s">
        <v>557</v>
      </c>
      <c r="AF168" s="135">
        <f>AF$3</f>
        <v>46182</v>
      </c>
      <c r="AG168" s="136" t="s">
        <v>557</v>
      </c>
      <c r="AH168" s="137" t="s">
        <v>557</v>
      </c>
      <c r="AI168" s="135">
        <f>AI$3</f>
        <v>46183</v>
      </c>
      <c r="AJ168" s="136" t="s">
        <v>557</v>
      </c>
      <c r="AK168" s="137" t="s">
        <v>557</v>
      </c>
      <c r="AL168" s="135">
        <f>AL$3</f>
        <v>46184</v>
      </c>
      <c r="AM168" s="136" t="s">
        <v>557</v>
      </c>
      <c r="AN168" s="137" t="s">
        <v>557</v>
      </c>
      <c r="AO168" s="135">
        <f>AO$3</f>
        <v>46185</v>
      </c>
      <c r="AP168" s="136" t="s">
        <v>557</v>
      </c>
      <c r="AQ168" s="137" t="s">
        <v>557</v>
      </c>
      <c r="AR168" s="135">
        <f>AR$3</f>
        <v>46186</v>
      </c>
      <c r="AS168" s="136" t="s">
        <v>557</v>
      </c>
      <c r="AT168" s="137" t="s">
        <v>557</v>
      </c>
      <c r="AU168" s="135"/>
      <c r="AV168" s="135">
        <f>AV$3</f>
        <v>46188</v>
      </c>
      <c r="AW168" s="148" t="s">
        <v>557</v>
      </c>
      <c r="AX168" s="137" t="s">
        <v>557</v>
      </c>
      <c r="AY168" s="135">
        <f>AY$3</f>
        <v>46189</v>
      </c>
      <c r="AZ168" s="136" t="s">
        <v>557</v>
      </c>
      <c r="BA168" s="137" t="s">
        <v>557</v>
      </c>
      <c r="BB168" s="135">
        <f>BB$3</f>
        <v>46190</v>
      </c>
      <c r="BC168" s="136" t="s">
        <v>557</v>
      </c>
      <c r="BD168" s="137" t="s">
        <v>557</v>
      </c>
      <c r="BE168" s="135">
        <f>BE$3</f>
        <v>46191</v>
      </c>
      <c r="BF168" s="136" t="s">
        <v>557</v>
      </c>
      <c r="BG168" s="137" t="s">
        <v>557</v>
      </c>
      <c r="BH168" s="135">
        <f>BH$3</f>
        <v>46192</v>
      </c>
      <c r="BI168" s="136" t="s">
        <v>557</v>
      </c>
      <c r="BJ168" s="137" t="s">
        <v>557</v>
      </c>
      <c r="BK168" s="135">
        <f>BK$3</f>
        <v>46193</v>
      </c>
      <c r="BL168" s="136" t="s">
        <v>557</v>
      </c>
      <c r="BM168" s="137" t="s">
        <v>557</v>
      </c>
    </row>
    <row r="169" spans="1:65" outlineLevel="1">
      <c r="A169" s="122" t="str">
        <f>$A$134</f>
        <v>Vũ Thị Thêu</v>
      </c>
      <c r="B169" s="82"/>
      <c r="C169" s="81" t="str">
        <f>IF($B169="","",INDEX('All Bảng'!C:C,MATCH($B169,'All Bảng'!$A:$A,0)))</f>
        <v/>
      </c>
      <c r="D169" s="81" t="str">
        <f>IF($B169="","",INDEX('All Bảng'!D:D,MATCH($B169,'All Bảng'!$A:$A,0)))</f>
        <v/>
      </c>
      <c r="E169" s="81" t="str">
        <f>IF($B169="","",INDEX('All Bảng'!E:E,MATCH($B169,'All Bảng'!$A:$A,0)))</f>
        <v/>
      </c>
      <c r="F169" s="81" t="str">
        <f>IF($B169="","",INDEX('All Bảng'!F:F,MATCH($B169,'All Bảng'!$A:$A,0)))</f>
        <v/>
      </c>
      <c r="G169" s="81" t="str">
        <f>IF($B169="","",INDEX('All Bảng'!G:G,MATCH($B169,'All Bảng'!$A:$A,0)))</f>
        <v/>
      </c>
      <c r="H169" s="121"/>
      <c r="I169" s="135"/>
      <c r="J169" s="135">
        <f>J$3</f>
        <v>46174</v>
      </c>
      <c r="K169" s="148" t="s">
        <v>557</v>
      </c>
      <c r="L169" s="163" t="s">
        <v>557</v>
      </c>
      <c r="M169" s="135">
        <f>M$3</f>
        <v>46175</v>
      </c>
      <c r="N169" s="148" t="s">
        <v>557</v>
      </c>
      <c r="O169" s="137" t="s">
        <v>557</v>
      </c>
      <c r="P169" s="135">
        <f>P$3</f>
        <v>46176</v>
      </c>
      <c r="Q169" s="148" t="s">
        <v>557</v>
      </c>
      <c r="R169" s="137" t="s">
        <v>557</v>
      </c>
      <c r="S169" s="135">
        <f>S$3</f>
        <v>46177</v>
      </c>
      <c r="T169" s="136" t="s">
        <v>557</v>
      </c>
      <c r="U169" s="137" t="s">
        <v>557</v>
      </c>
      <c r="V169" s="135">
        <f>V$3</f>
        <v>46178</v>
      </c>
      <c r="W169" s="136" t="s">
        <v>557</v>
      </c>
      <c r="X169" s="137" t="s">
        <v>557</v>
      </c>
      <c r="Y169" s="135">
        <f>Y$3</f>
        <v>46179</v>
      </c>
      <c r="Z169" s="136" t="s">
        <v>557</v>
      </c>
      <c r="AA169" s="137" t="s">
        <v>557</v>
      </c>
      <c r="AB169" s="135"/>
      <c r="AC169" s="135">
        <f>AC$3</f>
        <v>46181</v>
      </c>
      <c r="AD169" s="136" t="s">
        <v>557</v>
      </c>
      <c r="AE169" s="137" t="s">
        <v>557</v>
      </c>
      <c r="AF169" s="135">
        <f>AF$3</f>
        <v>46182</v>
      </c>
      <c r="AG169" s="136" t="s">
        <v>557</v>
      </c>
      <c r="AH169" s="137" t="s">
        <v>557</v>
      </c>
      <c r="AI169" s="135">
        <f>AI$3</f>
        <v>46183</v>
      </c>
      <c r="AJ169" s="136" t="s">
        <v>557</v>
      </c>
      <c r="AK169" s="137" t="s">
        <v>557</v>
      </c>
      <c r="AL169" s="135">
        <f>AL$3</f>
        <v>46184</v>
      </c>
      <c r="AM169" s="136" t="s">
        <v>557</v>
      </c>
      <c r="AN169" s="137" t="s">
        <v>557</v>
      </c>
      <c r="AO169" s="135">
        <f>AO$3</f>
        <v>46185</v>
      </c>
      <c r="AP169" s="136" t="s">
        <v>557</v>
      </c>
      <c r="AQ169" s="137" t="s">
        <v>557</v>
      </c>
      <c r="AR169" s="135">
        <f>AR$3</f>
        <v>46186</v>
      </c>
      <c r="AS169" s="136" t="s">
        <v>557</v>
      </c>
      <c r="AT169" s="137" t="s">
        <v>557</v>
      </c>
      <c r="AU169" s="135"/>
      <c r="AV169" s="135">
        <f>AV$3</f>
        <v>46188</v>
      </c>
      <c r="AW169" s="148" t="s">
        <v>557</v>
      </c>
      <c r="AX169" s="137" t="s">
        <v>557</v>
      </c>
      <c r="AY169" s="135">
        <f>AY$3</f>
        <v>46189</v>
      </c>
      <c r="AZ169" s="136" t="s">
        <v>557</v>
      </c>
      <c r="BA169" s="137" t="s">
        <v>557</v>
      </c>
      <c r="BB169" s="135">
        <f>BB$3</f>
        <v>46190</v>
      </c>
      <c r="BC169" s="136" t="s">
        <v>557</v>
      </c>
      <c r="BD169" s="137" t="s">
        <v>557</v>
      </c>
      <c r="BE169" s="135">
        <f>BE$3</f>
        <v>46191</v>
      </c>
      <c r="BF169" s="136" t="s">
        <v>557</v>
      </c>
      <c r="BG169" s="137" t="s">
        <v>557</v>
      </c>
      <c r="BH169" s="135">
        <f>BH$3</f>
        <v>46192</v>
      </c>
      <c r="BI169" s="136" t="s">
        <v>557</v>
      </c>
      <c r="BJ169" s="137" t="s">
        <v>557</v>
      </c>
      <c r="BK169" s="135">
        <f>BK$3</f>
        <v>46193</v>
      </c>
      <c r="BL169" s="136" t="s">
        <v>557</v>
      </c>
      <c r="BM169" s="137" t="s">
        <v>557</v>
      </c>
    </row>
    <row r="170" spans="1:65" outlineLevel="1">
      <c r="A170" s="122" t="s">
        <v>196</v>
      </c>
      <c r="B170" s="82" t="str">
        <f>'Bảng 7'!A6</f>
        <v>1.Công việc khác.004</v>
      </c>
      <c r="C170" s="81" t="str">
        <f>IF($B170="","",INDEX('All Bảng'!C:C,MATCH($B170,'All Bảng'!$A:$A,0)))</f>
        <v>Công việc khác</v>
      </c>
      <c r="D170" s="81" t="str">
        <f>IF($B170="","",INDEX('All Bảng'!D:D,MATCH($B170,'All Bảng'!$A:$A,0)))</f>
        <v>Công việc khác</v>
      </c>
      <c r="E170" s="81" t="str">
        <f>IF($B170="","",INDEX('All Bảng'!E:E,MATCH($B170,'All Bảng'!$A:$A,0)))</f>
        <v>Công việc khác</v>
      </c>
      <c r="F170" s="81" t="str">
        <f>IF($B170="","",INDEX('All Bảng'!F:F,MATCH($B170,'All Bảng'!$A:$A,0)))</f>
        <v>BIM</v>
      </c>
      <c r="G170" s="81" t="str">
        <f>IF($B170="","",INDEX('All Bảng'!G:G,MATCH($B170,'All Bảng'!$A:$A,0)))</f>
        <v>Báo cáo công việc</v>
      </c>
      <c r="H170" s="121"/>
      <c r="I170" s="135"/>
      <c r="J170" s="135">
        <v>46174</v>
      </c>
      <c r="K170" s="148" t="s">
        <v>703</v>
      </c>
      <c r="L170" s="163">
        <v>0.5</v>
      </c>
      <c r="M170" s="135">
        <v>46175</v>
      </c>
      <c r="N170" s="148" t="s">
        <v>557</v>
      </c>
      <c r="O170" s="137" t="s">
        <v>557</v>
      </c>
      <c r="P170" s="135">
        <f>P$3</f>
        <v>46176</v>
      </c>
      <c r="Q170" s="148" t="s">
        <v>557</v>
      </c>
      <c r="R170" s="137" t="s">
        <v>557</v>
      </c>
      <c r="S170" s="135">
        <v>46177</v>
      </c>
      <c r="T170" s="136" t="s">
        <v>557</v>
      </c>
      <c r="U170" s="137" t="s">
        <v>557</v>
      </c>
      <c r="V170" s="135">
        <v>46178</v>
      </c>
      <c r="W170" s="136" t="s">
        <v>557</v>
      </c>
      <c r="X170" s="137" t="s">
        <v>557</v>
      </c>
      <c r="Y170" s="135">
        <v>46179</v>
      </c>
      <c r="Z170" s="136" t="s">
        <v>557</v>
      </c>
      <c r="AA170" s="137" t="s">
        <v>557</v>
      </c>
      <c r="AB170" s="135"/>
      <c r="AC170" s="135">
        <v>46181</v>
      </c>
      <c r="AD170" s="136" t="s">
        <v>557</v>
      </c>
      <c r="AE170" s="137" t="s">
        <v>557</v>
      </c>
      <c r="AF170" s="135">
        <v>46182</v>
      </c>
      <c r="AG170" s="136" t="s">
        <v>557</v>
      </c>
      <c r="AH170" s="137" t="s">
        <v>557</v>
      </c>
      <c r="AI170" s="135">
        <v>46183</v>
      </c>
      <c r="AJ170" s="136" t="s">
        <v>557</v>
      </c>
      <c r="AK170" s="137" t="s">
        <v>557</v>
      </c>
      <c r="AL170" s="135">
        <v>46184</v>
      </c>
      <c r="AM170" s="136" t="s">
        <v>557</v>
      </c>
      <c r="AN170" s="137" t="s">
        <v>557</v>
      </c>
      <c r="AO170" s="135">
        <v>46185</v>
      </c>
      <c r="AP170" s="136" t="s">
        <v>557</v>
      </c>
      <c r="AQ170" s="137" t="s">
        <v>557</v>
      </c>
      <c r="AR170" s="135">
        <v>46186</v>
      </c>
      <c r="AS170" s="136" t="s">
        <v>557</v>
      </c>
      <c r="AT170" s="137" t="s">
        <v>557</v>
      </c>
      <c r="AU170" s="135"/>
      <c r="AV170" s="135">
        <v>46188</v>
      </c>
      <c r="AW170" s="148" t="s">
        <v>557</v>
      </c>
      <c r="AX170" s="137" t="s">
        <v>557</v>
      </c>
      <c r="AY170" s="135">
        <v>46189</v>
      </c>
      <c r="AZ170" s="136" t="s">
        <v>557</v>
      </c>
      <c r="BA170" s="137" t="s">
        <v>557</v>
      </c>
      <c r="BB170" s="135">
        <v>46190</v>
      </c>
      <c r="BC170" s="136" t="s">
        <v>557</v>
      </c>
      <c r="BD170" s="137" t="s">
        <v>557</v>
      </c>
      <c r="BE170" s="135">
        <v>46191</v>
      </c>
      <c r="BF170" s="136" t="s">
        <v>557</v>
      </c>
      <c r="BG170" s="137" t="s">
        <v>557</v>
      </c>
      <c r="BH170" s="135">
        <v>46192</v>
      </c>
      <c r="BI170" s="136" t="s">
        <v>557</v>
      </c>
      <c r="BJ170" s="137" t="s">
        <v>557</v>
      </c>
      <c r="BK170" s="135">
        <v>46193</v>
      </c>
      <c r="BL170" s="136" t="s">
        <v>557</v>
      </c>
      <c r="BM170" s="137" t="s">
        <v>557</v>
      </c>
    </row>
    <row r="171" spans="1:65">
      <c r="A171" s="290" t="s">
        <v>35</v>
      </c>
      <c r="B171" s="300"/>
      <c r="C171" s="292" t="str">
        <f>IF($B171="","",INDEX('All Bảng'!C:C,MATCH($B171,'All Bảng'!$A:$A,0)))</f>
        <v/>
      </c>
      <c r="D171" s="292" t="str">
        <f>IF($B171="","",INDEX('All Bảng'!D:D,MATCH($B171,'All Bảng'!$A:$A,0)))</f>
        <v/>
      </c>
      <c r="E171" s="292" t="str">
        <f>IF($B171="","",INDEX('All Bảng'!E:E,MATCH($B171,'All Bảng'!$A:$A,0)))</f>
        <v/>
      </c>
      <c r="F171" s="292" t="str">
        <f>IF($B171="","",INDEX('All Bảng'!F:F,MATCH($B171,'All Bảng'!$A:$A,0)))</f>
        <v/>
      </c>
      <c r="G171" s="292" t="str">
        <f>IF($B171="","",INDEX('All Bảng'!G:G,MATCH($B171,'All Bảng'!$A:$A,0)))</f>
        <v/>
      </c>
      <c r="H171" s="293"/>
      <c r="I171" s="294"/>
      <c r="J171" s="294">
        <f>J$3</f>
        <v>46174</v>
      </c>
      <c r="K171" s="295" t="s">
        <v>557</v>
      </c>
      <c r="L171" s="296">
        <f>SUM(L172:L197)</f>
        <v>9.5</v>
      </c>
      <c r="M171" s="294">
        <f>M$3</f>
        <v>46175</v>
      </c>
      <c r="N171" s="297" t="s">
        <v>557</v>
      </c>
      <c r="O171" s="296">
        <f>SUM(O172:O197)</f>
        <v>9</v>
      </c>
      <c r="P171" s="294">
        <f>P$3</f>
        <v>46176</v>
      </c>
      <c r="Q171" s="297" t="s">
        <v>557</v>
      </c>
      <c r="R171" s="296">
        <f>SUM(R172:R197)</f>
        <v>8.5</v>
      </c>
      <c r="S171" s="294">
        <f>S$3</f>
        <v>46177</v>
      </c>
      <c r="T171" s="299" t="s">
        <v>557</v>
      </c>
      <c r="U171" s="296">
        <f>SUM(U172:U197)</f>
        <v>8</v>
      </c>
      <c r="V171" s="294">
        <f>V$3</f>
        <v>46178</v>
      </c>
      <c r="W171" s="299" t="s">
        <v>557</v>
      </c>
      <c r="X171" s="296">
        <f>SUM(X172:X197)</f>
        <v>0</v>
      </c>
      <c r="Y171" s="294">
        <f>Y$3</f>
        <v>46179</v>
      </c>
      <c r="Z171" s="299" t="s">
        <v>557</v>
      </c>
      <c r="AA171" s="296">
        <f>SUM(AA172:AA197)</f>
        <v>0</v>
      </c>
      <c r="AB171" s="294"/>
      <c r="AC171" s="294">
        <f>AC$3</f>
        <v>46181</v>
      </c>
      <c r="AD171" s="299" t="s">
        <v>557</v>
      </c>
      <c r="AE171" s="296">
        <f>SUM(AE172:AE197)</f>
        <v>0</v>
      </c>
      <c r="AF171" s="294">
        <f>AF$3</f>
        <v>46182</v>
      </c>
      <c r="AG171" s="299" t="s">
        <v>557</v>
      </c>
      <c r="AH171" s="296">
        <f>SUM(AH172:AH197)</f>
        <v>0</v>
      </c>
      <c r="AI171" s="294">
        <f>AI$3</f>
        <v>46183</v>
      </c>
      <c r="AJ171" s="299" t="s">
        <v>557</v>
      </c>
      <c r="AK171" s="296">
        <f>SUM(AK172:AK197)</f>
        <v>0</v>
      </c>
      <c r="AL171" s="294">
        <f>AL$3</f>
        <v>46184</v>
      </c>
      <c r="AM171" s="299" t="s">
        <v>557</v>
      </c>
      <c r="AN171" s="296">
        <f>SUM(AN172:AN197)</f>
        <v>0</v>
      </c>
      <c r="AO171" s="294">
        <f>AO$3</f>
        <v>46185</v>
      </c>
      <c r="AP171" s="299" t="s">
        <v>557</v>
      </c>
      <c r="AQ171" s="296">
        <f>SUM(AQ172:AQ197)</f>
        <v>0</v>
      </c>
      <c r="AR171" s="294">
        <f>AR$3</f>
        <v>46186</v>
      </c>
      <c r="AS171" s="299" t="s">
        <v>557</v>
      </c>
      <c r="AT171" s="296">
        <f>SUM(AT172:AT197)</f>
        <v>0</v>
      </c>
      <c r="AU171" s="294"/>
      <c r="AV171" s="294">
        <f>AV$3</f>
        <v>46188</v>
      </c>
      <c r="AW171" s="297" t="s">
        <v>557</v>
      </c>
      <c r="AX171" s="296">
        <f>SUM(AX172:AX197)</f>
        <v>0</v>
      </c>
      <c r="AY171" s="294">
        <f>AY$3</f>
        <v>46189</v>
      </c>
      <c r="AZ171" s="299" t="s">
        <v>557</v>
      </c>
      <c r="BA171" s="296">
        <f>SUM(BA172:BA197)</f>
        <v>0</v>
      </c>
      <c r="BB171" s="294">
        <f>BB$3</f>
        <v>46190</v>
      </c>
      <c r="BC171" s="299" t="s">
        <v>557</v>
      </c>
      <c r="BD171" s="296">
        <f>SUM(BD172:BD197)</f>
        <v>0</v>
      </c>
      <c r="BE171" s="294">
        <f>BE$3</f>
        <v>46191</v>
      </c>
      <c r="BF171" s="299" t="s">
        <v>557</v>
      </c>
      <c r="BG171" s="296">
        <f>SUM(BG172:BG197)</f>
        <v>0</v>
      </c>
      <c r="BH171" s="294">
        <f>BH$3</f>
        <v>46192</v>
      </c>
      <c r="BI171" s="299" t="s">
        <v>557</v>
      </c>
      <c r="BJ171" s="296">
        <f>SUM(BJ172:BJ197)</f>
        <v>0</v>
      </c>
      <c r="BK171" s="294">
        <f>BK$3</f>
        <v>46193</v>
      </c>
      <c r="BL171" s="299" t="s">
        <v>557</v>
      </c>
      <c r="BM171" s="296">
        <f>SUM(BM172:BM197)</f>
        <v>0</v>
      </c>
    </row>
    <row r="172" spans="1:65" outlineLevel="1">
      <c r="A172" s="122" t="str">
        <f>$A$171</f>
        <v>Đặng Minh Quang</v>
      </c>
      <c r="B172" s="82" t="s">
        <v>722</v>
      </c>
      <c r="C172" s="81" t="str">
        <f>IF($B172="","",INDEX('All Bảng'!C:C,MATCH($B172,'All Bảng'!$A:$A,0)))</f>
        <v>Quản lý BIM</v>
      </c>
      <c r="D172" s="81" t="str">
        <f>IF($B172="","",INDEX('All Bảng'!D:D,MATCH($B172,'All Bảng'!$A:$A,0)))</f>
        <v>B.HNO.VHOHN.SVD</v>
      </c>
      <c r="E172" s="81" t="str">
        <f>IF($B172="","",INDEX('All Bảng'!E:E,MATCH($B172,'All Bảng'!$A:$A,0)))</f>
        <v>SVĐ lô đất TDTT01</v>
      </c>
      <c r="F172" s="81" t="str">
        <f>IF($B172="","",INDEX('All Bảng'!F:F,MATCH($B172,'All Bảng'!$A:$A,0)))</f>
        <v>KT</v>
      </c>
      <c r="G172" s="81" t="str">
        <f>IF($B172="","",INDEX('All Bảng'!G:G,MATCH($B172,'All Bảng'!$A:$A,0)))</f>
        <v>KSCL mô hình BIM</v>
      </c>
      <c r="H172" s="121"/>
      <c r="I172" s="135"/>
      <c r="J172" s="135">
        <f>J$3</f>
        <v>46174</v>
      </c>
      <c r="K172" s="148" t="s">
        <v>557</v>
      </c>
      <c r="L172" s="163" t="s">
        <v>557</v>
      </c>
      <c r="M172" s="135">
        <f>M$3</f>
        <v>46175</v>
      </c>
      <c r="N172" s="148" t="s">
        <v>557</v>
      </c>
      <c r="O172" s="137" t="s">
        <v>557</v>
      </c>
      <c r="P172" s="135">
        <f>P$3</f>
        <v>46176</v>
      </c>
      <c r="Q172" s="148" t="s">
        <v>557</v>
      </c>
      <c r="R172" s="137" t="s">
        <v>557</v>
      </c>
      <c r="S172" s="135">
        <f>S$3</f>
        <v>46177</v>
      </c>
      <c r="T172" s="136" t="s">
        <v>557</v>
      </c>
      <c r="U172" s="137" t="s">
        <v>557</v>
      </c>
      <c r="V172" s="135">
        <f>V$3</f>
        <v>46178</v>
      </c>
      <c r="W172" s="136" t="s">
        <v>557</v>
      </c>
      <c r="X172" s="137" t="s">
        <v>557</v>
      </c>
      <c r="Y172" s="135">
        <f>Y$3</f>
        <v>46179</v>
      </c>
      <c r="Z172" s="136" t="s">
        <v>557</v>
      </c>
      <c r="AA172" s="137" t="s">
        <v>557</v>
      </c>
      <c r="AB172" s="135"/>
      <c r="AC172" s="135">
        <f>AC$3</f>
        <v>46181</v>
      </c>
      <c r="AD172" s="136" t="s">
        <v>557</v>
      </c>
      <c r="AE172" s="137" t="s">
        <v>557</v>
      </c>
      <c r="AF172" s="135">
        <f>AF$3</f>
        <v>46182</v>
      </c>
      <c r="AG172" s="136" t="s">
        <v>557</v>
      </c>
      <c r="AH172" s="137" t="s">
        <v>557</v>
      </c>
      <c r="AI172" s="135">
        <f>AI$3</f>
        <v>46183</v>
      </c>
      <c r="AJ172" s="136" t="s">
        <v>557</v>
      </c>
      <c r="AK172" s="137" t="s">
        <v>557</v>
      </c>
      <c r="AL172" s="135">
        <f>AL$3</f>
        <v>46184</v>
      </c>
      <c r="AM172" s="136" t="s">
        <v>557</v>
      </c>
      <c r="AN172" s="137" t="s">
        <v>557</v>
      </c>
      <c r="AO172" s="135">
        <f>AO$3</f>
        <v>46185</v>
      </c>
      <c r="AP172" s="136" t="s">
        <v>557</v>
      </c>
      <c r="AQ172" s="137" t="s">
        <v>557</v>
      </c>
      <c r="AR172" s="135">
        <f>AR$3</f>
        <v>46186</v>
      </c>
      <c r="AS172" s="136" t="s">
        <v>557</v>
      </c>
      <c r="AT172" s="137" t="s">
        <v>557</v>
      </c>
      <c r="AU172" s="135"/>
      <c r="AV172" s="135">
        <f>AV$3</f>
        <v>46188</v>
      </c>
      <c r="AW172" s="148" t="s">
        <v>557</v>
      </c>
      <c r="AX172" s="137" t="s">
        <v>557</v>
      </c>
      <c r="AY172" s="135">
        <f>AY$3</f>
        <v>46189</v>
      </c>
      <c r="AZ172" s="136" t="s">
        <v>557</v>
      </c>
      <c r="BA172" s="137" t="s">
        <v>557</v>
      </c>
      <c r="BB172" s="135">
        <f>BB$3</f>
        <v>46190</v>
      </c>
      <c r="BC172" s="136" t="s">
        <v>557</v>
      </c>
      <c r="BD172" s="137" t="s">
        <v>557</v>
      </c>
      <c r="BE172" s="135">
        <f>BE$3</f>
        <v>46191</v>
      </c>
      <c r="BF172" s="136" t="s">
        <v>557</v>
      </c>
      <c r="BG172" s="137" t="s">
        <v>557</v>
      </c>
      <c r="BH172" s="135">
        <f>BH$3</f>
        <v>46192</v>
      </c>
      <c r="BI172" s="136" t="s">
        <v>557</v>
      </c>
      <c r="BJ172" s="137" t="s">
        <v>557</v>
      </c>
      <c r="BK172" s="135">
        <f>BK$3</f>
        <v>46193</v>
      </c>
      <c r="BL172" s="136" t="s">
        <v>557</v>
      </c>
      <c r="BM172" s="137" t="s">
        <v>557</v>
      </c>
    </row>
    <row r="173" spans="1:65" outlineLevel="1">
      <c r="A173" s="122" t="str">
        <f>$A$171</f>
        <v>Đặng Minh Quang</v>
      </c>
      <c r="B173" s="82" t="s">
        <v>723</v>
      </c>
      <c r="C173" s="81" t="str">
        <f>IF($B173="","",INDEX('All Bảng'!C:C,MATCH($B173,'All Bảng'!$A:$A,0)))</f>
        <v>Quản lý BIM</v>
      </c>
      <c r="D173" s="81" t="str">
        <f>IF($B173="","",INDEX('All Bảng'!D:D,MATCH($B173,'All Bảng'!$A:$A,0)))</f>
        <v>B.HNO.VHOHN.SVD</v>
      </c>
      <c r="E173" s="81" t="str">
        <f>IF($B173="","",INDEX('All Bảng'!E:E,MATCH($B173,'All Bảng'!$A:$A,0)))</f>
        <v>SVĐ lô đất TDTT01</v>
      </c>
      <c r="F173" s="81" t="str">
        <f>IF($B173="","",INDEX('All Bảng'!F:F,MATCH($B173,'All Bảng'!$A:$A,0)))</f>
        <v>KC</v>
      </c>
      <c r="G173" s="81" t="str">
        <f>IF($B173="","",INDEX('All Bảng'!G:G,MATCH($B173,'All Bảng'!$A:$A,0)))</f>
        <v>KSCL mô hình BIM</v>
      </c>
      <c r="H173" s="121"/>
      <c r="I173" s="135"/>
      <c r="J173" s="135">
        <f>J$3</f>
        <v>46174</v>
      </c>
      <c r="K173" s="148" t="s">
        <v>557</v>
      </c>
      <c r="L173" s="163" t="s">
        <v>557</v>
      </c>
      <c r="M173" s="135">
        <f>M$3</f>
        <v>46175</v>
      </c>
      <c r="N173" s="148" t="s">
        <v>557</v>
      </c>
      <c r="O173" s="137" t="s">
        <v>557</v>
      </c>
      <c r="P173" s="135">
        <f>P$3</f>
        <v>46176</v>
      </c>
      <c r="Q173" s="148" t="s">
        <v>557</v>
      </c>
      <c r="R173" s="137" t="s">
        <v>557</v>
      </c>
      <c r="S173" s="135">
        <f>S$3</f>
        <v>46177</v>
      </c>
      <c r="T173" s="136" t="s">
        <v>557</v>
      </c>
      <c r="U173" s="137" t="s">
        <v>557</v>
      </c>
      <c r="V173" s="135">
        <f>V$3</f>
        <v>46178</v>
      </c>
      <c r="W173" s="136" t="s">
        <v>557</v>
      </c>
      <c r="X173" s="137" t="s">
        <v>557</v>
      </c>
      <c r="Y173" s="135">
        <f>Y$3</f>
        <v>46179</v>
      </c>
      <c r="Z173" s="136" t="s">
        <v>557</v>
      </c>
      <c r="AA173" s="137" t="s">
        <v>557</v>
      </c>
      <c r="AB173" s="135"/>
      <c r="AC173" s="135">
        <f>AC$3</f>
        <v>46181</v>
      </c>
      <c r="AD173" s="136" t="s">
        <v>557</v>
      </c>
      <c r="AE173" s="137" t="s">
        <v>557</v>
      </c>
      <c r="AF173" s="135">
        <f>AF$3</f>
        <v>46182</v>
      </c>
      <c r="AG173" s="136" t="s">
        <v>557</v>
      </c>
      <c r="AH173" s="137" t="s">
        <v>557</v>
      </c>
      <c r="AI173" s="135">
        <f>AI$3</f>
        <v>46183</v>
      </c>
      <c r="AJ173" s="136" t="s">
        <v>557</v>
      </c>
      <c r="AK173" s="137" t="s">
        <v>557</v>
      </c>
      <c r="AL173" s="135">
        <f>AL$3</f>
        <v>46184</v>
      </c>
      <c r="AM173" s="136" t="s">
        <v>557</v>
      </c>
      <c r="AN173" s="137" t="s">
        <v>557</v>
      </c>
      <c r="AO173" s="135">
        <f>AO$3</f>
        <v>46185</v>
      </c>
      <c r="AP173" s="136" t="s">
        <v>557</v>
      </c>
      <c r="AQ173" s="137" t="s">
        <v>557</v>
      </c>
      <c r="AR173" s="135">
        <f>AR$3</f>
        <v>46186</v>
      </c>
      <c r="AS173" s="136" t="s">
        <v>557</v>
      </c>
      <c r="AT173" s="137" t="s">
        <v>557</v>
      </c>
      <c r="AU173" s="135"/>
      <c r="AV173" s="135">
        <f>AV$3</f>
        <v>46188</v>
      </c>
      <c r="AW173" s="148" t="s">
        <v>557</v>
      </c>
      <c r="AX173" s="137" t="s">
        <v>557</v>
      </c>
      <c r="AY173" s="135">
        <f>AY$3</f>
        <v>46189</v>
      </c>
      <c r="AZ173" s="136" t="s">
        <v>557</v>
      </c>
      <c r="BA173" s="137" t="s">
        <v>557</v>
      </c>
      <c r="BB173" s="135">
        <f>BB$3</f>
        <v>46190</v>
      </c>
      <c r="BC173" s="136" t="s">
        <v>557</v>
      </c>
      <c r="BD173" s="137" t="s">
        <v>557</v>
      </c>
      <c r="BE173" s="135">
        <f>BE$3</f>
        <v>46191</v>
      </c>
      <c r="BF173" s="136" t="s">
        <v>557</v>
      </c>
      <c r="BG173" s="137" t="s">
        <v>557</v>
      </c>
      <c r="BH173" s="135">
        <f>BH$3</f>
        <v>46192</v>
      </c>
      <c r="BI173" s="136" t="s">
        <v>557</v>
      </c>
      <c r="BJ173" s="137" t="s">
        <v>557</v>
      </c>
      <c r="BK173" s="135">
        <f>BK$3</f>
        <v>46193</v>
      </c>
      <c r="BL173" s="136" t="s">
        <v>557</v>
      </c>
      <c r="BM173" s="137" t="s">
        <v>557</v>
      </c>
    </row>
    <row r="174" spans="1:65" outlineLevel="1">
      <c r="A174" s="122" t="str">
        <f>$A$171</f>
        <v>Đặng Minh Quang</v>
      </c>
      <c r="B174" s="82" t="s">
        <v>724</v>
      </c>
      <c r="C174" s="81" t="str">
        <f>IF($B174="","",INDEX('All Bảng'!C:C,MATCH($B174,'All Bảng'!$A:$A,0)))</f>
        <v>Quản lý BIM</v>
      </c>
      <c r="D174" s="81" t="str">
        <f>IF($B174="","",INDEX('All Bảng'!D:D,MATCH($B174,'All Bảng'!$A:$A,0)))</f>
        <v>B.HYE.NOXHPH.NX</v>
      </c>
      <c r="E174" s="81" t="str">
        <f>IF($B174="","",INDEX('All Bảng'!E:E,MATCH($B174,'All Bảng'!$A:$A,0)))</f>
        <v>Nhà xe BDX-05</v>
      </c>
      <c r="F174" s="81" t="str">
        <f>IF($B174="","",INDEX('All Bảng'!F:F,MATCH($B174,'All Bảng'!$A:$A,0)))</f>
        <v>KT</v>
      </c>
      <c r="G174" s="81" t="str">
        <f>IF($B174="","",INDEX('All Bảng'!G:G,MATCH($B174,'All Bảng'!$A:$A,0)))</f>
        <v>KSCL mô hình BIM</v>
      </c>
      <c r="H174" s="121"/>
      <c r="I174" s="135"/>
      <c r="J174" s="135">
        <f>J$3</f>
        <v>46174</v>
      </c>
      <c r="K174" s="148" t="s">
        <v>557</v>
      </c>
      <c r="L174" s="163" t="s">
        <v>557</v>
      </c>
      <c r="M174" s="135">
        <f>M$3</f>
        <v>46175</v>
      </c>
      <c r="N174" s="148" t="s">
        <v>557</v>
      </c>
      <c r="O174" s="137" t="s">
        <v>557</v>
      </c>
      <c r="P174" s="135">
        <f>P$3</f>
        <v>46176</v>
      </c>
      <c r="Q174" s="148" t="s">
        <v>557</v>
      </c>
      <c r="R174" s="137" t="s">
        <v>557</v>
      </c>
      <c r="S174" s="135">
        <f>S$3</f>
        <v>46177</v>
      </c>
      <c r="T174" s="136" t="s">
        <v>557</v>
      </c>
      <c r="U174" s="137" t="s">
        <v>557</v>
      </c>
      <c r="V174" s="135">
        <f>V$3</f>
        <v>46178</v>
      </c>
      <c r="W174" s="136" t="s">
        <v>557</v>
      </c>
      <c r="X174" s="137" t="s">
        <v>557</v>
      </c>
      <c r="Y174" s="135">
        <f>Y$3</f>
        <v>46179</v>
      </c>
      <c r="Z174" s="136" t="s">
        <v>557</v>
      </c>
      <c r="AA174" s="137" t="s">
        <v>557</v>
      </c>
      <c r="AB174" s="135"/>
      <c r="AC174" s="135">
        <f>AC$3</f>
        <v>46181</v>
      </c>
      <c r="AD174" s="136" t="s">
        <v>557</v>
      </c>
      <c r="AE174" s="137" t="s">
        <v>557</v>
      </c>
      <c r="AF174" s="135">
        <f>AF$3</f>
        <v>46182</v>
      </c>
      <c r="AG174" s="136" t="s">
        <v>557</v>
      </c>
      <c r="AH174" s="137" t="s">
        <v>557</v>
      </c>
      <c r="AI174" s="135">
        <f>AI$3</f>
        <v>46183</v>
      </c>
      <c r="AJ174" s="136" t="s">
        <v>557</v>
      </c>
      <c r="AK174" s="137" t="s">
        <v>557</v>
      </c>
      <c r="AL174" s="135">
        <f>AL$3</f>
        <v>46184</v>
      </c>
      <c r="AM174" s="136" t="s">
        <v>557</v>
      </c>
      <c r="AN174" s="137" t="s">
        <v>557</v>
      </c>
      <c r="AO174" s="135">
        <f>AO$3</f>
        <v>46185</v>
      </c>
      <c r="AP174" s="136" t="s">
        <v>557</v>
      </c>
      <c r="AQ174" s="137" t="s">
        <v>557</v>
      </c>
      <c r="AR174" s="135">
        <f>AR$3</f>
        <v>46186</v>
      </c>
      <c r="AS174" s="136" t="s">
        <v>557</v>
      </c>
      <c r="AT174" s="137" t="s">
        <v>557</v>
      </c>
      <c r="AU174" s="135"/>
      <c r="AV174" s="135">
        <f>AV$3</f>
        <v>46188</v>
      </c>
      <c r="AW174" s="148" t="s">
        <v>557</v>
      </c>
      <c r="AX174" s="137" t="s">
        <v>557</v>
      </c>
      <c r="AY174" s="135">
        <f>AY$3</f>
        <v>46189</v>
      </c>
      <c r="AZ174" s="136" t="s">
        <v>557</v>
      </c>
      <c r="BA174" s="137" t="s">
        <v>557</v>
      </c>
      <c r="BB174" s="135">
        <f>BB$3</f>
        <v>46190</v>
      </c>
      <c r="BC174" s="136" t="s">
        <v>557</v>
      </c>
      <c r="BD174" s="137" t="s">
        <v>557</v>
      </c>
      <c r="BE174" s="135">
        <f>BE$3</f>
        <v>46191</v>
      </c>
      <c r="BF174" s="136" t="s">
        <v>557</v>
      </c>
      <c r="BG174" s="137" t="s">
        <v>557</v>
      </c>
      <c r="BH174" s="135">
        <f>BH$3</f>
        <v>46192</v>
      </c>
      <c r="BI174" s="136" t="s">
        <v>557</v>
      </c>
      <c r="BJ174" s="137" t="s">
        <v>557</v>
      </c>
      <c r="BK174" s="135">
        <f>BK$3</f>
        <v>46193</v>
      </c>
      <c r="BL174" s="136" t="s">
        <v>557</v>
      </c>
      <c r="BM174" s="137" t="s">
        <v>557</v>
      </c>
    </row>
    <row r="175" spans="1:65" ht="45.75" outlineLevel="1">
      <c r="A175" s="122" t="str">
        <f>$A$171</f>
        <v>Đặng Minh Quang</v>
      </c>
      <c r="B175" s="82" t="s">
        <v>725</v>
      </c>
      <c r="C175" s="81" t="str">
        <f>IF($B175="","",INDEX('All Bảng'!C:C,MATCH($B175,'All Bảng'!$A:$A,0)))</f>
        <v>Quản lý BIM</v>
      </c>
      <c r="D175" s="81" t="str">
        <f>IF($B175="","",INDEX('All Bảng'!D:D,MATCH($B175,'All Bảng'!$A:$A,0)))</f>
        <v>B.HYE.NOXHPH.NX</v>
      </c>
      <c r="E175" s="81" t="str">
        <f>IF($B175="","",INDEX('All Bảng'!E:E,MATCH($B175,'All Bảng'!$A:$A,0)))</f>
        <v>Nhà xe BDX-05</v>
      </c>
      <c r="F175" s="81" t="str">
        <f>IF($B175="","",INDEX('All Bảng'!F:F,MATCH($B175,'All Bảng'!$A:$A,0)))</f>
        <v>KT</v>
      </c>
      <c r="G175" s="81" t="str">
        <f>IF($B175="","",INDEX('All Bảng'!G:G,MATCH($B175,'All Bảng'!$A:$A,0)))</f>
        <v>Tạo lập mô hình BIM</v>
      </c>
      <c r="H175" s="121"/>
      <c r="I175" s="135"/>
      <c r="J175" s="135">
        <f>J$3</f>
        <v>46174</v>
      </c>
      <c r="K175" s="67" t="s">
        <v>726</v>
      </c>
      <c r="L175" s="163">
        <v>9</v>
      </c>
      <c r="M175" s="135">
        <f>M$3</f>
        <v>46175</v>
      </c>
      <c r="N175" s="67" t="s">
        <v>727</v>
      </c>
      <c r="O175" s="137">
        <v>8.5</v>
      </c>
      <c r="P175" s="135">
        <f>P$3</f>
        <v>46176</v>
      </c>
      <c r="Q175" s="148" t="s">
        <v>728</v>
      </c>
      <c r="R175" s="137">
        <v>8</v>
      </c>
      <c r="S175" s="135">
        <f>S$3</f>
        <v>46177</v>
      </c>
      <c r="T175" s="325" t="s">
        <v>729</v>
      </c>
      <c r="U175" s="137">
        <v>8</v>
      </c>
      <c r="V175" s="135">
        <f>V$3</f>
        <v>46178</v>
      </c>
      <c r="W175" s="136" t="s">
        <v>557</v>
      </c>
      <c r="X175" s="137" t="s">
        <v>557</v>
      </c>
      <c r="Y175" s="135">
        <f>Y$3</f>
        <v>46179</v>
      </c>
      <c r="Z175" s="136" t="s">
        <v>557</v>
      </c>
      <c r="AA175" s="137" t="s">
        <v>557</v>
      </c>
      <c r="AB175" s="135"/>
      <c r="AC175" s="135">
        <f>AC$3</f>
        <v>46181</v>
      </c>
      <c r="AD175" s="136" t="s">
        <v>557</v>
      </c>
      <c r="AE175" s="137" t="s">
        <v>557</v>
      </c>
      <c r="AF175" s="135">
        <f>AF$3</f>
        <v>46182</v>
      </c>
      <c r="AG175" s="136" t="s">
        <v>557</v>
      </c>
      <c r="AH175" s="137" t="s">
        <v>557</v>
      </c>
      <c r="AI175" s="135">
        <f>AI$3</f>
        <v>46183</v>
      </c>
      <c r="AJ175" s="136" t="s">
        <v>557</v>
      </c>
      <c r="AK175" s="137" t="s">
        <v>557</v>
      </c>
      <c r="AL175" s="135">
        <f>AL$3</f>
        <v>46184</v>
      </c>
      <c r="AM175" s="136" t="s">
        <v>557</v>
      </c>
      <c r="AN175" s="137" t="s">
        <v>557</v>
      </c>
      <c r="AO175" s="135">
        <f>AO$3</f>
        <v>46185</v>
      </c>
      <c r="AP175" s="136" t="s">
        <v>557</v>
      </c>
      <c r="AQ175" s="137" t="s">
        <v>557</v>
      </c>
      <c r="AR175" s="135">
        <f>AR$3</f>
        <v>46186</v>
      </c>
      <c r="AS175" s="136" t="s">
        <v>557</v>
      </c>
      <c r="AT175" s="137" t="s">
        <v>557</v>
      </c>
      <c r="AU175" s="135"/>
      <c r="AV175" s="135">
        <f>AV$3</f>
        <v>46188</v>
      </c>
      <c r="AW175" s="148" t="s">
        <v>557</v>
      </c>
      <c r="AX175" s="137" t="s">
        <v>557</v>
      </c>
      <c r="AY175" s="135">
        <f>AY$3</f>
        <v>46189</v>
      </c>
      <c r="AZ175" s="136" t="s">
        <v>557</v>
      </c>
      <c r="BA175" s="137" t="s">
        <v>557</v>
      </c>
      <c r="BB175" s="135">
        <f>BB$3</f>
        <v>46190</v>
      </c>
      <c r="BC175" s="136" t="s">
        <v>557</v>
      </c>
      <c r="BD175" s="137" t="s">
        <v>557</v>
      </c>
      <c r="BE175" s="135">
        <f>BE$3</f>
        <v>46191</v>
      </c>
      <c r="BF175" s="136" t="s">
        <v>557</v>
      </c>
      <c r="BG175" s="137" t="s">
        <v>557</v>
      </c>
      <c r="BH175" s="135">
        <f>BH$3</f>
        <v>46192</v>
      </c>
      <c r="BI175" s="136" t="s">
        <v>557</v>
      </c>
      <c r="BJ175" s="137" t="s">
        <v>557</v>
      </c>
      <c r="BK175" s="135">
        <f>BK$3</f>
        <v>46193</v>
      </c>
      <c r="BL175" s="136" t="s">
        <v>557</v>
      </c>
      <c r="BM175" s="137" t="s">
        <v>557</v>
      </c>
    </row>
    <row r="176" spans="1:65" outlineLevel="1">
      <c r="A176" s="122" t="str">
        <f>$A$171</f>
        <v>Đặng Minh Quang</v>
      </c>
      <c r="B176" s="82" t="s">
        <v>730</v>
      </c>
      <c r="C176" s="81" t="str">
        <f>IF($B176="","",INDEX('All Bảng'!C:C,MATCH($B176,'All Bảng'!$A:$A,0)))</f>
        <v>Quản lý BIM</v>
      </c>
      <c r="D176" s="81" t="str">
        <f>IF($B176="","",INDEX('All Bảng'!D:D,MATCH($B176,'All Bảng'!$A:$A,0)))</f>
        <v>B.HYE.NOXHPH.NX</v>
      </c>
      <c r="E176" s="81" t="str">
        <f>IF($B176="","",INDEX('All Bảng'!E:E,MATCH($B176,'All Bảng'!$A:$A,0)))</f>
        <v>Nhà xe BDX-05</v>
      </c>
      <c r="F176" s="81" t="str">
        <f>IF($B176="","",INDEX('All Bảng'!F:F,MATCH($B176,'All Bảng'!$A:$A,0)))</f>
        <v>KC</v>
      </c>
      <c r="G176" s="81" t="str">
        <f>IF($B176="","",INDEX('All Bảng'!G:G,MATCH($B176,'All Bảng'!$A:$A,0)))</f>
        <v>KSCL mô hình BIM</v>
      </c>
      <c r="H176" s="121"/>
      <c r="I176" s="135"/>
      <c r="J176" s="135">
        <f>J$3</f>
        <v>46174</v>
      </c>
      <c r="K176" s="360" t="s">
        <v>731</v>
      </c>
      <c r="L176" s="163">
        <v>0.25</v>
      </c>
      <c r="M176" s="135">
        <f>M$3</f>
        <v>46175</v>
      </c>
      <c r="N176" s="148" t="s">
        <v>732</v>
      </c>
      <c r="O176" s="137">
        <v>0.5</v>
      </c>
      <c r="P176" s="135">
        <f>P$3</f>
        <v>46176</v>
      </c>
      <c r="Q176" s="148" t="s">
        <v>557</v>
      </c>
      <c r="R176" s="137" t="s">
        <v>557</v>
      </c>
      <c r="S176" s="135">
        <f>S$3</f>
        <v>46177</v>
      </c>
      <c r="T176" s="136" t="s">
        <v>557</v>
      </c>
      <c r="U176" s="137" t="s">
        <v>557</v>
      </c>
      <c r="V176" s="135">
        <f>V$3</f>
        <v>46178</v>
      </c>
      <c r="W176" s="136" t="s">
        <v>557</v>
      </c>
      <c r="X176" s="137" t="s">
        <v>557</v>
      </c>
      <c r="Y176" s="135">
        <f>Y$3</f>
        <v>46179</v>
      </c>
      <c r="Z176" s="136" t="s">
        <v>557</v>
      </c>
      <c r="AA176" s="137" t="s">
        <v>557</v>
      </c>
      <c r="AB176" s="135"/>
      <c r="AC176" s="135">
        <f>AC$3</f>
        <v>46181</v>
      </c>
      <c r="AD176" s="136" t="s">
        <v>557</v>
      </c>
      <c r="AE176" s="137" t="s">
        <v>557</v>
      </c>
      <c r="AF176" s="135">
        <f>AF$3</f>
        <v>46182</v>
      </c>
      <c r="AG176" s="136" t="s">
        <v>557</v>
      </c>
      <c r="AH176" s="137" t="s">
        <v>557</v>
      </c>
      <c r="AI176" s="135">
        <f>AI$3</f>
        <v>46183</v>
      </c>
      <c r="AJ176" s="136" t="s">
        <v>557</v>
      </c>
      <c r="AK176" s="137" t="s">
        <v>557</v>
      </c>
      <c r="AL176" s="135">
        <f>AL$3</f>
        <v>46184</v>
      </c>
      <c r="AM176" s="136" t="s">
        <v>557</v>
      </c>
      <c r="AN176" s="137" t="s">
        <v>557</v>
      </c>
      <c r="AO176" s="135">
        <f>AO$3</f>
        <v>46185</v>
      </c>
      <c r="AP176" s="136" t="s">
        <v>557</v>
      </c>
      <c r="AQ176" s="137" t="s">
        <v>557</v>
      </c>
      <c r="AR176" s="135">
        <f>AR$3</f>
        <v>46186</v>
      </c>
      <c r="AS176" s="136" t="s">
        <v>557</v>
      </c>
      <c r="AT176" s="137" t="s">
        <v>557</v>
      </c>
      <c r="AU176" s="135"/>
      <c r="AV176" s="135">
        <f>AV$3</f>
        <v>46188</v>
      </c>
      <c r="AW176" s="148" t="s">
        <v>557</v>
      </c>
      <c r="AX176" s="137" t="s">
        <v>557</v>
      </c>
      <c r="AY176" s="135">
        <f>AY$3</f>
        <v>46189</v>
      </c>
      <c r="AZ176" s="136" t="s">
        <v>557</v>
      </c>
      <c r="BA176" s="137" t="s">
        <v>557</v>
      </c>
      <c r="BB176" s="135">
        <f>BB$3</f>
        <v>46190</v>
      </c>
      <c r="BC176" s="136" t="s">
        <v>557</v>
      </c>
      <c r="BD176" s="137" t="s">
        <v>557</v>
      </c>
      <c r="BE176" s="135">
        <f>BE$3</f>
        <v>46191</v>
      </c>
      <c r="BF176" s="136" t="s">
        <v>557</v>
      </c>
      <c r="BG176" s="137" t="s">
        <v>557</v>
      </c>
      <c r="BH176" s="135">
        <f>BH$3</f>
        <v>46192</v>
      </c>
      <c r="BI176" s="136" t="s">
        <v>557</v>
      </c>
      <c r="BJ176" s="137" t="s">
        <v>557</v>
      </c>
      <c r="BK176" s="135">
        <f>BK$3</f>
        <v>46193</v>
      </c>
      <c r="BL176" s="136" t="s">
        <v>557</v>
      </c>
      <c r="BM176" s="137" t="s">
        <v>557</v>
      </c>
    </row>
    <row r="177" spans="1:65" outlineLevel="1">
      <c r="A177" s="122" t="str">
        <f>$A$171</f>
        <v>Đặng Minh Quang</v>
      </c>
      <c r="B177" s="82" t="s">
        <v>733</v>
      </c>
      <c r="C177" s="81" t="str">
        <f>IF($B177="","",INDEX('All Bảng'!C:C,MATCH($B177,'All Bảng'!$A:$A,0)))</f>
        <v>Quản lý BIM</v>
      </c>
      <c r="D177" s="81" t="str">
        <f>IF($B177="","",INDEX('All Bảng'!D:D,MATCH($B177,'All Bảng'!$A:$A,0)))</f>
        <v>N.HCM.CGIO.KSMN</v>
      </c>
      <c r="E177" s="81" t="str">
        <f>IF($B177="","",INDEX('All Bảng'!E:E,MATCH($B177,'All Bảng'!$A:$A,0)))</f>
        <v>Lô A5.01.02, mẫu M4G, M9, M9G</v>
      </c>
      <c r="F177" s="81" t="str">
        <f>IF($B177="","",INDEX('All Bảng'!F:F,MATCH($B177,'All Bảng'!$A:$A,0)))</f>
        <v>KT</v>
      </c>
      <c r="G177" s="81" t="str">
        <f>IF($B177="","",INDEX('All Bảng'!G:G,MATCH($B177,'All Bảng'!$A:$A,0)))</f>
        <v>KSCL mô hình BIM</v>
      </c>
      <c r="H177" s="121"/>
      <c r="I177" s="135"/>
      <c r="J177" s="135">
        <f>J$3</f>
        <v>46174</v>
      </c>
      <c r="K177" s="148" t="s">
        <v>557</v>
      </c>
      <c r="L177" s="163" t="s">
        <v>557</v>
      </c>
      <c r="M177" s="135">
        <f>M$3</f>
        <v>46175</v>
      </c>
      <c r="N177" s="148" t="s">
        <v>557</v>
      </c>
      <c r="O177" s="137" t="s">
        <v>557</v>
      </c>
      <c r="P177" s="135">
        <f>P$3</f>
        <v>46176</v>
      </c>
      <c r="Q177" s="148" t="s">
        <v>557</v>
      </c>
      <c r="R177" s="137" t="s">
        <v>557</v>
      </c>
      <c r="S177" s="135">
        <f>S$3</f>
        <v>46177</v>
      </c>
      <c r="T177" s="136" t="s">
        <v>557</v>
      </c>
      <c r="U177" s="137" t="s">
        <v>557</v>
      </c>
      <c r="V177" s="135">
        <f>V$3</f>
        <v>46178</v>
      </c>
      <c r="W177" s="136" t="s">
        <v>557</v>
      </c>
      <c r="X177" s="137" t="s">
        <v>557</v>
      </c>
      <c r="Y177" s="135">
        <f>Y$3</f>
        <v>46179</v>
      </c>
      <c r="Z177" s="136" t="s">
        <v>557</v>
      </c>
      <c r="AA177" s="137" t="s">
        <v>557</v>
      </c>
      <c r="AB177" s="135"/>
      <c r="AC177" s="135">
        <f>AC$3</f>
        <v>46181</v>
      </c>
      <c r="AD177" s="136" t="s">
        <v>557</v>
      </c>
      <c r="AE177" s="137" t="s">
        <v>557</v>
      </c>
      <c r="AF177" s="135">
        <f>AF$3</f>
        <v>46182</v>
      </c>
      <c r="AG177" s="136" t="s">
        <v>557</v>
      </c>
      <c r="AH177" s="137" t="s">
        <v>557</v>
      </c>
      <c r="AI177" s="135">
        <f>AI$3</f>
        <v>46183</v>
      </c>
      <c r="AJ177" s="136" t="s">
        <v>557</v>
      </c>
      <c r="AK177" s="137" t="s">
        <v>557</v>
      </c>
      <c r="AL177" s="135">
        <f>AL$3</f>
        <v>46184</v>
      </c>
      <c r="AM177" s="136" t="s">
        <v>557</v>
      </c>
      <c r="AN177" s="137" t="s">
        <v>557</v>
      </c>
      <c r="AO177" s="135">
        <f>AO$3</f>
        <v>46185</v>
      </c>
      <c r="AP177" s="136" t="s">
        <v>557</v>
      </c>
      <c r="AQ177" s="137" t="s">
        <v>557</v>
      </c>
      <c r="AR177" s="135">
        <f>AR$3</f>
        <v>46186</v>
      </c>
      <c r="AS177" s="136" t="s">
        <v>557</v>
      </c>
      <c r="AT177" s="137" t="s">
        <v>557</v>
      </c>
      <c r="AU177" s="135"/>
      <c r="AV177" s="135">
        <f>AV$3</f>
        <v>46188</v>
      </c>
      <c r="AW177" s="148" t="s">
        <v>557</v>
      </c>
      <c r="AX177" s="137" t="s">
        <v>557</v>
      </c>
      <c r="AY177" s="135">
        <f>AY$3</f>
        <v>46189</v>
      </c>
      <c r="AZ177" s="136" t="s">
        <v>557</v>
      </c>
      <c r="BA177" s="137" t="s">
        <v>557</v>
      </c>
      <c r="BB177" s="135">
        <f>BB$3</f>
        <v>46190</v>
      </c>
      <c r="BC177" s="136" t="s">
        <v>557</v>
      </c>
      <c r="BD177" s="137" t="s">
        <v>557</v>
      </c>
      <c r="BE177" s="135">
        <f>BE$3</f>
        <v>46191</v>
      </c>
      <c r="BF177" s="136" t="s">
        <v>557</v>
      </c>
      <c r="BG177" s="137" t="s">
        <v>557</v>
      </c>
      <c r="BH177" s="135">
        <f>BH$3</f>
        <v>46192</v>
      </c>
      <c r="BI177" s="136" t="s">
        <v>557</v>
      </c>
      <c r="BJ177" s="137" t="s">
        <v>557</v>
      </c>
      <c r="BK177" s="135">
        <f>BK$3</f>
        <v>46193</v>
      </c>
      <c r="BL177" s="136" t="s">
        <v>557</v>
      </c>
      <c r="BM177" s="137" t="s">
        <v>557</v>
      </c>
    </row>
    <row r="178" spans="1:65" outlineLevel="1">
      <c r="A178" s="122" t="str">
        <f>$A$171</f>
        <v>Đặng Minh Quang</v>
      </c>
      <c r="B178" s="82" t="s">
        <v>734</v>
      </c>
      <c r="C178" s="81" t="str">
        <f>IF($B178="","",INDEX('All Bảng'!C:C,MATCH($B178,'All Bảng'!$A:$A,0)))</f>
        <v>Quản lý BIM</v>
      </c>
      <c r="D178" s="81" t="str">
        <f>IF($B178="","",INDEX('All Bảng'!D:D,MATCH($B178,'All Bảng'!$A:$A,0)))</f>
        <v>N.HCM.CGIO.KSMN</v>
      </c>
      <c r="E178" s="81" t="str">
        <f>IF($B178="","",INDEX('All Bảng'!E:E,MATCH($B178,'All Bảng'!$A:$A,0)))</f>
        <v>Lô A5.01.02, mẫu M4G, M9, M9G</v>
      </c>
      <c r="F178" s="81" t="str">
        <f>IF($B178="","",INDEX('All Bảng'!F:F,MATCH($B178,'All Bảng'!$A:$A,0)))</f>
        <v>KC</v>
      </c>
      <c r="G178" s="81" t="str">
        <f>IF($B178="","",INDEX('All Bảng'!G:G,MATCH($B178,'All Bảng'!$A:$A,0)))</f>
        <v>KSCL mô hình BIM</v>
      </c>
      <c r="H178" s="121"/>
      <c r="I178" s="135"/>
      <c r="J178" s="135">
        <f>J$3</f>
        <v>46174</v>
      </c>
      <c r="K178" s="148" t="s">
        <v>557</v>
      </c>
      <c r="L178" s="163" t="s">
        <v>557</v>
      </c>
      <c r="M178" s="135">
        <f>M$3</f>
        <v>46175</v>
      </c>
      <c r="N178" s="148" t="s">
        <v>557</v>
      </c>
      <c r="O178" s="137" t="s">
        <v>557</v>
      </c>
      <c r="P178" s="135">
        <f>P$3</f>
        <v>46176</v>
      </c>
      <c r="Q178" s="148" t="s">
        <v>557</v>
      </c>
      <c r="R178" s="137" t="s">
        <v>557</v>
      </c>
      <c r="S178" s="135">
        <f>S$3</f>
        <v>46177</v>
      </c>
      <c r="T178" s="136" t="s">
        <v>557</v>
      </c>
      <c r="U178" s="137" t="s">
        <v>557</v>
      </c>
      <c r="V178" s="135">
        <f>V$3</f>
        <v>46178</v>
      </c>
      <c r="W178" s="136" t="s">
        <v>557</v>
      </c>
      <c r="X178" s="137" t="s">
        <v>557</v>
      </c>
      <c r="Y178" s="135">
        <f>Y$3</f>
        <v>46179</v>
      </c>
      <c r="Z178" s="136" t="s">
        <v>557</v>
      </c>
      <c r="AA178" s="137" t="s">
        <v>557</v>
      </c>
      <c r="AB178" s="135"/>
      <c r="AC178" s="135">
        <f>AC$3</f>
        <v>46181</v>
      </c>
      <c r="AD178" s="136" t="s">
        <v>557</v>
      </c>
      <c r="AE178" s="137" t="s">
        <v>557</v>
      </c>
      <c r="AF178" s="135">
        <f>AF$3</f>
        <v>46182</v>
      </c>
      <c r="AG178" s="136" t="s">
        <v>557</v>
      </c>
      <c r="AH178" s="137" t="s">
        <v>557</v>
      </c>
      <c r="AI178" s="135">
        <f>AI$3</f>
        <v>46183</v>
      </c>
      <c r="AJ178" s="136" t="s">
        <v>557</v>
      </c>
      <c r="AK178" s="137" t="s">
        <v>557</v>
      </c>
      <c r="AL178" s="135">
        <f>AL$3</f>
        <v>46184</v>
      </c>
      <c r="AM178" s="136" t="s">
        <v>557</v>
      </c>
      <c r="AN178" s="137" t="s">
        <v>557</v>
      </c>
      <c r="AO178" s="135">
        <f>AO$3</f>
        <v>46185</v>
      </c>
      <c r="AP178" s="136" t="s">
        <v>557</v>
      </c>
      <c r="AQ178" s="137" t="s">
        <v>557</v>
      </c>
      <c r="AR178" s="135">
        <f>AR$3</f>
        <v>46186</v>
      </c>
      <c r="AS178" s="136" t="s">
        <v>557</v>
      </c>
      <c r="AT178" s="137" t="s">
        <v>557</v>
      </c>
      <c r="AU178" s="135"/>
      <c r="AV178" s="135">
        <f>AV$3</f>
        <v>46188</v>
      </c>
      <c r="AW178" s="148" t="s">
        <v>557</v>
      </c>
      <c r="AX178" s="137" t="s">
        <v>557</v>
      </c>
      <c r="AY178" s="135">
        <f>AY$3</f>
        <v>46189</v>
      </c>
      <c r="AZ178" s="136" t="s">
        <v>557</v>
      </c>
      <c r="BA178" s="137" t="s">
        <v>557</v>
      </c>
      <c r="BB178" s="135">
        <f>BB$3</f>
        <v>46190</v>
      </c>
      <c r="BC178" s="136" t="s">
        <v>557</v>
      </c>
      <c r="BD178" s="137" t="s">
        <v>557</v>
      </c>
      <c r="BE178" s="135">
        <f>BE$3</f>
        <v>46191</v>
      </c>
      <c r="BF178" s="136" t="s">
        <v>557</v>
      </c>
      <c r="BG178" s="137" t="s">
        <v>557</v>
      </c>
      <c r="BH178" s="135">
        <f>BH$3</f>
        <v>46192</v>
      </c>
      <c r="BI178" s="136" t="s">
        <v>557</v>
      </c>
      <c r="BJ178" s="137" t="s">
        <v>557</v>
      </c>
      <c r="BK178" s="135">
        <f>BK$3</f>
        <v>46193</v>
      </c>
      <c r="BL178" s="136" t="s">
        <v>557</v>
      </c>
      <c r="BM178" s="137" t="s">
        <v>557</v>
      </c>
    </row>
    <row r="179" spans="1:65" outlineLevel="1">
      <c r="A179" s="122" t="str">
        <f>$A$171</f>
        <v>Đặng Minh Quang</v>
      </c>
      <c r="B179" s="82" t="s">
        <v>735</v>
      </c>
      <c r="C179" s="81" t="str">
        <f>IF($B179="","",INDEX('All Bảng'!C:C,MATCH($B179,'All Bảng'!$A:$A,0)))</f>
        <v>Quản lý BIM</v>
      </c>
      <c r="D179" s="81" t="str">
        <f>IF($B179="","",INDEX('All Bảng'!D:D,MATCH($B179,'All Bảng'!$A:$A,0)))</f>
        <v>N.HCM.Q9.VSC.THCS</v>
      </c>
      <c r="E179" s="81" t="str">
        <f>IF($B179="","",INDEX('All Bảng'!E:E,MATCH($B179,'All Bảng'!$A:$A,0)))</f>
        <v>Trường Cambridge (PTLC) III.6</v>
      </c>
      <c r="F179" s="81" t="str">
        <f>IF($B179="","",INDEX('All Bảng'!F:F,MATCH($B179,'All Bảng'!$A:$A,0)))</f>
        <v>KT</v>
      </c>
      <c r="G179" s="81" t="str">
        <f>IF($B179="","",INDEX('All Bảng'!G:G,MATCH($B179,'All Bảng'!$A:$A,0)))</f>
        <v>KSCL mô hình BIM</v>
      </c>
      <c r="H179" s="121"/>
      <c r="I179" s="135"/>
      <c r="J179" s="135">
        <f>J$3</f>
        <v>46174</v>
      </c>
      <c r="K179" s="148" t="s">
        <v>557</v>
      </c>
      <c r="L179" s="163" t="s">
        <v>557</v>
      </c>
      <c r="M179" s="135">
        <f>M$3</f>
        <v>46175</v>
      </c>
      <c r="N179" s="148" t="s">
        <v>557</v>
      </c>
      <c r="O179" s="137" t="s">
        <v>557</v>
      </c>
      <c r="P179" s="135">
        <f>P$3</f>
        <v>46176</v>
      </c>
      <c r="Q179" s="148" t="s">
        <v>557</v>
      </c>
      <c r="R179" s="137" t="s">
        <v>557</v>
      </c>
      <c r="S179" s="135">
        <f>S$3</f>
        <v>46177</v>
      </c>
      <c r="T179" s="136" t="s">
        <v>557</v>
      </c>
      <c r="U179" s="137" t="s">
        <v>557</v>
      </c>
      <c r="V179" s="135">
        <f>V$3</f>
        <v>46178</v>
      </c>
      <c r="W179" s="136" t="s">
        <v>557</v>
      </c>
      <c r="X179" s="137" t="s">
        <v>557</v>
      </c>
      <c r="Y179" s="135">
        <f>Y$3</f>
        <v>46179</v>
      </c>
      <c r="Z179" s="136" t="s">
        <v>557</v>
      </c>
      <c r="AA179" s="137" t="s">
        <v>557</v>
      </c>
      <c r="AB179" s="135"/>
      <c r="AC179" s="135">
        <f>AC$3</f>
        <v>46181</v>
      </c>
      <c r="AD179" s="136" t="s">
        <v>557</v>
      </c>
      <c r="AE179" s="137" t="s">
        <v>557</v>
      </c>
      <c r="AF179" s="135">
        <f>AF$3</f>
        <v>46182</v>
      </c>
      <c r="AG179" s="136" t="s">
        <v>557</v>
      </c>
      <c r="AH179" s="137" t="s">
        <v>557</v>
      </c>
      <c r="AI179" s="135">
        <f>AI$3</f>
        <v>46183</v>
      </c>
      <c r="AJ179" s="136" t="s">
        <v>557</v>
      </c>
      <c r="AK179" s="137" t="s">
        <v>557</v>
      </c>
      <c r="AL179" s="135">
        <f>AL$3</f>
        <v>46184</v>
      </c>
      <c r="AM179" s="136" t="s">
        <v>557</v>
      </c>
      <c r="AN179" s="137" t="s">
        <v>557</v>
      </c>
      <c r="AO179" s="135">
        <f>AO$3</f>
        <v>46185</v>
      </c>
      <c r="AP179" s="136" t="s">
        <v>557</v>
      </c>
      <c r="AQ179" s="137" t="s">
        <v>557</v>
      </c>
      <c r="AR179" s="135">
        <f>AR$3</f>
        <v>46186</v>
      </c>
      <c r="AS179" s="136" t="s">
        <v>557</v>
      </c>
      <c r="AT179" s="137" t="s">
        <v>557</v>
      </c>
      <c r="AU179" s="135"/>
      <c r="AV179" s="135">
        <f>AV$3</f>
        <v>46188</v>
      </c>
      <c r="AW179" s="148" t="s">
        <v>557</v>
      </c>
      <c r="AX179" s="137" t="s">
        <v>557</v>
      </c>
      <c r="AY179" s="135">
        <f>AY$3</f>
        <v>46189</v>
      </c>
      <c r="AZ179" s="136" t="s">
        <v>557</v>
      </c>
      <c r="BA179" s="137" t="s">
        <v>557</v>
      </c>
      <c r="BB179" s="135">
        <f>BB$3</f>
        <v>46190</v>
      </c>
      <c r="BC179" s="136" t="s">
        <v>557</v>
      </c>
      <c r="BD179" s="137" t="s">
        <v>557</v>
      </c>
      <c r="BE179" s="135">
        <f>BE$3</f>
        <v>46191</v>
      </c>
      <c r="BF179" s="136" t="s">
        <v>557</v>
      </c>
      <c r="BG179" s="137" t="s">
        <v>557</v>
      </c>
      <c r="BH179" s="135">
        <f>BH$3</f>
        <v>46192</v>
      </c>
      <c r="BI179" s="136" t="s">
        <v>557</v>
      </c>
      <c r="BJ179" s="137" t="s">
        <v>557</v>
      </c>
      <c r="BK179" s="135">
        <f>BK$3</f>
        <v>46193</v>
      </c>
      <c r="BL179" s="136" t="s">
        <v>557</v>
      </c>
      <c r="BM179" s="137" t="s">
        <v>557</v>
      </c>
    </row>
    <row r="180" spans="1:65" outlineLevel="1">
      <c r="A180" s="122" t="str">
        <f>$A$171</f>
        <v>Đặng Minh Quang</v>
      </c>
      <c r="B180" s="82" t="s">
        <v>736</v>
      </c>
      <c r="C180" s="81" t="str">
        <f>IF($B180="","",INDEX('All Bảng'!C:C,MATCH($B180,'All Bảng'!$A:$A,0)))</f>
        <v>Quản lý BIM</v>
      </c>
      <c r="D180" s="81" t="str">
        <f>IF($B180="","",INDEX('All Bảng'!D:D,MATCH($B180,'All Bảng'!$A:$A,0)))</f>
        <v>N.HCM.Q9.VSC.THCS</v>
      </c>
      <c r="E180" s="81" t="str">
        <f>IF($B180="","",INDEX('All Bảng'!E:E,MATCH($B180,'All Bảng'!$A:$A,0)))</f>
        <v>Trường Cambridge (PTLC) III.6</v>
      </c>
      <c r="F180" s="81" t="str">
        <f>IF($B180="","",INDEX('All Bảng'!F:F,MATCH($B180,'All Bảng'!$A:$A,0)))</f>
        <v>KC</v>
      </c>
      <c r="G180" s="81" t="str">
        <f>IF($B180="","",INDEX('All Bảng'!G:G,MATCH($B180,'All Bảng'!$A:$A,0)))</f>
        <v>KSCL mô hình BIM</v>
      </c>
      <c r="H180" s="121"/>
      <c r="I180" s="135"/>
      <c r="J180" s="135">
        <f>J$3</f>
        <v>46174</v>
      </c>
      <c r="K180" s="148" t="s">
        <v>557</v>
      </c>
      <c r="L180" s="163" t="s">
        <v>557</v>
      </c>
      <c r="M180" s="135">
        <f>M$3</f>
        <v>46175</v>
      </c>
      <c r="N180" s="148" t="s">
        <v>557</v>
      </c>
      <c r="O180" s="137" t="s">
        <v>557</v>
      </c>
      <c r="P180" s="135">
        <f>P$3</f>
        <v>46176</v>
      </c>
      <c r="Q180" s="148" t="s">
        <v>557</v>
      </c>
      <c r="R180" s="137" t="s">
        <v>557</v>
      </c>
      <c r="S180" s="135">
        <f>S$3</f>
        <v>46177</v>
      </c>
      <c r="T180" s="136" t="s">
        <v>557</v>
      </c>
      <c r="U180" s="137" t="s">
        <v>557</v>
      </c>
      <c r="V180" s="135">
        <f>V$3</f>
        <v>46178</v>
      </c>
      <c r="W180" s="136" t="s">
        <v>557</v>
      </c>
      <c r="X180" s="137" t="s">
        <v>557</v>
      </c>
      <c r="Y180" s="135">
        <f>Y$3</f>
        <v>46179</v>
      </c>
      <c r="Z180" s="136" t="s">
        <v>557</v>
      </c>
      <c r="AA180" s="137" t="s">
        <v>557</v>
      </c>
      <c r="AB180" s="135"/>
      <c r="AC180" s="135">
        <f>AC$3</f>
        <v>46181</v>
      </c>
      <c r="AD180" s="136" t="s">
        <v>557</v>
      </c>
      <c r="AE180" s="137" t="s">
        <v>557</v>
      </c>
      <c r="AF180" s="135">
        <f>AF$3</f>
        <v>46182</v>
      </c>
      <c r="AG180" s="136" t="s">
        <v>557</v>
      </c>
      <c r="AH180" s="137" t="s">
        <v>557</v>
      </c>
      <c r="AI180" s="135">
        <f>AI$3</f>
        <v>46183</v>
      </c>
      <c r="AJ180" s="136" t="s">
        <v>557</v>
      </c>
      <c r="AK180" s="137" t="s">
        <v>557</v>
      </c>
      <c r="AL180" s="135">
        <f>AL$3</f>
        <v>46184</v>
      </c>
      <c r="AM180" s="136" t="s">
        <v>557</v>
      </c>
      <c r="AN180" s="137" t="s">
        <v>557</v>
      </c>
      <c r="AO180" s="135">
        <f>AO$3</f>
        <v>46185</v>
      </c>
      <c r="AP180" s="136" t="s">
        <v>557</v>
      </c>
      <c r="AQ180" s="137" t="s">
        <v>557</v>
      </c>
      <c r="AR180" s="135">
        <f>AR$3</f>
        <v>46186</v>
      </c>
      <c r="AS180" s="136" t="s">
        <v>557</v>
      </c>
      <c r="AT180" s="137" t="s">
        <v>557</v>
      </c>
      <c r="AU180" s="135"/>
      <c r="AV180" s="135">
        <f>AV$3</f>
        <v>46188</v>
      </c>
      <c r="AW180" s="148" t="s">
        <v>557</v>
      </c>
      <c r="AX180" s="137" t="s">
        <v>557</v>
      </c>
      <c r="AY180" s="135">
        <f>AY$3</f>
        <v>46189</v>
      </c>
      <c r="AZ180" s="136" t="s">
        <v>557</v>
      </c>
      <c r="BA180" s="137" t="s">
        <v>557</v>
      </c>
      <c r="BB180" s="135">
        <f>BB$3</f>
        <v>46190</v>
      </c>
      <c r="BC180" s="136" t="s">
        <v>557</v>
      </c>
      <c r="BD180" s="137" t="s">
        <v>557</v>
      </c>
      <c r="BE180" s="135">
        <f>BE$3</f>
        <v>46191</v>
      </c>
      <c r="BF180" s="136" t="s">
        <v>557</v>
      </c>
      <c r="BG180" s="137" t="s">
        <v>557</v>
      </c>
      <c r="BH180" s="135">
        <f>BH$3</f>
        <v>46192</v>
      </c>
      <c r="BI180" s="136" t="s">
        <v>557</v>
      </c>
      <c r="BJ180" s="137" t="s">
        <v>557</v>
      </c>
      <c r="BK180" s="135">
        <f>BK$3</f>
        <v>46193</v>
      </c>
      <c r="BL180" s="136" t="s">
        <v>557</v>
      </c>
      <c r="BM180" s="137" t="s">
        <v>557</v>
      </c>
    </row>
    <row r="181" spans="1:65" outlineLevel="1">
      <c r="A181" s="122" t="str">
        <f>$A$171</f>
        <v>Đặng Minh Quang</v>
      </c>
      <c r="B181" s="82" t="s">
        <v>737</v>
      </c>
      <c r="C181" s="81" t="str">
        <f>IF($B181="","",INDEX('All Bảng'!C:C,MATCH($B181,'All Bảng'!$A:$A,0)))</f>
        <v>Quản lý BIM</v>
      </c>
      <c r="D181" s="81" t="str">
        <f>IF($B181="","",INDEX('All Bảng'!D:D,MATCH($B181,'All Bảng'!$A:$A,0)))</f>
        <v>T.DAN.LVDN.KS</v>
      </c>
      <c r="E181" s="81" t="str">
        <f>IF($B181="","",INDEX('All Bảng'!E:E,MATCH($B181,'All Bảng'!$A:$A,0)))</f>
        <v>KS JW Marriott- Làng Vân (Cao 9 tầng)</v>
      </c>
      <c r="F181" s="81" t="str">
        <f>IF($B181="","",INDEX('All Bảng'!F:F,MATCH($B181,'All Bảng'!$A:$A,0)))</f>
        <v>KT</v>
      </c>
      <c r="G181" s="81" t="str">
        <f>IF($B181="","",INDEX('All Bảng'!G:G,MATCH($B181,'All Bảng'!$A:$A,0)))</f>
        <v>Tạo lập mô hình BIM</v>
      </c>
      <c r="H181" s="121"/>
      <c r="I181" s="135"/>
      <c r="J181" s="135">
        <f>J$3</f>
        <v>46174</v>
      </c>
      <c r="K181" s="148" t="s">
        <v>557</v>
      </c>
      <c r="L181" s="163" t="s">
        <v>557</v>
      </c>
      <c r="M181" s="135">
        <f>M$3</f>
        <v>46175</v>
      </c>
      <c r="N181" s="148" t="s">
        <v>557</v>
      </c>
      <c r="O181" s="137" t="s">
        <v>557</v>
      </c>
      <c r="P181" s="135">
        <f>P$3</f>
        <v>46176</v>
      </c>
      <c r="Q181" s="148" t="s">
        <v>557</v>
      </c>
      <c r="R181" s="137" t="s">
        <v>557</v>
      </c>
      <c r="S181" s="135">
        <f>S$3</f>
        <v>46177</v>
      </c>
      <c r="T181" s="136" t="s">
        <v>557</v>
      </c>
      <c r="U181" s="137" t="s">
        <v>557</v>
      </c>
      <c r="V181" s="135">
        <f>V$3</f>
        <v>46178</v>
      </c>
      <c r="W181" s="136" t="s">
        <v>557</v>
      </c>
      <c r="X181" s="137" t="s">
        <v>557</v>
      </c>
      <c r="Y181" s="135">
        <f>Y$3</f>
        <v>46179</v>
      </c>
      <c r="Z181" s="136" t="s">
        <v>557</v>
      </c>
      <c r="AA181" s="137" t="s">
        <v>557</v>
      </c>
      <c r="AB181" s="135"/>
      <c r="AC181" s="135">
        <f>AC$3</f>
        <v>46181</v>
      </c>
      <c r="AD181" s="136" t="s">
        <v>557</v>
      </c>
      <c r="AE181" s="137" t="s">
        <v>557</v>
      </c>
      <c r="AF181" s="135">
        <f>AF$3</f>
        <v>46182</v>
      </c>
      <c r="AG181" s="136" t="s">
        <v>557</v>
      </c>
      <c r="AH181" s="137" t="s">
        <v>557</v>
      </c>
      <c r="AI181" s="135">
        <f>AI$3</f>
        <v>46183</v>
      </c>
      <c r="AJ181" s="136" t="s">
        <v>557</v>
      </c>
      <c r="AK181" s="137" t="s">
        <v>557</v>
      </c>
      <c r="AL181" s="135">
        <f>AL$3</f>
        <v>46184</v>
      </c>
      <c r="AM181" s="136" t="s">
        <v>557</v>
      </c>
      <c r="AN181" s="137" t="s">
        <v>557</v>
      </c>
      <c r="AO181" s="135">
        <f>AO$3</f>
        <v>46185</v>
      </c>
      <c r="AP181" s="136" t="s">
        <v>557</v>
      </c>
      <c r="AQ181" s="137" t="s">
        <v>557</v>
      </c>
      <c r="AR181" s="135">
        <f>AR$3</f>
        <v>46186</v>
      </c>
      <c r="AS181" s="136" t="s">
        <v>557</v>
      </c>
      <c r="AT181" s="137" t="s">
        <v>557</v>
      </c>
      <c r="AU181" s="135"/>
      <c r="AV181" s="135">
        <f>AV$3</f>
        <v>46188</v>
      </c>
      <c r="AW181" s="148" t="s">
        <v>557</v>
      </c>
      <c r="AX181" s="137" t="s">
        <v>557</v>
      </c>
      <c r="AY181" s="135">
        <f>AY$3</f>
        <v>46189</v>
      </c>
      <c r="AZ181" s="136" t="s">
        <v>557</v>
      </c>
      <c r="BA181" s="137" t="s">
        <v>557</v>
      </c>
      <c r="BB181" s="135">
        <f>BB$3</f>
        <v>46190</v>
      </c>
      <c r="BC181" s="136" t="s">
        <v>557</v>
      </c>
      <c r="BD181" s="137" t="s">
        <v>557</v>
      </c>
      <c r="BE181" s="135">
        <f>BE$3</f>
        <v>46191</v>
      </c>
      <c r="BF181" s="136" t="s">
        <v>557</v>
      </c>
      <c r="BG181" s="137" t="s">
        <v>557</v>
      </c>
      <c r="BH181" s="135">
        <f>BH$3</f>
        <v>46192</v>
      </c>
      <c r="BI181" s="136" t="s">
        <v>557</v>
      </c>
      <c r="BJ181" s="137" t="s">
        <v>557</v>
      </c>
      <c r="BK181" s="135">
        <f>BK$3</f>
        <v>46193</v>
      </c>
      <c r="BL181" s="136" t="s">
        <v>557</v>
      </c>
      <c r="BM181" s="137" t="s">
        <v>557</v>
      </c>
    </row>
    <row r="182" spans="1:65" outlineLevel="1">
      <c r="A182" s="122" t="str">
        <f>$A$171</f>
        <v>Đặng Minh Quang</v>
      </c>
      <c r="B182" s="82" t="s">
        <v>738</v>
      </c>
      <c r="C182" s="81" t="str">
        <f>IF($B182="","",INDEX('All Bảng'!C:C,MATCH($B182,'All Bảng'!$A:$A,0)))</f>
        <v>Quản lý BIM</v>
      </c>
      <c r="D182" s="81" t="str">
        <f>IF($B182="","",INDEX('All Bảng'!D:D,MATCH($B182,'All Bảng'!$A:$A,0)))</f>
        <v>T.DAN.LVDN.KS</v>
      </c>
      <c r="E182" s="81" t="str">
        <f>IF($B182="","",INDEX('All Bảng'!E:E,MATCH($B182,'All Bảng'!$A:$A,0)))</f>
        <v>KS JW Marriott- Làng Vân (Cao 9 tầng)</v>
      </c>
      <c r="F182" s="81" t="str">
        <f>IF($B182="","",INDEX('All Bảng'!F:F,MATCH($B182,'All Bảng'!$A:$A,0)))</f>
        <v>KC</v>
      </c>
      <c r="G182" s="81" t="str">
        <f>IF($B182="","",INDEX('All Bảng'!G:G,MATCH($B182,'All Bảng'!$A:$A,0)))</f>
        <v>Tạo lập mô hình BIM</v>
      </c>
      <c r="H182" s="121"/>
      <c r="I182" s="135"/>
      <c r="J182" s="135">
        <f>J$3</f>
        <v>46174</v>
      </c>
      <c r="K182" s="148" t="s">
        <v>557</v>
      </c>
      <c r="L182" s="163" t="s">
        <v>557</v>
      </c>
      <c r="M182" s="135">
        <f>M$3</f>
        <v>46175</v>
      </c>
      <c r="N182" s="148" t="s">
        <v>557</v>
      </c>
      <c r="O182" s="137" t="s">
        <v>557</v>
      </c>
      <c r="P182" s="135">
        <f>P$3</f>
        <v>46176</v>
      </c>
      <c r="Q182" s="148" t="s">
        <v>557</v>
      </c>
      <c r="R182" s="137" t="s">
        <v>557</v>
      </c>
      <c r="S182" s="135">
        <f>S$3</f>
        <v>46177</v>
      </c>
      <c r="T182" s="136" t="s">
        <v>557</v>
      </c>
      <c r="U182" s="137" t="s">
        <v>557</v>
      </c>
      <c r="V182" s="135">
        <f>V$3</f>
        <v>46178</v>
      </c>
      <c r="W182" s="136" t="s">
        <v>557</v>
      </c>
      <c r="X182" s="137" t="s">
        <v>557</v>
      </c>
      <c r="Y182" s="135">
        <f>Y$3</f>
        <v>46179</v>
      </c>
      <c r="Z182" s="136" t="s">
        <v>557</v>
      </c>
      <c r="AA182" s="137" t="s">
        <v>557</v>
      </c>
      <c r="AB182" s="135"/>
      <c r="AC182" s="135">
        <f>AC$3</f>
        <v>46181</v>
      </c>
      <c r="AD182" s="136" t="s">
        <v>557</v>
      </c>
      <c r="AE182" s="137" t="s">
        <v>557</v>
      </c>
      <c r="AF182" s="135">
        <f>AF$3</f>
        <v>46182</v>
      </c>
      <c r="AG182" s="136" t="s">
        <v>557</v>
      </c>
      <c r="AH182" s="137" t="s">
        <v>557</v>
      </c>
      <c r="AI182" s="135">
        <f>AI$3</f>
        <v>46183</v>
      </c>
      <c r="AJ182" s="136" t="s">
        <v>557</v>
      </c>
      <c r="AK182" s="137" t="s">
        <v>557</v>
      </c>
      <c r="AL182" s="135">
        <f>AL$3</f>
        <v>46184</v>
      </c>
      <c r="AM182" s="136" t="s">
        <v>557</v>
      </c>
      <c r="AN182" s="137" t="s">
        <v>557</v>
      </c>
      <c r="AO182" s="135">
        <f>AO$3</f>
        <v>46185</v>
      </c>
      <c r="AP182" s="136" t="s">
        <v>557</v>
      </c>
      <c r="AQ182" s="137" t="s">
        <v>557</v>
      </c>
      <c r="AR182" s="135">
        <f>AR$3</f>
        <v>46186</v>
      </c>
      <c r="AS182" s="136" t="s">
        <v>557</v>
      </c>
      <c r="AT182" s="137" t="s">
        <v>557</v>
      </c>
      <c r="AU182" s="135"/>
      <c r="AV182" s="135">
        <f>AV$3</f>
        <v>46188</v>
      </c>
      <c r="AW182" s="148" t="s">
        <v>557</v>
      </c>
      <c r="AX182" s="137" t="s">
        <v>557</v>
      </c>
      <c r="AY182" s="135">
        <f>AY$3</f>
        <v>46189</v>
      </c>
      <c r="AZ182" s="136" t="s">
        <v>557</v>
      </c>
      <c r="BA182" s="137" t="s">
        <v>557</v>
      </c>
      <c r="BB182" s="135">
        <f>BB$3</f>
        <v>46190</v>
      </c>
      <c r="BC182" s="136" t="s">
        <v>557</v>
      </c>
      <c r="BD182" s="137" t="s">
        <v>557</v>
      </c>
      <c r="BE182" s="135">
        <f>BE$3</f>
        <v>46191</v>
      </c>
      <c r="BF182" s="136" t="s">
        <v>557</v>
      </c>
      <c r="BG182" s="137" t="s">
        <v>557</v>
      </c>
      <c r="BH182" s="135">
        <f>BH$3</f>
        <v>46192</v>
      </c>
      <c r="BI182" s="136" t="s">
        <v>557</v>
      </c>
      <c r="BJ182" s="137" t="s">
        <v>557</v>
      </c>
      <c r="BK182" s="135">
        <f>BK$3</f>
        <v>46193</v>
      </c>
      <c r="BL182" s="136" t="s">
        <v>557</v>
      </c>
      <c r="BM182" s="137" t="s">
        <v>557</v>
      </c>
    </row>
    <row r="183" spans="1:65" outlineLevel="1">
      <c r="A183" s="122" t="str">
        <f>$A$171</f>
        <v>Đặng Minh Quang</v>
      </c>
      <c r="B183" s="82" t="s">
        <v>685</v>
      </c>
      <c r="C183" s="81" t="str">
        <f>IF($B183="","",INDEX('All Bảng'!C:C,MATCH($B183,'All Bảng'!$A:$A,0)))</f>
        <v>Quản lý BIM</v>
      </c>
      <c r="D183" s="81" t="str">
        <f>IF($B183="","",INDEX('All Bảng'!D:D,MATCH($B183,'All Bảng'!$A:$A,0)))</f>
        <v>N.HCM.CGIO.KS</v>
      </c>
      <c r="E183" s="81" t="str">
        <f>IF($B183="","",INDEX('All Bảng'!E:E,MATCH($B183,'All Bảng'!$A:$A,0)))</f>
        <v>Khách sạn M Gallery - B5.02.04</v>
      </c>
      <c r="F183" s="81" t="str">
        <f>IF($B183="","",INDEX('All Bảng'!F:F,MATCH($B183,'All Bảng'!$A:$A,0)))</f>
        <v>KC</v>
      </c>
      <c r="G183" s="81" t="str">
        <f>IF($B183="","",INDEX('All Bảng'!G:G,MATCH($B183,'All Bảng'!$A:$A,0)))</f>
        <v>Tạo lập mô hình BIM</v>
      </c>
      <c r="H183" s="121"/>
      <c r="I183" s="135"/>
      <c r="J183" s="135">
        <f>J$3</f>
        <v>46174</v>
      </c>
      <c r="K183" s="148" t="s">
        <v>557</v>
      </c>
      <c r="L183" s="163" t="s">
        <v>557</v>
      </c>
      <c r="M183" s="135">
        <f>M$3</f>
        <v>46175</v>
      </c>
      <c r="N183" s="148" t="s">
        <v>557</v>
      </c>
      <c r="O183" s="137" t="s">
        <v>557</v>
      </c>
      <c r="P183" s="135">
        <f>P$3</f>
        <v>46176</v>
      </c>
      <c r="Q183" s="148" t="s">
        <v>557</v>
      </c>
      <c r="R183" s="137" t="s">
        <v>557</v>
      </c>
      <c r="S183" s="135">
        <f>S$3</f>
        <v>46177</v>
      </c>
      <c r="T183" s="136" t="s">
        <v>557</v>
      </c>
      <c r="U183" s="137" t="s">
        <v>557</v>
      </c>
      <c r="V183" s="135">
        <f>V$3</f>
        <v>46178</v>
      </c>
      <c r="W183" s="136" t="s">
        <v>557</v>
      </c>
      <c r="X183" s="137" t="s">
        <v>557</v>
      </c>
      <c r="Y183" s="135">
        <f>Y$3</f>
        <v>46179</v>
      </c>
      <c r="Z183" s="136" t="s">
        <v>557</v>
      </c>
      <c r="AA183" s="137" t="s">
        <v>557</v>
      </c>
      <c r="AB183" s="135"/>
      <c r="AC183" s="135">
        <f>AC$3</f>
        <v>46181</v>
      </c>
      <c r="AD183" s="136" t="s">
        <v>557</v>
      </c>
      <c r="AE183" s="137" t="s">
        <v>557</v>
      </c>
      <c r="AF183" s="135">
        <f>AF$3</f>
        <v>46182</v>
      </c>
      <c r="AG183" s="136" t="s">
        <v>557</v>
      </c>
      <c r="AH183" s="137" t="s">
        <v>557</v>
      </c>
      <c r="AI183" s="135">
        <f>AI$3</f>
        <v>46183</v>
      </c>
      <c r="AJ183" s="136" t="s">
        <v>557</v>
      </c>
      <c r="AK183" s="137" t="s">
        <v>557</v>
      </c>
      <c r="AL183" s="135">
        <f>AL$3</f>
        <v>46184</v>
      </c>
      <c r="AM183" s="136" t="s">
        <v>557</v>
      </c>
      <c r="AN183" s="137" t="s">
        <v>557</v>
      </c>
      <c r="AO183" s="135">
        <f>AO$3</f>
        <v>46185</v>
      </c>
      <c r="AP183" s="136" t="s">
        <v>557</v>
      </c>
      <c r="AQ183" s="137" t="s">
        <v>557</v>
      </c>
      <c r="AR183" s="135">
        <f>AR$3</f>
        <v>46186</v>
      </c>
      <c r="AS183" s="136" t="s">
        <v>557</v>
      </c>
      <c r="AT183" s="137" t="s">
        <v>557</v>
      </c>
      <c r="AU183" s="135"/>
      <c r="AV183" s="135">
        <f>AV$3</f>
        <v>46188</v>
      </c>
      <c r="AW183" s="148" t="s">
        <v>557</v>
      </c>
      <c r="AX183" s="137" t="s">
        <v>557</v>
      </c>
      <c r="AY183" s="135">
        <f>AY$3</f>
        <v>46189</v>
      </c>
      <c r="AZ183" s="136" t="s">
        <v>557</v>
      </c>
      <c r="BA183" s="137" t="s">
        <v>557</v>
      </c>
      <c r="BB183" s="135">
        <f>BB$3</f>
        <v>46190</v>
      </c>
      <c r="BC183" s="136" t="s">
        <v>557</v>
      </c>
      <c r="BD183" s="137" t="s">
        <v>557</v>
      </c>
      <c r="BE183" s="135">
        <f>BE$3</f>
        <v>46191</v>
      </c>
      <c r="BF183" s="136" t="s">
        <v>557</v>
      </c>
      <c r="BG183" s="137" t="s">
        <v>557</v>
      </c>
      <c r="BH183" s="135">
        <f>BH$3</f>
        <v>46192</v>
      </c>
      <c r="BI183" s="136" t="s">
        <v>557</v>
      </c>
      <c r="BJ183" s="137" t="s">
        <v>557</v>
      </c>
      <c r="BK183" s="135">
        <f>BK$3</f>
        <v>46193</v>
      </c>
      <c r="BL183" s="136" t="s">
        <v>557</v>
      </c>
      <c r="BM183" s="137" t="s">
        <v>557</v>
      </c>
    </row>
    <row r="184" spans="1:65" outlineLevel="1">
      <c r="A184" s="122" t="str">
        <f>$A$171</f>
        <v>Đặng Minh Quang</v>
      </c>
      <c r="B184" s="82" t="s">
        <v>684</v>
      </c>
      <c r="C184" s="81" t="str">
        <f>IF($B184="","",INDEX('All Bảng'!C:C,MATCH($B184,'All Bảng'!$A:$A,0)))</f>
        <v>Quản lý BIM</v>
      </c>
      <c r="D184" s="81" t="str">
        <f>IF($B184="","",INDEX('All Bảng'!D:D,MATCH($B184,'All Bảng'!$A:$A,0)))</f>
        <v>N.HCM.CGIO.KS</v>
      </c>
      <c r="E184" s="81" t="str">
        <f>IF($B184="","",INDEX('All Bảng'!E:E,MATCH($B184,'All Bảng'!$A:$A,0)))</f>
        <v>Khách sạn M Gallery - B5.02.04</v>
      </c>
      <c r="F184" s="81" t="str">
        <f>IF($B184="","",INDEX('All Bảng'!F:F,MATCH($B184,'All Bảng'!$A:$A,0)))</f>
        <v>KT</v>
      </c>
      <c r="G184" s="81" t="str">
        <f>IF($B184="","",INDEX('All Bảng'!G:G,MATCH($B184,'All Bảng'!$A:$A,0)))</f>
        <v>Tạo lập mô hình BIM</v>
      </c>
      <c r="H184" s="121"/>
      <c r="I184" s="135"/>
      <c r="J184" s="135">
        <f>J$3</f>
        <v>46174</v>
      </c>
      <c r="K184" s="148" t="s">
        <v>557</v>
      </c>
      <c r="L184" s="163" t="s">
        <v>557</v>
      </c>
      <c r="M184" s="135">
        <f>M$3</f>
        <v>46175</v>
      </c>
      <c r="N184" s="148" t="s">
        <v>557</v>
      </c>
      <c r="O184" s="137" t="s">
        <v>557</v>
      </c>
      <c r="P184" s="135">
        <f>P$3</f>
        <v>46176</v>
      </c>
      <c r="Q184" s="148" t="s">
        <v>557</v>
      </c>
      <c r="R184" s="137" t="s">
        <v>557</v>
      </c>
      <c r="S184" s="135">
        <f>S$3</f>
        <v>46177</v>
      </c>
      <c r="T184" s="136" t="s">
        <v>557</v>
      </c>
      <c r="U184" s="137" t="s">
        <v>557</v>
      </c>
      <c r="V184" s="135">
        <f>V$3</f>
        <v>46178</v>
      </c>
      <c r="W184" s="136" t="s">
        <v>557</v>
      </c>
      <c r="X184" s="137" t="s">
        <v>557</v>
      </c>
      <c r="Y184" s="135">
        <f>Y$3</f>
        <v>46179</v>
      </c>
      <c r="Z184" s="136" t="s">
        <v>557</v>
      </c>
      <c r="AA184" s="137" t="s">
        <v>557</v>
      </c>
      <c r="AB184" s="135"/>
      <c r="AC184" s="135">
        <f>AC$3</f>
        <v>46181</v>
      </c>
      <c r="AD184" s="136" t="s">
        <v>557</v>
      </c>
      <c r="AE184" s="137" t="s">
        <v>557</v>
      </c>
      <c r="AF184" s="135">
        <f>AF$3</f>
        <v>46182</v>
      </c>
      <c r="AG184" s="136" t="s">
        <v>557</v>
      </c>
      <c r="AH184" s="137" t="s">
        <v>557</v>
      </c>
      <c r="AI184" s="135">
        <f>AI$3</f>
        <v>46183</v>
      </c>
      <c r="AJ184" s="136" t="s">
        <v>557</v>
      </c>
      <c r="AK184" s="137" t="s">
        <v>557</v>
      </c>
      <c r="AL184" s="135">
        <f>AL$3</f>
        <v>46184</v>
      </c>
      <c r="AM184" s="136" t="s">
        <v>557</v>
      </c>
      <c r="AN184" s="137" t="s">
        <v>557</v>
      </c>
      <c r="AO184" s="135">
        <f>AO$3</f>
        <v>46185</v>
      </c>
      <c r="AP184" s="136" t="s">
        <v>557</v>
      </c>
      <c r="AQ184" s="137" t="s">
        <v>557</v>
      </c>
      <c r="AR184" s="135">
        <f>AR$3</f>
        <v>46186</v>
      </c>
      <c r="AS184" s="136" t="s">
        <v>557</v>
      </c>
      <c r="AT184" s="137" t="s">
        <v>557</v>
      </c>
      <c r="AU184" s="135"/>
      <c r="AV184" s="135">
        <f>AV$3</f>
        <v>46188</v>
      </c>
      <c r="AW184" s="148" t="s">
        <v>557</v>
      </c>
      <c r="AX184" s="137" t="s">
        <v>557</v>
      </c>
      <c r="AY184" s="135">
        <f>AY$3</f>
        <v>46189</v>
      </c>
      <c r="AZ184" s="136" t="s">
        <v>557</v>
      </c>
      <c r="BA184" s="137" t="s">
        <v>557</v>
      </c>
      <c r="BB184" s="135">
        <f>BB$3</f>
        <v>46190</v>
      </c>
      <c r="BC184" s="136" t="s">
        <v>557</v>
      </c>
      <c r="BD184" s="137" t="s">
        <v>557</v>
      </c>
      <c r="BE184" s="135">
        <f>BE$3</f>
        <v>46191</v>
      </c>
      <c r="BF184" s="136" t="s">
        <v>557</v>
      </c>
      <c r="BG184" s="137" t="s">
        <v>557</v>
      </c>
      <c r="BH184" s="135">
        <f>BH$3</f>
        <v>46192</v>
      </c>
      <c r="BI184" s="136" t="s">
        <v>557</v>
      </c>
      <c r="BJ184" s="137" t="s">
        <v>557</v>
      </c>
      <c r="BK184" s="135">
        <f>BK$3</f>
        <v>46193</v>
      </c>
      <c r="BL184" s="136" t="s">
        <v>557</v>
      </c>
      <c r="BM184" s="137" t="s">
        <v>557</v>
      </c>
    </row>
    <row r="185" spans="1:65" outlineLevel="1">
      <c r="A185" s="122" t="str">
        <f>$A$171</f>
        <v>Đặng Minh Quang</v>
      </c>
      <c r="B185" s="82" t="s">
        <v>739</v>
      </c>
      <c r="C185" s="81" t="str">
        <f>IF($B185="","",INDEX('All Bảng'!C:C,MATCH($B185,'All Bảng'!$A:$A,0)))</f>
        <v>Quản lý BIM</v>
      </c>
      <c r="D185" s="81" t="str">
        <f>IF($B185="","",INDEX('All Bảng'!D:D,MATCH($B185,'All Bảng'!$A:$A,0)))</f>
        <v>T.KHO.VPNT.KSMN</v>
      </c>
      <c r="E185" s="81" t="str">
        <f>IF($B185="","",INDEX('All Bảng'!E:E,MATCH($B185,'All Bảng'!$A:$A,0)))</f>
        <v>Mẫu M4</v>
      </c>
      <c r="F185" s="81" t="str">
        <f>IF($B185="","",INDEX('All Bảng'!F:F,MATCH($B185,'All Bảng'!$A:$A,0)))</f>
        <v>KC</v>
      </c>
      <c r="G185" s="81" t="str">
        <f>IF($B185="","",INDEX('All Bảng'!G:G,MATCH($B185,'All Bảng'!$A:$A,0)))</f>
        <v>KSCL mô hình BIM</v>
      </c>
      <c r="H185" s="121"/>
      <c r="I185" s="135"/>
      <c r="J185" s="135">
        <f>J$3</f>
        <v>46174</v>
      </c>
      <c r="K185" s="148" t="s">
        <v>557</v>
      </c>
      <c r="L185" s="163" t="s">
        <v>557</v>
      </c>
      <c r="M185" s="135">
        <f>M$3</f>
        <v>46175</v>
      </c>
      <c r="N185" s="148" t="s">
        <v>557</v>
      </c>
      <c r="O185" s="137" t="s">
        <v>557</v>
      </c>
      <c r="P185" s="135">
        <f>P$3</f>
        <v>46176</v>
      </c>
      <c r="Q185" s="148" t="s">
        <v>557</v>
      </c>
      <c r="R185" s="137" t="s">
        <v>557</v>
      </c>
      <c r="S185" s="135">
        <f>S$3</f>
        <v>46177</v>
      </c>
      <c r="T185" s="136" t="s">
        <v>557</v>
      </c>
      <c r="U185" s="137" t="s">
        <v>557</v>
      </c>
      <c r="V185" s="135">
        <f>V$3</f>
        <v>46178</v>
      </c>
      <c r="W185" s="136" t="s">
        <v>557</v>
      </c>
      <c r="X185" s="137" t="s">
        <v>557</v>
      </c>
      <c r="Y185" s="135">
        <f>Y$3</f>
        <v>46179</v>
      </c>
      <c r="Z185" s="136" t="s">
        <v>557</v>
      </c>
      <c r="AA185" s="137" t="s">
        <v>557</v>
      </c>
      <c r="AB185" s="135"/>
      <c r="AC185" s="135">
        <f>AC$3</f>
        <v>46181</v>
      </c>
      <c r="AD185" s="136" t="s">
        <v>557</v>
      </c>
      <c r="AE185" s="137" t="s">
        <v>557</v>
      </c>
      <c r="AF185" s="135">
        <f>AF$3</f>
        <v>46182</v>
      </c>
      <c r="AG185" s="136" t="s">
        <v>557</v>
      </c>
      <c r="AH185" s="137" t="s">
        <v>557</v>
      </c>
      <c r="AI185" s="135">
        <f>AI$3</f>
        <v>46183</v>
      </c>
      <c r="AJ185" s="136" t="s">
        <v>557</v>
      </c>
      <c r="AK185" s="137" t="s">
        <v>557</v>
      </c>
      <c r="AL185" s="135">
        <f>AL$3</f>
        <v>46184</v>
      </c>
      <c r="AM185" s="136" t="s">
        <v>557</v>
      </c>
      <c r="AN185" s="137" t="s">
        <v>557</v>
      </c>
      <c r="AO185" s="135">
        <f>AO$3</f>
        <v>46185</v>
      </c>
      <c r="AP185" s="136" t="s">
        <v>557</v>
      </c>
      <c r="AQ185" s="137" t="s">
        <v>557</v>
      </c>
      <c r="AR185" s="135">
        <f>AR$3</f>
        <v>46186</v>
      </c>
      <c r="AS185" s="136" t="s">
        <v>557</v>
      </c>
      <c r="AT185" s="137" t="s">
        <v>557</v>
      </c>
      <c r="AU185" s="135"/>
      <c r="AV185" s="135">
        <f>AV$3</f>
        <v>46188</v>
      </c>
      <c r="AW185" s="148" t="s">
        <v>557</v>
      </c>
      <c r="AX185" s="137" t="s">
        <v>557</v>
      </c>
      <c r="AY185" s="135">
        <f>AY$3</f>
        <v>46189</v>
      </c>
      <c r="AZ185" s="136" t="s">
        <v>557</v>
      </c>
      <c r="BA185" s="137" t="s">
        <v>557</v>
      </c>
      <c r="BB185" s="135">
        <f>BB$3</f>
        <v>46190</v>
      </c>
      <c r="BC185" s="136" t="s">
        <v>557</v>
      </c>
      <c r="BD185" s="137" t="s">
        <v>557</v>
      </c>
      <c r="BE185" s="135">
        <f>BE$3</f>
        <v>46191</v>
      </c>
      <c r="BF185" s="136" t="s">
        <v>557</v>
      </c>
      <c r="BG185" s="137" t="s">
        <v>557</v>
      </c>
      <c r="BH185" s="135">
        <f>BH$3</f>
        <v>46192</v>
      </c>
      <c r="BI185" s="136" t="s">
        <v>557</v>
      </c>
      <c r="BJ185" s="137" t="s">
        <v>557</v>
      </c>
      <c r="BK185" s="135">
        <f>BK$3</f>
        <v>46193</v>
      </c>
      <c r="BL185" s="136" t="s">
        <v>557</v>
      </c>
      <c r="BM185" s="137" t="s">
        <v>557</v>
      </c>
    </row>
    <row r="186" spans="1:65" outlineLevel="1">
      <c r="A186" s="122" t="str">
        <f>$A$171</f>
        <v>Đặng Minh Quang</v>
      </c>
      <c r="B186" s="82" t="s">
        <v>740</v>
      </c>
      <c r="C186" s="81" t="str">
        <f>IF($B186="","",INDEX('All Bảng'!C:C,MATCH($B186,'All Bảng'!$A:$A,0)))</f>
        <v>Quản lý BIM</v>
      </c>
      <c r="D186" s="81" t="str">
        <f>IF($B186="","",INDEX('All Bảng'!D:D,MATCH($B186,'All Bảng'!$A:$A,0)))</f>
        <v>T.KHO.VPNT.KSMN</v>
      </c>
      <c r="E186" s="81" t="str">
        <f>IF($B186="","",INDEX('All Bảng'!E:E,MATCH($B186,'All Bảng'!$A:$A,0)))</f>
        <v>Mẫu M4</v>
      </c>
      <c r="F186" s="81" t="str">
        <f>IF($B186="","",INDEX('All Bảng'!F:F,MATCH($B186,'All Bảng'!$A:$A,0)))</f>
        <v>KT</v>
      </c>
      <c r="G186" s="81" t="str">
        <f>IF($B186="","",INDEX('All Bảng'!G:G,MATCH($B186,'All Bảng'!$A:$A,0)))</f>
        <v>KSCL mô hình BIM</v>
      </c>
      <c r="H186" s="121"/>
      <c r="I186" s="135"/>
      <c r="J186" s="135">
        <f>J$3</f>
        <v>46174</v>
      </c>
      <c r="K186" s="148" t="s">
        <v>557</v>
      </c>
      <c r="L186" s="163" t="s">
        <v>557</v>
      </c>
      <c r="M186" s="135">
        <f>M$3</f>
        <v>46175</v>
      </c>
      <c r="N186" s="148" t="s">
        <v>557</v>
      </c>
      <c r="O186" s="137" t="s">
        <v>557</v>
      </c>
      <c r="P186" s="135">
        <f>P$3</f>
        <v>46176</v>
      </c>
      <c r="Q186" s="148" t="s">
        <v>557</v>
      </c>
      <c r="R186" s="137" t="s">
        <v>557</v>
      </c>
      <c r="S186" s="135">
        <f>S$3</f>
        <v>46177</v>
      </c>
      <c r="T186" s="136" t="s">
        <v>557</v>
      </c>
      <c r="U186" s="137" t="s">
        <v>557</v>
      </c>
      <c r="V186" s="135">
        <f>V$3</f>
        <v>46178</v>
      </c>
      <c r="W186" s="136" t="s">
        <v>557</v>
      </c>
      <c r="X186" s="137" t="s">
        <v>557</v>
      </c>
      <c r="Y186" s="135">
        <f>Y$3</f>
        <v>46179</v>
      </c>
      <c r="Z186" s="136" t="s">
        <v>557</v>
      </c>
      <c r="AA186" s="137" t="s">
        <v>557</v>
      </c>
      <c r="AB186" s="135"/>
      <c r="AC186" s="135">
        <f>AC$3</f>
        <v>46181</v>
      </c>
      <c r="AD186" s="136" t="s">
        <v>557</v>
      </c>
      <c r="AE186" s="137" t="s">
        <v>557</v>
      </c>
      <c r="AF186" s="135">
        <f>AF$3</f>
        <v>46182</v>
      </c>
      <c r="AG186" s="136" t="s">
        <v>557</v>
      </c>
      <c r="AH186" s="137" t="s">
        <v>557</v>
      </c>
      <c r="AI186" s="135">
        <f>AI$3</f>
        <v>46183</v>
      </c>
      <c r="AJ186" s="136" t="s">
        <v>557</v>
      </c>
      <c r="AK186" s="137" t="s">
        <v>557</v>
      </c>
      <c r="AL186" s="135">
        <f>AL$3</f>
        <v>46184</v>
      </c>
      <c r="AM186" s="136" t="s">
        <v>557</v>
      </c>
      <c r="AN186" s="137" t="s">
        <v>557</v>
      </c>
      <c r="AO186" s="135">
        <f>AO$3</f>
        <v>46185</v>
      </c>
      <c r="AP186" s="136" t="s">
        <v>557</v>
      </c>
      <c r="AQ186" s="137" t="s">
        <v>557</v>
      </c>
      <c r="AR186" s="135">
        <f>AR$3</f>
        <v>46186</v>
      </c>
      <c r="AS186" s="136" t="s">
        <v>557</v>
      </c>
      <c r="AT186" s="137" t="s">
        <v>557</v>
      </c>
      <c r="AU186" s="135"/>
      <c r="AV186" s="135">
        <f>AV$3</f>
        <v>46188</v>
      </c>
      <c r="AW186" s="148" t="s">
        <v>557</v>
      </c>
      <c r="AX186" s="137" t="s">
        <v>557</v>
      </c>
      <c r="AY186" s="135">
        <f>AY$3</f>
        <v>46189</v>
      </c>
      <c r="AZ186" s="136" t="s">
        <v>557</v>
      </c>
      <c r="BA186" s="137" t="s">
        <v>557</v>
      </c>
      <c r="BB186" s="135">
        <f>BB$3</f>
        <v>46190</v>
      </c>
      <c r="BC186" s="136" t="s">
        <v>557</v>
      </c>
      <c r="BD186" s="137" t="s">
        <v>557</v>
      </c>
      <c r="BE186" s="135">
        <f>BE$3</f>
        <v>46191</v>
      </c>
      <c r="BF186" s="136" t="s">
        <v>557</v>
      </c>
      <c r="BG186" s="137" t="s">
        <v>557</v>
      </c>
      <c r="BH186" s="135">
        <f>BH$3</f>
        <v>46192</v>
      </c>
      <c r="BI186" s="136" t="s">
        <v>557</v>
      </c>
      <c r="BJ186" s="137" t="s">
        <v>557</v>
      </c>
      <c r="BK186" s="135">
        <f>BK$3</f>
        <v>46193</v>
      </c>
      <c r="BL186" s="136" t="s">
        <v>557</v>
      </c>
      <c r="BM186" s="137" t="s">
        <v>557</v>
      </c>
    </row>
    <row r="187" spans="1:65" outlineLevel="1">
      <c r="A187" s="122" t="str">
        <f>$A$171</f>
        <v>Đặng Minh Quang</v>
      </c>
      <c r="B187" s="82" t="s">
        <v>741</v>
      </c>
      <c r="C187" s="81" t="str">
        <f>IF($B187="","",INDEX('All Bảng'!C:C,MATCH($B187,'All Bảng'!$A:$A,0)))</f>
        <v>Quản lý BIM</v>
      </c>
      <c r="D187" s="81" t="str">
        <f>IF($B187="","",INDEX('All Bảng'!D:D,MATCH($B187,'All Bảng'!$A:$A,0)))</f>
        <v>B.DSHNQN.SUP</v>
      </c>
      <c r="E187" s="81" t="str">
        <f>IF($B187="","",INDEX('All Bảng'!E:E,MATCH($B187,'All Bảng'!$A:$A,0)))</f>
        <v>Bãi đúc dầm 03</v>
      </c>
      <c r="F187" s="81" t="str">
        <f>IF($B187="","",INDEX('All Bảng'!F:F,MATCH($B187,'All Bảng'!$A:$A,0)))</f>
        <v>KT</v>
      </c>
      <c r="G187" s="81" t="str">
        <f>IF($B187="","",INDEX('All Bảng'!G:G,MATCH($B187,'All Bảng'!$A:$A,0)))</f>
        <v>Tạo lập mô hình BIM</v>
      </c>
      <c r="H187" s="121"/>
      <c r="I187" s="135"/>
      <c r="J187" s="135">
        <f>J$3</f>
        <v>46174</v>
      </c>
      <c r="K187" s="148" t="s">
        <v>557</v>
      </c>
      <c r="L187" s="163" t="s">
        <v>557</v>
      </c>
      <c r="M187" s="135">
        <f>M$3</f>
        <v>46175</v>
      </c>
      <c r="N187" s="148" t="s">
        <v>557</v>
      </c>
      <c r="O187" s="137" t="s">
        <v>557</v>
      </c>
      <c r="P187" s="135">
        <f>P$3</f>
        <v>46176</v>
      </c>
      <c r="Q187" s="148" t="s">
        <v>557</v>
      </c>
      <c r="R187" s="137" t="s">
        <v>557</v>
      </c>
      <c r="S187" s="135">
        <f>S$3</f>
        <v>46177</v>
      </c>
      <c r="T187" s="136" t="s">
        <v>557</v>
      </c>
      <c r="U187" s="137" t="s">
        <v>557</v>
      </c>
      <c r="V187" s="135">
        <f>V$3</f>
        <v>46178</v>
      </c>
      <c r="W187" s="136" t="s">
        <v>557</v>
      </c>
      <c r="X187" s="137" t="s">
        <v>557</v>
      </c>
      <c r="Y187" s="135">
        <f>Y$3</f>
        <v>46179</v>
      </c>
      <c r="Z187" s="136" t="s">
        <v>557</v>
      </c>
      <c r="AA187" s="137" t="s">
        <v>557</v>
      </c>
      <c r="AB187" s="135"/>
      <c r="AC187" s="135">
        <f>AC$3</f>
        <v>46181</v>
      </c>
      <c r="AD187" s="136" t="s">
        <v>557</v>
      </c>
      <c r="AE187" s="137" t="s">
        <v>557</v>
      </c>
      <c r="AF187" s="135">
        <f>AF$3</f>
        <v>46182</v>
      </c>
      <c r="AG187" s="136" t="s">
        <v>557</v>
      </c>
      <c r="AH187" s="137" t="s">
        <v>557</v>
      </c>
      <c r="AI187" s="135">
        <f>AI$3</f>
        <v>46183</v>
      </c>
      <c r="AJ187" s="136" t="s">
        <v>557</v>
      </c>
      <c r="AK187" s="137" t="s">
        <v>557</v>
      </c>
      <c r="AL187" s="135">
        <f>AL$3</f>
        <v>46184</v>
      </c>
      <c r="AM187" s="136" t="s">
        <v>557</v>
      </c>
      <c r="AN187" s="137" t="s">
        <v>557</v>
      </c>
      <c r="AO187" s="135">
        <f>AO$3</f>
        <v>46185</v>
      </c>
      <c r="AP187" s="136" t="s">
        <v>557</v>
      </c>
      <c r="AQ187" s="137" t="s">
        <v>557</v>
      </c>
      <c r="AR187" s="135">
        <f>AR$3</f>
        <v>46186</v>
      </c>
      <c r="AS187" s="136" t="s">
        <v>557</v>
      </c>
      <c r="AT187" s="137" t="s">
        <v>557</v>
      </c>
      <c r="AU187" s="135"/>
      <c r="AV187" s="135">
        <f>AV$3</f>
        <v>46188</v>
      </c>
      <c r="AW187" s="148" t="s">
        <v>557</v>
      </c>
      <c r="AX187" s="137" t="s">
        <v>557</v>
      </c>
      <c r="AY187" s="135">
        <f>AY$3</f>
        <v>46189</v>
      </c>
      <c r="AZ187" s="136" t="s">
        <v>557</v>
      </c>
      <c r="BA187" s="137" t="s">
        <v>557</v>
      </c>
      <c r="BB187" s="135">
        <f>BB$3</f>
        <v>46190</v>
      </c>
      <c r="BC187" s="136" t="s">
        <v>557</v>
      </c>
      <c r="BD187" s="137" t="s">
        <v>557</v>
      </c>
      <c r="BE187" s="135">
        <f>BE$3</f>
        <v>46191</v>
      </c>
      <c r="BF187" s="136" t="s">
        <v>557</v>
      </c>
      <c r="BG187" s="137" t="s">
        <v>557</v>
      </c>
      <c r="BH187" s="135">
        <f>BH$3</f>
        <v>46192</v>
      </c>
      <c r="BI187" s="136" t="s">
        <v>557</v>
      </c>
      <c r="BJ187" s="137" t="s">
        <v>557</v>
      </c>
      <c r="BK187" s="135">
        <f>BK$3</f>
        <v>46193</v>
      </c>
      <c r="BL187" s="136" t="s">
        <v>557</v>
      </c>
      <c r="BM187" s="137" t="s">
        <v>557</v>
      </c>
    </row>
    <row r="188" spans="1:65" outlineLevel="1">
      <c r="A188" s="122" t="str">
        <f>$A$171</f>
        <v>Đặng Minh Quang</v>
      </c>
      <c r="B188" s="82" t="s">
        <v>742</v>
      </c>
      <c r="C188" s="81" t="str">
        <f>IF($B188="","",INDEX('All Bảng'!C:C,MATCH($B188,'All Bảng'!$A:$A,0)))</f>
        <v>Quản lý BIM</v>
      </c>
      <c r="D188" s="81" t="str">
        <f>IF($B188="","",INDEX('All Bảng'!D:D,MATCH($B188,'All Bảng'!$A:$A,0)))</f>
        <v>B.DSHNQN.SUP</v>
      </c>
      <c r="E188" s="81" t="str">
        <f>IF($B188="","",INDEX('All Bảng'!E:E,MATCH($B188,'All Bảng'!$A:$A,0)))</f>
        <v>Bãi đúc dầm 04</v>
      </c>
      <c r="F188" s="81" t="str">
        <f>IF($B188="","",INDEX('All Bảng'!F:F,MATCH($B188,'All Bảng'!$A:$A,0)))</f>
        <v>KT</v>
      </c>
      <c r="G188" s="81" t="str">
        <f>IF($B188="","",INDEX('All Bảng'!G:G,MATCH($B188,'All Bảng'!$A:$A,0)))</f>
        <v>Tạo lập mô hình BIM</v>
      </c>
      <c r="H188" s="121"/>
      <c r="I188" s="135"/>
      <c r="J188" s="135">
        <f>J$3</f>
        <v>46174</v>
      </c>
      <c r="K188" s="148" t="s">
        <v>557</v>
      </c>
      <c r="L188" s="163" t="s">
        <v>557</v>
      </c>
      <c r="M188" s="135">
        <f>M$3</f>
        <v>46175</v>
      </c>
      <c r="N188" s="148" t="s">
        <v>557</v>
      </c>
      <c r="O188" s="137" t="s">
        <v>557</v>
      </c>
      <c r="P188" s="135">
        <f>P$3</f>
        <v>46176</v>
      </c>
      <c r="Q188" s="148" t="s">
        <v>557</v>
      </c>
      <c r="R188" s="137" t="s">
        <v>557</v>
      </c>
      <c r="S188" s="135">
        <f>S$3</f>
        <v>46177</v>
      </c>
      <c r="T188" s="136" t="s">
        <v>557</v>
      </c>
      <c r="U188" s="137" t="s">
        <v>557</v>
      </c>
      <c r="V188" s="135">
        <f>V$3</f>
        <v>46178</v>
      </c>
      <c r="W188" s="136" t="s">
        <v>557</v>
      </c>
      <c r="X188" s="137" t="s">
        <v>557</v>
      </c>
      <c r="Y188" s="135">
        <f>Y$3</f>
        <v>46179</v>
      </c>
      <c r="Z188" s="136" t="s">
        <v>557</v>
      </c>
      <c r="AA188" s="137" t="s">
        <v>557</v>
      </c>
      <c r="AB188" s="135"/>
      <c r="AC188" s="135">
        <f>AC$3</f>
        <v>46181</v>
      </c>
      <c r="AD188" s="136" t="s">
        <v>557</v>
      </c>
      <c r="AE188" s="137" t="s">
        <v>557</v>
      </c>
      <c r="AF188" s="135">
        <f>AF$3</f>
        <v>46182</v>
      </c>
      <c r="AG188" s="136" t="s">
        <v>557</v>
      </c>
      <c r="AH188" s="137" t="s">
        <v>557</v>
      </c>
      <c r="AI188" s="135">
        <f>AI$3</f>
        <v>46183</v>
      </c>
      <c r="AJ188" s="136" t="s">
        <v>557</v>
      </c>
      <c r="AK188" s="137" t="s">
        <v>557</v>
      </c>
      <c r="AL188" s="135">
        <f>AL$3</f>
        <v>46184</v>
      </c>
      <c r="AM188" s="136" t="s">
        <v>557</v>
      </c>
      <c r="AN188" s="137" t="s">
        <v>557</v>
      </c>
      <c r="AO188" s="135">
        <f>AO$3</f>
        <v>46185</v>
      </c>
      <c r="AP188" s="136" t="s">
        <v>557</v>
      </c>
      <c r="AQ188" s="137" t="s">
        <v>557</v>
      </c>
      <c r="AR188" s="135">
        <f>AR$3</f>
        <v>46186</v>
      </c>
      <c r="AS188" s="136" t="s">
        <v>557</v>
      </c>
      <c r="AT188" s="137" t="s">
        <v>557</v>
      </c>
      <c r="AU188" s="135"/>
      <c r="AV188" s="135">
        <f>AV$3</f>
        <v>46188</v>
      </c>
      <c r="AW188" s="148" t="s">
        <v>557</v>
      </c>
      <c r="AX188" s="137" t="s">
        <v>557</v>
      </c>
      <c r="AY188" s="135">
        <f>AY$3</f>
        <v>46189</v>
      </c>
      <c r="AZ188" s="136" t="s">
        <v>557</v>
      </c>
      <c r="BA188" s="137" t="s">
        <v>557</v>
      </c>
      <c r="BB188" s="135">
        <f>BB$3</f>
        <v>46190</v>
      </c>
      <c r="BC188" s="136" t="s">
        <v>557</v>
      </c>
      <c r="BD188" s="137" t="s">
        <v>557</v>
      </c>
      <c r="BE188" s="135">
        <f>BE$3</f>
        <v>46191</v>
      </c>
      <c r="BF188" s="136" t="s">
        <v>557</v>
      </c>
      <c r="BG188" s="137" t="s">
        <v>557</v>
      </c>
      <c r="BH188" s="135">
        <f>BH$3</f>
        <v>46192</v>
      </c>
      <c r="BI188" s="136" t="s">
        <v>557</v>
      </c>
      <c r="BJ188" s="137" t="s">
        <v>557</v>
      </c>
      <c r="BK188" s="135">
        <f>BK$3</f>
        <v>46193</v>
      </c>
      <c r="BL188" s="136" t="s">
        <v>557</v>
      </c>
      <c r="BM188" s="137" t="s">
        <v>557</v>
      </c>
    </row>
    <row r="189" spans="1:65" outlineLevel="1">
      <c r="A189" s="122" t="str">
        <f>$A$171</f>
        <v>Đặng Minh Quang</v>
      </c>
      <c r="B189" s="82" t="s">
        <v>743</v>
      </c>
      <c r="C189" s="81" t="str">
        <f>IF($B189="","",INDEX('All Bảng'!C:C,MATCH($B189,'All Bảng'!$A:$A,0)))</f>
        <v>Quản lý BIM</v>
      </c>
      <c r="D189" s="81" t="str">
        <f>IF($B189="","",INDEX('All Bảng'!D:D,MATCH($B189,'All Bảng'!$A:$A,0)))</f>
        <v>B.DSHNQN.SUP</v>
      </c>
      <c r="E189" s="81" t="str">
        <f>IF($B189="","",INDEX('All Bảng'!E:E,MATCH($B189,'All Bảng'!$A:$A,0)))</f>
        <v>Bãi đúc dầm 03</v>
      </c>
      <c r="F189" s="81" t="str">
        <f>IF($B189="","",INDEX('All Bảng'!F:F,MATCH($B189,'All Bảng'!$A:$A,0)))</f>
        <v>KC</v>
      </c>
      <c r="G189" s="81" t="str">
        <f>IF($B189="","",INDEX('All Bảng'!G:G,MATCH($B189,'All Bảng'!$A:$A,0)))</f>
        <v>Tạo lập mô hình BIM</v>
      </c>
      <c r="H189" s="121"/>
      <c r="I189" s="135"/>
      <c r="J189" s="135">
        <f>J$3</f>
        <v>46174</v>
      </c>
      <c r="K189" s="148" t="s">
        <v>557</v>
      </c>
      <c r="L189" s="163" t="s">
        <v>557</v>
      </c>
      <c r="M189" s="135">
        <f>M$3</f>
        <v>46175</v>
      </c>
      <c r="N189" s="148" t="s">
        <v>557</v>
      </c>
      <c r="O189" s="137" t="s">
        <v>557</v>
      </c>
      <c r="P189" s="135">
        <f>P$3</f>
        <v>46176</v>
      </c>
      <c r="Q189" s="148" t="s">
        <v>557</v>
      </c>
      <c r="R189" s="137" t="s">
        <v>557</v>
      </c>
      <c r="S189" s="135">
        <f>S$3</f>
        <v>46177</v>
      </c>
      <c r="T189" s="136" t="s">
        <v>557</v>
      </c>
      <c r="U189" s="137" t="s">
        <v>557</v>
      </c>
      <c r="V189" s="135">
        <f>V$3</f>
        <v>46178</v>
      </c>
      <c r="W189" s="136" t="s">
        <v>557</v>
      </c>
      <c r="X189" s="137" t="s">
        <v>557</v>
      </c>
      <c r="Y189" s="135">
        <f>Y$3</f>
        <v>46179</v>
      </c>
      <c r="Z189" s="136" t="s">
        <v>557</v>
      </c>
      <c r="AA189" s="137" t="s">
        <v>557</v>
      </c>
      <c r="AB189" s="135"/>
      <c r="AC189" s="135">
        <f>AC$3</f>
        <v>46181</v>
      </c>
      <c r="AD189" s="136" t="s">
        <v>557</v>
      </c>
      <c r="AE189" s="137" t="s">
        <v>557</v>
      </c>
      <c r="AF189" s="135">
        <f>AF$3</f>
        <v>46182</v>
      </c>
      <c r="AG189" s="136" t="s">
        <v>557</v>
      </c>
      <c r="AH189" s="137" t="s">
        <v>557</v>
      </c>
      <c r="AI189" s="135">
        <f>AI$3</f>
        <v>46183</v>
      </c>
      <c r="AJ189" s="136" t="s">
        <v>557</v>
      </c>
      <c r="AK189" s="137" t="s">
        <v>557</v>
      </c>
      <c r="AL189" s="135">
        <f>AL$3</f>
        <v>46184</v>
      </c>
      <c r="AM189" s="136" t="s">
        <v>557</v>
      </c>
      <c r="AN189" s="137" t="s">
        <v>557</v>
      </c>
      <c r="AO189" s="135">
        <f>AO$3</f>
        <v>46185</v>
      </c>
      <c r="AP189" s="136" t="s">
        <v>557</v>
      </c>
      <c r="AQ189" s="137" t="s">
        <v>557</v>
      </c>
      <c r="AR189" s="135">
        <f>AR$3</f>
        <v>46186</v>
      </c>
      <c r="AS189" s="136" t="s">
        <v>557</v>
      </c>
      <c r="AT189" s="137" t="s">
        <v>557</v>
      </c>
      <c r="AU189" s="135"/>
      <c r="AV189" s="135">
        <f>AV$3</f>
        <v>46188</v>
      </c>
      <c r="AW189" s="148" t="s">
        <v>557</v>
      </c>
      <c r="AX189" s="137" t="s">
        <v>557</v>
      </c>
      <c r="AY189" s="135">
        <f>AY$3</f>
        <v>46189</v>
      </c>
      <c r="AZ189" s="136" t="s">
        <v>557</v>
      </c>
      <c r="BA189" s="137" t="s">
        <v>557</v>
      </c>
      <c r="BB189" s="135">
        <f>BB$3</f>
        <v>46190</v>
      </c>
      <c r="BC189" s="136" t="s">
        <v>557</v>
      </c>
      <c r="BD189" s="137" t="s">
        <v>557</v>
      </c>
      <c r="BE189" s="135">
        <f>BE$3</f>
        <v>46191</v>
      </c>
      <c r="BF189" s="136" t="s">
        <v>557</v>
      </c>
      <c r="BG189" s="137" t="s">
        <v>557</v>
      </c>
      <c r="BH189" s="135">
        <f>BH$3</f>
        <v>46192</v>
      </c>
      <c r="BI189" s="136" t="s">
        <v>557</v>
      </c>
      <c r="BJ189" s="137" t="s">
        <v>557</v>
      </c>
      <c r="BK189" s="135">
        <f>BK$3</f>
        <v>46193</v>
      </c>
      <c r="BL189" s="136" t="s">
        <v>557</v>
      </c>
      <c r="BM189" s="137" t="s">
        <v>557</v>
      </c>
    </row>
    <row r="190" spans="1:65" outlineLevel="1">
      <c r="A190" s="122" t="str">
        <f>$A$171</f>
        <v>Đặng Minh Quang</v>
      </c>
      <c r="B190" s="82" t="s">
        <v>744</v>
      </c>
      <c r="C190" s="81" t="str">
        <f>IF($B190="","",INDEX('All Bảng'!C:C,MATCH($B190,'All Bảng'!$A:$A,0)))</f>
        <v>Quản lý BIM</v>
      </c>
      <c r="D190" s="81" t="str">
        <f>IF($B190="","",INDEX('All Bảng'!D:D,MATCH($B190,'All Bảng'!$A:$A,0)))</f>
        <v>B.DSHNQN.SUP</v>
      </c>
      <c r="E190" s="81" t="str">
        <f>IF($B190="","",INDEX('All Bảng'!E:E,MATCH($B190,'All Bảng'!$A:$A,0)))</f>
        <v>Bãi đúc dầm 04</v>
      </c>
      <c r="F190" s="81" t="str">
        <f>IF($B190="","",INDEX('All Bảng'!F:F,MATCH($B190,'All Bảng'!$A:$A,0)))</f>
        <v>KC</v>
      </c>
      <c r="G190" s="81" t="str">
        <f>IF($B190="","",INDEX('All Bảng'!G:G,MATCH($B190,'All Bảng'!$A:$A,0)))</f>
        <v>Tạo lập mô hình BIM</v>
      </c>
      <c r="H190" s="121"/>
      <c r="I190" s="135"/>
      <c r="J190" s="135">
        <f>J$3</f>
        <v>46174</v>
      </c>
      <c r="K190" s="148" t="s">
        <v>557</v>
      </c>
      <c r="L190" s="163" t="s">
        <v>557</v>
      </c>
      <c r="M190" s="135">
        <f>M$3</f>
        <v>46175</v>
      </c>
      <c r="N190" s="148" t="s">
        <v>557</v>
      </c>
      <c r="O190" s="137" t="s">
        <v>557</v>
      </c>
      <c r="P190" s="135">
        <f>P$3</f>
        <v>46176</v>
      </c>
      <c r="Q190" s="148" t="s">
        <v>557</v>
      </c>
      <c r="R190" s="137" t="s">
        <v>557</v>
      </c>
      <c r="S190" s="135">
        <f>S$3</f>
        <v>46177</v>
      </c>
      <c r="T190" s="136" t="s">
        <v>557</v>
      </c>
      <c r="U190" s="137" t="s">
        <v>557</v>
      </c>
      <c r="V190" s="135">
        <f>V$3</f>
        <v>46178</v>
      </c>
      <c r="W190" s="136" t="s">
        <v>557</v>
      </c>
      <c r="X190" s="137" t="s">
        <v>557</v>
      </c>
      <c r="Y190" s="135">
        <f>Y$3</f>
        <v>46179</v>
      </c>
      <c r="Z190" s="136" t="s">
        <v>557</v>
      </c>
      <c r="AA190" s="137" t="s">
        <v>557</v>
      </c>
      <c r="AB190" s="135"/>
      <c r="AC190" s="135">
        <f>AC$3</f>
        <v>46181</v>
      </c>
      <c r="AD190" s="136" t="s">
        <v>557</v>
      </c>
      <c r="AE190" s="137" t="s">
        <v>557</v>
      </c>
      <c r="AF190" s="135">
        <f>AF$3</f>
        <v>46182</v>
      </c>
      <c r="AG190" s="136" t="s">
        <v>557</v>
      </c>
      <c r="AH190" s="137" t="s">
        <v>557</v>
      </c>
      <c r="AI190" s="135">
        <f>AI$3</f>
        <v>46183</v>
      </c>
      <c r="AJ190" s="136" t="s">
        <v>557</v>
      </c>
      <c r="AK190" s="137" t="s">
        <v>557</v>
      </c>
      <c r="AL190" s="135">
        <f>AL$3</f>
        <v>46184</v>
      </c>
      <c r="AM190" s="136" t="s">
        <v>557</v>
      </c>
      <c r="AN190" s="137" t="s">
        <v>557</v>
      </c>
      <c r="AO190" s="135">
        <f>AO$3</f>
        <v>46185</v>
      </c>
      <c r="AP190" s="136" t="s">
        <v>557</v>
      </c>
      <c r="AQ190" s="137" t="s">
        <v>557</v>
      </c>
      <c r="AR190" s="135">
        <f>AR$3</f>
        <v>46186</v>
      </c>
      <c r="AS190" s="136" t="s">
        <v>557</v>
      </c>
      <c r="AT190" s="137" t="s">
        <v>557</v>
      </c>
      <c r="AU190" s="135"/>
      <c r="AV190" s="135">
        <f>AV$3</f>
        <v>46188</v>
      </c>
      <c r="AW190" s="148" t="s">
        <v>557</v>
      </c>
      <c r="AX190" s="137" t="s">
        <v>557</v>
      </c>
      <c r="AY190" s="135">
        <f>AY$3</f>
        <v>46189</v>
      </c>
      <c r="AZ190" s="136" t="s">
        <v>557</v>
      </c>
      <c r="BA190" s="137" t="s">
        <v>557</v>
      </c>
      <c r="BB190" s="135">
        <f>BB$3</f>
        <v>46190</v>
      </c>
      <c r="BC190" s="136" t="s">
        <v>557</v>
      </c>
      <c r="BD190" s="137" t="s">
        <v>557</v>
      </c>
      <c r="BE190" s="135">
        <f>BE$3</f>
        <v>46191</v>
      </c>
      <c r="BF190" s="136" t="s">
        <v>557</v>
      </c>
      <c r="BG190" s="137" t="s">
        <v>557</v>
      </c>
      <c r="BH190" s="135">
        <f>BH$3</f>
        <v>46192</v>
      </c>
      <c r="BI190" s="136" t="s">
        <v>557</v>
      </c>
      <c r="BJ190" s="137" t="s">
        <v>557</v>
      </c>
      <c r="BK190" s="135">
        <f>BK$3</f>
        <v>46193</v>
      </c>
      <c r="BL190" s="136" t="s">
        <v>557</v>
      </c>
      <c r="BM190" s="137" t="s">
        <v>557</v>
      </c>
    </row>
    <row r="191" spans="1:65" outlineLevel="1">
      <c r="A191" s="122" t="str">
        <f>$A$171</f>
        <v>Đặng Minh Quang</v>
      </c>
      <c r="B191" s="82" t="s">
        <v>745</v>
      </c>
      <c r="C191" s="81" t="str">
        <f>IF($B191="","",INDEX('All Bảng'!C:C,MATCH($B191,'All Bảng'!$A:$A,0)))</f>
        <v>Quản lý BIM</v>
      </c>
      <c r="D191" s="81" t="str">
        <f>IF($B191="","",INDEX('All Bảng'!D:D,MATCH($B191,'All Bảng'!$A:$A,0)))</f>
        <v>N.DSHCMCG.STA</v>
      </c>
      <c r="E191" s="81" t="str">
        <f>IF($B191="","",INDEX('All Bảng'!E:E,MATCH($B191,'All Bảng'!$A:$A,0)))</f>
        <v>Nhà Ga Bến Thành</v>
      </c>
      <c r="F191" s="81" t="str">
        <f>IF($B191="","",INDEX('All Bảng'!F:F,MATCH($B191,'All Bảng'!$A:$A,0)))</f>
        <v>KT</v>
      </c>
      <c r="G191" s="81" t="str">
        <f>IF($B191="","",INDEX('All Bảng'!G:G,MATCH($B191,'All Bảng'!$A:$A,0)))</f>
        <v>Tạo lập mô hình BIM</v>
      </c>
      <c r="H191" s="121"/>
      <c r="I191" s="135"/>
      <c r="J191" s="135">
        <f>J$3</f>
        <v>46174</v>
      </c>
      <c r="K191" s="148" t="s">
        <v>557</v>
      </c>
      <c r="L191" s="163" t="s">
        <v>557</v>
      </c>
      <c r="M191" s="135">
        <f>M$3</f>
        <v>46175</v>
      </c>
      <c r="N191" s="148" t="s">
        <v>557</v>
      </c>
      <c r="O191" s="137" t="s">
        <v>557</v>
      </c>
      <c r="P191" s="135">
        <f>P$3</f>
        <v>46176</v>
      </c>
      <c r="Q191" s="148" t="s">
        <v>557</v>
      </c>
      <c r="R191" s="137" t="s">
        <v>557</v>
      </c>
      <c r="S191" s="135">
        <f>S$3</f>
        <v>46177</v>
      </c>
      <c r="T191" s="136" t="s">
        <v>557</v>
      </c>
      <c r="U191" s="137" t="s">
        <v>557</v>
      </c>
      <c r="V191" s="135">
        <f>V$3</f>
        <v>46178</v>
      </c>
      <c r="W191" s="136" t="s">
        <v>557</v>
      </c>
      <c r="X191" s="137" t="s">
        <v>557</v>
      </c>
      <c r="Y191" s="135">
        <f>Y$3</f>
        <v>46179</v>
      </c>
      <c r="Z191" s="136" t="s">
        <v>557</v>
      </c>
      <c r="AA191" s="137" t="s">
        <v>557</v>
      </c>
      <c r="AB191" s="135"/>
      <c r="AC191" s="135">
        <f>AC$3</f>
        <v>46181</v>
      </c>
      <c r="AD191" s="136" t="s">
        <v>557</v>
      </c>
      <c r="AE191" s="137" t="s">
        <v>557</v>
      </c>
      <c r="AF191" s="135">
        <f>AF$3</f>
        <v>46182</v>
      </c>
      <c r="AG191" s="136" t="s">
        <v>557</v>
      </c>
      <c r="AH191" s="137" t="s">
        <v>557</v>
      </c>
      <c r="AI191" s="135">
        <f>AI$3</f>
        <v>46183</v>
      </c>
      <c r="AJ191" s="136" t="s">
        <v>557</v>
      </c>
      <c r="AK191" s="137" t="s">
        <v>557</v>
      </c>
      <c r="AL191" s="135">
        <f>AL$3</f>
        <v>46184</v>
      </c>
      <c r="AM191" s="136" t="s">
        <v>557</v>
      </c>
      <c r="AN191" s="137" t="s">
        <v>557</v>
      </c>
      <c r="AO191" s="135">
        <f>AO$3</f>
        <v>46185</v>
      </c>
      <c r="AP191" s="136" t="s">
        <v>557</v>
      </c>
      <c r="AQ191" s="137" t="s">
        <v>557</v>
      </c>
      <c r="AR191" s="135">
        <f>AR$3</f>
        <v>46186</v>
      </c>
      <c r="AS191" s="136" t="s">
        <v>557</v>
      </c>
      <c r="AT191" s="137" t="s">
        <v>557</v>
      </c>
      <c r="AU191" s="135"/>
      <c r="AV191" s="135">
        <f>AV$3</f>
        <v>46188</v>
      </c>
      <c r="AW191" s="148" t="s">
        <v>557</v>
      </c>
      <c r="AX191" s="137" t="s">
        <v>557</v>
      </c>
      <c r="AY191" s="135">
        <f>AY$3</f>
        <v>46189</v>
      </c>
      <c r="AZ191" s="136" t="s">
        <v>557</v>
      </c>
      <c r="BA191" s="137" t="s">
        <v>557</v>
      </c>
      <c r="BB191" s="135">
        <f>BB$3</f>
        <v>46190</v>
      </c>
      <c r="BC191" s="136" t="s">
        <v>557</v>
      </c>
      <c r="BD191" s="137" t="s">
        <v>557</v>
      </c>
      <c r="BE191" s="135">
        <f>BE$3</f>
        <v>46191</v>
      </c>
      <c r="BF191" s="136" t="s">
        <v>557</v>
      </c>
      <c r="BG191" s="137" t="s">
        <v>557</v>
      </c>
      <c r="BH191" s="135">
        <f>BH$3</f>
        <v>46192</v>
      </c>
      <c r="BI191" s="136" t="s">
        <v>557</v>
      </c>
      <c r="BJ191" s="137" t="s">
        <v>557</v>
      </c>
      <c r="BK191" s="135">
        <f>BK$3</f>
        <v>46193</v>
      </c>
      <c r="BL191" s="136" t="s">
        <v>557</v>
      </c>
      <c r="BM191" s="137" t="s">
        <v>557</v>
      </c>
    </row>
    <row r="192" spans="1:65" outlineLevel="1">
      <c r="A192" s="122" t="str">
        <f>$A$171</f>
        <v>Đặng Minh Quang</v>
      </c>
      <c r="B192" s="82" t="s">
        <v>746</v>
      </c>
      <c r="C192" s="81" t="str">
        <f>IF($B192="","",INDEX('All Bảng'!C:C,MATCH($B192,'All Bảng'!$A:$A,0)))</f>
        <v>Quản lý BIM</v>
      </c>
      <c r="D192" s="81" t="str">
        <f>IF($B192="","",INDEX('All Bảng'!D:D,MATCH($B192,'All Bảng'!$A:$A,0)))</f>
        <v>N.DSHCMCG.STA</v>
      </c>
      <c r="E192" s="81" t="str">
        <f>IF($B192="","",INDEX('All Bảng'!E:E,MATCH($B192,'All Bảng'!$A:$A,0)))</f>
        <v>Nhà Ga Bến Thành</v>
      </c>
      <c r="F192" s="81" t="str">
        <f>IF($B192="","",INDEX('All Bảng'!F:F,MATCH($B192,'All Bảng'!$A:$A,0)))</f>
        <v>KC</v>
      </c>
      <c r="G192" s="81" t="str">
        <f>IF($B192="","",INDEX('All Bảng'!G:G,MATCH($B192,'All Bảng'!$A:$A,0)))</f>
        <v>KSCL mô hình BIM</v>
      </c>
      <c r="H192" s="121"/>
      <c r="I192" s="135"/>
      <c r="J192" s="135">
        <f>J$3</f>
        <v>46174</v>
      </c>
      <c r="K192" s="148" t="s">
        <v>557</v>
      </c>
      <c r="L192" s="163" t="s">
        <v>557</v>
      </c>
      <c r="M192" s="135">
        <f>M$3</f>
        <v>46175</v>
      </c>
      <c r="N192" s="148" t="s">
        <v>557</v>
      </c>
      <c r="O192" s="137" t="s">
        <v>557</v>
      </c>
      <c r="P192" s="135">
        <f>P$3</f>
        <v>46176</v>
      </c>
      <c r="Q192" s="148" t="s">
        <v>557</v>
      </c>
      <c r="R192" s="137" t="s">
        <v>557</v>
      </c>
      <c r="S192" s="135">
        <f>S$3</f>
        <v>46177</v>
      </c>
      <c r="T192" s="136" t="s">
        <v>557</v>
      </c>
      <c r="U192" s="137" t="s">
        <v>557</v>
      </c>
      <c r="V192" s="135">
        <f>V$3</f>
        <v>46178</v>
      </c>
      <c r="W192" s="136" t="s">
        <v>557</v>
      </c>
      <c r="X192" s="137" t="s">
        <v>557</v>
      </c>
      <c r="Y192" s="135">
        <f>Y$3</f>
        <v>46179</v>
      </c>
      <c r="Z192" s="136" t="s">
        <v>557</v>
      </c>
      <c r="AA192" s="137" t="s">
        <v>557</v>
      </c>
      <c r="AB192" s="135"/>
      <c r="AC192" s="135">
        <f>AC$3</f>
        <v>46181</v>
      </c>
      <c r="AD192" s="136" t="s">
        <v>557</v>
      </c>
      <c r="AE192" s="137" t="s">
        <v>557</v>
      </c>
      <c r="AF192" s="135">
        <f>AF$3</f>
        <v>46182</v>
      </c>
      <c r="AG192" s="136" t="s">
        <v>557</v>
      </c>
      <c r="AH192" s="137" t="s">
        <v>557</v>
      </c>
      <c r="AI192" s="135">
        <f>AI$3</f>
        <v>46183</v>
      </c>
      <c r="AJ192" s="136" t="s">
        <v>557</v>
      </c>
      <c r="AK192" s="137" t="s">
        <v>557</v>
      </c>
      <c r="AL192" s="135">
        <f>AL$3</f>
        <v>46184</v>
      </c>
      <c r="AM192" s="136" t="s">
        <v>557</v>
      </c>
      <c r="AN192" s="137" t="s">
        <v>557</v>
      </c>
      <c r="AO192" s="135">
        <f>AO$3</f>
        <v>46185</v>
      </c>
      <c r="AP192" s="136" t="s">
        <v>557</v>
      </c>
      <c r="AQ192" s="137" t="s">
        <v>557</v>
      </c>
      <c r="AR192" s="135">
        <f>AR$3</f>
        <v>46186</v>
      </c>
      <c r="AS192" s="136" t="s">
        <v>557</v>
      </c>
      <c r="AT192" s="137" t="s">
        <v>557</v>
      </c>
      <c r="AU192" s="135"/>
      <c r="AV192" s="135">
        <f>AV$3</f>
        <v>46188</v>
      </c>
      <c r="AW192" s="148" t="s">
        <v>557</v>
      </c>
      <c r="AX192" s="137" t="s">
        <v>557</v>
      </c>
      <c r="AY192" s="135">
        <f>AY$3</f>
        <v>46189</v>
      </c>
      <c r="AZ192" s="136" t="s">
        <v>557</v>
      </c>
      <c r="BA192" s="137" t="s">
        <v>557</v>
      </c>
      <c r="BB192" s="135">
        <f>BB$3</f>
        <v>46190</v>
      </c>
      <c r="BC192" s="136" t="s">
        <v>557</v>
      </c>
      <c r="BD192" s="137" t="s">
        <v>557</v>
      </c>
      <c r="BE192" s="135">
        <f>BE$3</f>
        <v>46191</v>
      </c>
      <c r="BF192" s="136" t="s">
        <v>557</v>
      </c>
      <c r="BG192" s="137" t="s">
        <v>557</v>
      </c>
      <c r="BH192" s="135">
        <f>BH$3</f>
        <v>46192</v>
      </c>
      <c r="BI192" s="136" t="s">
        <v>557</v>
      </c>
      <c r="BJ192" s="137" t="s">
        <v>557</v>
      </c>
      <c r="BK192" s="135">
        <f>BK$3</f>
        <v>46193</v>
      </c>
      <c r="BL192" s="136" t="s">
        <v>557</v>
      </c>
      <c r="BM192" s="137" t="s">
        <v>557</v>
      </c>
    </row>
    <row r="193" spans="1:65" outlineLevel="1">
      <c r="A193" s="122" t="str">
        <f>$A$171</f>
        <v>Đặng Minh Quang</v>
      </c>
      <c r="B193" s="82" t="s">
        <v>747</v>
      </c>
      <c r="C193" s="81" t="str">
        <f>IF($B193="","",INDEX('All Bảng'!C:C,MATCH($B193,'All Bảng'!$A:$A,0)))</f>
        <v>Quản lý BIM</v>
      </c>
      <c r="D193" s="81" t="str">
        <f>IF($B193="","",INDEX('All Bảng'!D:D,MATCH($B193,'All Bảng'!$A:$A,0)))</f>
        <v>N.HCM.CGIO.KSMN</v>
      </c>
      <c r="E193" s="81" t="str">
        <f>IF($B193="","",INDEX('All Bảng'!E:E,MATCH($B193,'All Bảng'!$A:$A,0)))</f>
        <v>Lô A5.01.01, mẫu M1G, M7, M8G</v>
      </c>
      <c r="F193" s="81" t="str">
        <f>IF($B193="","",INDEX('All Bảng'!F:F,MATCH($B193,'All Bảng'!$A:$A,0)))</f>
        <v>KT</v>
      </c>
      <c r="G193" s="81" t="str">
        <f>IF($B193="","",INDEX('All Bảng'!G:G,MATCH($B193,'All Bảng'!$A:$A,0)))</f>
        <v>Tạo lập thư viện</v>
      </c>
      <c r="H193" s="121"/>
      <c r="I193" s="135"/>
      <c r="J193" s="135">
        <f>J$3</f>
        <v>46174</v>
      </c>
      <c r="K193" s="148" t="s">
        <v>557</v>
      </c>
      <c r="L193" s="163" t="s">
        <v>557</v>
      </c>
      <c r="M193" s="135">
        <f>M$3</f>
        <v>46175</v>
      </c>
      <c r="N193" s="148" t="s">
        <v>557</v>
      </c>
      <c r="O193" s="137" t="s">
        <v>557</v>
      </c>
      <c r="P193" s="135">
        <f>P$3</f>
        <v>46176</v>
      </c>
      <c r="Q193" s="148" t="s">
        <v>557</v>
      </c>
      <c r="R193" s="137" t="s">
        <v>557</v>
      </c>
      <c r="S193" s="135">
        <f>S$3</f>
        <v>46177</v>
      </c>
      <c r="T193" s="325" t="s">
        <v>748</v>
      </c>
      <c r="U193" s="137" t="s">
        <v>557</v>
      </c>
      <c r="V193" s="135">
        <f>V$3</f>
        <v>46178</v>
      </c>
      <c r="W193" s="136" t="s">
        <v>557</v>
      </c>
      <c r="X193" s="137" t="s">
        <v>557</v>
      </c>
      <c r="Y193" s="135">
        <f>Y$3</f>
        <v>46179</v>
      </c>
      <c r="Z193" s="136" t="s">
        <v>557</v>
      </c>
      <c r="AA193" s="137" t="s">
        <v>557</v>
      </c>
      <c r="AB193" s="135"/>
      <c r="AC193" s="135">
        <f>AC$3</f>
        <v>46181</v>
      </c>
      <c r="AD193" s="136" t="s">
        <v>557</v>
      </c>
      <c r="AE193" s="137" t="s">
        <v>557</v>
      </c>
      <c r="AF193" s="135">
        <f>AF$3</f>
        <v>46182</v>
      </c>
      <c r="AG193" s="136" t="s">
        <v>557</v>
      </c>
      <c r="AH193" s="137" t="s">
        <v>557</v>
      </c>
      <c r="AI193" s="135">
        <f>AI$3</f>
        <v>46183</v>
      </c>
      <c r="AJ193" s="136" t="s">
        <v>557</v>
      </c>
      <c r="AK193" s="137" t="s">
        <v>557</v>
      </c>
      <c r="AL193" s="135">
        <f>AL$3</f>
        <v>46184</v>
      </c>
      <c r="AM193" s="136" t="s">
        <v>557</v>
      </c>
      <c r="AN193" s="137" t="s">
        <v>557</v>
      </c>
      <c r="AO193" s="135">
        <f>AO$3</f>
        <v>46185</v>
      </c>
      <c r="AP193" s="136" t="s">
        <v>557</v>
      </c>
      <c r="AQ193" s="137" t="s">
        <v>557</v>
      </c>
      <c r="AR193" s="135">
        <f>AR$3</f>
        <v>46186</v>
      </c>
      <c r="AS193" s="136" t="s">
        <v>557</v>
      </c>
      <c r="AT193" s="137" t="s">
        <v>557</v>
      </c>
      <c r="AU193" s="135"/>
      <c r="AV193" s="135">
        <f>AV$3</f>
        <v>46188</v>
      </c>
      <c r="AW193" s="148" t="s">
        <v>557</v>
      </c>
      <c r="AX193" s="137" t="s">
        <v>557</v>
      </c>
      <c r="AY193" s="135">
        <f>AY$3</f>
        <v>46189</v>
      </c>
      <c r="AZ193" s="136" t="s">
        <v>557</v>
      </c>
      <c r="BA193" s="137" t="s">
        <v>557</v>
      </c>
      <c r="BB193" s="135">
        <f>BB$3</f>
        <v>46190</v>
      </c>
      <c r="BC193" s="136" t="s">
        <v>557</v>
      </c>
      <c r="BD193" s="137" t="s">
        <v>557</v>
      </c>
      <c r="BE193" s="135">
        <f>BE$3</f>
        <v>46191</v>
      </c>
      <c r="BF193" s="136" t="s">
        <v>557</v>
      </c>
      <c r="BG193" s="137" t="s">
        <v>557</v>
      </c>
      <c r="BH193" s="135">
        <f>BH$3</f>
        <v>46192</v>
      </c>
      <c r="BI193" s="136" t="s">
        <v>557</v>
      </c>
      <c r="BJ193" s="137" t="s">
        <v>557</v>
      </c>
      <c r="BK193" s="135">
        <f>BK$3</f>
        <v>46193</v>
      </c>
      <c r="BL193" s="136" t="s">
        <v>557</v>
      </c>
      <c r="BM193" s="137" t="s">
        <v>557</v>
      </c>
    </row>
    <row r="194" spans="1:65" outlineLevel="1">
      <c r="A194" s="122" t="str">
        <f>$A$171</f>
        <v>Đặng Minh Quang</v>
      </c>
      <c r="B194" s="82"/>
      <c r="C194" s="81" t="str">
        <f>IF($B194="","",INDEX('All Bảng'!C:C,MATCH($B194,'All Bảng'!$A:$A,0)))</f>
        <v/>
      </c>
      <c r="D194" s="81" t="str">
        <f>IF($B194="","",INDEX('All Bảng'!D:D,MATCH($B194,'All Bảng'!$A:$A,0)))</f>
        <v/>
      </c>
      <c r="E194" s="81" t="str">
        <f>IF($B194="","",INDEX('All Bảng'!E:E,MATCH($B194,'All Bảng'!$A:$A,0)))</f>
        <v/>
      </c>
      <c r="F194" s="81" t="str">
        <f>IF($B194="","",INDEX('All Bảng'!F:F,MATCH($B194,'All Bảng'!$A:$A,0)))</f>
        <v/>
      </c>
      <c r="G194" s="81" t="str">
        <f>IF($B194="","",INDEX('All Bảng'!G:G,MATCH($B194,'All Bảng'!$A:$A,0)))</f>
        <v/>
      </c>
      <c r="H194" s="121"/>
      <c r="I194" s="135"/>
      <c r="J194" s="135">
        <f>J$3</f>
        <v>46174</v>
      </c>
      <c r="K194" s="148" t="s">
        <v>557</v>
      </c>
      <c r="L194" s="163" t="s">
        <v>557</v>
      </c>
      <c r="M194" s="135">
        <f>M$3</f>
        <v>46175</v>
      </c>
      <c r="N194" s="148" t="s">
        <v>557</v>
      </c>
      <c r="O194" s="137" t="s">
        <v>557</v>
      </c>
      <c r="P194" s="135">
        <f>P$3</f>
        <v>46176</v>
      </c>
      <c r="Q194" s="148" t="s">
        <v>557</v>
      </c>
      <c r="R194" s="137" t="s">
        <v>557</v>
      </c>
      <c r="S194" s="135">
        <f>S$3</f>
        <v>46177</v>
      </c>
      <c r="T194" s="136" t="s">
        <v>557</v>
      </c>
      <c r="U194" s="137" t="s">
        <v>557</v>
      </c>
      <c r="V194" s="135">
        <f>V$3</f>
        <v>46178</v>
      </c>
      <c r="W194" s="136" t="s">
        <v>557</v>
      </c>
      <c r="X194" s="137" t="s">
        <v>557</v>
      </c>
      <c r="Y194" s="135">
        <f>Y$3</f>
        <v>46179</v>
      </c>
      <c r="Z194" s="136" t="s">
        <v>557</v>
      </c>
      <c r="AA194" s="137" t="s">
        <v>557</v>
      </c>
      <c r="AB194" s="135"/>
      <c r="AC194" s="135">
        <f>AC$3</f>
        <v>46181</v>
      </c>
      <c r="AD194" s="136" t="s">
        <v>557</v>
      </c>
      <c r="AE194" s="137" t="s">
        <v>557</v>
      </c>
      <c r="AF194" s="135">
        <f>AF$3</f>
        <v>46182</v>
      </c>
      <c r="AG194" s="136" t="s">
        <v>557</v>
      </c>
      <c r="AH194" s="137" t="s">
        <v>557</v>
      </c>
      <c r="AI194" s="135">
        <f>AI$3</f>
        <v>46183</v>
      </c>
      <c r="AJ194" s="136" t="s">
        <v>557</v>
      </c>
      <c r="AK194" s="137" t="s">
        <v>557</v>
      </c>
      <c r="AL194" s="135">
        <f>AL$3</f>
        <v>46184</v>
      </c>
      <c r="AM194" s="136" t="s">
        <v>557</v>
      </c>
      <c r="AN194" s="137" t="s">
        <v>557</v>
      </c>
      <c r="AO194" s="135">
        <f>AO$3</f>
        <v>46185</v>
      </c>
      <c r="AP194" s="136" t="s">
        <v>557</v>
      </c>
      <c r="AQ194" s="137" t="s">
        <v>557</v>
      </c>
      <c r="AR194" s="135">
        <f>AR$3</f>
        <v>46186</v>
      </c>
      <c r="AS194" s="136" t="s">
        <v>557</v>
      </c>
      <c r="AT194" s="137" t="s">
        <v>557</v>
      </c>
      <c r="AU194" s="135"/>
      <c r="AV194" s="135">
        <f>AV$3</f>
        <v>46188</v>
      </c>
      <c r="AW194" s="148" t="s">
        <v>557</v>
      </c>
      <c r="AX194" s="137" t="s">
        <v>557</v>
      </c>
      <c r="AY194" s="135">
        <f>AY$3</f>
        <v>46189</v>
      </c>
      <c r="AZ194" s="136" t="s">
        <v>557</v>
      </c>
      <c r="BA194" s="137" t="s">
        <v>557</v>
      </c>
      <c r="BB194" s="135">
        <f>BB$3</f>
        <v>46190</v>
      </c>
      <c r="BC194" s="136" t="s">
        <v>557</v>
      </c>
      <c r="BD194" s="137" t="s">
        <v>557</v>
      </c>
      <c r="BE194" s="135">
        <f>BE$3</f>
        <v>46191</v>
      </c>
      <c r="BF194" s="136" t="s">
        <v>557</v>
      </c>
      <c r="BG194" s="137" t="s">
        <v>557</v>
      </c>
      <c r="BH194" s="135">
        <f>BH$3</f>
        <v>46192</v>
      </c>
      <c r="BI194" s="136" t="s">
        <v>557</v>
      </c>
      <c r="BJ194" s="137" t="s">
        <v>557</v>
      </c>
      <c r="BK194" s="135">
        <f>BK$3</f>
        <v>46193</v>
      </c>
      <c r="BL194" s="136" t="s">
        <v>557</v>
      </c>
      <c r="BM194" s="137" t="s">
        <v>557</v>
      </c>
    </row>
    <row r="195" spans="1:65" outlineLevel="1">
      <c r="A195" s="122" t="str">
        <f>$A$171</f>
        <v>Đặng Minh Quang</v>
      </c>
      <c r="B195" s="82"/>
      <c r="C195" s="81" t="str">
        <f>IF($B195="","",INDEX('All Bảng'!C:C,MATCH($B195,'All Bảng'!$A:$A,0)))</f>
        <v/>
      </c>
      <c r="D195" s="81" t="str">
        <f>IF($B195="","",INDEX('All Bảng'!D:D,MATCH($B195,'All Bảng'!$A:$A,0)))</f>
        <v/>
      </c>
      <c r="E195" s="81" t="str">
        <f>IF($B195="","",INDEX('All Bảng'!E:E,MATCH($B195,'All Bảng'!$A:$A,0)))</f>
        <v/>
      </c>
      <c r="F195" s="81" t="str">
        <f>IF($B195="","",INDEX('All Bảng'!F:F,MATCH($B195,'All Bảng'!$A:$A,0)))</f>
        <v/>
      </c>
      <c r="G195" s="81" t="str">
        <f>IF($B195="","",INDEX('All Bảng'!G:G,MATCH($B195,'All Bảng'!$A:$A,0)))</f>
        <v/>
      </c>
      <c r="H195" s="121"/>
      <c r="I195" s="135"/>
      <c r="J195" s="135">
        <f>J$3</f>
        <v>46174</v>
      </c>
      <c r="K195" s="148" t="s">
        <v>557</v>
      </c>
      <c r="L195" s="163" t="s">
        <v>557</v>
      </c>
      <c r="M195" s="135">
        <f>M$3</f>
        <v>46175</v>
      </c>
      <c r="N195" s="148" t="s">
        <v>557</v>
      </c>
      <c r="O195" s="137" t="s">
        <v>557</v>
      </c>
      <c r="P195" s="135">
        <f>P$3</f>
        <v>46176</v>
      </c>
      <c r="Q195" s="148" t="s">
        <v>557</v>
      </c>
      <c r="R195" s="137" t="s">
        <v>557</v>
      </c>
      <c r="S195" s="135">
        <f>S$3</f>
        <v>46177</v>
      </c>
      <c r="T195" s="136" t="s">
        <v>557</v>
      </c>
      <c r="U195" s="137" t="s">
        <v>557</v>
      </c>
      <c r="V195" s="135">
        <f>V$3</f>
        <v>46178</v>
      </c>
      <c r="W195" s="136" t="s">
        <v>557</v>
      </c>
      <c r="X195" s="137" t="s">
        <v>557</v>
      </c>
      <c r="Y195" s="135">
        <f>Y$3</f>
        <v>46179</v>
      </c>
      <c r="Z195" s="136" t="s">
        <v>557</v>
      </c>
      <c r="AA195" s="137" t="s">
        <v>557</v>
      </c>
      <c r="AB195" s="135"/>
      <c r="AC195" s="135">
        <f>AC$3</f>
        <v>46181</v>
      </c>
      <c r="AD195" s="136" t="s">
        <v>557</v>
      </c>
      <c r="AE195" s="137" t="s">
        <v>557</v>
      </c>
      <c r="AF195" s="135">
        <f>AF$3</f>
        <v>46182</v>
      </c>
      <c r="AG195" s="136" t="s">
        <v>557</v>
      </c>
      <c r="AH195" s="137" t="s">
        <v>557</v>
      </c>
      <c r="AI195" s="135">
        <f>AI$3</f>
        <v>46183</v>
      </c>
      <c r="AJ195" s="136" t="s">
        <v>557</v>
      </c>
      <c r="AK195" s="137" t="s">
        <v>557</v>
      </c>
      <c r="AL195" s="135">
        <f>AL$3</f>
        <v>46184</v>
      </c>
      <c r="AM195" s="136" t="s">
        <v>557</v>
      </c>
      <c r="AN195" s="137" t="s">
        <v>557</v>
      </c>
      <c r="AO195" s="135">
        <f>AO$3</f>
        <v>46185</v>
      </c>
      <c r="AP195" s="136" t="s">
        <v>557</v>
      </c>
      <c r="AQ195" s="137" t="s">
        <v>557</v>
      </c>
      <c r="AR195" s="135">
        <f>AR$3</f>
        <v>46186</v>
      </c>
      <c r="AS195" s="136" t="s">
        <v>557</v>
      </c>
      <c r="AT195" s="137" t="s">
        <v>557</v>
      </c>
      <c r="AU195" s="135"/>
      <c r="AV195" s="135">
        <f>AV$3</f>
        <v>46188</v>
      </c>
      <c r="AW195" s="148" t="s">
        <v>557</v>
      </c>
      <c r="AX195" s="137" t="s">
        <v>557</v>
      </c>
      <c r="AY195" s="135">
        <f>AY$3</f>
        <v>46189</v>
      </c>
      <c r="AZ195" s="136" t="s">
        <v>557</v>
      </c>
      <c r="BA195" s="137" t="s">
        <v>557</v>
      </c>
      <c r="BB195" s="135">
        <f>BB$3</f>
        <v>46190</v>
      </c>
      <c r="BC195" s="136" t="s">
        <v>557</v>
      </c>
      <c r="BD195" s="137" t="s">
        <v>557</v>
      </c>
      <c r="BE195" s="135">
        <f>BE$3</f>
        <v>46191</v>
      </c>
      <c r="BF195" s="136" t="s">
        <v>557</v>
      </c>
      <c r="BG195" s="137" t="s">
        <v>557</v>
      </c>
      <c r="BH195" s="135">
        <f>BH$3</f>
        <v>46192</v>
      </c>
      <c r="BI195" s="136" t="s">
        <v>557</v>
      </c>
      <c r="BJ195" s="137" t="s">
        <v>557</v>
      </c>
      <c r="BK195" s="135">
        <f>BK$3</f>
        <v>46193</v>
      </c>
      <c r="BL195" s="136" t="s">
        <v>557</v>
      </c>
      <c r="BM195" s="137" t="s">
        <v>557</v>
      </c>
    </row>
    <row r="196" spans="1:65" outlineLevel="1">
      <c r="A196" s="122" t="str">
        <f>$A$171</f>
        <v>Đặng Minh Quang</v>
      </c>
      <c r="B196" s="82"/>
      <c r="C196" s="81" t="str">
        <f>IF($B196="","",INDEX('All Bảng'!C:C,MATCH($B196,'All Bảng'!$A:$A,0)))</f>
        <v/>
      </c>
      <c r="D196" s="81" t="str">
        <f>IF($B196="","",INDEX('All Bảng'!D:D,MATCH($B196,'All Bảng'!$A:$A,0)))</f>
        <v/>
      </c>
      <c r="E196" s="81" t="str">
        <f>IF($B196="","",INDEX('All Bảng'!E:E,MATCH($B196,'All Bảng'!$A:$A,0)))</f>
        <v/>
      </c>
      <c r="F196" s="81" t="str">
        <f>IF($B196="","",INDEX('All Bảng'!F:F,MATCH($B196,'All Bảng'!$A:$A,0)))</f>
        <v/>
      </c>
      <c r="G196" s="81" t="str">
        <f>IF($B196="","",INDEX('All Bảng'!G:G,MATCH($B196,'All Bảng'!$A:$A,0)))</f>
        <v/>
      </c>
      <c r="H196" s="121"/>
      <c r="I196" s="135"/>
      <c r="J196" s="135">
        <f>J$3</f>
        <v>46174</v>
      </c>
      <c r="K196" s="148" t="s">
        <v>557</v>
      </c>
      <c r="L196" s="163" t="s">
        <v>557</v>
      </c>
      <c r="M196" s="135">
        <f>M$3</f>
        <v>46175</v>
      </c>
      <c r="N196" s="148" t="s">
        <v>557</v>
      </c>
      <c r="O196" s="137" t="s">
        <v>557</v>
      </c>
      <c r="P196" s="135">
        <f>P$3</f>
        <v>46176</v>
      </c>
      <c r="Q196" s="148" t="s">
        <v>557</v>
      </c>
      <c r="R196" s="137" t="s">
        <v>557</v>
      </c>
      <c r="S196" s="135">
        <f>S$3</f>
        <v>46177</v>
      </c>
      <c r="T196" s="136" t="s">
        <v>557</v>
      </c>
      <c r="U196" s="137" t="s">
        <v>557</v>
      </c>
      <c r="V196" s="135">
        <f>V$3</f>
        <v>46178</v>
      </c>
      <c r="W196" s="136" t="s">
        <v>557</v>
      </c>
      <c r="X196" s="137" t="s">
        <v>557</v>
      </c>
      <c r="Y196" s="135">
        <f>Y$3</f>
        <v>46179</v>
      </c>
      <c r="Z196" s="136" t="s">
        <v>557</v>
      </c>
      <c r="AA196" s="137" t="s">
        <v>557</v>
      </c>
      <c r="AB196" s="135"/>
      <c r="AC196" s="135">
        <f>AC$3</f>
        <v>46181</v>
      </c>
      <c r="AD196" s="136" t="s">
        <v>557</v>
      </c>
      <c r="AE196" s="137" t="s">
        <v>557</v>
      </c>
      <c r="AF196" s="135">
        <f>AF$3</f>
        <v>46182</v>
      </c>
      <c r="AG196" s="136" t="s">
        <v>557</v>
      </c>
      <c r="AH196" s="137" t="s">
        <v>557</v>
      </c>
      <c r="AI196" s="135">
        <f>AI$3</f>
        <v>46183</v>
      </c>
      <c r="AJ196" s="136" t="s">
        <v>557</v>
      </c>
      <c r="AK196" s="137" t="s">
        <v>557</v>
      </c>
      <c r="AL196" s="135">
        <f>AL$3</f>
        <v>46184</v>
      </c>
      <c r="AM196" s="136" t="s">
        <v>557</v>
      </c>
      <c r="AN196" s="137" t="s">
        <v>557</v>
      </c>
      <c r="AO196" s="135">
        <f>AO$3</f>
        <v>46185</v>
      </c>
      <c r="AP196" s="136" t="s">
        <v>557</v>
      </c>
      <c r="AQ196" s="137" t="s">
        <v>557</v>
      </c>
      <c r="AR196" s="135">
        <f>AR$3</f>
        <v>46186</v>
      </c>
      <c r="AS196" s="136" t="s">
        <v>557</v>
      </c>
      <c r="AT196" s="137" t="s">
        <v>557</v>
      </c>
      <c r="AU196" s="135"/>
      <c r="AV196" s="135">
        <f>AV$3</f>
        <v>46188</v>
      </c>
      <c r="AW196" s="148" t="s">
        <v>557</v>
      </c>
      <c r="AX196" s="137" t="s">
        <v>557</v>
      </c>
      <c r="AY196" s="135">
        <f>AY$3</f>
        <v>46189</v>
      </c>
      <c r="AZ196" s="136" t="s">
        <v>557</v>
      </c>
      <c r="BA196" s="137" t="s">
        <v>557</v>
      </c>
      <c r="BB196" s="135">
        <f>BB$3</f>
        <v>46190</v>
      </c>
      <c r="BC196" s="136" t="s">
        <v>557</v>
      </c>
      <c r="BD196" s="137" t="s">
        <v>557</v>
      </c>
      <c r="BE196" s="135">
        <f>BE$3</f>
        <v>46191</v>
      </c>
      <c r="BF196" s="136" t="s">
        <v>557</v>
      </c>
      <c r="BG196" s="137" t="s">
        <v>557</v>
      </c>
      <c r="BH196" s="135">
        <f>BH$3</f>
        <v>46192</v>
      </c>
      <c r="BI196" s="136" t="s">
        <v>557</v>
      </c>
      <c r="BJ196" s="137" t="s">
        <v>557</v>
      </c>
      <c r="BK196" s="135">
        <f>BK$3</f>
        <v>46193</v>
      </c>
      <c r="BL196" s="136" t="s">
        <v>557</v>
      </c>
      <c r="BM196" s="137" t="s">
        <v>557</v>
      </c>
    </row>
    <row r="197" spans="1:65" outlineLevel="1">
      <c r="A197" s="122" t="str">
        <f>$A$171</f>
        <v>Đặng Minh Quang</v>
      </c>
      <c r="B197" s="82" t="str">
        <f>'Bảng 7'!A6</f>
        <v>1.Công việc khác.004</v>
      </c>
      <c r="C197" s="81" t="str">
        <f>IF($B197="","",INDEX('All Bảng'!C:C,MATCH($B197,'All Bảng'!$A:$A,0)))</f>
        <v>Công việc khác</v>
      </c>
      <c r="D197" s="81" t="str">
        <f>IF($B197="","",INDEX('All Bảng'!D:D,MATCH($B197,'All Bảng'!$A:$A,0)))</f>
        <v>Công việc khác</v>
      </c>
      <c r="E197" s="81" t="str">
        <f>IF($B197="","",INDEX('All Bảng'!E:E,MATCH($B197,'All Bảng'!$A:$A,0)))</f>
        <v>Công việc khác</v>
      </c>
      <c r="F197" s="81" t="str">
        <f>IF($B197="","",INDEX('All Bảng'!F:F,MATCH($B197,'All Bảng'!$A:$A,0)))</f>
        <v>BIM</v>
      </c>
      <c r="G197" s="81" t="str">
        <f>IF($B197="","",INDEX('All Bảng'!G:G,MATCH($B197,'All Bảng'!$A:$A,0)))</f>
        <v>Báo cáo công việc</v>
      </c>
      <c r="H197" s="121"/>
      <c r="I197" s="135"/>
      <c r="J197" s="135">
        <f>J$3</f>
        <v>46174</v>
      </c>
      <c r="K197" s="148" t="s">
        <v>703</v>
      </c>
      <c r="L197" s="163">
        <v>0.25</v>
      </c>
      <c r="M197" s="135">
        <f>M$3</f>
        <v>46175</v>
      </c>
      <c r="N197" s="148" t="s">
        <v>557</v>
      </c>
      <c r="O197" s="137" t="s">
        <v>557</v>
      </c>
      <c r="P197" s="135">
        <f>P$3</f>
        <v>46176</v>
      </c>
      <c r="Q197" s="148" t="s">
        <v>749</v>
      </c>
      <c r="R197" s="137">
        <v>0.5</v>
      </c>
      <c r="S197" s="135">
        <f>S$3</f>
        <v>46177</v>
      </c>
      <c r="T197" s="136" t="s">
        <v>557</v>
      </c>
      <c r="U197" s="137" t="s">
        <v>557</v>
      </c>
      <c r="V197" s="135">
        <f>V$3</f>
        <v>46178</v>
      </c>
      <c r="W197" s="136" t="s">
        <v>557</v>
      </c>
      <c r="X197" s="137" t="s">
        <v>557</v>
      </c>
      <c r="Y197" s="135">
        <f>Y$3</f>
        <v>46179</v>
      </c>
      <c r="Z197" s="136" t="s">
        <v>557</v>
      </c>
      <c r="AA197" s="137" t="s">
        <v>557</v>
      </c>
      <c r="AB197" s="135"/>
      <c r="AC197" s="135">
        <f>AC$3</f>
        <v>46181</v>
      </c>
      <c r="AD197" s="136" t="s">
        <v>557</v>
      </c>
      <c r="AE197" s="137" t="s">
        <v>557</v>
      </c>
      <c r="AF197" s="135">
        <f>AF$3</f>
        <v>46182</v>
      </c>
      <c r="AG197" s="136" t="s">
        <v>557</v>
      </c>
      <c r="AH197" s="137" t="s">
        <v>557</v>
      </c>
      <c r="AI197" s="135">
        <f>AI$3</f>
        <v>46183</v>
      </c>
      <c r="AJ197" s="136" t="s">
        <v>557</v>
      </c>
      <c r="AK197" s="137" t="s">
        <v>557</v>
      </c>
      <c r="AL197" s="135">
        <f>AL$3</f>
        <v>46184</v>
      </c>
      <c r="AM197" s="136" t="s">
        <v>557</v>
      </c>
      <c r="AN197" s="137" t="s">
        <v>557</v>
      </c>
      <c r="AO197" s="135">
        <f>AO$3</f>
        <v>46185</v>
      </c>
      <c r="AP197" s="136" t="s">
        <v>557</v>
      </c>
      <c r="AQ197" s="137" t="s">
        <v>557</v>
      </c>
      <c r="AR197" s="135">
        <f>AR$3</f>
        <v>46186</v>
      </c>
      <c r="AS197" s="136" t="s">
        <v>557</v>
      </c>
      <c r="AT197" s="137" t="s">
        <v>557</v>
      </c>
      <c r="AU197" s="135"/>
      <c r="AV197" s="135">
        <f>AV$3</f>
        <v>46188</v>
      </c>
      <c r="AW197" s="148" t="s">
        <v>557</v>
      </c>
      <c r="AX197" s="137" t="s">
        <v>557</v>
      </c>
      <c r="AY197" s="135">
        <f>AY$3</f>
        <v>46189</v>
      </c>
      <c r="AZ197" s="136" t="s">
        <v>557</v>
      </c>
      <c r="BA197" s="137" t="s">
        <v>557</v>
      </c>
      <c r="BB197" s="135">
        <f>BB$3</f>
        <v>46190</v>
      </c>
      <c r="BC197" s="136" t="s">
        <v>557</v>
      </c>
      <c r="BD197" s="137" t="s">
        <v>557</v>
      </c>
      <c r="BE197" s="135">
        <f>BE$3</f>
        <v>46191</v>
      </c>
      <c r="BF197" s="136" t="s">
        <v>557</v>
      </c>
      <c r="BG197" s="137" t="s">
        <v>557</v>
      </c>
      <c r="BH197" s="135">
        <f>BH$3</f>
        <v>46192</v>
      </c>
      <c r="BI197" s="136" t="s">
        <v>557</v>
      </c>
      <c r="BJ197" s="137" t="s">
        <v>557</v>
      </c>
      <c r="BK197" s="135">
        <f>BK$3</f>
        <v>46193</v>
      </c>
      <c r="BL197" s="136" t="s">
        <v>557</v>
      </c>
      <c r="BM197" s="137" t="s">
        <v>557</v>
      </c>
    </row>
    <row r="198" spans="1:65">
      <c r="A198" s="290" t="s">
        <v>36</v>
      </c>
      <c r="B198" s="300"/>
      <c r="C198" s="292" t="str">
        <f>IF($B198="","",INDEX('All Bảng'!C:C,MATCH($B198,'All Bảng'!$A:$A,0)))</f>
        <v/>
      </c>
      <c r="D198" s="292" t="str">
        <f>IF($B198="","",INDEX('All Bảng'!D:D,MATCH($B198,'All Bảng'!$A:$A,0)))</f>
        <v/>
      </c>
      <c r="E198" s="292" t="str">
        <f>IF($B198="","",INDEX('All Bảng'!E:E,MATCH($B198,'All Bảng'!$A:$A,0)))</f>
        <v/>
      </c>
      <c r="F198" s="292" t="str">
        <f>IF($B198="","",INDEX('All Bảng'!F:F,MATCH($B198,'All Bảng'!$A:$A,0)))</f>
        <v/>
      </c>
      <c r="G198" s="292" t="str">
        <f>IF($B198="","",INDEX('All Bảng'!G:G,MATCH($B198,'All Bảng'!$A:$A,0)))</f>
        <v/>
      </c>
      <c r="H198" s="293"/>
      <c r="I198" s="294"/>
      <c r="J198" s="307">
        <f>J$3</f>
        <v>46174</v>
      </c>
      <c r="K198" s="308" t="s">
        <v>557</v>
      </c>
      <c r="L198" s="309">
        <f>SUM(L199:L227)</f>
        <v>8.25</v>
      </c>
      <c r="M198" s="307">
        <f>M$3</f>
        <v>46175</v>
      </c>
      <c r="N198" s="310" t="s">
        <v>557</v>
      </c>
      <c r="O198" s="311">
        <f>SUM(O199:O227)</f>
        <v>3.5</v>
      </c>
      <c r="P198" s="307">
        <f>P$3</f>
        <v>46176</v>
      </c>
      <c r="Q198" s="297" t="s">
        <v>557</v>
      </c>
      <c r="R198" s="298">
        <f>SUM(R199:R227)</f>
        <v>8.5</v>
      </c>
      <c r="S198" s="294">
        <f>S$3</f>
        <v>46177</v>
      </c>
      <c r="T198" s="299" t="s">
        <v>557</v>
      </c>
      <c r="U198" s="298">
        <f>SUM(U199:U227)</f>
        <v>8.75</v>
      </c>
      <c r="V198" s="294">
        <f>V$3</f>
        <v>46178</v>
      </c>
      <c r="W198" s="299" t="s">
        <v>557</v>
      </c>
      <c r="X198" s="298">
        <f>SUM(X199:X227)</f>
        <v>0</v>
      </c>
      <c r="Y198" s="294">
        <f>Y$3</f>
        <v>46179</v>
      </c>
      <c r="Z198" s="299" t="s">
        <v>557</v>
      </c>
      <c r="AA198" s="298">
        <f>SUM(AA199:AA227)</f>
        <v>0</v>
      </c>
      <c r="AB198" s="294"/>
      <c r="AC198" s="294">
        <f>AC$3</f>
        <v>46181</v>
      </c>
      <c r="AD198" s="299" t="s">
        <v>557</v>
      </c>
      <c r="AE198" s="298">
        <f>SUM(AE199:AE227)</f>
        <v>0</v>
      </c>
      <c r="AF198" s="294">
        <f>AF$3</f>
        <v>46182</v>
      </c>
      <c r="AG198" s="299" t="s">
        <v>557</v>
      </c>
      <c r="AH198" s="298">
        <f>SUM(AH199:AH227)</f>
        <v>0</v>
      </c>
      <c r="AI198" s="294">
        <f>AI$3</f>
        <v>46183</v>
      </c>
      <c r="AJ198" s="299" t="s">
        <v>557</v>
      </c>
      <c r="AK198" s="298">
        <f>SUM(AK199:AK227)</f>
        <v>0</v>
      </c>
      <c r="AL198" s="294">
        <f>AL$3</f>
        <v>46184</v>
      </c>
      <c r="AM198" s="299" t="s">
        <v>557</v>
      </c>
      <c r="AN198" s="298">
        <f>SUM(AN199:AN227)</f>
        <v>0</v>
      </c>
      <c r="AO198" s="294">
        <f>AO$3</f>
        <v>46185</v>
      </c>
      <c r="AP198" s="299" t="s">
        <v>557</v>
      </c>
      <c r="AQ198" s="298">
        <f>SUM(AQ199:AQ227)</f>
        <v>0</v>
      </c>
      <c r="AR198" s="294">
        <f>AR$3</f>
        <v>46186</v>
      </c>
      <c r="AS198" s="299" t="s">
        <v>557</v>
      </c>
      <c r="AT198" s="298">
        <f>SUM(AT199:AT227)</f>
        <v>0</v>
      </c>
      <c r="AU198" s="294"/>
      <c r="AV198" s="294">
        <f>AV$3</f>
        <v>46188</v>
      </c>
      <c r="AW198" s="297" t="s">
        <v>557</v>
      </c>
      <c r="AX198" s="298">
        <f>SUM(AX199:AX227)</f>
        <v>0</v>
      </c>
      <c r="AY198" s="294">
        <f>AY$3</f>
        <v>46189</v>
      </c>
      <c r="AZ198" s="299" t="s">
        <v>557</v>
      </c>
      <c r="BA198" s="298">
        <f>SUM(BA199:BA227)</f>
        <v>0</v>
      </c>
      <c r="BB198" s="294">
        <f>BB$3</f>
        <v>46190</v>
      </c>
      <c r="BC198" s="299" t="s">
        <v>557</v>
      </c>
      <c r="BD198" s="298">
        <f>SUM(BD199:BD227)</f>
        <v>0</v>
      </c>
      <c r="BE198" s="294">
        <f>BE$3</f>
        <v>46191</v>
      </c>
      <c r="BF198" s="299" t="s">
        <v>557</v>
      </c>
      <c r="BG198" s="298">
        <f>SUM(BG199:BG227)</f>
        <v>0</v>
      </c>
      <c r="BH198" s="294">
        <f>BH$3</f>
        <v>46192</v>
      </c>
      <c r="BI198" s="299" t="s">
        <v>557</v>
      </c>
      <c r="BJ198" s="298">
        <f>SUM(BJ199:BJ227)</f>
        <v>0</v>
      </c>
      <c r="BK198" s="294">
        <f>BK$3</f>
        <v>46193</v>
      </c>
      <c r="BL198" s="299" t="s">
        <v>557</v>
      </c>
      <c r="BM198" s="298">
        <f>SUM(BM199:BM227)</f>
        <v>0</v>
      </c>
    </row>
    <row r="199" spans="1:65" outlineLevel="1">
      <c r="A199" s="122" t="str">
        <f>$A$198</f>
        <v>Trần Văn Toản</v>
      </c>
      <c r="B199" s="82" t="s">
        <v>750</v>
      </c>
      <c r="C199" s="81" t="str">
        <f>IF($B199="","",INDEX('All Bảng'!C:C,MATCH($B199,'All Bảng'!$A:$A,0)))</f>
        <v>Quản lý BIM</v>
      </c>
      <c r="D199" s="81" t="str">
        <f>IF($B199="","",INDEX('All Bảng'!D:D,MATCH($B199,'All Bảng'!$A:$A,0)))</f>
        <v>B.DSHNQN.STA</v>
      </c>
      <c r="E199" s="81" t="str">
        <f>IF($B199="","",INDEX('All Bảng'!E:E,MATCH($B199,'All Bảng'!$A:$A,0)))</f>
        <v>Nhà ga Hạ Long Xanh</v>
      </c>
      <c r="F199" s="81" t="str">
        <f>IF($B199="","",INDEX('All Bảng'!F:F,MATCH($B199,'All Bảng'!$A:$A,0)))</f>
        <v>KT</v>
      </c>
      <c r="G199" s="81" t="str">
        <f>IF($B199="","",INDEX('All Bảng'!G:G,MATCH($B199,'All Bảng'!$A:$A,0)))</f>
        <v>Tạo lập mô hình BIM</v>
      </c>
      <c r="H199" s="121"/>
      <c r="I199" s="262"/>
      <c r="J199" s="281">
        <f>J$3</f>
        <v>46174</v>
      </c>
      <c r="K199" s="67" t="s">
        <v>557</v>
      </c>
      <c r="L199" s="303" t="s">
        <v>557</v>
      </c>
      <c r="M199" s="281">
        <f>M$3</f>
        <v>46175</v>
      </c>
      <c r="N199" s="67" t="s">
        <v>557</v>
      </c>
      <c r="O199" s="265" t="s">
        <v>557</v>
      </c>
      <c r="P199" s="281">
        <f>P$3</f>
        <v>46176</v>
      </c>
      <c r="Q199" s="148" t="s">
        <v>557</v>
      </c>
      <c r="R199" s="137" t="s">
        <v>557</v>
      </c>
      <c r="S199" s="135">
        <f>S$3</f>
        <v>46177</v>
      </c>
      <c r="T199" s="136" t="s">
        <v>557</v>
      </c>
      <c r="U199" s="137" t="s">
        <v>557</v>
      </c>
      <c r="V199" s="135">
        <f>V$3</f>
        <v>46178</v>
      </c>
      <c r="W199" s="136" t="s">
        <v>557</v>
      </c>
      <c r="X199" s="137" t="s">
        <v>557</v>
      </c>
      <c r="Y199" s="135">
        <f>Y$3</f>
        <v>46179</v>
      </c>
      <c r="Z199" s="136" t="s">
        <v>557</v>
      </c>
      <c r="AA199" s="137" t="s">
        <v>557</v>
      </c>
      <c r="AB199" s="135"/>
      <c r="AC199" s="135">
        <f>AC$3</f>
        <v>46181</v>
      </c>
      <c r="AD199" s="136" t="s">
        <v>557</v>
      </c>
      <c r="AE199" s="137" t="s">
        <v>557</v>
      </c>
      <c r="AF199" s="135">
        <f>AF$3</f>
        <v>46182</v>
      </c>
      <c r="AG199" s="136" t="s">
        <v>557</v>
      </c>
      <c r="AH199" s="137" t="s">
        <v>557</v>
      </c>
      <c r="AI199" s="135">
        <f>AI$3</f>
        <v>46183</v>
      </c>
      <c r="AJ199" s="136" t="s">
        <v>557</v>
      </c>
      <c r="AK199" s="137" t="s">
        <v>557</v>
      </c>
      <c r="AL199" s="135">
        <f>AL$3</f>
        <v>46184</v>
      </c>
      <c r="AM199" s="136" t="s">
        <v>557</v>
      </c>
      <c r="AN199" s="137" t="s">
        <v>557</v>
      </c>
      <c r="AO199" s="135">
        <f>AO$3</f>
        <v>46185</v>
      </c>
      <c r="AP199" s="136" t="s">
        <v>557</v>
      </c>
      <c r="AQ199" s="137" t="s">
        <v>557</v>
      </c>
      <c r="AR199" s="135">
        <f>AR$3</f>
        <v>46186</v>
      </c>
      <c r="AS199" s="136" t="s">
        <v>557</v>
      </c>
      <c r="AT199" s="137" t="s">
        <v>557</v>
      </c>
      <c r="AU199" s="135"/>
      <c r="AV199" s="135">
        <f>AV$3</f>
        <v>46188</v>
      </c>
      <c r="AW199" s="148" t="s">
        <v>557</v>
      </c>
      <c r="AX199" s="137" t="s">
        <v>557</v>
      </c>
      <c r="AY199" s="135">
        <f>AY$3</f>
        <v>46189</v>
      </c>
      <c r="AZ199" s="136" t="s">
        <v>557</v>
      </c>
      <c r="BA199" s="137" t="s">
        <v>557</v>
      </c>
      <c r="BB199" s="135">
        <f>BB$3</f>
        <v>46190</v>
      </c>
      <c r="BC199" s="136" t="s">
        <v>557</v>
      </c>
      <c r="BD199" s="137" t="s">
        <v>557</v>
      </c>
      <c r="BE199" s="135">
        <f>BE$3</f>
        <v>46191</v>
      </c>
      <c r="BF199" s="136" t="s">
        <v>557</v>
      </c>
      <c r="BG199" s="137" t="s">
        <v>557</v>
      </c>
      <c r="BH199" s="135">
        <f>BH$3</f>
        <v>46192</v>
      </c>
      <c r="BI199" s="136" t="s">
        <v>557</v>
      </c>
      <c r="BJ199" s="137" t="s">
        <v>557</v>
      </c>
      <c r="BK199" s="135">
        <f>BK$3</f>
        <v>46193</v>
      </c>
      <c r="BL199" s="136" t="s">
        <v>557</v>
      </c>
      <c r="BM199" s="137" t="s">
        <v>557</v>
      </c>
    </row>
    <row r="200" spans="1:65" outlineLevel="1">
      <c r="A200" s="122" t="str">
        <f>$A$198</f>
        <v>Trần Văn Toản</v>
      </c>
      <c r="B200" s="82" t="s">
        <v>751</v>
      </c>
      <c r="C200" s="81" t="str">
        <f>IF($B200="","",INDEX('All Bảng'!C:C,MATCH($B200,'All Bảng'!$A:$A,0)))</f>
        <v>Quản lý BIM</v>
      </c>
      <c r="D200" s="81" t="str">
        <f>IF($B200="","",INDEX('All Bảng'!D:D,MATCH($B200,'All Bảng'!$A:$A,0)))</f>
        <v>B.DSHNQN.STA</v>
      </c>
      <c r="E200" s="81" t="str">
        <f>IF($B200="","",INDEX('All Bảng'!E:E,MATCH($B200,'All Bảng'!$A:$A,0)))</f>
        <v>Nhà ga Hạ Long Xanh</v>
      </c>
      <c r="F200" s="81" t="str">
        <f>IF($B200="","",INDEX('All Bảng'!F:F,MATCH($B200,'All Bảng'!$A:$A,0)))</f>
        <v>KC</v>
      </c>
      <c r="G200" s="81" t="str">
        <f>IF($B200="","",INDEX('All Bảng'!G:G,MATCH($B200,'All Bảng'!$A:$A,0)))</f>
        <v>KSCL mô hình BIM</v>
      </c>
      <c r="H200" s="121"/>
      <c r="I200" s="262"/>
      <c r="J200" s="281">
        <f>J$3</f>
        <v>46174</v>
      </c>
      <c r="K200" s="67" t="s">
        <v>557</v>
      </c>
      <c r="L200" s="303" t="s">
        <v>557</v>
      </c>
      <c r="M200" s="281">
        <f>M$3</f>
        <v>46175</v>
      </c>
      <c r="N200" s="67" t="s">
        <v>557</v>
      </c>
      <c r="O200" s="265" t="s">
        <v>557</v>
      </c>
      <c r="P200" s="281">
        <f>P$3</f>
        <v>46176</v>
      </c>
      <c r="Q200" s="148" t="s">
        <v>557</v>
      </c>
      <c r="R200" s="137" t="s">
        <v>557</v>
      </c>
      <c r="S200" s="135">
        <f>S$3</f>
        <v>46177</v>
      </c>
      <c r="T200" s="136" t="s">
        <v>557</v>
      </c>
      <c r="U200" s="137" t="s">
        <v>557</v>
      </c>
      <c r="V200" s="135">
        <f>V$3</f>
        <v>46178</v>
      </c>
      <c r="W200" s="136" t="s">
        <v>557</v>
      </c>
      <c r="X200" s="137" t="s">
        <v>557</v>
      </c>
      <c r="Y200" s="135">
        <f>Y$3</f>
        <v>46179</v>
      </c>
      <c r="Z200" s="136" t="s">
        <v>557</v>
      </c>
      <c r="AA200" s="137" t="s">
        <v>557</v>
      </c>
      <c r="AB200" s="135"/>
      <c r="AC200" s="135">
        <f>AC$3</f>
        <v>46181</v>
      </c>
      <c r="AD200" s="136" t="s">
        <v>557</v>
      </c>
      <c r="AE200" s="137" t="s">
        <v>557</v>
      </c>
      <c r="AF200" s="135">
        <f>AF$3</f>
        <v>46182</v>
      </c>
      <c r="AG200" s="136" t="s">
        <v>557</v>
      </c>
      <c r="AH200" s="137" t="s">
        <v>557</v>
      </c>
      <c r="AI200" s="135">
        <f>AI$3</f>
        <v>46183</v>
      </c>
      <c r="AJ200" s="136" t="s">
        <v>557</v>
      </c>
      <c r="AK200" s="137" t="s">
        <v>557</v>
      </c>
      <c r="AL200" s="135">
        <f>AL$3</f>
        <v>46184</v>
      </c>
      <c r="AM200" s="136" t="s">
        <v>557</v>
      </c>
      <c r="AN200" s="137" t="s">
        <v>557</v>
      </c>
      <c r="AO200" s="135">
        <f>AO$3</f>
        <v>46185</v>
      </c>
      <c r="AP200" s="136" t="s">
        <v>557</v>
      </c>
      <c r="AQ200" s="137" t="s">
        <v>557</v>
      </c>
      <c r="AR200" s="135">
        <f>AR$3</f>
        <v>46186</v>
      </c>
      <c r="AS200" s="136" t="s">
        <v>557</v>
      </c>
      <c r="AT200" s="137" t="s">
        <v>557</v>
      </c>
      <c r="AU200" s="135"/>
      <c r="AV200" s="135">
        <f>AV$3</f>
        <v>46188</v>
      </c>
      <c r="AW200" s="148" t="s">
        <v>557</v>
      </c>
      <c r="AX200" s="137" t="s">
        <v>557</v>
      </c>
      <c r="AY200" s="135">
        <f>AY$3</f>
        <v>46189</v>
      </c>
      <c r="AZ200" s="136" t="s">
        <v>557</v>
      </c>
      <c r="BA200" s="137" t="s">
        <v>557</v>
      </c>
      <c r="BB200" s="135">
        <f>BB$3</f>
        <v>46190</v>
      </c>
      <c r="BC200" s="136" t="s">
        <v>557</v>
      </c>
      <c r="BD200" s="137" t="s">
        <v>557</v>
      </c>
      <c r="BE200" s="135">
        <f>BE$3</f>
        <v>46191</v>
      </c>
      <c r="BF200" s="136" t="s">
        <v>557</v>
      </c>
      <c r="BG200" s="137" t="s">
        <v>557</v>
      </c>
      <c r="BH200" s="135">
        <f>BH$3</f>
        <v>46192</v>
      </c>
      <c r="BI200" s="136" t="s">
        <v>557</v>
      </c>
      <c r="BJ200" s="137" t="s">
        <v>557</v>
      </c>
      <c r="BK200" s="135">
        <f>BK$3</f>
        <v>46193</v>
      </c>
      <c r="BL200" s="136" t="s">
        <v>557</v>
      </c>
      <c r="BM200" s="137" t="s">
        <v>557</v>
      </c>
    </row>
    <row r="201" spans="1:65" outlineLevel="1">
      <c r="A201" s="122" t="str">
        <f>$A$198</f>
        <v>Trần Văn Toản</v>
      </c>
      <c r="B201" s="82" t="s">
        <v>752</v>
      </c>
      <c r="C201" s="81" t="str">
        <f>IF($B201="","",INDEX('All Bảng'!C:C,MATCH($B201,'All Bảng'!$A:$A,0)))</f>
        <v>Quản lý BIM</v>
      </c>
      <c r="D201" s="81" t="str">
        <f>IF($B201="","",INDEX('All Bảng'!D:D,MATCH($B201,'All Bảng'!$A:$A,0)))</f>
        <v>B.DSHNQN.STA</v>
      </c>
      <c r="E201" s="81" t="str">
        <f>IF($B201="","",INDEX('All Bảng'!E:E,MATCH($B201,'All Bảng'!$A:$A,0)))</f>
        <v>Nhà ga Ninh Xá</v>
      </c>
      <c r="F201" s="81" t="str">
        <f>IF($B201="","",INDEX('All Bảng'!F:F,MATCH($B201,'All Bảng'!$A:$A,0)))</f>
        <v>KT</v>
      </c>
      <c r="G201" s="81" t="str">
        <f>IF($B201="","",INDEX('All Bảng'!G:G,MATCH($B201,'All Bảng'!$A:$A,0)))</f>
        <v>Tạo lập mô hình BIM</v>
      </c>
      <c r="H201" s="121"/>
      <c r="I201" s="262"/>
      <c r="J201" s="281">
        <f>J$3</f>
        <v>46174</v>
      </c>
      <c r="K201" s="67" t="s">
        <v>557</v>
      </c>
      <c r="L201" s="303" t="s">
        <v>557</v>
      </c>
      <c r="M201" s="281">
        <f>M$3</f>
        <v>46175</v>
      </c>
      <c r="N201" s="67" t="s">
        <v>557</v>
      </c>
      <c r="O201" s="265" t="s">
        <v>557</v>
      </c>
      <c r="P201" s="281">
        <f>P$3</f>
        <v>46176</v>
      </c>
      <c r="Q201" s="148" t="s">
        <v>557</v>
      </c>
      <c r="R201" s="137" t="s">
        <v>557</v>
      </c>
      <c r="S201" s="135">
        <f>S$3</f>
        <v>46177</v>
      </c>
      <c r="T201" s="136" t="s">
        <v>557</v>
      </c>
      <c r="U201" s="137" t="s">
        <v>557</v>
      </c>
      <c r="V201" s="135">
        <f>V$3</f>
        <v>46178</v>
      </c>
      <c r="W201" s="136" t="s">
        <v>557</v>
      </c>
      <c r="X201" s="137" t="s">
        <v>557</v>
      </c>
      <c r="Y201" s="135">
        <f>Y$3</f>
        <v>46179</v>
      </c>
      <c r="Z201" s="136" t="s">
        <v>557</v>
      </c>
      <c r="AA201" s="137" t="s">
        <v>557</v>
      </c>
      <c r="AB201" s="135"/>
      <c r="AC201" s="135">
        <f>AC$3</f>
        <v>46181</v>
      </c>
      <c r="AD201" s="136" t="s">
        <v>557</v>
      </c>
      <c r="AE201" s="137" t="s">
        <v>557</v>
      </c>
      <c r="AF201" s="135">
        <f>AF$3</f>
        <v>46182</v>
      </c>
      <c r="AG201" s="136" t="s">
        <v>557</v>
      </c>
      <c r="AH201" s="137" t="s">
        <v>557</v>
      </c>
      <c r="AI201" s="135">
        <f>AI$3</f>
        <v>46183</v>
      </c>
      <c r="AJ201" s="136" t="s">
        <v>557</v>
      </c>
      <c r="AK201" s="137" t="s">
        <v>557</v>
      </c>
      <c r="AL201" s="135">
        <f>AL$3</f>
        <v>46184</v>
      </c>
      <c r="AM201" s="136" t="s">
        <v>557</v>
      </c>
      <c r="AN201" s="137" t="s">
        <v>557</v>
      </c>
      <c r="AO201" s="135">
        <f>AO$3</f>
        <v>46185</v>
      </c>
      <c r="AP201" s="136" t="s">
        <v>557</v>
      </c>
      <c r="AQ201" s="137" t="s">
        <v>557</v>
      </c>
      <c r="AR201" s="135">
        <f>AR$3</f>
        <v>46186</v>
      </c>
      <c r="AS201" s="136" t="s">
        <v>557</v>
      </c>
      <c r="AT201" s="137" t="s">
        <v>557</v>
      </c>
      <c r="AU201" s="135"/>
      <c r="AV201" s="135">
        <f>AV$3</f>
        <v>46188</v>
      </c>
      <c r="AW201" s="148" t="s">
        <v>557</v>
      </c>
      <c r="AX201" s="137" t="s">
        <v>557</v>
      </c>
      <c r="AY201" s="135">
        <f>AY$3</f>
        <v>46189</v>
      </c>
      <c r="AZ201" s="136" t="s">
        <v>557</v>
      </c>
      <c r="BA201" s="137" t="s">
        <v>557</v>
      </c>
      <c r="BB201" s="135">
        <f>BB$3</f>
        <v>46190</v>
      </c>
      <c r="BC201" s="136" t="s">
        <v>557</v>
      </c>
      <c r="BD201" s="137" t="s">
        <v>557</v>
      </c>
      <c r="BE201" s="135">
        <f>BE$3</f>
        <v>46191</v>
      </c>
      <c r="BF201" s="136" t="s">
        <v>557</v>
      </c>
      <c r="BG201" s="137" t="s">
        <v>557</v>
      </c>
      <c r="BH201" s="135">
        <f>BH$3</f>
        <v>46192</v>
      </c>
      <c r="BI201" s="136" t="s">
        <v>557</v>
      </c>
      <c r="BJ201" s="137" t="s">
        <v>557</v>
      </c>
      <c r="BK201" s="135">
        <f>BK$3</f>
        <v>46193</v>
      </c>
      <c r="BL201" s="136" t="s">
        <v>557</v>
      </c>
      <c r="BM201" s="137" t="s">
        <v>557</v>
      </c>
    </row>
    <row r="202" spans="1:65" outlineLevel="1">
      <c r="A202" s="122" t="str">
        <f>$A$198</f>
        <v>Trần Văn Toản</v>
      </c>
      <c r="B202" s="82" t="s">
        <v>753</v>
      </c>
      <c r="C202" s="81" t="str">
        <f>IF($B202="","",INDEX('All Bảng'!C:C,MATCH($B202,'All Bảng'!$A:$A,0)))</f>
        <v>Quản lý BIM</v>
      </c>
      <c r="D202" s="81" t="str">
        <f>IF($B202="","",INDEX('All Bảng'!D:D,MATCH($B202,'All Bảng'!$A:$A,0)))</f>
        <v>B.DSHNQN.STA</v>
      </c>
      <c r="E202" s="81" t="str">
        <f>IF($B202="","",INDEX('All Bảng'!E:E,MATCH($B202,'All Bảng'!$A:$A,0)))</f>
        <v>Nhà ga Ninh Xá</v>
      </c>
      <c r="F202" s="81" t="str">
        <f>IF($B202="","",INDEX('All Bảng'!F:F,MATCH($B202,'All Bảng'!$A:$A,0)))</f>
        <v>KC</v>
      </c>
      <c r="G202" s="81" t="str">
        <f>IF($B202="","",INDEX('All Bảng'!G:G,MATCH($B202,'All Bảng'!$A:$A,0)))</f>
        <v>KSCL mô hình BIM</v>
      </c>
      <c r="H202" s="121"/>
      <c r="I202" s="262"/>
      <c r="J202" s="281">
        <f>J$3</f>
        <v>46174</v>
      </c>
      <c r="K202" s="67" t="s">
        <v>557</v>
      </c>
      <c r="L202" s="303" t="s">
        <v>557</v>
      </c>
      <c r="M202" s="281">
        <f>M$3</f>
        <v>46175</v>
      </c>
      <c r="N202" s="67" t="s">
        <v>557</v>
      </c>
      <c r="O202" s="265" t="s">
        <v>557</v>
      </c>
      <c r="P202" s="281">
        <f>P$3</f>
        <v>46176</v>
      </c>
      <c r="Q202" s="148" t="s">
        <v>557</v>
      </c>
      <c r="R202" s="137" t="s">
        <v>557</v>
      </c>
      <c r="S202" s="135">
        <f>S$3</f>
        <v>46177</v>
      </c>
      <c r="T202" s="136" t="s">
        <v>557</v>
      </c>
      <c r="U202" s="137" t="s">
        <v>557</v>
      </c>
      <c r="V202" s="135">
        <f>V$3</f>
        <v>46178</v>
      </c>
      <c r="W202" s="136" t="s">
        <v>557</v>
      </c>
      <c r="X202" s="137" t="s">
        <v>557</v>
      </c>
      <c r="Y202" s="135">
        <f>Y$3</f>
        <v>46179</v>
      </c>
      <c r="Z202" s="136" t="s">
        <v>557</v>
      </c>
      <c r="AA202" s="137" t="s">
        <v>557</v>
      </c>
      <c r="AB202" s="135"/>
      <c r="AC202" s="135">
        <f>AC$3</f>
        <v>46181</v>
      </c>
      <c r="AD202" s="136" t="s">
        <v>557</v>
      </c>
      <c r="AE202" s="137" t="s">
        <v>557</v>
      </c>
      <c r="AF202" s="135">
        <f>AF$3</f>
        <v>46182</v>
      </c>
      <c r="AG202" s="136" t="s">
        <v>557</v>
      </c>
      <c r="AH202" s="137" t="s">
        <v>557</v>
      </c>
      <c r="AI202" s="135">
        <f>AI$3</f>
        <v>46183</v>
      </c>
      <c r="AJ202" s="136" t="s">
        <v>557</v>
      </c>
      <c r="AK202" s="137" t="s">
        <v>557</v>
      </c>
      <c r="AL202" s="135">
        <f>AL$3</f>
        <v>46184</v>
      </c>
      <c r="AM202" s="136" t="s">
        <v>557</v>
      </c>
      <c r="AN202" s="137" t="s">
        <v>557</v>
      </c>
      <c r="AO202" s="135">
        <f>AO$3</f>
        <v>46185</v>
      </c>
      <c r="AP202" s="136" t="s">
        <v>557</v>
      </c>
      <c r="AQ202" s="137" t="s">
        <v>557</v>
      </c>
      <c r="AR202" s="135">
        <f>AR$3</f>
        <v>46186</v>
      </c>
      <c r="AS202" s="136" t="s">
        <v>557</v>
      </c>
      <c r="AT202" s="137" t="s">
        <v>557</v>
      </c>
      <c r="AU202" s="135"/>
      <c r="AV202" s="135">
        <f>AV$3</f>
        <v>46188</v>
      </c>
      <c r="AW202" s="148" t="s">
        <v>557</v>
      </c>
      <c r="AX202" s="137" t="s">
        <v>557</v>
      </c>
      <c r="AY202" s="135">
        <f>AY$3</f>
        <v>46189</v>
      </c>
      <c r="AZ202" s="136" t="s">
        <v>557</v>
      </c>
      <c r="BA202" s="137" t="s">
        <v>557</v>
      </c>
      <c r="BB202" s="135">
        <f>BB$3</f>
        <v>46190</v>
      </c>
      <c r="BC202" s="136" t="s">
        <v>557</v>
      </c>
      <c r="BD202" s="137" t="s">
        <v>557</v>
      </c>
      <c r="BE202" s="135">
        <f>BE$3</f>
        <v>46191</v>
      </c>
      <c r="BF202" s="136" t="s">
        <v>557</v>
      </c>
      <c r="BG202" s="137" t="s">
        <v>557</v>
      </c>
      <c r="BH202" s="135">
        <f>BH$3</f>
        <v>46192</v>
      </c>
      <c r="BI202" s="136" t="s">
        <v>557</v>
      </c>
      <c r="BJ202" s="137" t="s">
        <v>557</v>
      </c>
      <c r="BK202" s="135">
        <f>BK$3</f>
        <v>46193</v>
      </c>
      <c r="BL202" s="136" t="s">
        <v>557</v>
      </c>
      <c r="BM202" s="137" t="s">
        <v>557</v>
      </c>
    </row>
    <row r="203" spans="1:65" outlineLevel="1">
      <c r="A203" s="122" t="str">
        <f>$A$198</f>
        <v>Trần Văn Toản</v>
      </c>
      <c r="B203" s="82" t="s">
        <v>754</v>
      </c>
      <c r="C203" s="81" t="str">
        <f>IF($B203="","",INDEX('All Bảng'!C:C,MATCH($B203,'All Bảng'!$A:$A,0)))</f>
        <v>Quản lý BIM</v>
      </c>
      <c r="D203" s="81" t="str">
        <f>IF($B203="","",INDEX('All Bảng'!D:D,MATCH($B203,'All Bảng'!$A:$A,0)))</f>
        <v>B.DSHNQN.SUP</v>
      </c>
      <c r="E203" s="81" t="str">
        <f>IF($B203="","",INDEX('All Bảng'!E:E,MATCH($B203,'All Bảng'!$A:$A,0)))</f>
        <v>Bãi đúc dầm 01</v>
      </c>
      <c r="F203" s="81" t="str">
        <f>IF($B203="","",INDEX('All Bảng'!F:F,MATCH($B203,'All Bảng'!$A:$A,0)))</f>
        <v>KT</v>
      </c>
      <c r="G203" s="81" t="str">
        <f>IF($B203="","",INDEX('All Bảng'!G:G,MATCH($B203,'All Bảng'!$A:$A,0)))</f>
        <v>Tạo lập mô hình BIM</v>
      </c>
      <c r="H203" s="121"/>
      <c r="I203" s="262"/>
      <c r="J203" s="281">
        <f>J$3</f>
        <v>46174</v>
      </c>
      <c r="K203" s="67" t="s">
        <v>557</v>
      </c>
      <c r="L203" s="303" t="s">
        <v>557</v>
      </c>
      <c r="M203" s="281">
        <f>M$3</f>
        <v>46175</v>
      </c>
      <c r="N203" s="67" t="s">
        <v>557</v>
      </c>
      <c r="O203" s="265" t="s">
        <v>557</v>
      </c>
      <c r="P203" s="281">
        <f>P$3</f>
        <v>46176</v>
      </c>
      <c r="Q203" s="148" t="s">
        <v>755</v>
      </c>
      <c r="R203" s="137">
        <v>8</v>
      </c>
      <c r="S203" s="135">
        <f>S$3</f>
        <v>46177</v>
      </c>
      <c r="T203" s="136" t="s">
        <v>756</v>
      </c>
      <c r="U203" s="137">
        <v>8.5</v>
      </c>
      <c r="V203" s="135">
        <f>V$3</f>
        <v>46178</v>
      </c>
      <c r="W203" s="136" t="s">
        <v>557</v>
      </c>
      <c r="X203" s="137" t="s">
        <v>557</v>
      </c>
      <c r="Y203" s="135">
        <f>Y$3</f>
        <v>46179</v>
      </c>
      <c r="Z203" s="136" t="s">
        <v>557</v>
      </c>
      <c r="AA203" s="137" t="s">
        <v>557</v>
      </c>
      <c r="AB203" s="135"/>
      <c r="AC203" s="135">
        <f>AC$3</f>
        <v>46181</v>
      </c>
      <c r="AD203" s="136" t="s">
        <v>557</v>
      </c>
      <c r="AE203" s="137" t="s">
        <v>557</v>
      </c>
      <c r="AF203" s="135">
        <f>AF$3</f>
        <v>46182</v>
      </c>
      <c r="AG203" s="136" t="s">
        <v>557</v>
      </c>
      <c r="AH203" s="137" t="s">
        <v>557</v>
      </c>
      <c r="AI203" s="135">
        <f>AI$3</f>
        <v>46183</v>
      </c>
      <c r="AJ203" s="136" t="s">
        <v>557</v>
      </c>
      <c r="AK203" s="137" t="s">
        <v>557</v>
      </c>
      <c r="AL203" s="135">
        <f>AL$3</f>
        <v>46184</v>
      </c>
      <c r="AM203" s="136" t="s">
        <v>557</v>
      </c>
      <c r="AN203" s="137" t="s">
        <v>557</v>
      </c>
      <c r="AO203" s="135">
        <f>AO$3</f>
        <v>46185</v>
      </c>
      <c r="AP203" s="136" t="s">
        <v>557</v>
      </c>
      <c r="AQ203" s="137" t="s">
        <v>557</v>
      </c>
      <c r="AR203" s="135">
        <f>AR$3</f>
        <v>46186</v>
      </c>
      <c r="AS203" s="136" t="s">
        <v>557</v>
      </c>
      <c r="AT203" s="137" t="s">
        <v>557</v>
      </c>
      <c r="AU203" s="135"/>
      <c r="AV203" s="135">
        <f>AV$3</f>
        <v>46188</v>
      </c>
      <c r="AW203" s="148" t="s">
        <v>557</v>
      </c>
      <c r="AX203" s="137" t="s">
        <v>557</v>
      </c>
      <c r="AY203" s="135">
        <f>AY$3</f>
        <v>46189</v>
      </c>
      <c r="AZ203" s="136" t="s">
        <v>557</v>
      </c>
      <c r="BA203" s="137" t="s">
        <v>557</v>
      </c>
      <c r="BB203" s="135">
        <f>BB$3</f>
        <v>46190</v>
      </c>
      <c r="BC203" s="136" t="s">
        <v>557</v>
      </c>
      <c r="BD203" s="137" t="s">
        <v>557</v>
      </c>
      <c r="BE203" s="135">
        <f>BE$3</f>
        <v>46191</v>
      </c>
      <c r="BF203" s="136" t="s">
        <v>557</v>
      </c>
      <c r="BG203" s="137" t="s">
        <v>557</v>
      </c>
      <c r="BH203" s="135">
        <f>BH$3</f>
        <v>46192</v>
      </c>
      <c r="BI203" s="136" t="s">
        <v>557</v>
      </c>
      <c r="BJ203" s="137" t="s">
        <v>557</v>
      </c>
      <c r="BK203" s="135">
        <f>BK$3</f>
        <v>46193</v>
      </c>
      <c r="BL203" s="136" t="s">
        <v>557</v>
      </c>
      <c r="BM203" s="137" t="s">
        <v>557</v>
      </c>
    </row>
    <row r="204" spans="1:65" outlineLevel="1">
      <c r="A204" s="122" t="str">
        <f>$A$198</f>
        <v>Trần Văn Toản</v>
      </c>
      <c r="B204" s="28" t="s">
        <v>757</v>
      </c>
      <c r="C204" s="81" t="str">
        <f>IF($B204="","",INDEX('All Bảng'!C:C,MATCH($B204,'All Bảng'!$A:$A,0)))</f>
        <v>Quản lý BIM</v>
      </c>
      <c r="D204" s="81" t="str">
        <f>IF($B204="","",INDEX('All Bảng'!D:D,MATCH($B204,'All Bảng'!$A:$A,0)))</f>
        <v>B.DSHNQN.SUP</v>
      </c>
      <c r="E204" s="81" t="str">
        <f>IF($B204="","",INDEX('All Bảng'!E:E,MATCH($B204,'All Bảng'!$A:$A,0)))</f>
        <v>Bãi đúc dầm 01</v>
      </c>
      <c r="F204" s="81" t="str">
        <f>IF($B204="","",INDEX('All Bảng'!F:F,MATCH($B204,'All Bảng'!$A:$A,0)))</f>
        <v>KC</v>
      </c>
      <c r="G204" s="81" t="str">
        <f>IF($B204="","",INDEX('All Bảng'!G:G,MATCH($B204,'All Bảng'!$A:$A,0)))</f>
        <v>Tạo lập mô hình BIM</v>
      </c>
      <c r="H204" s="121"/>
      <c r="I204" s="262"/>
      <c r="J204" s="281">
        <f>J$3</f>
        <v>46174</v>
      </c>
      <c r="K204" s="67" t="s">
        <v>557</v>
      </c>
      <c r="L204" s="303" t="s">
        <v>557</v>
      </c>
      <c r="M204" s="281">
        <f>M$3</f>
        <v>46175</v>
      </c>
      <c r="N204" s="67" t="s">
        <v>557</v>
      </c>
      <c r="O204" s="265" t="s">
        <v>557</v>
      </c>
      <c r="P204" s="281">
        <f>P$3</f>
        <v>46176</v>
      </c>
      <c r="Q204" s="148" t="s">
        <v>557</v>
      </c>
      <c r="R204" s="137" t="s">
        <v>557</v>
      </c>
      <c r="S204" s="135">
        <f>S$3</f>
        <v>46177</v>
      </c>
      <c r="T204" s="136" t="s">
        <v>557</v>
      </c>
      <c r="U204" s="137" t="s">
        <v>557</v>
      </c>
      <c r="V204" s="135">
        <f>V$3</f>
        <v>46178</v>
      </c>
      <c r="W204" s="136" t="s">
        <v>557</v>
      </c>
      <c r="X204" s="137" t="s">
        <v>557</v>
      </c>
      <c r="Y204" s="135">
        <f>Y$3</f>
        <v>46179</v>
      </c>
      <c r="Z204" s="136" t="s">
        <v>557</v>
      </c>
      <c r="AA204" s="137" t="s">
        <v>557</v>
      </c>
      <c r="AB204" s="135"/>
      <c r="AC204" s="135">
        <f>AC$3</f>
        <v>46181</v>
      </c>
      <c r="AD204" s="136" t="s">
        <v>557</v>
      </c>
      <c r="AE204" s="137" t="s">
        <v>557</v>
      </c>
      <c r="AF204" s="135">
        <f>AF$3</f>
        <v>46182</v>
      </c>
      <c r="AG204" s="136" t="s">
        <v>557</v>
      </c>
      <c r="AH204" s="137" t="s">
        <v>557</v>
      </c>
      <c r="AI204" s="135">
        <f>AI$3</f>
        <v>46183</v>
      </c>
      <c r="AJ204" s="136" t="s">
        <v>557</v>
      </c>
      <c r="AK204" s="137" t="s">
        <v>557</v>
      </c>
      <c r="AL204" s="135">
        <f>AL$3</f>
        <v>46184</v>
      </c>
      <c r="AM204" s="136" t="s">
        <v>557</v>
      </c>
      <c r="AN204" s="137" t="s">
        <v>557</v>
      </c>
      <c r="AO204" s="135">
        <f>AO$3</f>
        <v>46185</v>
      </c>
      <c r="AP204" s="136" t="s">
        <v>557</v>
      </c>
      <c r="AQ204" s="137" t="s">
        <v>557</v>
      </c>
      <c r="AR204" s="135">
        <f>AR$3</f>
        <v>46186</v>
      </c>
      <c r="AS204" s="136" t="s">
        <v>557</v>
      </c>
      <c r="AT204" s="137" t="s">
        <v>557</v>
      </c>
      <c r="AU204" s="135"/>
      <c r="AV204" s="135">
        <f>AV$3</f>
        <v>46188</v>
      </c>
      <c r="AW204" s="148" t="s">
        <v>557</v>
      </c>
      <c r="AX204" s="137" t="s">
        <v>557</v>
      </c>
      <c r="AY204" s="135">
        <f>AY$3</f>
        <v>46189</v>
      </c>
      <c r="AZ204" s="136" t="s">
        <v>557</v>
      </c>
      <c r="BA204" s="137" t="s">
        <v>557</v>
      </c>
      <c r="BB204" s="135">
        <f>BB$3</f>
        <v>46190</v>
      </c>
      <c r="BC204" s="136" t="s">
        <v>557</v>
      </c>
      <c r="BD204" s="137" t="s">
        <v>557</v>
      </c>
      <c r="BE204" s="135">
        <f>BE$3</f>
        <v>46191</v>
      </c>
      <c r="BF204" s="136" t="s">
        <v>557</v>
      </c>
      <c r="BG204" s="137" t="s">
        <v>557</v>
      </c>
      <c r="BH204" s="135">
        <f>BH$3</f>
        <v>46192</v>
      </c>
      <c r="BI204" s="136" t="s">
        <v>557</v>
      </c>
      <c r="BJ204" s="137" t="s">
        <v>557</v>
      </c>
      <c r="BK204" s="135">
        <f>BK$3</f>
        <v>46193</v>
      </c>
      <c r="BL204" s="136" t="s">
        <v>557</v>
      </c>
      <c r="BM204" s="137" t="s">
        <v>557</v>
      </c>
    </row>
    <row r="205" spans="1:65" outlineLevel="1">
      <c r="A205" s="122" t="str">
        <f>$A$198</f>
        <v>Trần Văn Toản</v>
      </c>
      <c r="B205" s="82" t="s">
        <v>758</v>
      </c>
      <c r="C205" s="81" t="str">
        <f>IF($B205="","",INDEX('All Bảng'!C:C,MATCH($B205,'All Bảng'!$A:$A,0)))</f>
        <v>Quản lý BIM</v>
      </c>
      <c r="D205" s="81" t="str">
        <f>IF($B205="","",INDEX('All Bảng'!D:D,MATCH($B205,'All Bảng'!$A:$A,0)))</f>
        <v>B.DSHNQN.SUP</v>
      </c>
      <c r="E205" s="81" t="str">
        <f>IF($B205="","",INDEX('All Bảng'!E:E,MATCH($B205,'All Bảng'!$A:$A,0)))</f>
        <v>Bãi đúc dầm 02A</v>
      </c>
      <c r="F205" s="81" t="str">
        <f>IF($B205="","",INDEX('All Bảng'!F:F,MATCH($B205,'All Bảng'!$A:$A,0)))</f>
        <v>KT</v>
      </c>
      <c r="G205" s="81" t="str">
        <f>IF($B205="","",INDEX('All Bảng'!G:G,MATCH($B205,'All Bảng'!$A:$A,0)))</f>
        <v>Tạo lập mô hình BIM</v>
      </c>
      <c r="H205" s="121"/>
      <c r="I205" s="262"/>
      <c r="J205" s="281">
        <f>J$3</f>
        <v>46174</v>
      </c>
      <c r="K205" s="67" t="s">
        <v>557</v>
      </c>
      <c r="L205" s="303" t="s">
        <v>557</v>
      </c>
      <c r="M205" s="281">
        <f>M$3</f>
        <v>46175</v>
      </c>
      <c r="N205" s="67" t="s">
        <v>557</v>
      </c>
      <c r="O205" s="265" t="s">
        <v>557</v>
      </c>
      <c r="P205" s="281">
        <f>P$3</f>
        <v>46176</v>
      </c>
      <c r="Q205" s="148" t="s">
        <v>557</v>
      </c>
      <c r="R205" s="137" t="s">
        <v>557</v>
      </c>
      <c r="S205" s="135">
        <f>S$3</f>
        <v>46177</v>
      </c>
      <c r="T205" s="136" t="s">
        <v>557</v>
      </c>
      <c r="U205" s="137" t="s">
        <v>557</v>
      </c>
      <c r="V205" s="135">
        <f>V$3</f>
        <v>46178</v>
      </c>
      <c r="W205" s="136" t="s">
        <v>557</v>
      </c>
      <c r="X205" s="137" t="s">
        <v>557</v>
      </c>
      <c r="Y205" s="135">
        <f>Y$3</f>
        <v>46179</v>
      </c>
      <c r="Z205" s="136" t="s">
        <v>557</v>
      </c>
      <c r="AA205" s="137" t="s">
        <v>557</v>
      </c>
      <c r="AB205" s="135"/>
      <c r="AC205" s="135">
        <f>AC$3</f>
        <v>46181</v>
      </c>
      <c r="AD205" s="136" t="s">
        <v>557</v>
      </c>
      <c r="AE205" s="137" t="s">
        <v>557</v>
      </c>
      <c r="AF205" s="135">
        <f>AF$3</f>
        <v>46182</v>
      </c>
      <c r="AG205" s="136" t="s">
        <v>557</v>
      </c>
      <c r="AH205" s="137" t="s">
        <v>557</v>
      </c>
      <c r="AI205" s="135">
        <f>AI$3</f>
        <v>46183</v>
      </c>
      <c r="AJ205" s="136" t="s">
        <v>557</v>
      </c>
      <c r="AK205" s="137" t="s">
        <v>557</v>
      </c>
      <c r="AL205" s="135">
        <f>AL$3</f>
        <v>46184</v>
      </c>
      <c r="AM205" s="136" t="s">
        <v>557</v>
      </c>
      <c r="AN205" s="137" t="s">
        <v>557</v>
      </c>
      <c r="AO205" s="135">
        <f>AO$3</f>
        <v>46185</v>
      </c>
      <c r="AP205" s="136" t="s">
        <v>557</v>
      </c>
      <c r="AQ205" s="137" t="s">
        <v>557</v>
      </c>
      <c r="AR205" s="135">
        <f>AR$3</f>
        <v>46186</v>
      </c>
      <c r="AS205" s="136" t="s">
        <v>557</v>
      </c>
      <c r="AT205" s="137" t="s">
        <v>557</v>
      </c>
      <c r="AU205" s="135"/>
      <c r="AV205" s="135">
        <f>AV$3</f>
        <v>46188</v>
      </c>
      <c r="AW205" s="148" t="s">
        <v>557</v>
      </c>
      <c r="AX205" s="137" t="s">
        <v>557</v>
      </c>
      <c r="AY205" s="135">
        <f>AY$3</f>
        <v>46189</v>
      </c>
      <c r="AZ205" s="136" t="s">
        <v>557</v>
      </c>
      <c r="BA205" s="137" t="s">
        <v>557</v>
      </c>
      <c r="BB205" s="135">
        <f>BB$3</f>
        <v>46190</v>
      </c>
      <c r="BC205" s="136" t="s">
        <v>557</v>
      </c>
      <c r="BD205" s="137" t="s">
        <v>557</v>
      </c>
      <c r="BE205" s="135">
        <f>BE$3</f>
        <v>46191</v>
      </c>
      <c r="BF205" s="136" t="s">
        <v>557</v>
      </c>
      <c r="BG205" s="137" t="s">
        <v>557</v>
      </c>
      <c r="BH205" s="135">
        <f>BH$3</f>
        <v>46192</v>
      </c>
      <c r="BI205" s="136" t="s">
        <v>557</v>
      </c>
      <c r="BJ205" s="137" t="s">
        <v>557</v>
      </c>
      <c r="BK205" s="135">
        <f>BK$3</f>
        <v>46193</v>
      </c>
      <c r="BL205" s="136" t="s">
        <v>557</v>
      </c>
      <c r="BM205" s="137" t="s">
        <v>557</v>
      </c>
    </row>
    <row r="206" spans="1:65" outlineLevel="1">
      <c r="A206" s="122" t="str">
        <f>$A$198</f>
        <v>Trần Văn Toản</v>
      </c>
      <c r="B206" s="28" t="s">
        <v>759</v>
      </c>
      <c r="C206" s="81" t="str">
        <f>IF($B206="","",INDEX('All Bảng'!C:C,MATCH($B206,'All Bảng'!$A:$A,0)))</f>
        <v>Quản lý BIM</v>
      </c>
      <c r="D206" s="81" t="str">
        <f>IF($B206="","",INDEX('All Bảng'!D:D,MATCH($B206,'All Bảng'!$A:$A,0)))</f>
        <v>B.DSHNQN.SUP</v>
      </c>
      <c r="E206" s="81" t="str">
        <f>IF($B206="","",INDEX('All Bảng'!E:E,MATCH($B206,'All Bảng'!$A:$A,0)))</f>
        <v>Bãi đúc dầm 02A</v>
      </c>
      <c r="F206" s="81" t="str">
        <f>IF($B206="","",INDEX('All Bảng'!F:F,MATCH($B206,'All Bảng'!$A:$A,0)))</f>
        <v>KC</v>
      </c>
      <c r="G206" s="81" t="str">
        <f>IF($B206="","",INDEX('All Bảng'!G:G,MATCH($B206,'All Bảng'!$A:$A,0)))</f>
        <v>Tạo lập mô hình BIM</v>
      </c>
      <c r="H206" s="121"/>
      <c r="I206" s="262"/>
      <c r="J206" s="281">
        <f>J$3</f>
        <v>46174</v>
      </c>
      <c r="K206" s="67" t="s">
        <v>557</v>
      </c>
      <c r="L206" s="303" t="s">
        <v>557</v>
      </c>
      <c r="M206" s="281">
        <f>M$3</f>
        <v>46175</v>
      </c>
      <c r="N206" s="67" t="s">
        <v>557</v>
      </c>
      <c r="O206" s="265" t="s">
        <v>557</v>
      </c>
      <c r="P206" s="281">
        <f>P$3</f>
        <v>46176</v>
      </c>
      <c r="Q206" s="148" t="s">
        <v>557</v>
      </c>
      <c r="R206" s="137" t="s">
        <v>557</v>
      </c>
      <c r="S206" s="135">
        <f>S$3</f>
        <v>46177</v>
      </c>
      <c r="T206" s="136" t="s">
        <v>557</v>
      </c>
      <c r="U206" s="137" t="s">
        <v>557</v>
      </c>
      <c r="V206" s="135">
        <f>V$3</f>
        <v>46178</v>
      </c>
      <c r="W206" s="136" t="s">
        <v>557</v>
      </c>
      <c r="X206" s="137" t="s">
        <v>557</v>
      </c>
      <c r="Y206" s="135">
        <f>Y$3</f>
        <v>46179</v>
      </c>
      <c r="Z206" s="136" t="s">
        <v>557</v>
      </c>
      <c r="AA206" s="137" t="s">
        <v>557</v>
      </c>
      <c r="AB206" s="135"/>
      <c r="AC206" s="135">
        <f>AC$3</f>
        <v>46181</v>
      </c>
      <c r="AD206" s="136" t="s">
        <v>557</v>
      </c>
      <c r="AE206" s="137" t="s">
        <v>557</v>
      </c>
      <c r="AF206" s="135">
        <f>AF$3</f>
        <v>46182</v>
      </c>
      <c r="AG206" s="136" t="s">
        <v>557</v>
      </c>
      <c r="AH206" s="137" t="s">
        <v>557</v>
      </c>
      <c r="AI206" s="135">
        <f>AI$3</f>
        <v>46183</v>
      </c>
      <c r="AJ206" s="136" t="s">
        <v>557</v>
      </c>
      <c r="AK206" s="137" t="s">
        <v>557</v>
      </c>
      <c r="AL206" s="135">
        <f>AL$3</f>
        <v>46184</v>
      </c>
      <c r="AM206" s="136" t="s">
        <v>557</v>
      </c>
      <c r="AN206" s="137" t="s">
        <v>557</v>
      </c>
      <c r="AO206" s="135">
        <f>AO$3</f>
        <v>46185</v>
      </c>
      <c r="AP206" s="136" t="s">
        <v>557</v>
      </c>
      <c r="AQ206" s="137" t="s">
        <v>557</v>
      </c>
      <c r="AR206" s="135">
        <f>AR$3</f>
        <v>46186</v>
      </c>
      <c r="AS206" s="136" t="s">
        <v>557</v>
      </c>
      <c r="AT206" s="137" t="s">
        <v>557</v>
      </c>
      <c r="AU206" s="135"/>
      <c r="AV206" s="135">
        <f>AV$3</f>
        <v>46188</v>
      </c>
      <c r="AW206" s="148" t="s">
        <v>557</v>
      </c>
      <c r="AX206" s="137" t="s">
        <v>557</v>
      </c>
      <c r="AY206" s="135">
        <f>AY$3</f>
        <v>46189</v>
      </c>
      <c r="AZ206" s="136" t="s">
        <v>557</v>
      </c>
      <c r="BA206" s="137" t="s">
        <v>557</v>
      </c>
      <c r="BB206" s="135">
        <f>BB$3</f>
        <v>46190</v>
      </c>
      <c r="BC206" s="136" t="s">
        <v>557</v>
      </c>
      <c r="BD206" s="137" t="s">
        <v>557</v>
      </c>
      <c r="BE206" s="135">
        <f>BE$3</f>
        <v>46191</v>
      </c>
      <c r="BF206" s="136" t="s">
        <v>557</v>
      </c>
      <c r="BG206" s="137" t="s">
        <v>557</v>
      </c>
      <c r="BH206" s="135">
        <f>BH$3</f>
        <v>46192</v>
      </c>
      <c r="BI206" s="136" t="s">
        <v>557</v>
      </c>
      <c r="BJ206" s="137" t="s">
        <v>557</v>
      </c>
      <c r="BK206" s="135">
        <f>BK$3</f>
        <v>46193</v>
      </c>
      <c r="BL206" s="136" t="s">
        <v>557</v>
      </c>
      <c r="BM206" s="137" t="s">
        <v>557</v>
      </c>
    </row>
    <row r="207" spans="1:65" outlineLevel="1">
      <c r="A207" s="122" t="str">
        <f>$A$198</f>
        <v>Trần Văn Toản</v>
      </c>
      <c r="B207" s="82" t="s">
        <v>760</v>
      </c>
      <c r="C207" s="81" t="str">
        <f>IF($B207="","",INDEX('All Bảng'!C:C,MATCH($B207,'All Bảng'!$A:$A,0)))</f>
        <v>Quản lý BIM</v>
      </c>
      <c r="D207" s="81" t="str">
        <f>IF($B207="","",INDEX('All Bảng'!D:D,MATCH($B207,'All Bảng'!$A:$A,0)))</f>
        <v>B.HNO.GL.VSC</v>
      </c>
      <c r="E207" s="81" t="str">
        <f>IF($B207="","",INDEX('All Bảng'!E:E,MATCH($B207,'All Bảng'!$A:$A,0)))</f>
        <v>Trường PTLC hệ Cambride Lô B5-TH01</v>
      </c>
      <c r="F207" s="81" t="str">
        <f>IF($B207="","",INDEX('All Bảng'!F:F,MATCH($B207,'All Bảng'!$A:$A,0)))</f>
        <v>KT</v>
      </c>
      <c r="G207" s="81" t="str">
        <f>IF($B207="","",INDEX('All Bảng'!G:G,MATCH($B207,'All Bảng'!$A:$A,0)))</f>
        <v>KSCL mô hình BIM</v>
      </c>
      <c r="H207" s="121"/>
      <c r="I207" s="262"/>
      <c r="J207" s="281">
        <f>J$3</f>
        <v>46174</v>
      </c>
      <c r="K207" s="67" t="s">
        <v>557</v>
      </c>
      <c r="L207" s="303" t="s">
        <v>557</v>
      </c>
      <c r="M207" s="281">
        <f>M$3</f>
        <v>46175</v>
      </c>
      <c r="N207" s="264" t="s">
        <v>761</v>
      </c>
      <c r="O207" s="265">
        <v>0.5</v>
      </c>
      <c r="P207" s="281">
        <f>P$3</f>
        <v>46176</v>
      </c>
      <c r="Q207" s="148" t="s">
        <v>557</v>
      </c>
      <c r="R207" s="137" t="s">
        <v>557</v>
      </c>
      <c r="S207" s="135">
        <f>S$3</f>
        <v>46177</v>
      </c>
      <c r="T207" s="136" t="s">
        <v>557</v>
      </c>
      <c r="U207" s="137" t="s">
        <v>557</v>
      </c>
      <c r="V207" s="135">
        <f>V$3</f>
        <v>46178</v>
      </c>
      <c r="W207" s="136" t="s">
        <v>557</v>
      </c>
      <c r="X207" s="137" t="s">
        <v>557</v>
      </c>
      <c r="Y207" s="135">
        <f>Y$3</f>
        <v>46179</v>
      </c>
      <c r="Z207" s="136" t="s">
        <v>557</v>
      </c>
      <c r="AA207" s="137" t="s">
        <v>557</v>
      </c>
      <c r="AB207" s="135"/>
      <c r="AC207" s="135">
        <f>AC$3</f>
        <v>46181</v>
      </c>
      <c r="AD207" s="136" t="s">
        <v>557</v>
      </c>
      <c r="AE207" s="137" t="s">
        <v>557</v>
      </c>
      <c r="AF207" s="135">
        <f>AF$3</f>
        <v>46182</v>
      </c>
      <c r="AG207" s="136" t="s">
        <v>557</v>
      </c>
      <c r="AH207" s="137" t="s">
        <v>557</v>
      </c>
      <c r="AI207" s="135">
        <f>AI$3</f>
        <v>46183</v>
      </c>
      <c r="AJ207" s="136" t="s">
        <v>557</v>
      </c>
      <c r="AK207" s="137" t="s">
        <v>557</v>
      </c>
      <c r="AL207" s="135">
        <f>AL$3</f>
        <v>46184</v>
      </c>
      <c r="AM207" s="136" t="s">
        <v>557</v>
      </c>
      <c r="AN207" s="137" t="s">
        <v>557</v>
      </c>
      <c r="AO207" s="135">
        <f>AO$3</f>
        <v>46185</v>
      </c>
      <c r="AP207" s="136" t="s">
        <v>557</v>
      </c>
      <c r="AQ207" s="137" t="s">
        <v>557</v>
      </c>
      <c r="AR207" s="135">
        <f>AR$3</f>
        <v>46186</v>
      </c>
      <c r="AS207" s="136" t="s">
        <v>557</v>
      </c>
      <c r="AT207" s="137" t="s">
        <v>557</v>
      </c>
      <c r="AU207" s="135"/>
      <c r="AV207" s="135">
        <f>AV$3</f>
        <v>46188</v>
      </c>
      <c r="AW207" s="148" t="s">
        <v>557</v>
      </c>
      <c r="AX207" s="137" t="s">
        <v>557</v>
      </c>
      <c r="AY207" s="135">
        <f>AY$3</f>
        <v>46189</v>
      </c>
      <c r="AZ207" s="136" t="s">
        <v>557</v>
      </c>
      <c r="BA207" s="137" t="s">
        <v>557</v>
      </c>
      <c r="BB207" s="135">
        <f>BB$3</f>
        <v>46190</v>
      </c>
      <c r="BC207" s="136" t="s">
        <v>557</v>
      </c>
      <c r="BD207" s="137" t="s">
        <v>557</v>
      </c>
      <c r="BE207" s="135">
        <f>BE$3</f>
        <v>46191</v>
      </c>
      <c r="BF207" s="136" t="s">
        <v>557</v>
      </c>
      <c r="BG207" s="137" t="s">
        <v>557</v>
      </c>
      <c r="BH207" s="135">
        <f>BH$3</f>
        <v>46192</v>
      </c>
      <c r="BI207" s="136" t="s">
        <v>557</v>
      </c>
      <c r="BJ207" s="137" t="s">
        <v>557</v>
      </c>
      <c r="BK207" s="135">
        <f>BK$3</f>
        <v>46193</v>
      </c>
      <c r="BL207" s="136" t="s">
        <v>557</v>
      </c>
      <c r="BM207" s="137" t="s">
        <v>557</v>
      </c>
    </row>
    <row r="208" spans="1:65" outlineLevel="1">
      <c r="A208" s="122" t="str">
        <f>$A$198</f>
        <v>Trần Văn Toản</v>
      </c>
      <c r="B208" s="82" t="s">
        <v>762</v>
      </c>
      <c r="C208" s="81" t="str">
        <f>IF($B208="","",INDEX('All Bảng'!C:C,MATCH($B208,'All Bảng'!$A:$A,0)))</f>
        <v>Quản lý BIM</v>
      </c>
      <c r="D208" s="81" t="str">
        <f>IF($B208="","",INDEX('All Bảng'!D:D,MATCH($B208,'All Bảng'!$A:$A,0)))</f>
        <v>B.HNO.GL.VSC</v>
      </c>
      <c r="E208" s="81" t="str">
        <f>IF($B208="","",INDEX('All Bảng'!E:E,MATCH($B208,'All Bảng'!$A:$A,0)))</f>
        <v>Trường PTLC hệ Cambride Lô B5-TH01</v>
      </c>
      <c r="F208" s="81" t="str">
        <f>IF($B208="","",INDEX('All Bảng'!F:F,MATCH($B208,'All Bảng'!$A:$A,0)))</f>
        <v>KC</v>
      </c>
      <c r="G208" s="81" t="str">
        <f>IF($B208="","",INDEX('All Bảng'!G:G,MATCH($B208,'All Bảng'!$A:$A,0)))</f>
        <v>KSCL mô hình BIM</v>
      </c>
      <c r="H208" s="121"/>
      <c r="I208" s="262"/>
      <c r="J208" s="281">
        <f>J$3</f>
        <v>46174</v>
      </c>
      <c r="K208" s="67" t="s">
        <v>557</v>
      </c>
      <c r="L208" s="303" t="s">
        <v>557</v>
      </c>
      <c r="M208" s="281">
        <f>M$3</f>
        <v>46175</v>
      </c>
      <c r="N208" s="67" t="s">
        <v>763</v>
      </c>
      <c r="O208" s="265">
        <v>0.5</v>
      </c>
      <c r="P208" s="281">
        <f>P$3</f>
        <v>46176</v>
      </c>
      <c r="Q208" s="148" t="s">
        <v>557</v>
      </c>
      <c r="R208" s="137" t="s">
        <v>557</v>
      </c>
      <c r="S208" s="135">
        <f>S$3</f>
        <v>46177</v>
      </c>
      <c r="T208" s="136" t="s">
        <v>557</v>
      </c>
      <c r="U208" s="137" t="s">
        <v>557</v>
      </c>
      <c r="V208" s="135">
        <f>V$3</f>
        <v>46178</v>
      </c>
      <c r="W208" s="136" t="s">
        <v>557</v>
      </c>
      <c r="X208" s="137" t="s">
        <v>557</v>
      </c>
      <c r="Y208" s="135">
        <f>Y$3</f>
        <v>46179</v>
      </c>
      <c r="Z208" s="136" t="s">
        <v>557</v>
      </c>
      <c r="AA208" s="137" t="s">
        <v>557</v>
      </c>
      <c r="AB208" s="135"/>
      <c r="AC208" s="135">
        <f>AC$3</f>
        <v>46181</v>
      </c>
      <c r="AD208" s="136" t="s">
        <v>557</v>
      </c>
      <c r="AE208" s="137" t="s">
        <v>557</v>
      </c>
      <c r="AF208" s="135">
        <f>AF$3</f>
        <v>46182</v>
      </c>
      <c r="AG208" s="136" t="s">
        <v>557</v>
      </c>
      <c r="AH208" s="137" t="s">
        <v>557</v>
      </c>
      <c r="AI208" s="135">
        <f>AI$3</f>
        <v>46183</v>
      </c>
      <c r="AJ208" s="136" t="s">
        <v>557</v>
      </c>
      <c r="AK208" s="137" t="s">
        <v>557</v>
      </c>
      <c r="AL208" s="135">
        <f>AL$3</f>
        <v>46184</v>
      </c>
      <c r="AM208" s="136" t="s">
        <v>557</v>
      </c>
      <c r="AN208" s="137" t="s">
        <v>557</v>
      </c>
      <c r="AO208" s="135">
        <f>AO$3</f>
        <v>46185</v>
      </c>
      <c r="AP208" s="136" t="s">
        <v>557</v>
      </c>
      <c r="AQ208" s="137" t="s">
        <v>557</v>
      </c>
      <c r="AR208" s="135">
        <f>AR$3</f>
        <v>46186</v>
      </c>
      <c r="AS208" s="136" t="s">
        <v>557</v>
      </c>
      <c r="AT208" s="137" t="s">
        <v>557</v>
      </c>
      <c r="AU208" s="135"/>
      <c r="AV208" s="135">
        <f>AV$3</f>
        <v>46188</v>
      </c>
      <c r="AW208" s="148" t="s">
        <v>557</v>
      </c>
      <c r="AX208" s="137" t="s">
        <v>557</v>
      </c>
      <c r="AY208" s="135">
        <f>AY$3</f>
        <v>46189</v>
      </c>
      <c r="AZ208" s="136" t="s">
        <v>557</v>
      </c>
      <c r="BA208" s="137" t="s">
        <v>557</v>
      </c>
      <c r="BB208" s="135">
        <f>BB$3</f>
        <v>46190</v>
      </c>
      <c r="BC208" s="136" t="s">
        <v>557</v>
      </c>
      <c r="BD208" s="137" t="s">
        <v>557</v>
      </c>
      <c r="BE208" s="135">
        <f>BE$3</f>
        <v>46191</v>
      </c>
      <c r="BF208" s="136" t="s">
        <v>557</v>
      </c>
      <c r="BG208" s="137" t="s">
        <v>557</v>
      </c>
      <c r="BH208" s="135">
        <f>BH$3</f>
        <v>46192</v>
      </c>
      <c r="BI208" s="136" t="s">
        <v>557</v>
      </c>
      <c r="BJ208" s="137" t="s">
        <v>557</v>
      </c>
      <c r="BK208" s="135">
        <f>BK$3</f>
        <v>46193</v>
      </c>
      <c r="BL208" s="136" t="s">
        <v>557</v>
      </c>
      <c r="BM208" s="137" t="s">
        <v>557</v>
      </c>
    </row>
    <row r="209" spans="1:65" outlineLevel="1">
      <c r="A209" s="122" t="str">
        <f>$A$198</f>
        <v>Trần Văn Toản</v>
      </c>
      <c r="B209" s="82" t="s">
        <v>764</v>
      </c>
      <c r="C209" s="81" t="str">
        <f>IF($B209="","",INDEX('All Bảng'!C:C,MATCH($B209,'All Bảng'!$A:$A,0)))</f>
        <v>Quản lý BIM</v>
      </c>
      <c r="D209" s="81" t="str">
        <f>IF($B209="","",INDEX('All Bảng'!D:D,MATCH($B209,'All Bảng'!$A:$A,0)))</f>
        <v>B.HPH.VYHP.VSC</v>
      </c>
      <c r="E209" s="81" t="str">
        <f>IF($B209="","",INDEX('All Bảng'!E:E,MATCH($B209,'All Bảng'!$A:$A,0)))</f>
        <v>Trường VSC B2.THPT02</v>
      </c>
      <c r="F209" s="81" t="str">
        <f>IF($B209="","",INDEX('All Bảng'!F:F,MATCH($B209,'All Bảng'!$A:$A,0)))</f>
        <v>KT</v>
      </c>
      <c r="G209" s="81" t="str">
        <f>IF($B209="","",INDEX('All Bảng'!G:G,MATCH($B209,'All Bảng'!$A:$A,0)))</f>
        <v>KSCL mô hình BIM</v>
      </c>
      <c r="H209" s="121"/>
      <c r="I209" s="262"/>
      <c r="J209" s="281">
        <f>J$3</f>
        <v>46174</v>
      </c>
      <c r="K209" s="101"/>
      <c r="L209" s="303" t="s">
        <v>557</v>
      </c>
      <c r="M209" s="281">
        <f>M$3</f>
        <v>46175</v>
      </c>
      <c r="N209" s="264" t="s">
        <v>765</v>
      </c>
      <c r="O209" s="265">
        <v>0.5</v>
      </c>
      <c r="P209" s="281">
        <f>P$3</f>
        <v>46176</v>
      </c>
      <c r="Q209" s="148" t="s">
        <v>557</v>
      </c>
      <c r="R209" s="137" t="s">
        <v>557</v>
      </c>
      <c r="S209" s="135">
        <f>S$3</f>
        <v>46177</v>
      </c>
      <c r="T209" s="136" t="s">
        <v>557</v>
      </c>
      <c r="U209" s="137" t="s">
        <v>557</v>
      </c>
      <c r="V209" s="135">
        <f>V$3</f>
        <v>46178</v>
      </c>
      <c r="W209" s="136" t="s">
        <v>557</v>
      </c>
      <c r="X209" s="137" t="s">
        <v>557</v>
      </c>
      <c r="Y209" s="135">
        <f>Y$3</f>
        <v>46179</v>
      </c>
      <c r="Z209" s="136" t="s">
        <v>557</v>
      </c>
      <c r="AA209" s="137" t="s">
        <v>557</v>
      </c>
      <c r="AB209" s="135"/>
      <c r="AC209" s="135">
        <f>AC$3</f>
        <v>46181</v>
      </c>
      <c r="AD209" s="136" t="s">
        <v>557</v>
      </c>
      <c r="AE209" s="137" t="s">
        <v>557</v>
      </c>
      <c r="AF209" s="135">
        <f>AF$3</f>
        <v>46182</v>
      </c>
      <c r="AG209" s="136" t="s">
        <v>557</v>
      </c>
      <c r="AH209" s="137" t="s">
        <v>557</v>
      </c>
      <c r="AI209" s="135">
        <f>AI$3</f>
        <v>46183</v>
      </c>
      <c r="AJ209" s="136" t="s">
        <v>557</v>
      </c>
      <c r="AK209" s="137" t="s">
        <v>557</v>
      </c>
      <c r="AL209" s="135">
        <f>AL$3</f>
        <v>46184</v>
      </c>
      <c r="AM209" s="136" t="s">
        <v>557</v>
      </c>
      <c r="AN209" s="137" t="s">
        <v>557</v>
      </c>
      <c r="AO209" s="135">
        <f>AO$3</f>
        <v>46185</v>
      </c>
      <c r="AP209" s="136" t="s">
        <v>557</v>
      </c>
      <c r="AQ209" s="137" t="s">
        <v>557</v>
      </c>
      <c r="AR209" s="135">
        <f>AR$3</f>
        <v>46186</v>
      </c>
      <c r="AS209" s="136" t="s">
        <v>557</v>
      </c>
      <c r="AT209" s="137" t="s">
        <v>557</v>
      </c>
      <c r="AU209" s="135"/>
      <c r="AV209" s="135">
        <f>AV$3</f>
        <v>46188</v>
      </c>
      <c r="AW209" s="148" t="s">
        <v>557</v>
      </c>
      <c r="AX209" s="137" t="s">
        <v>557</v>
      </c>
      <c r="AY209" s="135">
        <f>AY$3</f>
        <v>46189</v>
      </c>
      <c r="AZ209" s="136" t="s">
        <v>557</v>
      </c>
      <c r="BA209" s="137" t="s">
        <v>557</v>
      </c>
      <c r="BB209" s="135">
        <f>BB$3</f>
        <v>46190</v>
      </c>
      <c r="BC209" s="136" t="s">
        <v>557</v>
      </c>
      <c r="BD209" s="137" t="s">
        <v>557</v>
      </c>
      <c r="BE209" s="135">
        <f>BE$3</f>
        <v>46191</v>
      </c>
      <c r="BF209" s="136" t="s">
        <v>557</v>
      </c>
      <c r="BG209" s="137" t="s">
        <v>557</v>
      </c>
      <c r="BH209" s="135">
        <f>BH$3</f>
        <v>46192</v>
      </c>
      <c r="BI209" s="136" t="s">
        <v>557</v>
      </c>
      <c r="BJ209" s="137" t="s">
        <v>557</v>
      </c>
      <c r="BK209" s="135">
        <f>BK$3</f>
        <v>46193</v>
      </c>
      <c r="BL209" s="136" t="s">
        <v>557</v>
      </c>
      <c r="BM209" s="137" t="s">
        <v>557</v>
      </c>
    </row>
    <row r="210" spans="1:65" outlineLevel="1">
      <c r="A210" s="122" t="str">
        <f>$A$198</f>
        <v>Trần Văn Toản</v>
      </c>
      <c r="B210" s="82" t="s">
        <v>766</v>
      </c>
      <c r="C210" s="81" t="str">
        <f>IF($B210="","",INDEX('All Bảng'!C:C,MATCH($B210,'All Bảng'!$A:$A,0)))</f>
        <v>Quản lý BIM</v>
      </c>
      <c r="D210" s="81" t="str">
        <f>IF($B210="","",INDEX('All Bảng'!D:D,MATCH($B210,'All Bảng'!$A:$A,0)))</f>
        <v>B.HPH.VYHP.VSC</v>
      </c>
      <c r="E210" s="81" t="str">
        <f>IF($B210="","",INDEX('All Bảng'!E:E,MATCH($B210,'All Bảng'!$A:$A,0)))</f>
        <v>Trường VSC B2.THPT02</v>
      </c>
      <c r="F210" s="81" t="str">
        <f>IF($B210="","",INDEX('All Bảng'!F:F,MATCH($B210,'All Bảng'!$A:$A,0)))</f>
        <v>KC</v>
      </c>
      <c r="G210" s="81" t="str">
        <f>IF($B210="","",INDEX('All Bảng'!G:G,MATCH($B210,'All Bảng'!$A:$A,0)))</f>
        <v>KSCL mô hình BIM</v>
      </c>
      <c r="H210" s="121"/>
      <c r="I210" s="262"/>
      <c r="J210" s="281">
        <f>J$3</f>
        <v>46174</v>
      </c>
      <c r="K210" s="67"/>
      <c r="L210" s="303" t="s">
        <v>557</v>
      </c>
      <c r="M210" s="281">
        <f>M$3</f>
        <v>46175</v>
      </c>
      <c r="N210" s="67" t="s">
        <v>763</v>
      </c>
      <c r="O210" s="265">
        <v>2</v>
      </c>
      <c r="P210" s="281">
        <f>P$3</f>
        <v>46176</v>
      </c>
      <c r="Q210" s="148" t="s">
        <v>557</v>
      </c>
      <c r="R210" s="137" t="s">
        <v>557</v>
      </c>
      <c r="S210" s="135">
        <f>S$3</f>
        <v>46177</v>
      </c>
      <c r="T210" s="136" t="s">
        <v>557</v>
      </c>
      <c r="U210" s="137" t="s">
        <v>557</v>
      </c>
      <c r="V210" s="135">
        <f>V$3</f>
        <v>46178</v>
      </c>
      <c r="W210" s="136" t="s">
        <v>557</v>
      </c>
      <c r="X210" s="137" t="s">
        <v>557</v>
      </c>
      <c r="Y210" s="135">
        <f>Y$3</f>
        <v>46179</v>
      </c>
      <c r="Z210" s="136" t="s">
        <v>557</v>
      </c>
      <c r="AA210" s="137" t="s">
        <v>557</v>
      </c>
      <c r="AB210" s="135"/>
      <c r="AC210" s="135">
        <f>AC$3</f>
        <v>46181</v>
      </c>
      <c r="AD210" s="136" t="s">
        <v>557</v>
      </c>
      <c r="AE210" s="137" t="s">
        <v>557</v>
      </c>
      <c r="AF210" s="135">
        <f>AF$3</f>
        <v>46182</v>
      </c>
      <c r="AG210" s="136" t="s">
        <v>557</v>
      </c>
      <c r="AH210" s="137" t="s">
        <v>557</v>
      </c>
      <c r="AI210" s="135">
        <f>AI$3</f>
        <v>46183</v>
      </c>
      <c r="AJ210" s="136" t="s">
        <v>557</v>
      </c>
      <c r="AK210" s="137" t="s">
        <v>557</v>
      </c>
      <c r="AL210" s="135">
        <f>AL$3</f>
        <v>46184</v>
      </c>
      <c r="AM210" s="136" t="s">
        <v>557</v>
      </c>
      <c r="AN210" s="137" t="s">
        <v>557</v>
      </c>
      <c r="AO210" s="135">
        <f>AO$3</f>
        <v>46185</v>
      </c>
      <c r="AP210" s="136" t="s">
        <v>557</v>
      </c>
      <c r="AQ210" s="137" t="s">
        <v>557</v>
      </c>
      <c r="AR210" s="135">
        <f>AR$3</f>
        <v>46186</v>
      </c>
      <c r="AS210" s="136" t="s">
        <v>557</v>
      </c>
      <c r="AT210" s="137" t="s">
        <v>557</v>
      </c>
      <c r="AU210" s="135"/>
      <c r="AV210" s="135">
        <f>AV$3</f>
        <v>46188</v>
      </c>
      <c r="AW210" s="148" t="s">
        <v>557</v>
      </c>
      <c r="AX210" s="137" t="s">
        <v>557</v>
      </c>
      <c r="AY210" s="135">
        <f>AY$3</f>
        <v>46189</v>
      </c>
      <c r="AZ210" s="136" t="s">
        <v>557</v>
      </c>
      <c r="BA210" s="137" t="s">
        <v>557</v>
      </c>
      <c r="BB210" s="135">
        <f>BB$3</f>
        <v>46190</v>
      </c>
      <c r="BC210" s="136" t="s">
        <v>557</v>
      </c>
      <c r="BD210" s="137" t="s">
        <v>557</v>
      </c>
      <c r="BE210" s="135">
        <f>BE$3</f>
        <v>46191</v>
      </c>
      <c r="BF210" s="136" t="s">
        <v>557</v>
      </c>
      <c r="BG210" s="137" t="s">
        <v>557</v>
      </c>
      <c r="BH210" s="135">
        <f>BH$3</f>
        <v>46192</v>
      </c>
      <c r="BI210" s="136" t="s">
        <v>557</v>
      </c>
      <c r="BJ210" s="137" t="s">
        <v>557</v>
      </c>
      <c r="BK210" s="135">
        <f>BK$3</f>
        <v>46193</v>
      </c>
      <c r="BL210" s="136" t="s">
        <v>557</v>
      </c>
      <c r="BM210" s="137" t="s">
        <v>557</v>
      </c>
    </row>
    <row r="211" spans="1:65" outlineLevel="1">
      <c r="A211" s="122" t="str">
        <f>$A$198</f>
        <v>Trần Văn Toản</v>
      </c>
      <c r="B211" s="82" t="s">
        <v>767</v>
      </c>
      <c r="C211" s="81" t="str">
        <f>IF($B211="","",INDEX('All Bảng'!C:C,MATCH($B211,'All Bảng'!$A:$A,0)))</f>
        <v>Quản lý BIM</v>
      </c>
      <c r="D211" s="81" t="str">
        <f>IF($B211="","",INDEX('All Bảng'!D:D,MATCH($B211,'All Bảng'!$A:$A,0)))</f>
        <v>N.DSHCMCG.STA</v>
      </c>
      <c r="E211" s="81" t="str">
        <f>IF($B211="","",INDEX('All Bảng'!E:E,MATCH($B211,'All Bảng'!$A:$A,0)))</f>
        <v>Nhà Ga Cần Giờ</v>
      </c>
      <c r="F211" s="81" t="str">
        <f>IF($B211="","",INDEX('All Bảng'!F:F,MATCH($B211,'All Bảng'!$A:$A,0)))</f>
        <v>KT</v>
      </c>
      <c r="G211" s="81" t="str">
        <f>IF($B211="","",INDEX('All Bảng'!G:G,MATCH($B211,'All Bảng'!$A:$A,0)))</f>
        <v>Tạo lập mô hình BIM</v>
      </c>
      <c r="H211" s="121"/>
      <c r="I211" s="262"/>
      <c r="J211" s="281">
        <f>J$3</f>
        <v>46174</v>
      </c>
      <c r="K211" s="67" t="s">
        <v>557</v>
      </c>
      <c r="L211" s="303" t="s">
        <v>557</v>
      </c>
      <c r="M211" s="281">
        <f>M$3</f>
        <v>46175</v>
      </c>
      <c r="N211" s="67" t="s">
        <v>557</v>
      </c>
      <c r="O211" s="265" t="s">
        <v>557</v>
      </c>
      <c r="P211" s="281">
        <f>P$3</f>
        <v>46176</v>
      </c>
      <c r="Q211" s="148" t="s">
        <v>557</v>
      </c>
      <c r="R211" s="137" t="s">
        <v>557</v>
      </c>
      <c r="S211" s="135">
        <f>S$3</f>
        <v>46177</v>
      </c>
      <c r="T211" s="136" t="s">
        <v>557</v>
      </c>
      <c r="U211" s="137" t="s">
        <v>557</v>
      </c>
      <c r="V211" s="135">
        <f>V$3</f>
        <v>46178</v>
      </c>
      <c r="W211" s="136" t="s">
        <v>557</v>
      </c>
      <c r="X211" s="137" t="s">
        <v>557</v>
      </c>
      <c r="Y211" s="135">
        <f>Y$3</f>
        <v>46179</v>
      </c>
      <c r="Z211" s="136" t="s">
        <v>557</v>
      </c>
      <c r="AA211" s="137" t="s">
        <v>557</v>
      </c>
      <c r="AB211" s="135"/>
      <c r="AC211" s="135">
        <f>AC$3</f>
        <v>46181</v>
      </c>
      <c r="AD211" s="136" t="s">
        <v>557</v>
      </c>
      <c r="AE211" s="137" t="s">
        <v>557</v>
      </c>
      <c r="AF211" s="135">
        <f>AF$3</f>
        <v>46182</v>
      </c>
      <c r="AG211" s="136" t="s">
        <v>557</v>
      </c>
      <c r="AH211" s="137" t="s">
        <v>557</v>
      </c>
      <c r="AI211" s="135">
        <f>AI$3</f>
        <v>46183</v>
      </c>
      <c r="AJ211" s="136" t="s">
        <v>557</v>
      </c>
      <c r="AK211" s="137" t="s">
        <v>557</v>
      </c>
      <c r="AL211" s="135">
        <f>AL$3</f>
        <v>46184</v>
      </c>
      <c r="AM211" s="136" t="s">
        <v>557</v>
      </c>
      <c r="AN211" s="137" t="s">
        <v>557</v>
      </c>
      <c r="AO211" s="135">
        <f>AO$3</f>
        <v>46185</v>
      </c>
      <c r="AP211" s="136" t="s">
        <v>557</v>
      </c>
      <c r="AQ211" s="137" t="s">
        <v>557</v>
      </c>
      <c r="AR211" s="135">
        <f>AR$3</f>
        <v>46186</v>
      </c>
      <c r="AS211" s="136" t="s">
        <v>557</v>
      </c>
      <c r="AT211" s="137" t="s">
        <v>557</v>
      </c>
      <c r="AU211" s="135"/>
      <c r="AV211" s="135">
        <f>AV$3</f>
        <v>46188</v>
      </c>
      <c r="AW211" s="148" t="s">
        <v>557</v>
      </c>
      <c r="AX211" s="137" t="s">
        <v>557</v>
      </c>
      <c r="AY211" s="135">
        <f>AY$3</f>
        <v>46189</v>
      </c>
      <c r="AZ211" s="136" t="s">
        <v>557</v>
      </c>
      <c r="BA211" s="137" t="s">
        <v>557</v>
      </c>
      <c r="BB211" s="135">
        <f>BB$3</f>
        <v>46190</v>
      </c>
      <c r="BC211" s="136" t="s">
        <v>557</v>
      </c>
      <c r="BD211" s="137" t="s">
        <v>557</v>
      </c>
      <c r="BE211" s="135">
        <f>BE$3</f>
        <v>46191</v>
      </c>
      <c r="BF211" s="136" t="s">
        <v>557</v>
      </c>
      <c r="BG211" s="137" t="s">
        <v>557</v>
      </c>
      <c r="BH211" s="135">
        <f>BH$3</f>
        <v>46192</v>
      </c>
      <c r="BI211" s="136" t="s">
        <v>557</v>
      </c>
      <c r="BJ211" s="137" t="s">
        <v>557</v>
      </c>
      <c r="BK211" s="135">
        <f>BK$3</f>
        <v>46193</v>
      </c>
      <c r="BL211" s="136" t="s">
        <v>557</v>
      </c>
      <c r="BM211" s="137" t="s">
        <v>557</v>
      </c>
    </row>
    <row r="212" spans="1:65" outlineLevel="1">
      <c r="A212" s="122" t="str">
        <f>$A$198</f>
        <v>Trần Văn Toản</v>
      </c>
      <c r="B212" s="82" t="s">
        <v>768</v>
      </c>
      <c r="C212" s="81" t="str">
        <f>IF($B212="","",INDEX('All Bảng'!C:C,MATCH($B212,'All Bảng'!$A:$A,0)))</f>
        <v>Quản lý BIM</v>
      </c>
      <c r="D212" s="81" t="str">
        <f>IF($B212="","",INDEX('All Bảng'!D:D,MATCH($B212,'All Bảng'!$A:$A,0)))</f>
        <v>N.DSHCMCG.STA</v>
      </c>
      <c r="E212" s="81" t="str">
        <f>IF($B212="","",INDEX('All Bảng'!E:E,MATCH($B212,'All Bảng'!$A:$A,0)))</f>
        <v>Nhà Ga Cần Giờ</v>
      </c>
      <c r="F212" s="81" t="str">
        <f>IF($B212="","",INDEX('All Bảng'!F:F,MATCH($B212,'All Bảng'!$A:$A,0)))</f>
        <v>KC</v>
      </c>
      <c r="G212" s="81" t="str">
        <f>IF($B212="","",INDEX('All Bảng'!G:G,MATCH($B212,'All Bảng'!$A:$A,0)))</f>
        <v>KSCL mô hình BIM</v>
      </c>
      <c r="H212" s="121"/>
      <c r="I212" s="262"/>
      <c r="J212" s="281">
        <f>J$3</f>
        <v>46174</v>
      </c>
      <c r="K212" s="67" t="s">
        <v>557</v>
      </c>
      <c r="L212" s="303" t="s">
        <v>557</v>
      </c>
      <c r="M212" s="281">
        <f>M$3</f>
        <v>46175</v>
      </c>
      <c r="N212" s="67" t="s">
        <v>557</v>
      </c>
      <c r="O212" s="265" t="s">
        <v>557</v>
      </c>
      <c r="P212" s="281">
        <f>P$3</f>
        <v>46176</v>
      </c>
      <c r="Q212" s="148" t="s">
        <v>557</v>
      </c>
      <c r="R212" s="137" t="s">
        <v>557</v>
      </c>
      <c r="S212" s="135">
        <f>S$3</f>
        <v>46177</v>
      </c>
      <c r="T212" s="136" t="s">
        <v>557</v>
      </c>
      <c r="U212" s="137" t="s">
        <v>557</v>
      </c>
      <c r="V212" s="135">
        <f>V$3</f>
        <v>46178</v>
      </c>
      <c r="W212" s="136" t="s">
        <v>557</v>
      </c>
      <c r="X212" s="137" t="s">
        <v>557</v>
      </c>
      <c r="Y212" s="135">
        <f>Y$3</f>
        <v>46179</v>
      </c>
      <c r="Z212" s="136" t="s">
        <v>557</v>
      </c>
      <c r="AA212" s="137" t="s">
        <v>557</v>
      </c>
      <c r="AB212" s="135"/>
      <c r="AC212" s="135">
        <f>AC$3</f>
        <v>46181</v>
      </c>
      <c r="AD212" s="136" t="s">
        <v>557</v>
      </c>
      <c r="AE212" s="137" t="s">
        <v>557</v>
      </c>
      <c r="AF212" s="135">
        <f>AF$3</f>
        <v>46182</v>
      </c>
      <c r="AG212" s="136" t="s">
        <v>557</v>
      </c>
      <c r="AH212" s="137" t="s">
        <v>557</v>
      </c>
      <c r="AI212" s="135">
        <f>AI$3</f>
        <v>46183</v>
      </c>
      <c r="AJ212" s="136" t="s">
        <v>557</v>
      </c>
      <c r="AK212" s="137" t="s">
        <v>557</v>
      </c>
      <c r="AL212" s="135">
        <f>AL$3</f>
        <v>46184</v>
      </c>
      <c r="AM212" s="136" t="s">
        <v>557</v>
      </c>
      <c r="AN212" s="137" t="s">
        <v>557</v>
      </c>
      <c r="AO212" s="135">
        <f>AO$3</f>
        <v>46185</v>
      </c>
      <c r="AP212" s="136" t="s">
        <v>557</v>
      </c>
      <c r="AQ212" s="137" t="s">
        <v>557</v>
      </c>
      <c r="AR212" s="135">
        <f>AR$3</f>
        <v>46186</v>
      </c>
      <c r="AS212" s="136" t="s">
        <v>557</v>
      </c>
      <c r="AT212" s="137" t="s">
        <v>557</v>
      </c>
      <c r="AU212" s="135"/>
      <c r="AV212" s="135">
        <f>AV$3</f>
        <v>46188</v>
      </c>
      <c r="AW212" s="148" t="s">
        <v>557</v>
      </c>
      <c r="AX212" s="137" t="s">
        <v>557</v>
      </c>
      <c r="AY212" s="135">
        <f>AY$3</f>
        <v>46189</v>
      </c>
      <c r="AZ212" s="136" t="s">
        <v>557</v>
      </c>
      <c r="BA212" s="137" t="s">
        <v>557</v>
      </c>
      <c r="BB212" s="135">
        <f>BB$3</f>
        <v>46190</v>
      </c>
      <c r="BC212" s="136" t="s">
        <v>557</v>
      </c>
      <c r="BD212" s="137" t="s">
        <v>557</v>
      </c>
      <c r="BE212" s="135">
        <f>BE$3</f>
        <v>46191</v>
      </c>
      <c r="BF212" s="136" t="s">
        <v>557</v>
      </c>
      <c r="BG212" s="137" t="s">
        <v>557</v>
      </c>
      <c r="BH212" s="135">
        <f>BH$3</f>
        <v>46192</v>
      </c>
      <c r="BI212" s="136" t="s">
        <v>557</v>
      </c>
      <c r="BJ212" s="137" t="s">
        <v>557</v>
      </c>
      <c r="BK212" s="135">
        <f>BK$3</f>
        <v>46193</v>
      </c>
      <c r="BL212" s="136" t="s">
        <v>557</v>
      </c>
      <c r="BM212" s="137" t="s">
        <v>557</v>
      </c>
    </row>
    <row r="213" spans="1:65" outlineLevel="1">
      <c r="A213" s="122" t="str">
        <f>$A$198</f>
        <v>Trần Văn Toản</v>
      </c>
      <c r="B213" s="82" t="s">
        <v>769</v>
      </c>
      <c r="C213" s="81" t="str">
        <f>IF($B213="","",INDEX('All Bảng'!C:C,MATCH($B213,'All Bảng'!$A:$A,0)))</f>
        <v>Quản lý BIM</v>
      </c>
      <c r="D213" s="81" t="str">
        <f>IF($B213="","",INDEX('All Bảng'!D:D,MATCH($B213,'All Bảng'!$A:$A,0)))</f>
        <v>T.KHO.VPNT.KSMN</v>
      </c>
      <c r="E213" s="81" t="str">
        <f>IF($B213="","",INDEX('All Bảng'!E:E,MATCH($B213,'All Bảng'!$A:$A,0)))</f>
        <v>Mẫu M5</v>
      </c>
      <c r="F213" s="81" t="str">
        <f>IF($B213="","",INDEX('All Bảng'!F:F,MATCH($B213,'All Bảng'!$A:$A,0)))</f>
        <v>KT</v>
      </c>
      <c r="G213" s="81" t="str">
        <f>IF($B213="","",INDEX('All Bảng'!G:G,MATCH($B213,'All Bảng'!$A:$A,0)))</f>
        <v>KSCL mô hình BIM</v>
      </c>
      <c r="H213" s="121"/>
      <c r="I213" s="262"/>
      <c r="J213" s="281">
        <f>J$3</f>
        <v>46174</v>
      </c>
      <c r="K213" s="67" t="s">
        <v>557</v>
      </c>
      <c r="L213" s="303" t="s">
        <v>557</v>
      </c>
      <c r="M213" s="281">
        <f>M$3</f>
        <v>46175</v>
      </c>
      <c r="N213" s="67" t="s">
        <v>557</v>
      </c>
      <c r="O213" s="265" t="s">
        <v>557</v>
      </c>
      <c r="P213" s="281">
        <f>P$3</f>
        <v>46176</v>
      </c>
      <c r="Q213" s="148" t="s">
        <v>557</v>
      </c>
      <c r="R213" s="137" t="s">
        <v>557</v>
      </c>
      <c r="S213" s="135">
        <f>S$3</f>
        <v>46177</v>
      </c>
      <c r="T213" s="136" t="s">
        <v>557</v>
      </c>
      <c r="U213" s="137" t="s">
        <v>557</v>
      </c>
      <c r="V213" s="135">
        <f>V$3</f>
        <v>46178</v>
      </c>
      <c r="W213" s="136" t="s">
        <v>557</v>
      </c>
      <c r="X213" s="137" t="s">
        <v>557</v>
      </c>
      <c r="Y213" s="135">
        <f>Y$3</f>
        <v>46179</v>
      </c>
      <c r="Z213" s="136" t="s">
        <v>557</v>
      </c>
      <c r="AA213" s="137" t="s">
        <v>557</v>
      </c>
      <c r="AB213" s="135"/>
      <c r="AC213" s="135">
        <f>AC$3</f>
        <v>46181</v>
      </c>
      <c r="AD213" s="136" t="s">
        <v>557</v>
      </c>
      <c r="AE213" s="137" t="s">
        <v>557</v>
      </c>
      <c r="AF213" s="135">
        <f>AF$3</f>
        <v>46182</v>
      </c>
      <c r="AG213" s="136" t="s">
        <v>557</v>
      </c>
      <c r="AH213" s="137" t="s">
        <v>557</v>
      </c>
      <c r="AI213" s="135">
        <f>AI$3</f>
        <v>46183</v>
      </c>
      <c r="AJ213" s="136" t="s">
        <v>557</v>
      </c>
      <c r="AK213" s="137" t="s">
        <v>557</v>
      </c>
      <c r="AL213" s="135">
        <f>AL$3</f>
        <v>46184</v>
      </c>
      <c r="AM213" s="136" t="s">
        <v>557</v>
      </c>
      <c r="AN213" s="137" t="s">
        <v>557</v>
      </c>
      <c r="AO213" s="135">
        <f>AO$3</f>
        <v>46185</v>
      </c>
      <c r="AP213" s="136" t="s">
        <v>557</v>
      </c>
      <c r="AQ213" s="137" t="s">
        <v>557</v>
      </c>
      <c r="AR213" s="135">
        <f>AR$3</f>
        <v>46186</v>
      </c>
      <c r="AS213" s="136" t="s">
        <v>557</v>
      </c>
      <c r="AT213" s="137" t="s">
        <v>557</v>
      </c>
      <c r="AU213" s="135"/>
      <c r="AV213" s="135">
        <f>AV$3</f>
        <v>46188</v>
      </c>
      <c r="AW213" s="148" t="s">
        <v>557</v>
      </c>
      <c r="AX213" s="137" t="s">
        <v>557</v>
      </c>
      <c r="AY213" s="135">
        <f>AY$3</f>
        <v>46189</v>
      </c>
      <c r="AZ213" s="136" t="s">
        <v>557</v>
      </c>
      <c r="BA213" s="137" t="s">
        <v>557</v>
      </c>
      <c r="BB213" s="135">
        <f>BB$3</f>
        <v>46190</v>
      </c>
      <c r="BC213" s="136" t="s">
        <v>557</v>
      </c>
      <c r="BD213" s="137" t="s">
        <v>557</v>
      </c>
      <c r="BE213" s="135">
        <f>BE$3</f>
        <v>46191</v>
      </c>
      <c r="BF213" s="136" t="s">
        <v>557</v>
      </c>
      <c r="BG213" s="137" t="s">
        <v>557</v>
      </c>
      <c r="BH213" s="135">
        <f>BH$3</f>
        <v>46192</v>
      </c>
      <c r="BI213" s="136" t="s">
        <v>557</v>
      </c>
      <c r="BJ213" s="137" t="s">
        <v>557</v>
      </c>
      <c r="BK213" s="135">
        <f>BK$3</f>
        <v>46193</v>
      </c>
      <c r="BL213" s="136" t="s">
        <v>557</v>
      </c>
      <c r="BM213" s="137" t="s">
        <v>557</v>
      </c>
    </row>
    <row r="214" spans="1:65" outlineLevel="1">
      <c r="A214" s="122" t="str">
        <f>$A$198</f>
        <v>Trần Văn Toản</v>
      </c>
      <c r="B214" s="33" t="s">
        <v>770</v>
      </c>
      <c r="C214" s="81" t="str">
        <f>IF($B214="","",INDEX('All Bảng'!C:C,MATCH($B214,'All Bảng'!$A:$A,0)))</f>
        <v>Quản lý BIM</v>
      </c>
      <c r="D214" s="81" t="str">
        <f>IF($B214="","",INDEX('All Bảng'!D:D,MATCH($B214,'All Bảng'!$A:$A,0)))</f>
        <v>T.KHO.VPNT.KSMN</v>
      </c>
      <c r="E214" s="81" t="str">
        <f>IF($B214="","",INDEX('All Bảng'!E:E,MATCH($B214,'All Bảng'!$A:$A,0)))</f>
        <v>Mẫu M5</v>
      </c>
      <c r="F214" s="81" t="str">
        <f>IF($B214="","",INDEX('All Bảng'!F:F,MATCH($B214,'All Bảng'!$A:$A,0)))</f>
        <v>KT</v>
      </c>
      <c r="G214" s="81" t="str">
        <f>IF($B214="","",INDEX('All Bảng'!G:G,MATCH($B214,'All Bảng'!$A:$A,0)))</f>
        <v>Tạo lập mô hình BIM</v>
      </c>
      <c r="H214" s="121"/>
      <c r="I214" s="135"/>
      <c r="J214" s="135">
        <f>J$3</f>
        <v>46174</v>
      </c>
      <c r="K214" s="148" t="s">
        <v>557</v>
      </c>
      <c r="L214" s="163" t="s">
        <v>557</v>
      </c>
      <c r="M214" s="135">
        <f>M$3</f>
        <v>46175</v>
      </c>
      <c r="N214" s="148" t="s">
        <v>557</v>
      </c>
      <c r="O214" s="137" t="s">
        <v>557</v>
      </c>
      <c r="P214" s="135">
        <f>P$3</f>
        <v>46176</v>
      </c>
      <c r="Q214" s="148" t="s">
        <v>557</v>
      </c>
      <c r="R214" s="137" t="s">
        <v>557</v>
      </c>
      <c r="S214" s="135">
        <f>S$3</f>
        <v>46177</v>
      </c>
      <c r="T214" s="136" t="s">
        <v>557</v>
      </c>
      <c r="U214" s="137" t="s">
        <v>557</v>
      </c>
      <c r="V214" s="135">
        <f>V$3</f>
        <v>46178</v>
      </c>
      <c r="W214" s="136" t="s">
        <v>557</v>
      </c>
      <c r="X214" s="137" t="s">
        <v>557</v>
      </c>
      <c r="Y214" s="135">
        <f>Y$3</f>
        <v>46179</v>
      </c>
      <c r="Z214" s="136" t="s">
        <v>557</v>
      </c>
      <c r="AA214" s="137" t="s">
        <v>557</v>
      </c>
      <c r="AB214" s="135"/>
      <c r="AC214" s="135">
        <f>AC$3</f>
        <v>46181</v>
      </c>
      <c r="AD214" s="136" t="s">
        <v>557</v>
      </c>
      <c r="AE214" s="137" t="s">
        <v>557</v>
      </c>
      <c r="AF214" s="135">
        <f>AF$3</f>
        <v>46182</v>
      </c>
      <c r="AG214" s="136" t="s">
        <v>557</v>
      </c>
      <c r="AH214" s="137" t="s">
        <v>557</v>
      </c>
      <c r="AI214" s="135">
        <f>AI$3</f>
        <v>46183</v>
      </c>
      <c r="AJ214" s="136" t="s">
        <v>557</v>
      </c>
      <c r="AK214" s="137" t="s">
        <v>557</v>
      </c>
      <c r="AL214" s="135">
        <f>AL$3</f>
        <v>46184</v>
      </c>
      <c r="AM214" s="136" t="s">
        <v>557</v>
      </c>
      <c r="AN214" s="137" t="s">
        <v>557</v>
      </c>
      <c r="AO214" s="135">
        <f>AO$3</f>
        <v>46185</v>
      </c>
      <c r="AP214" s="136" t="s">
        <v>557</v>
      </c>
      <c r="AQ214" s="137" t="s">
        <v>557</v>
      </c>
      <c r="AR214" s="135">
        <f>AR$3</f>
        <v>46186</v>
      </c>
      <c r="AS214" s="136" t="s">
        <v>557</v>
      </c>
      <c r="AT214" s="137" t="s">
        <v>557</v>
      </c>
      <c r="AU214" s="135"/>
      <c r="AV214" s="135">
        <f>AV$3</f>
        <v>46188</v>
      </c>
      <c r="AW214" s="148" t="s">
        <v>557</v>
      </c>
      <c r="AX214" s="137" t="s">
        <v>557</v>
      </c>
      <c r="AY214" s="135">
        <f>AY$3</f>
        <v>46189</v>
      </c>
      <c r="AZ214" s="136" t="s">
        <v>557</v>
      </c>
      <c r="BA214" s="137" t="s">
        <v>557</v>
      </c>
      <c r="BB214" s="135">
        <f>BB$3</f>
        <v>46190</v>
      </c>
      <c r="BC214" s="136" t="s">
        <v>557</v>
      </c>
      <c r="BD214" s="137" t="s">
        <v>557</v>
      </c>
      <c r="BE214" s="135">
        <f>BE$3</f>
        <v>46191</v>
      </c>
      <c r="BF214" s="136" t="s">
        <v>557</v>
      </c>
      <c r="BG214" s="137" t="s">
        <v>557</v>
      </c>
      <c r="BH214" s="135">
        <f>BH$3</f>
        <v>46192</v>
      </c>
      <c r="BI214" s="136" t="s">
        <v>557</v>
      </c>
      <c r="BJ214" s="137" t="s">
        <v>557</v>
      </c>
      <c r="BK214" s="135">
        <f>BK$3</f>
        <v>46193</v>
      </c>
      <c r="BL214" s="136" t="s">
        <v>557</v>
      </c>
      <c r="BM214" s="137" t="s">
        <v>557</v>
      </c>
    </row>
    <row r="215" spans="1:65" outlineLevel="1">
      <c r="A215" s="122" t="str">
        <f>$A$198</f>
        <v>Trần Văn Toản</v>
      </c>
      <c r="B215" s="33" t="s">
        <v>771</v>
      </c>
      <c r="C215" s="81" t="str">
        <f>IF($B215="","",INDEX('All Bảng'!C:C,MATCH($B215,'All Bảng'!$A:$A,0)))</f>
        <v>Quản lý BIM</v>
      </c>
      <c r="D215" s="81" t="str">
        <f>IF($B215="","",INDEX('All Bảng'!D:D,MATCH($B215,'All Bảng'!$A:$A,0)))</f>
        <v>T.KHO.VPNT.KSMN</v>
      </c>
      <c r="E215" s="81" t="str">
        <f>IF($B215="","",INDEX('All Bảng'!E:E,MATCH($B215,'All Bảng'!$A:$A,0)))</f>
        <v>Mẫu M5</v>
      </c>
      <c r="F215" s="81" t="str">
        <f>IF($B215="","",INDEX('All Bảng'!F:F,MATCH($B215,'All Bảng'!$A:$A,0)))</f>
        <v>KC</v>
      </c>
      <c r="G215" s="81" t="str">
        <f>IF($B215="","",INDEX('All Bảng'!G:G,MATCH($B215,'All Bảng'!$A:$A,0)))</f>
        <v>KSCL mô hình BIM</v>
      </c>
      <c r="H215" s="121"/>
      <c r="I215" s="135"/>
      <c r="J215" s="135">
        <f>J$3</f>
        <v>46174</v>
      </c>
      <c r="K215" s="148" t="s">
        <v>557</v>
      </c>
      <c r="L215" s="163" t="s">
        <v>557</v>
      </c>
      <c r="M215" s="135">
        <f>M$3</f>
        <v>46175</v>
      </c>
      <c r="N215" s="148" t="s">
        <v>557</v>
      </c>
      <c r="O215" s="137" t="s">
        <v>557</v>
      </c>
      <c r="P215" s="135">
        <f>P$3</f>
        <v>46176</v>
      </c>
      <c r="Q215" s="148" t="s">
        <v>557</v>
      </c>
      <c r="R215" s="137" t="s">
        <v>557</v>
      </c>
      <c r="S215" s="135">
        <f>S$3</f>
        <v>46177</v>
      </c>
      <c r="T215" s="136" t="s">
        <v>557</v>
      </c>
      <c r="U215" s="137" t="s">
        <v>557</v>
      </c>
      <c r="V215" s="135">
        <f>V$3</f>
        <v>46178</v>
      </c>
      <c r="W215" s="136" t="s">
        <v>557</v>
      </c>
      <c r="X215" s="137" t="s">
        <v>557</v>
      </c>
      <c r="Y215" s="135">
        <f>Y$3</f>
        <v>46179</v>
      </c>
      <c r="Z215" s="136" t="s">
        <v>557</v>
      </c>
      <c r="AA215" s="137" t="s">
        <v>557</v>
      </c>
      <c r="AB215" s="135"/>
      <c r="AC215" s="135">
        <f>AC$3</f>
        <v>46181</v>
      </c>
      <c r="AD215" s="136" t="s">
        <v>557</v>
      </c>
      <c r="AE215" s="137" t="s">
        <v>557</v>
      </c>
      <c r="AF215" s="135">
        <f>AF$3</f>
        <v>46182</v>
      </c>
      <c r="AG215" s="136" t="s">
        <v>557</v>
      </c>
      <c r="AH215" s="137" t="s">
        <v>557</v>
      </c>
      <c r="AI215" s="135">
        <f>AI$3</f>
        <v>46183</v>
      </c>
      <c r="AJ215" s="136" t="s">
        <v>557</v>
      </c>
      <c r="AK215" s="137" t="s">
        <v>557</v>
      </c>
      <c r="AL215" s="135">
        <f>AL$3</f>
        <v>46184</v>
      </c>
      <c r="AM215" s="136" t="s">
        <v>557</v>
      </c>
      <c r="AN215" s="137" t="s">
        <v>557</v>
      </c>
      <c r="AO215" s="135">
        <f>AO$3</f>
        <v>46185</v>
      </c>
      <c r="AP215" s="136" t="s">
        <v>557</v>
      </c>
      <c r="AQ215" s="137" t="s">
        <v>557</v>
      </c>
      <c r="AR215" s="135">
        <f>AR$3</f>
        <v>46186</v>
      </c>
      <c r="AS215" s="136" t="s">
        <v>557</v>
      </c>
      <c r="AT215" s="137" t="s">
        <v>557</v>
      </c>
      <c r="AU215" s="135"/>
      <c r="AV215" s="135">
        <f>AV$3</f>
        <v>46188</v>
      </c>
      <c r="AW215" s="148" t="s">
        <v>557</v>
      </c>
      <c r="AX215" s="137" t="s">
        <v>557</v>
      </c>
      <c r="AY215" s="135">
        <f>AY$3</f>
        <v>46189</v>
      </c>
      <c r="AZ215" s="136" t="s">
        <v>557</v>
      </c>
      <c r="BA215" s="137" t="s">
        <v>557</v>
      </c>
      <c r="BB215" s="135">
        <f>BB$3</f>
        <v>46190</v>
      </c>
      <c r="BC215" s="136" t="s">
        <v>557</v>
      </c>
      <c r="BD215" s="137" t="s">
        <v>557</v>
      </c>
      <c r="BE215" s="135">
        <f>BE$3</f>
        <v>46191</v>
      </c>
      <c r="BF215" s="136" t="s">
        <v>557</v>
      </c>
      <c r="BG215" s="137" t="s">
        <v>557</v>
      </c>
      <c r="BH215" s="135">
        <f>BH$3</f>
        <v>46192</v>
      </c>
      <c r="BI215" s="136" t="s">
        <v>557</v>
      </c>
      <c r="BJ215" s="137" t="s">
        <v>557</v>
      </c>
      <c r="BK215" s="135">
        <f>BK$3</f>
        <v>46193</v>
      </c>
      <c r="BL215" s="136" t="s">
        <v>557</v>
      </c>
      <c r="BM215" s="137" t="s">
        <v>557</v>
      </c>
    </row>
    <row r="216" spans="1:65" outlineLevel="1">
      <c r="A216" s="122" t="str">
        <f>$A$198</f>
        <v>Trần Văn Toản</v>
      </c>
      <c r="B216" s="33" t="s">
        <v>667</v>
      </c>
      <c r="C216" s="81" t="str">
        <f>IF($B216="","",INDEX('All Bảng'!C:C,MATCH($B216,'All Bảng'!$A:$A,0)))</f>
        <v>Quản lý BIM</v>
      </c>
      <c r="D216" s="81" t="str">
        <f>IF($B216="","",INDEX('All Bảng'!D:D,MATCH($B216,'All Bảng'!$A:$A,0)))</f>
        <v>B.HYE.PVF</v>
      </c>
      <c r="E216" s="81" t="str">
        <f>IF($B216="","",INDEX('All Bảng'!E:E,MATCH($B216,'All Bảng'!$A:$A,0)))</f>
        <v>Sân vận động TDTT01</v>
      </c>
      <c r="F216" s="81" t="str">
        <f>IF($B216="","",INDEX('All Bảng'!F:F,MATCH($B216,'All Bảng'!$A:$A,0)))</f>
        <v>KT</v>
      </c>
      <c r="G216" s="81" t="str">
        <f>IF($B216="","",INDEX('All Bảng'!G:G,MATCH($B216,'All Bảng'!$A:$A,0)))</f>
        <v>KSCL mô hình BIM</v>
      </c>
      <c r="H216" s="121"/>
      <c r="I216" s="135"/>
      <c r="J216" s="135">
        <f>J$3</f>
        <v>46174</v>
      </c>
      <c r="K216" s="148" t="s">
        <v>557</v>
      </c>
      <c r="L216" s="163" t="s">
        <v>557</v>
      </c>
      <c r="M216" s="135">
        <f>M$3</f>
        <v>46175</v>
      </c>
      <c r="N216" s="148" t="s">
        <v>557</v>
      </c>
      <c r="O216" s="137" t="s">
        <v>557</v>
      </c>
      <c r="P216" s="135">
        <f>P$3</f>
        <v>46176</v>
      </c>
      <c r="Q216" s="148" t="s">
        <v>557</v>
      </c>
      <c r="R216" s="137" t="s">
        <v>557</v>
      </c>
      <c r="S216" s="135">
        <f>S$3</f>
        <v>46177</v>
      </c>
      <c r="T216" s="136" t="s">
        <v>557</v>
      </c>
      <c r="U216" s="137" t="s">
        <v>557</v>
      </c>
      <c r="V216" s="135">
        <f>V$3</f>
        <v>46178</v>
      </c>
      <c r="W216" s="136" t="s">
        <v>557</v>
      </c>
      <c r="X216" s="137" t="s">
        <v>557</v>
      </c>
      <c r="Y216" s="135">
        <f>Y$3</f>
        <v>46179</v>
      </c>
      <c r="Z216" s="136" t="s">
        <v>557</v>
      </c>
      <c r="AA216" s="137" t="s">
        <v>557</v>
      </c>
      <c r="AB216" s="135"/>
      <c r="AC216" s="135">
        <f>AC$3</f>
        <v>46181</v>
      </c>
      <c r="AD216" s="136" t="s">
        <v>557</v>
      </c>
      <c r="AE216" s="137" t="s">
        <v>557</v>
      </c>
      <c r="AF216" s="135">
        <f>AF$3</f>
        <v>46182</v>
      </c>
      <c r="AG216" s="136" t="s">
        <v>557</v>
      </c>
      <c r="AH216" s="137" t="s">
        <v>557</v>
      </c>
      <c r="AI216" s="135">
        <f>AI$3</f>
        <v>46183</v>
      </c>
      <c r="AJ216" s="136" t="s">
        <v>557</v>
      </c>
      <c r="AK216" s="137" t="s">
        <v>557</v>
      </c>
      <c r="AL216" s="135">
        <f>AL$3</f>
        <v>46184</v>
      </c>
      <c r="AM216" s="136" t="s">
        <v>557</v>
      </c>
      <c r="AN216" s="137" t="s">
        <v>557</v>
      </c>
      <c r="AO216" s="135">
        <f>AO$3</f>
        <v>46185</v>
      </c>
      <c r="AP216" s="136" t="s">
        <v>557</v>
      </c>
      <c r="AQ216" s="137" t="s">
        <v>557</v>
      </c>
      <c r="AR216" s="135">
        <f>AR$3</f>
        <v>46186</v>
      </c>
      <c r="AS216" s="136" t="s">
        <v>557</v>
      </c>
      <c r="AT216" s="137" t="s">
        <v>557</v>
      </c>
      <c r="AU216" s="135"/>
      <c r="AV216" s="135">
        <f>AV$3</f>
        <v>46188</v>
      </c>
      <c r="AW216" s="148" t="s">
        <v>557</v>
      </c>
      <c r="AX216" s="137" t="s">
        <v>557</v>
      </c>
      <c r="AY216" s="135">
        <f>AY$3</f>
        <v>46189</v>
      </c>
      <c r="AZ216" s="136" t="s">
        <v>557</v>
      </c>
      <c r="BA216" s="137" t="s">
        <v>557</v>
      </c>
      <c r="BB216" s="135">
        <f>BB$3</f>
        <v>46190</v>
      </c>
      <c r="BC216" s="136" t="s">
        <v>557</v>
      </c>
      <c r="BD216" s="137" t="s">
        <v>557</v>
      </c>
      <c r="BE216" s="135">
        <f>BE$3</f>
        <v>46191</v>
      </c>
      <c r="BF216" s="136" t="s">
        <v>557</v>
      </c>
      <c r="BG216" s="137" t="s">
        <v>557</v>
      </c>
      <c r="BH216" s="135">
        <f>BH$3</f>
        <v>46192</v>
      </c>
      <c r="BI216" s="136" t="s">
        <v>557</v>
      </c>
      <c r="BJ216" s="137" t="s">
        <v>557</v>
      </c>
      <c r="BK216" s="135">
        <f>BK$3</f>
        <v>46193</v>
      </c>
      <c r="BL216" s="136" t="s">
        <v>557</v>
      </c>
      <c r="BM216" s="137" t="s">
        <v>557</v>
      </c>
    </row>
    <row r="217" spans="1:65" outlineLevel="1">
      <c r="A217" s="122" t="str">
        <f>$A$198</f>
        <v>Trần Văn Toản</v>
      </c>
      <c r="B217" s="33" t="s">
        <v>668</v>
      </c>
      <c r="C217" s="81" t="str">
        <f>IF($B217="","",INDEX('All Bảng'!C:C,MATCH($B217,'All Bảng'!$A:$A,0)))</f>
        <v>Quản lý BIM</v>
      </c>
      <c r="D217" s="81" t="str">
        <f>IF($B217="","",INDEX('All Bảng'!D:D,MATCH($B217,'All Bảng'!$A:$A,0)))</f>
        <v>B.HYE.PVF</v>
      </c>
      <c r="E217" s="81" t="str">
        <f>IF($B217="","",INDEX('All Bảng'!E:E,MATCH($B217,'All Bảng'!$A:$A,0)))</f>
        <v>Sân vận động TDTT01</v>
      </c>
      <c r="F217" s="81" t="str">
        <f>IF($B217="","",INDEX('All Bảng'!F:F,MATCH($B217,'All Bảng'!$A:$A,0)))</f>
        <v>KC</v>
      </c>
      <c r="G217" s="81" t="str">
        <f>IF($B217="","",INDEX('All Bảng'!G:G,MATCH($B217,'All Bảng'!$A:$A,0)))</f>
        <v>KSCL mô hình BIM</v>
      </c>
      <c r="H217" s="121"/>
      <c r="I217" s="135"/>
      <c r="J217" s="135">
        <f>J$3</f>
        <v>46174</v>
      </c>
      <c r="K217" s="148" t="s">
        <v>557</v>
      </c>
      <c r="L217" s="163" t="s">
        <v>557</v>
      </c>
      <c r="M217" s="135">
        <f>M$3</f>
        <v>46175</v>
      </c>
      <c r="N217" s="148" t="s">
        <v>557</v>
      </c>
      <c r="O217" s="137" t="s">
        <v>557</v>
      </c>
      <c r="P217" s="135">
        <f>P$3</f>
        <v>46176</v>
      </c>
      <c r="Q217" s="148" t="s">
        <v>557</v>
      </c>
      <c r="R217" s="137" t="s">
        <v>557</v>
      </c>
      <c r="S217" s="135">
        <f>S$3</f>
        <v>46177</v>
      </c>
      <c r="T217" s="136" t="s">
        <v>557</v>
      </c>
      <c r="U217" s="137" t="s">
        <v>557</v>
      </c>
      <c r="V217" s="135">
        <f>V$3</f>
        <v>46178</v>
      </c>
      <c r="W217" s="136" t="s">
        <v>557</v>
      </c>
      <c r="X217" s="137" t="s">
        <v>557</v>
      </c>
      <c r="Y217" s="135">
        <f>Y$3</f>
        <v>46179</v>
      </c>
      <c r="Z217" s="136" t="s">
        <v>557</v>
      </c>
      <c r="AA217" s="137" t="s">
        <v>557</v>
      </c>
      <c r="AB217" s="135"/>
      <c r="AC217" s="135">
        <f>AC$3</f>
        <v>46181</v>
      </c>
      <c r="AD217" s="136" t="s">
        <v>557</v>
      </c>
      <c r="AE217" s="137" t="s">
        <v>557</v>
      </c>
      <c r="AF217" s="135">
        <f>AF$3</f>
        <v>46182</v>
      </c>
      <c r="AG217" s="136" t="s">
        <v>557</v>
      </c>
      <c r="AH217" s="137" t="s">
        <v>557</v>
      </c>
      <c r="AI217" s="135">
        <f>AI$3</f>
        <v>46183</v>
      </c>
      <c r="AJ217" s="136" t="s">
        <v>557</v>
      </c>
      <c r="AK217" s="137" t="s">
        <v>557</v>
      </c>
      <c r="AL217" s="135">
        <f>AL$3</f>
        <v>46184</v>
      </c>
      <c r="AM217" s="136" t="s">
        <v>557</v>
      </c>
      <c r="AN217" s="137" t="s">
        <v>557</v>
      </c>
      <c r="AO217" s="135">
        <f>AO$3</f>
        <v>46185</v>
      </c>
      <c r="AP217" s="136" t="s">
        <v>557</v>
      </c>
      <c r="AQ217" s="137" t="s">
        <v>557</v>
      </c>
      <c r="AR217" s="135">
        <f>AR$3</f>
        <v>46186</v>
      </c>
      <c r="AS217" s="136" t="s">
        <v>557</v>
      </c>
      <c r="AT217" s="137" t="s">
        <v>557</v>
      </c>
      <c r="AU217" s="135"/>
      <c r="AV217" s="135">
        <f>AV$3</f>
        <v>46188</v>
      </c>
      <c r="AW217" s="148" t="s">
        <v>557</v>
      </c>
      <c r="AX217" s="137" t="s">
        <v>557</v>
      </c>
      <c r="AY217" s="135">
        <f>AY$3</f>
        <v>46189</v>
      </c>
      <c r="AZ217" s="136" t="s">
        <v>557</v>
      </c>
      <c r="BA217" s="137" t="s">
        <v>557</v>
      </c>
      <c r="BB217" s="135">
        <f>BB$3</f>
        <v>46190</v>
      </c>
      <c r="BC217" s="136" t="s">
        <v>557</v>
      </c>
      <c r="BD217" s="137" t="s">
        <v>557</v>
      </c>
      <c r="BE217" s="135">
        <f>BE$3</f>
        <v>46191</v>
      </c>
      <c r="BF217" s="136" t="s">
        <v>557</v>
      </c>
      <c r="BG217" s="137" t="s">
        <v>557</v>
      </c>
      <c r="BH217" s="135">
        <f>BH$3</f>
        <v>46192</v>
      </c>
      <c r="BI217" s="136" t="s">
        <v>557</v>
      </c>
      <c r="BJ217" s="137" t="s">
        <v>557</v>
      </c>
      <c r="BK217" s="135">
        <f>BK$3</f>
        <v>46193</v>
      </c>
      <c r="BL217" s="136" t="s">
        <v>557</v>
      </c>
      <c r="BM217" s="137" t="s">
        <v>557</v>
      </c>
    </row>
    <row r="218" spans="1:65" outlineLevel="1">
      <c r="A218" s="122" t="str">
        <f>$A$198</f>
        <v>Trần Văn Toản</v>
      </c>
      <c r="B218" s="33" t="s">
        <v>669</v>
      </c>
      <c r="C218" s="81" t="str">
        <f>IF($B218="","",INDEX('All Bảng'!C:C,MATCH($B218,'All Bảng'!$A:$A,0)))</f>
        <v>Quản lý BIM</v>
      </c>
      <c r="D218" s="81" t="str">
        <f>IF($B218="","",INDEX('All Bảng'!D:D,MATCH($B218,'All Bảng'!$A:$A,0)))</f>
        <v>B.HYE.PVF</v>
      </c>
      <c r="E218" s="81" t="str">
        <f>IF($B218="","",INDEX('All Bảng'!E:E,MATCH($B218,'All Bảng'!$A:$A,0)))</f>
        <v>Sân vận động TDTT01</v>
      </c>
      <c r="F218" s="81" t="str">
        <f>IF($B218="","",INDEX('All Bảng'!F:F,MATCH($B218,'All Bảng'!$A:$A,0)))</f>
        <v>KC</v>
      </c>
      <c r="G218" s="81" t="str">
        <f>IF($B218="","",INDEX('All Bảng'!G:G,MATCH($B218,'All Bảng'!$A:$A,0)))</f>
        <v>Xuất khối lượng từ mô hình BIM</v>
      </c>
      <c r="H218" s="121"/>
      <c r="I218" s="135"/>
      <c r="J218" s="135">
        <f>J$3</f>
        <v>46174</v>
      </c>
      <c r="K218" s="148" t="s">
        <v>557</v>
      </c>
      <c r="L218" s="163" t="s">
        <v>557</v>
      </c>
      <c r="M218" s="135">
        <f>M$3</f>
        <v>46175</v>
      </c>
      <c r="N218" s="148" t="s">
        <v>557</v>
      </c>
      <c r="O218" s="137" t="s">
        <v>557</v>
      </c>
      <c r="P218" s="135">
        <f>P$3</f>
        <v>46176</v>
      </c>
      <c r="Q218" s="148" t="s">
        <v>557</v>
      </c>
      <c r="R218" s="137" t="s">
        <v>557</v>
      </c>
      <c r="S218" s="135">
        <f>S$3</f>
        <v>46177</v>
      </c>
      <c r="T218" s="136" t="s">
        <v>557</v>
      </c>
      <c r="U218" s="137" t="s">
        <v>557</v>
      </c>
      <c r="V218" s="135">
        <f>V$3</f>
        <v>46178</v>
      </c>
      <c r="W218" s="136" t="s">
        <v>557</v>
      </c>
      <c r="X218" s="137" t="s">
        <v>557</v>
      </c>
      <c r="Y218" s="135">
        <f>Y$3</f>
        <v>46179</v>
      </c>
      <c r="Z218" s="136" t="s">
        <v>557</v>
      </c>
      <c r="AA218" s="137" t="s">
        <v>557</v>
      </c>
      <c r="AB218" s="135"/>
      <c r="AC218" s="135">
        <f>AC$3</f>
        <v>46181</v>
      </c>
      <c r="AD218" s="136" t="s">
        <v>557</v>
      </c>
      <c r="AE218" s="137" t="s">
        <v>557</v>
      </c>
      <c r="AF218" s="135">
        <f>AF$3</f>
        <v>46182</v>
      </c>
      <c r="AG218" s="136" t="s">
        <v>557</v>
      </c>
      <c r="AH218" s="137" t="s">
        <v>557</v>
      </c>
      <c r="AI218" s="135">
        <f>AI$3</f>
        <v>46183</v>
      </c>
      <c r="AJ218" s="136" t="s">
        <v>557</v>
      </c>
      <c r="AK218" s="137" t="s">
        <v>557</v>
      </c>
      <c r="AL218" s="135">
        <f>AL$3</f>
        <v>46184</v>
      </c>
      <c r="AM218" s="136" t="s">
        <v>557</v>
      </c>
      <c r="AN218" s="137" t="s">
        <v>557</v>
      </c>
      <c r="AO218" s="135">
        <f>AO$3</f>
        <v>46185</v>
      </c>
      <c r="AP218" s="136" t="s">
        <v>557</v>
      </c>
      <c r="AQ218" s="137" t="s">
        <v>557</v>
      </c>
      <c r="AR218" s="135">
        <f>AR$3</f>
        <v>46186</v>
      </c>
      <c r="AS218" s="136" t="s">
        <v>557</v>
      </c>
      <c r="AT218" s="137" t="s">
        <v>557</v>
      </c>
      <c r="AU218" s="135"/>
      <c r="AV218" s="135">
        <f>AV$3</f>
        <v>46188</v>
      </c>
      <c r="AW218" s="148" t="s">
        <v>557</v>
      </c>
      <c r="AX218" s="137" t="s">
        <v>557</v>
      </c>
      <c r="AY218" s="135">
        <f>AY$3</f>
        <v>46189</v>
      </c>
      <c r="AZ218" s="136" t="s">
        <v>557</v>
      </c>
      <c r="BA218" s="137" t="s">
        <v>557</v>
      </c>
      <c r="BB218" s="135">
        <f>BB$3</f>
        <v>46190</v>
      </c>
      <c r="BC218" s="136" t="s">
        <v>557</v>
      </c>
      <c r="BD218" s="137" t="s">
        <v>557</v>
      </c>
      <c r="BE218" s="135">
        <f>BE$3</f>
        <v>46191</v>
      </c>
      <c r="BF218" s="136" t="s">
        <v>557</v>
      </c>
      <c r="BG218" s="137" t="s">
        <v>557</v>
      </c>
      <c r="BH218" s="135">
        <f>BH$3</f>
        <v>46192</v>
      </c>
      <c r="BI218" s="136" t="s">
        <v>557</v>
      </c>
      <c r="BJ218" s="137" t="s">
        <v>557</v>
      </c>
      <c r="BK218" s="135">
        <f>BK$3</f>
        <v>46193</v>
      </c>
      <c r="BL218" s="136" t="s">
        <v>557</v>
      </c>
      <c r="BM218" s="137" t="s">
        <v>557</v>
      </c>
    </row>
    <row r="219" spans="1:65" outlineLevel="1">
      <c r="A219" s="122" t="str">
        <f>$A$198</f>
        <v>Trần Văn Toản</v>
      </c>
      <c r="B219" s="157" t="s">
        <v>684</v>
      </c>
      <c r="C219" s="81" t="str">
        <f>IF($B219="","",INDEX('All Bảng'!C:C,MATCH($B219,'All Bảng'!$A:$A,0)))</f>
        <v>Quản lý BIM</v>
      </c>
      <c r="D219" s="81" t="str">
        <f>IF($B219="","",INDEX('All Bảng'!D:D,MATCH($B219,'All Bảng'!$A:$A,0)))</f>
        <v>N.HCM.CGIO.KS</v>
      </c>
      <c r="E219" s="81" t="str">
        <f>IF($B219="","",INDEX('All Bảng'!E:E,MATCH($B219,'All Bảng'!$A:$A,0)))</f>
        <v>Khách sạn M Gallery - B5.02.04</v>
      </c>
      <c r="F219" s="81" t="str">
        <f>IF($B219="","",INDEX('All Bảng'!F:F,MATCH($B219,'All Bảng'!$A:$A,0)))</f>
        <v>KT</v>
      </c>
      <c r="G219" s="81" t="str">
        <f>IF($B219="","",INDEX('All Bảng'!G:G,MATCH($B219,'All Bảng'!$A:$A,0)))</f>
        <v>Tạo lập mô hình BIM</v>
      </c>
      <c r="H219" s="121"/>
      <c r="I219" s="135"/>
      <c r="J219" s="135">
        <f>J$3</f>
        <v>46174</v>
      </c>
      <c r="K219" s="148" t="s">
        <v>772</v>
      </c>
      <c r="L219" s="163">
        <v>6</v>
      </c>
      <c r="M219" s="135">
        <f>M$3</f>
        <v>46175</v>
      </c>
      <c r="N219" s="148" t="s">
        <v>557</v>
      </c>
      <c r="O219" s="137" t="s">
        <v>557</v>
      </c>
      <c r="P219" s="135">
        <f>P$3</f>
        <v>46176</v>
      </c>
      <c r="Q219" s="148" t="s">
        <v>557</v>
      </c>
      <c r="R219" s="137" t="s">
        <v>557</v>
      </c>
      <c r="S219" s="135">
        <f>S$3</f>
        <v>46177</v>
      </c>
      <c r="T219" s="136" t="s">
        <v>557</v>
      </c>
      <c r="U219" s="137" t="s">
        <v>557</v>
      </c>
      <c r="V219" s="135">
        <f>V$3</f>
        <v>46178</v>
      </c>
      <c r="W219" s="136" t="s">
        <v>557</v>
      </c>
      <c r="X219" s="137" t="s">
        <v>557</v>
      </c>
      <c r="Y219" s="135">
        <f>Y$3</f>
        <v>46179</v>
      </c>
      <c r="Z219" s="136" t="s">
        <v>557</v>
      </c>
      <c r="AA219" s="137" t="s">
        <v>557</v>
      </c>
      <c r="AB219" s="135"/>
      <c r="AC219" s="135">
        <f>AC$3</f>
        <v>46181</v>
      </c>
      <c r="AD219" s="136" t="s">
        <v>557</v>
      </c>
      <c r="AE219" s="137" t="s">
        <v>557</v>
      </c>
      <c r="AF219" s="135">
        <f>AF$3</f>
        <v>46182</v>
      </c>
      <c r="AG219" s="136" t="s">
        <v>557</v>
      </c>
      <c r="AH219" s="137" t="s">
        <v>557</v>
      </c>
      <c r="AI219" s="135">
        <f>AI$3</f>
        <v>46183</v>
      </c>
      <c r="AJ219" s="136" t="s">
        <v>557</v>
      </c>
      <c r="AK219" s="137" t="s">
        <v>557</v>
      </c>
      <c r="AL219" s="135">
        <f>AL$3</f>
        <v>46184</v>
      </c>
      <c r="AM219" s="136" t="s">
        <v>557</v>
      </c>
      <c r="AN219" s="137" t="s">
        <v>557</v>
      </c>
      <c r="AO219" s="135">
        <f>AO$3</f>
        <v>46185</v>
      </c>
      <c r="AP219" s="136" t="s">
        <v>557</v>
      </c>
      <c r="AQ219" s="137" t="s">
        <v>557</v>
      </c>
      <c r="AR219" s="135">
        <f>AR$3</f>
        <v>46186</v>
      </c>
      <c r="AS219" s="136" t="s">
        <v>557</v>
      </c>
      <c r="AT219" s="137" t="s">
        <v>557</v>
      </c>
      <c r="AU219" s="135"/>
      <c r="AV219" s="135">
        <f>AV$3</f>
        <v>46188</v>
      </c>
      <c r="AW219" s="148" t="s">
        <v>557</v>
      </c>
      <c r="AX219" s="137" t="s">
        <v>557</v>
      </c>
      <c r="AY219" s="135">
        <f>AY$3</f>
        <v>46189</v>
      </c>
      <c r="AZ219" s="136" t="s">
        <v>557</v>
      </c>
      <c r="BA219" s="137" t="s">
        <v>557</v>
      </c>
      <c r="BB219" s="135">
        <f>BB$3</f>
        <v>46190</v>
      </c>
      <c r="BC219" s="136" t="s">
        <v>557</v>
      </c>
      <c r="BD219" s="137" t="s">
        <v>557</v>
      </c>
      <c r="BE219" s="135">
        <f>BE$3</f>
        <v>46191</v>
      </c>
      <c r="BF219" s="136" t="s">
        <v>557</v>
      </c>
      <c r="BG219" s="137" t="s">
        <v>557</v>
      </c>
      <c r="BH219" s="135">
        <f>BH$3</f>
        <v>46192</v>
      </c>
      <c r="BI219" s="136" t="s">
        <v>557</v>
      </c>
      <c r="BJ219" s="137" t="s">
        <v>557</v>
      </c>
      <c r="BK219" s="135">
        <f>BK$3</f>
        <v>46193</v>
      </c>
      <c r="BL219" s="136" t="s">
        <v>557</v>
      </c>
      <c r="BM219" s="137" t="s">
        <v>557</v>
      </c>
    </row>
    <row r="220" spans="1:65" outlineLevel="1">
      <c r="A220" s="122" t="str">
        <f>$A$198</f>
        <v>Trần Văn Toản</v>
      </c>
      <c r="B220" s="157" t="s">
        <v>685</v>
      </c>
      <c r="C220" s="81" t="str">
        <f>IF($B220="","",INDEX('All Bảng'!C:C,MATCH($B220,'All Bảng'!$A:$A,0)))</f>
        <v>Quản lý BIM</v>
      </c>
      <c r="D220" s="81" t="str">
        <f>IF($B220="","",INDEX('All Bảng'!D:D,MATCH($B220,'All Bảng'!$A:$A,0)))</f>
        <v>N.HCM.CGIO.KS</v>
      </c>
      <c r="E220" s="81" t="str">
        <f>IF($B220="","",INDEX('All Bảng'!E:E,MATCH($B220,'All Bảng'!$A:$A,0)))</f>
        <v>Khách sạn M Gallery - B5.02.04</v>
      </c>
      <c r="F220" s="81" t="str">
        <f>IF($B220="","",INDEX('All Bảng'!F:F,MATCH($B220,'All Bảng'!$A:$A,0)))</f>
        <v>KC</v>
      </c>
      <c r="G220" s="81" t="str">
        <f>IF($B220="","",INDEX('All Bảng'!G:G,MATCH($B220,'All Bảng'!$A:$A,0)))</f>
        <v>Tạo lập mô hình BIM</v>
      </c>
      <c r="H220" s="121"/>
      <c r="I220" s="135"/>
      <c r="J220" s="135">
        <f>J$3</f>
        <v>46174</v>
      </c>
      <c r="K220" s="148" t="s">
        <v>772</v>
      </c>
      <c r="L220" s="163">
        <v>2</v>
      </c>
      <c r="M220" s="135">
        <f>M$3</f>
        <v>46175</v>
      </c>
      <c r="N220" s="148" t="s">
        <v>557</v>
      </c>
      <c r="O220" s="137" t="s">
        <v>557</v>
      </c>
      <c r="P220" s="135">
        <f>P$3</f>
        <v>46176</v>
      </c>
      <c r="Q220" s="148" t="s">
        <v>557</v>
      </c>
      <c r="R220" s="137" t="s">
        <v>557</v>
      </c>
      <c r="S220" s="135">
        <f>S$3</f>
        <v>46177</v>
      </c>
      <c r="T220" s="136" t="s">
        <v>557</v>
      </c>
      <c r="U220" s="137" t="s">
        <v>557</v>
      </c>
      <c r="V220" s="135">
        <f>V$3</f>
        <v>46178</v>
      </c>
      <c r="W220" s="136" t="s">
        <v>557</v>
      </c>
      <c r="X220" s="137" t="s">
        <v>557</v>
      </c>
      <c r="Y220" s="135">
        <f>Y$3</f>
        <v>46179</v>
      </c>
      <c r="Z220" s="136" t="s">
        <v>557</v>
      </c>
      <c r="AA220" s="137" t="s">
        <v>557</v>
      </c>
      <c r="AB220" s="135"/>
      <c r="AC220" s="135">
        <f>AC$3</f>
        <v>46181</v>
      </c>
      <c r="AD220" s="136" t="s">
        <v>557</v>
      </c>
      <c r="AE220" s="137" t="s">
        <v>557</v>
      </c>
      <c r="AF220" s="135">
        <f>AF$3</f>
        <v>46182</v>
      </c>
      <c r="AG220" s="136" t="s">
        <v>557</v>
      </c>
      <c r="AH220" s="137" t="s">
        <v>557</v>
      </c>
      <c r="AI220" s="135">
        <f>AI$3</f>
        <v>46183</v>
      </c>
      <c r="AJ220" s="136" t="s">
        <v>557</v>
      </c>
      <c r="AK220" s="137" t="s">
        <v>557</v>
      </c>
      <c r="AL220" s="135">
        <f>AL$3</f>
        <v>46184</v>
      </c>
      <c r="AM220" s="136" t="s">
        <v>557</v>
      </c>
      <c r="AN220" s="137" t="s">
        <v>557</v>
      </c>
      <c r="AO220" s="135">
        <f>AO$3</f>
        <v>46185</v>
      </c>
      <c r="AP220" s="136" t="s">
        <v>557</v>
      </c>
      <c r="AQ220" s="137" t="s">
        <v>557</v>
      </c>
      <c r="AR220" s="135">
        <f>AR$3</f>
        <v>46186</v>
      </c>
      <c r="AS220" s="136" t="s">
        <v>557</v>
      </c>
      <c r="AT220" s="137" t="s">
        <v>557</v>
      </c>
      <c r="AU220" s="135"/>
      <c r="AV220" s="135">
        <f>AV$3</f>
        <v>46188</v>
      </c>
      <c r="AW220" s="148" t="s">
        <v>557</v>
      </c>
      <c r="AX220" s="137" t="s">
        <v>557</v>
      </c>
      <c r="AY220" s="135">
        <f>AY$3</f>
        <v>46189</v>
      </c>
      <c r="AZ220" s="136" t="s">
        <v>557</v>
      </c>
      <c r="BA220" s="137" t="s">
        <v>557</v>
      </c>
      <c r="BB220" s="135">
        <f>BB$3</f>
        <v>46190</v>
      </c>
      <c r="BC220" s="136" t="s">
        <v>557</v>
      </c>
      <c r="BD220" s="137" t="s">
        <v>557</v>
      </c>
      <c r="BE220" s="135">
        <f>BE$3</f>
        <v>46191</v>
      </c>
      <c r="BF220" s="136" t="s">
        <v>557</v>
      </c>
      <c r="BG220" s="137" t="s">
        <v>557</v>
      </c>
      <c r="BH220" s="135">
        <f>BH$3</f>
        <v>46192</v>
      </c>
      <c r="BI220" s="136" t="s">
        <v>557</v>
      </c>
      <c r="BJ220" s="137" t="s">
        <v>557</v>
      </c>
      <c r="BK220" s="135">
        <f>BK$3</f>
        <v>46193</v>
      </c>
      <c r="BL220" s="136" t="s">
        <v>557</v>
      </c>
      <c r="BM220" s="137" t="s">
        <v>557</v>
      </c>
    </row>
    <row r="221" spans="1:65" outlineLevel="1">
      <c r="A221" s="122" t="str">
        <f>$A$198</f>
        <v>Trần Văn Toản</v>
      </c>
      <c r="B221" s="157" t="s">
        <v>773</v>
      </c>
      <c r="C221" s="81" t="str">
        <f>IF($B221="","",INDEX('All Bảng'!C:C,MATCH($B221,'All Bảng'!$A:$A,0)))</f>
        <v>Quản lý BIM</v>
      </c>
      <c r="D221" s="81" t="str">
        <f>IF($B221="","",INDEX('All Bảng'!D:D,MATCH($B221,'All Bảng'!$A:$A,0)))</f>
        <v>N.HCM.CGIO.KSMN</v>
      </c>
      <c r="E221" s="81" t="str">
        <f>IF($B221="","",INDEX('All Bảng'!E:E,MATCH($B221,'All Bảng'!$A:$A,0)))</f>
        <v>Lô A5.01.04, mẫu M2, M2G, M5, M5G</v>
      </c>
      <c r="F221" s="81" t="str">
        <f>IF($B221="","",INDEX('All Bảng'!F:F,MATCH($B221,'All Bảng'!$A:$A,0)))</f>
        <v>KT</v>
      </c>
      <c r="G221" s="81" t="str">
        <f>IF($B221="","",INDEX('All Bảng'!G:G,MATCH($B221,'All Bảng'!$A:$A,0)))</f>
        <v>KSCL mô hình BIM</v>
      </c>
      <c r="H221" s="121"/>
      <c r="I221" s="135"/>
      <c r="J221" s="135">
        <f>J$3</f>
        <v>46174</v>
      </c>
      <c r="K221" s="148" t="s">
        <v>557</v>
      </c>
      <c r="L221" s="163" t="s">
        <v>557</v>
      </c>
      <c r="M221" s="135">
        <f>M$3</f>
        <v>46175</v>
      </c>
      <c r="N221" s="148" t="s">
        <v>557</v>
      </c>
      <c r="O221" s="137" t="s">
        <v>557</v>
      </c>
      <c r="P221" s="135">
        <f>P$3</f>
        <v>46176</v>
      </c>
      <c r="Q221" s="148" t="s">
        <v>557</v>
      </c>
      <c r="R221" s="137" t="s">
        <v>557</v>
      </c>
      <c r="S221" s="135">
        <f>S$3</f>
        <v>46177</v>
      </c>
      <c r="T221" s="136" t="s">
        <v>557</v>
      </c>
      <c r="U221" s="137" t="s">
        <v>557</v>
      </c>
      <c r="V221" s="135">
        <f>V$3</f>
        <v>46178</v>
      </c>
      <c r="W221" s="136" t="s">
        <v>557</v>
      </c>
      <c r="X221" s="137" t="s">
        <v>557</v>
      </c>
      <c r="Y221" s="135">
        <f>Y$3</f>
        <v>46179</v>
      </c>
      <c r="Z221" s="136" t="s">
        <v>557</v>
      </c>
      <c r="AA221" s="137" t="s">
        <v>557</v>
      </c>
      <c r="AB221" s="135"/>
      <c r="AC221" s="135">
        <f>AC$3</f>
        <v>46181</v>
      </c>
      <c r="AD221" s="136" t="s">
        <v>557</v>
      </c>
      <c r="AE221" s="137" t="s">
        <v>557</v>
      </c>
      <c r="AF221" s="135">
        <f>AF$3</f>
        <v>46182</v>
      </c>
      <c r="AG221" s="136" t="s">
        <v>557</v>
      </c>
      <c r="AH221" s="137" t="s">
        <v>557</v>
      </c>
      <c r="AI221" s="135">
        <f>AI$3</f>
        <v>46183</v>
      </c>
      <c r="AJ221" s="136" t="s">
        <v>557</v>
      </c>
      <c r="AK221" s="137" t="s">
        <v>557</v>
      </c>
      <c r="AL221" s="135">
        <f>AL$3</f>
        <v>46184</v>
      </c>
      <c r="AM221" s="136" t="s">
        <v>557</v>
      </c>
      <c r="AN221" s="137" t="s">
        <v>557</v>
      </c>
      <c r="AO221" s="135">
        <f>AO$3</f>
        <v>46185</v>
      </c>
      <c r="AP221" s="136" t="s">
        <v>557</v>
      </c>
      <c r="AQ221" s="137" t="s">
        <v>557</v>
      </c>
      <c r="AR221" s="135">
        <f>AR$3</f>
        <v>46186</v>
      </c>
      <c r="AS221" s="136" t="s">
        <v>557</v>
      </c>
      <c r="AT221" s="137" t="s">
        <v>557</v>
      </c>
      <c r="AU221" s="135"/>
      <c r="AV221" s="135">
        <f>AV$3</f>
        <v>46188</v>
      </c>
      <c r="AW221" s="148" t="s">
        <v>557</v>
      </c>
      <c r="AX221" s="137" t="s">
        <v>557</v>
      </c>
      <c r="AY221" s="135">
        <f>AY$3</f>
        <v>46189</v>
      </c>
      <c r="AZ221" s="136" t="s">
        <v>557</v>
      </c>
      <c r="BA221" s="137" t="s">
        <v>557</v>
      </c>
      <c r="BB221" s="135">
        <f>BB$3</f>
        <v>46190</v>
      </c>
      <c r="BC221" s="136" t="s">
        <v>557</v>
      </c>
      <c r="BD221" s="137" t="s">
        <v>557</v>
      </c>
      <c r="BE221" s="135">
        <f>BE$3</f>
        <v>46191</v>
      </c>
      <c r="BF221" s="136" t="s">
        <v>557</v>
      </c>
      <c r="BG221" s="137" t="s">
        <v>557</v>
      </c>
      <c r="BH221" s="135">
        <f>BH$3</f>
        <v>46192</v>
      </c>
      <c r="BI221" s="136" t="s">
        <v>557</v>
      </c>
      <c r="BJ221" s="137" t="s">
        <v>557</v>
      </c>
      <c r="BK221" s="135">
        <f>BK$3</f>
        <v>46193</v>
      </c>
      <c r="BL221" s="136" t="s">
        <v>557</v>
      </c>
      <c r="BM221" s="137" t="s">
        <v>557</v>
      </c>
    </row>
    <row r="222" spans="1:65" outlineLevel="1">
      <c r="A222" s="122" t="str">
        <f>$A$198</f>
        <v>Trần Văn Toản</v>
      </c>
      <c r="B222" s="157" t="s">
        <v>774</v>
      </c>
      <c r="C222" s="81" t="str">
        <f>IF($B222="","",INDEX('All Bảng'!C:C,MATCH($B222,'All Bảng'!$A:$A,0)))</f>
        <v>Quản lý BIM</v>
      </c>
      <c r="D222" s="81" t="str">
        <f>IF($B222="","",INDEX('All Bảng'!D:D,MATCH($B222,'All Bảng'!$A:$A,0)))</f>
        <v>N.HCM.CGIO.KSMN</v>
      </c>
      <c r="E222" s="81" t="str">
        <f>IF($B222="","",INDEX('All Bảng'!E:E,MATCH($B222,'All Bảng'!$A:$A,0)))</f>
        <v>Lô A5.01.04, mẫu M2, M2G, M5, M5G</v>
      </c>
      <c r="F222" s="81" t="str">
        <f>IF($B222="","",INDEX('All Bảng'!F:F,MATCH($B222,'All Bảng'!$A:$A,0)))</f>
        <v>KT</v>
      </c>
      <c r="G222" s="81" t="str">
        <f>IF($B222="","",INDEX('All Bảng'!G:G,MATCH($B222,'All Bảng'!$A:$A,0)))</f>
        <v>Tạo lập mô hình BIM</v>
      </c>
      <c r="H222" s="121"/>
      <c r="I222" s="135"/>
      <c r="J222" s="135">
        <f>J$3</f>
        <v>46174</v>
      </c>
      <c r="K222" s="148" t="s">
        <v>557</v>
      </c>
      <c r="L222" s="163" t="s">
        <v>557</v>
      </c>
      <c r="M222" s="135">
        <f>M$3</f>
        <v>46175</v>
      </c>
      <c r="N222" s="148" t="s">
        <v>557</v>
      </c>
      <c r="O222" s="137" t="s">
        <v>557</v>
      </c>
      <c r="P222" s="135">
        <f>P$3</f>
        <v>46176</v>
      </c>
      <c r="Q222" s="148" t="s">
        <v>557</v>
      </c>
      <c r="R222" s="137" t="s">
        <v>557</v>
      </c>
      <c r="S222" s="135">
        <f>S$3</f>
        <v>46177</v>
      </c>
      <c r="T222" s="136" t="s">
        <v>557</v>
      </c>
      <c r="U222" s="137" t="s">
        <v>557</v>
      </c>
      <c r="V222" s="135">
        <f>V$3</f>
        <v>46178</v>
      </c>
      <c r="W222" s="136" t="s">
        <v>557</v>
      </c>
      <c r="X222" s="137" t="s">
        <v>557</v>
      </c>
      <c r="Y222" s="135">
        <f>Y$3</f>
        <v>46179</v>
      </c>
      <c r="Z222" s="136" t="s">
        <v>557</v>
      </c>
      <c r="AA222" s="137" t="s">
        <v>557</v>
      </c>
      <c r="AB222" s="135"/>
      <c r="AC222" s="135">
        <f>AC$3</f>
        <v>46181</v>
      </c>
      <c r="AD222" s="136" t="s">
        <v>557</v>
      </c>
      <c r="AE222" s="137" t="s">
        <v>557</v>
      </c>
      <c r="AF222" s="135">
        <f>AF$3</f>
        <v>46182</v>
      </c>
      <c r="AG222" s="136" t="s">
        <v>557</v>
      </c>
      <c r="AH222" s="137" t="s">
        <v>557</v>
      </c>
      <c r="AI222" s="135">
        <f>AI$3</f>
        <v>46183</v>
      </c>
      <c r="AJ222" s="136" t="s">
        <v>557</v>
      </c>
      <c r="AK222" s="137" t="s">
        <v>557</v>
      </c>
      <c r="AL222" s="135">
        <f>AL$3</f>
        <v>46184</v>
      </c>
      <c r="AM222" s="136" t="s">
        <v>557</v>
      </c>
      <c r="AN222" s="137" t="s">
        <v>557</v>
      </c>
      <c r="AO222" s="135">
        <f>AO$3</f>
        <v>46185</v>
      </c>
      <c r="AP222" s="136" t="s">
        <v>557</v>
      </c>
      <c r="AQ222" s="137" t="s">
        <v>557</v>
      </c>
      <c r="AR222" s="135">
        <f>AR$3</f>
        <v>46186</v>
      </c>
      <c r="AS222" s="136" t="s">
        <v>557</v>
      </c>
      <c r="AT222" s="137" t="s">
        <v>557</v>
      </c>
      <c r="AU222" s="135"/>
      <c r="AV222" s="135">
        <f>AV$3</f>
        <v>46188</v>
      </c>
      <c r="AW222" s="148" t="s">
        <v>557</v>
      </c>
      <c r="AX222" s="137" t="s">
        <v>557</v>
      </c>
      <c r="AY222" s="135">
        <f>AY$3</f>
        <v>46189</v>
      </c>
      <c r="AZ222" s="136" t="s">
        <v>557</v>
      </c>
      <c r="BA222" s="137" t="s">
        <v>557</v>
      </c>
      <c r="BB222" s="135">
        <f>BB$3</f>
        <v>46190</v>
      </c>
      <c r="BC222" s="136" t="s">
        <v>557</v>
      </c>
      <c r="BD222" s="137" t="s">
        <v>557</v>
      </c>
      <c r="BE222" s="135">
        <f>BE$3</f>
        <v>46191</v>
      </c>
      <c r="BF222" s="136" t="s">
        <v>557</v>
      </c>
      <c r="BG222" s="137" t="s">
        <v>557</v>
      </c>
      <c r="BH222" s="135">
        <f>BH$3</f>
        <v>46192</v>
      </c>
      <c r="BI222" s="136" t="s">
        <v>557</v>
      </c>
      <c r="BJ222" s="137" t="s">
        <v>557</v>
      </c>
      <c r="BK222" s="135">
        <f>BK$3</f>
        <v>46193</v>
      </c>
      <c r="BL222" s="136" t="s">
        <v>557</v>
      </c>
      <c r="BM222" s="137" t="s">
        <v>557</v>
      </c>
    </row>
    <row r="223" spans="1:65" outlineLevel="1">
      <c r="A223" s="122" t="str">
        <f>$A$198</f>
        <v>Trần Văn Toản</v>
      </c>
      <c r="B223" s="33" t="s">
        <v>775</v>
      </c>
      <c r="C223" s="81" t="str">
        <f>IF($B223="","",INDEX('All Bảng'!C:C,MATCH($B223,'All Bảng'!$A:$A,0)))</f>
        <v>Quản lý BIM</v>
      </c>
      <c r="D223" s="81" t="str">
        <f>IF($B223="","",INDEX('All Bảng'!D:D,MATCH($B223,'All Bảng'!$A:$A,0)))</f>
        <v>N.HCM.CGIO.KSMN</v>
      </c>
      <c r="E223" s="81" t="str">
        <f>IF($B223="","",INDEX('All Bảng'!E:E,MATCH($B223,'All Bảng'!$A:$A,0)))</f>
        <v>Lô A5.01.04, mẫu M2, M2G, M5, M5G</v>
      </c>
      <c r="F223" s="81" t="str">
        <f>IF($B223="","",INDEX('All Bảng'!F:F,MATCH($B223,'All Bảng'!$A:$A,0)))</f>
        <v>KC</v>
      </c>
      <c r="G223" s="81" t="str">
        <f>IF($B223="","",INDEX('All Bảng'!G:G,MATCH($B223,'All Bảng'!$A:$A,0)))</f>
        <v>KSCL mô hình BIM</v>
      </c>
      <c r="H223" s="121"/>
      <c r="I223" s="135"/>
      <c r="J223" s="135">
        <f>J$3</f>
        <v>46174</v>
      </c>
      <c r="K223" s="148" t="s">
        <v>557</v>
      </c>
      <c r="L223" s="163" t="s">
        <v>557</v>
      </c>
      <c r="M223" s="135">
        <f>M$3</f>
        <v>46175</v>
      </c>
      <c r="N223" s="148" t="s">
        <v>557</v>
      </c>
      <c r="O223" s="137" t="s">
        <v>557</v>
      </c>
      <c r="P223" s="135">
        <f>P$3</f>
        <v>46176</v>
      </c>
      <c r="Q223" s="148" t="s">
        <v>557</v>
      </c>
      <c r="R223" s="137" t="s">
        <v>557</v>
      </c>
      <c r="S223" s="135">
        <f>S$3</f>
        <v>46177</v>
      </c>
      <c r="T223" s="136" t="s">
        <v>557</v>
      </c>
      <c r="U223" s="137" t="s">
        <v>557</v>
      </c>
      <c r="V223" s="135">
        <f>V$3</f>
        <v>46178</v>
      </c>
      <c r="W223" s="136" t="s">
        <v>557</v>
      </c>
      <c r="X223" s="137" t="s">
        <v>557</v>
      </c>
      <c r="Y223" s="135">
        <f>Y$3</f>
        <v>46179</v>
      </c>
      <c r="Z223" s="136" t="s">
        <v>557</v>
      </c>
      <c r="AA223" s="137" t="s">
        <v>557</v>
      </c>
      <c r="AB223" s="135"/>
      <c r="AC223" s="135">
        <f>AC$3</f>
        <v>46181</v>
      </c>
      <c r="AD223" s="136" t="s">
        <v>557</v>
      </c>
      <c r="AE223" s="137" t="s">
        <v>557</v>
      </c>
      <c r="AF223" s="135">
        <f>AF$3</f>
        <v>46182</v>
      </c>
      <c r="AG223" s="136" t="s">
        <v>557</v>
      </c>
      <c r="AH223" s="137" t="s">
        <v>557</v>
      </c>
      <c r="AI223" s="135">
        <f>AI$3</f>
        <v>46183</v>
      </c>
      <c r="AJ223" s="136" t="s">
        <v>557</v>
      </c>
      <c r="AK223" s="137" t="s">
        <v>557</v>
      </c>
      <c r="AL223" s="135">
        <f>AL$3</f>
        <v>46184</v>
      </c>
      <c r="AM223" s="136" t="s">
        <v>557</v>
      </c>
      <c r="AN223" s="137" t="s">
        <v>557</v>
      </c>
      <c r="AO223" s="135">
        <f>AO$3</f>
        <v>46185</v>
      </c>
      <c r="AP223" s="136" t="s">
        <v>557</v>
      </c>
      <c r="AQ223" s="137" t="s">
        <v>557</v>
      </c>
      <c r="AR223" s="135">
        <f>AR$3</f>
        <v>46186</v>
      </c>
      <c r="AS223" s="136" t="s">
        <v>557</v>
      </c>
      <c r="AT223" s="137" t="s">
        <v>557</v>
      </c>
      <c r="AU223" s="135"/>
      <c r="AV223" s="135">
        <f>AV$3</f>
        <v>46188</v>
      </c>
      <c r="AW223" s="148" t="s">
        <v>557</v>
      </c>
      <c r="AX223" s="137" t="s">
        <v>557</v>
      </c>
      <c r="AY223" s="135">
        <f>AY$3</f>
        <v>46189</v>
      </c>
      <c r="AZ223" s="136" t="s">
        <v>557</v>
      </c>
      <c r="BA223" s="137" t="s">
        <v>557</v>
      </c>
      <c r="BB223" s="135">
        <f>BB$3</f>
        <v>46190</v>
      </c>
      <c r="BC223" s="136" t="s">
        <v>557</v>
      </c>
      <c r="BD223" s="137" t="s">
        <v>557</v>
      </c>
      <c r="BE223" s="135">
        <f>BE$3</f>
        <v>46191</v>
      </c>
      <c r="BF223" s="136" t="s">
        <v>557</v>
      </c>
      <c r="BG223" s="137" t="s">
        <v>557</v>
      </c>
      <c r="BH223" s="135">
        <f>BH$3</f>
        <v>46192</v>
      </c>
      <c r="BI223" s="136" t="s">
        <v>557</v>
      </c>
      <c r="BJ223" s="137" t="s">
        <v>557</v>
      </c>
      <c r="BK223" s="135">
        <f>BK$3</f>
        <v>46193</v>
      </c>
      <c r="BL223" s="136" t="s">
        <v>557</v>
      </c>
      <c r="BM223" s="137" t="s">
        <v>557</v>
      </c>
    </row>
    <row r="224" spans="1:65" outlineLevel="1">
      <c r="A224" s="122" t="str">
        <f>$A$198</f>
        <v>Trần Văn Toản</v>
      </c>
      <c r="B224" s="33" t="s">
        <v>747</v>
      </c>
      <c r="C224" s="81" t="str">
        <f>IF($B224="","",INDEX('All Bảng'!C:C,MATCH($B224,'All Bảng'!$A:$A,0)))</f>
        <v>Quản lý BIM</v>
      </c>
      <c r="D224" s="81" t="str">
        <f>IF($B224="","",INDEX('All Bảng'!D:D,MATCH($B224,'All Bảng'!$A:$A,0)))</f>
        <v>N.HCM.CGIO.KSMN</v>
      </c>
      <c r="E224" s="81" t="str">
        <f>IF($B224="","",INDEX('All Bảng'!E:E,MATCH($B224,'All Bảng'!$A:$A,0)))</f>
        <v>Lô A5.01.01, mẫu M1G, M7, M8G</v>
      </c>
      <c r="F224" s="81" t="str">
        <f>IF($B224="","",INDEX('All Bảng'!F:F,MATCH($B224,'All Bảng'!$A:$A,0)))</f>
        <v>KT</v>
      </c>
      <c r="G224" s="81" t="str">
        <f>IF($B224="","",INDEX('All Bảng'!G:G,MATCH($B224,'All Bảng'!$A:$A,0)))</f>
        <v>Tạo lập thư viện</v>
      </c>
      <c r="H224" s="121"/>
      <c r="I224" s="135"/>
      <c r="J224" s="135">
        <f>J$3</f>
        <v>46174</v>
      </c>
      <c r="K224" s="148" t="s">
        <v>557</v>
      </c>
      <c r="L224" s="163" t="s">
        <v>557</v>
      </c>
      <c r="M224" s="135">
        <f>M$3</f>
        <v>46175</v>
      </c>
      <c r="N224" s="148" t="s">
        <v>557</v>
      </c>
      <c r="O224" s="137" t="s">
        <v>557</v>
      </c>
      <c r="P224" s="135">
        <f>P$3</f>
        <v>46176</v>
      </c>
      <c r="Q224" s="148" t="s">
        <v>557</v>
      </c>
      <c r="R224" s="137" t="s">
        <v>557</v>
      </c>
      <c r="S224" s="135">
        <f>S$3</f>
        <v>46177</v>
      </c>
      <c r="T224" s="325" t="s">
        <v>748</v>
      </c>
      <c r="U224" s="137">
        <v>0.25</v>
      </c>
      <c r="V224" s="135">
        <f>V$3</f>
        <v>46178</v>
      </c>
      <c r="W224" s="136" t="s">
        <v>557</v>
      </c>
      <c r="X224" s="137" t="s">
        <v>557</v>
      </c>
      <c r="Y224" s="135">
        <f>Y$3</f>
        <v>46179</v>
      </c>
      <c r="Z224" s="136" t="s">
        <v>557</v>
      </c>
      <c r="AA224" s="137" t="s">
        <v>557</v>
      </c>
      <c r="AB224" s="135"/>
      <c r="AC224" s="135">
        <f>AC$3</f>
        <v>46181</v>
      </c>
      <c r="AD224" s="136" t="s">
        <v>557</v>
      </c>
      <c r="AE224" s="137" t="s">
        <v>557</v>
      </c>
      <c r="AF224" s="135">
        <f>AF$3</f>
        <v>46182</v>
      </c>
      <c r="AG224" s="136" t="s">
        <v>557</v>
      </c>
      <c r="AH224" s="137" t="s">
        <v>557</v>
      </c>
      <c r="AI224" s="135">
        <f>AI$3</f>
        <v>46183</v>
      </c>
      <c r="AJ224" s="136" t="s">
        <v>557</v>
      </c>
      <c r="AK224" s="137" t="s">
        <v>557</v>
      </c>
      <c r="AL224" s="135">
        <f>AL$3</f>
        <v>46184</v>
      </c>
      <c r="AM224" s="136" t="s">
        <v>557</v>
      </c>
      <c r="AN224" s="137" t="s">
        <v>557</v>
      </c>
      <c r="AO224" s="135">
        <f>AO$3</f>
        <v>46185</v>
      </c>
      <c r="AP224" s="136" t="s">
        <v>557</v>
      </c>
      <c r="AQ224" s="137" t="s">
        <v>557</v>
      </c>
      <c r="AR224" s="135">
        <f>AR$3</f>
        <v>46186</v>
      </c>
      <c r="AS224" s="136" t="s">
        <v>557</v>
      </c>
      <c r="AT224" s="137" t="s">
        <v>557</v>
      </c>
      <c r="AU224" s="135"/>
      <c r="AV224" s="135">
        <f>AV$3</f>
        <v>46188</v>
      </c>
      <c r="AW224" s="148" t="s">
        <v>557</v>
      </c>
      <c r="AX224" s="137" t="s">
        <v>557</v>
      </c>
      <c r="AY224" s="135">
        <f>AY$3</f>
        <v>46189</v>
      </c>
      <c r="AZ224" s="136" t="s">
        <v>557</v>
      </c>
      <c r="BA224" s="137" t="s">
        <v>557</v>
      </c>
      <c r="BB224" s="135">
        <f>BB$3</f>
        <v>46190</v>
      </c>
      <c r="BC224" s="136" t="s">
        <v>557</v>
      </c>
      <c r="BD224" s="137" t="s">
        <v>557</v>
      </c>
      <c r="BE224" s="135">
        <f>BE$3</f>
        <v>46191</v>
      </c>
      <c r="BF224" s="136" t="s">
        <v>557</v>
      </c>
      <c r="BG224" s="137" t="s">
        <v>557</v>
      </c>
      <c r="BH224" s="135">
        <f>BH$3</f>
        <v>46192</v>
      </c>
      <c r="BI224" s="136" t="s">
        <v>557</v>
      </c>
      <c r="BJ224" s="137" t="s">
        <v>557</v>
      </c>
      <c r="BK224" s="135">
        <f>BK$3</f>
        <v>46193</v>
      </c>
      <c r="BL224" s="136" t="s">
        <v>557</v>
      </c>
      <c r="BM224" s="137" t="s">
        <v>557</v>
      </c>
    </row>
    <row r="225" spans="1:65" outlineLevel="1">
      <c r="A225" s="122" t="str">
        <f>$A$198</f>
        <v>Trần Văn Toản</v>
      </c>
      <c r="B225" s="157"/>
      <c r="C225" s="81" t="str">
        <f>IF($B225="","",INDEX('All Bảng'!C:C,MATCH($B225,'All Bảng'!$A:$A,0)))</f>
        <v/>
      </c>
      <c r="D225" s="81" t="str">
        <f>IF($B225="","",INDEX('All Bảng'!D:D,MATCH($B225,'All Bảng'!$A:$A,0)))</f>
        <v/>
      </c>
      <c r="E225" s="81" t="str">
        <f>IF($B225="","",INDEX('All Bảng'!E:E,MATCH($B225,'All Bảng'!$A:$A,0)))</f>
        <v/>
      </c>
      <c r="F225" s="81" t="str">
        <f>IF($B225="","",INDEX('All Bảng'!F:F,MATCH($B225,'All Bảng'!$A:$A,0)))</f>
        <v/>
      </c>
      <c r="G225" s="81" t="str">
        <f>IF($B225="","",INDEX('All Bảng'!G:G,MATCH($B225,'All Bảng'!$A:$A,0)))</f>
        <v/>
      </c>
      <c r="H225" s="121"/>
      <c r="I225" s="135"/>
      <c r="J225" s="135">
        <f>J$3</f>
        <v>46174</v>
      </c>
      <c r="K225" s="148" t="s">
        <v>557</v>
      </c>
      <c r="L225" s="163" t="s">
        <v>557</v>
      </c>
      <c r="M225" s="135">
        <f>M$3</f>
        <v>46175</v>
      </c>
      <c r="N225" s="148" t="s">
        <v>557</v>
      </c>
      <c r="O225" s="137" t="s">
        <v>557</v>
      </c>
      <c r="P225" s="135">
        <f>P$3</f>
        <v>46176</v>
      </c>
      <c r="Q225" s="148" t="s">
        <v>557</v>
      </c>
      <c r="R225" s="137" t="s">
        <v>557</v>
      </c>
      <c r="S225" s="135">
        <f>S$3</f>
        <v>46177</v>
      </c>
      <c r="T225" s="136" t="s">
        <v>557</v>
      </c>
      <c r="U225" s="137" t="s">
        <v>557</v>
      </c>
      <c r="V225" s="135">
        <f>V$3</f>
        <v>46178</v>
      </c>
      <c r="W225" s="136" t="s">
        <v>557</v>
      </c>
      <c r="X225" s="137" t="s">
        <v>557</v>
      </c>
      <c r="Y225" s="135">
        <f>Y$3</f>
        <v>46179</v>
      </c>
      <c r="Z225" s="136" t="s">
        <v>557</v>
      </c>
      <c r="AA225" s="137" t="s">
        <v>557</v>
      </c>
      <c r="AB225" s="135"/>
      <c r="AC225" s="135">
        <f>AC$3</f>
        <v>46181</v>
      </c>
      <c r="AD225" s="136" t="s">
        <v>557</v>
      </c>
      <c r="AE225" s="137" t="s">
        <v>557</v>
      </c>
      <c r="AF225" s="135">
        <f>AF$3</f>
        <v>46182</v>
      </c>
      <c r="AG225" s="136" t="s">
        <v>557</v>
      </c>
      <c r="AH225" s="137" t="s">
        <v>557</v>
      </c>
      <c r="AI225" s="135">
        <f>AI$3</f>
        <v>46183</v>
      </c>
      <c r="AJ225" s="136" t="s">
        <v>557</v>
      </c>
      <c r="AK225" s="137" t="s">
        <v>557</v>
      </c>
      <c r="AL225" s="135">
        <f>AL$3</f>
        <v>46184</v>
      </c>
      <c r="AM225" s="136" t="s">
        <v>557</v>
      </c>
      <c r="AN225" s="137" t="s">
        <v>557</v>
      </c>
      <c r="AO225" s="135">
        <f>AO$3</f>
        <v>46185</v>
      </c>
      <c r="AP225" s="136" t="s">
        <v>557</v>
      </c>
      <c r="AQ225" s="137" t="s">
        <v>557</v>
      </c>
      <c r="AR225" s="135">
        <f>AR$3</f>
        <v>46186</v>
      </c>
      <c r="AS225" s="136" t="s">
        <v>557</v>
      </c>
      <c r="AT225" s="137" t="s">
        <v>557</v>
      </c>
      <c r="AU225" s="135"/>
      <c r="AV225" s="135">
        <f>AV$3</f>
        <v>46188</v>
      </c>
      <c r="AW225" s="148" t="s">
        <v>557</v>
      </c>
      <c r="AX225" s="137" t="s">
        <v>557</v>
      </c>
      <c r="AY225" s="135">
        <f>AY$3</f>
        <v>46189</v>
      </c>
      <c r="AZ225" s="136" t="s">
        <v>557</v>
      </c>
      <c r="BA225" s="137" t="s">
        <v>557</v>
      </c>
      <c r="BB225" s="135">
        <f>BB$3</f>
        <v>46190</v>
      </c>
      <c r="BC225" s="136" t="s">
        <v>557</v>
      </c>
      <c r="BD225" s="137" t="s">
        <v>557</v>
      </c>
      <c r="BE225" s="135">
        <f>BE$3</f>
        <v>46191</v>
      </c>
      <c r="BF225" s="136" t="s">
        <v>557</v>
      </c>
      <c r="BG225" s="137" t="s">
        <v>557</v>
      </c>
      <c r="BH225" s="135">
        <f>BH$3</f>
        <v>46192</v>
      </c>
      <c r="BI225" s="136" t="s">
        <v>557</v>
      </c>
      <c r="BJ225" s="137" t="s">
        <v>557</v>
      </c>
      <c r="BK225" s="135">
        <f>BK$3</f>
        <v>46193</v>
      </c>
      <c r="BL225" s="136" t="s">
        <v>557</v>
      </c>
      <c r="BM225" s="137" t="s">
        <v>557</v>
      </c>
    </row>
    <row r="226" spans="1:65" outlineLevel="1">
      <c r="A226" s="122" t="str">
        <f>$A$198</f>
        <v>Trần Văn Toản</v>
      </c>
      <c r="B226" s="157"/>
      <c r="C226" s="81" t="str">
        <f>IF($B226="","",INDEX('All Bảng'!C:C,MATCH($B226,'All Bảng'!$A:$A,0)))</f>
        <v/>
      </c>
      <c r="D226" s="81" t="str">
        <f>IF($B226="","",INDEX('All Bảng'!D:D,MATCH($B226,'All Bảng'!$A:$A,0)))</f>
        <v/>
      </c>
      <c r="E226" s="81" t="str">
        <f>IF($B226="","",INDEX('All Bảng'!E:E,MATCH($B226,'All Bảng'!$A:$A,0)))</f>
        <v/>
      </c>
      <c r="F226" s="81" t="str">
        <f>IF($B226="","",INDEX('All Bảng'!F:F,MATCH($B226,'All Bảng'!$A:$A,0)))</f>
        <v/>
      </c>
      <c r="G226" s="81" t="str">
        <f>IF($B226="","",INDEX('All Bảng'!G:G,MATCH($B226,'All Bảng'!$A:$A,0)))</f>
        <v/>
      </c>
      <c r="H226" s="121"/>
      <c r="I226" s="135"/>
      <c r="J226" s="135">
        <f>J$3</f>
        <v>46174</v>
      </c>
      <c r="K226" s="148" t="s">
        <v>557</v>
      </c>
      <c r="L226" s="163" t="s">
        <v>557</v>
      </c>
      <c r="M226" s="135">
        <f>M$3</f>
        <v>46175</v>
      </c>
      <c r="N226" s="148" t="s">
        <v>557</v>
      </c>
      <c r="O226" s="137" t="s">
        <v>557</v>
      </c>
      <c r="P226" s="135">
        <f>P$3</f>
        <v>46176</v>
      </c>
      <c r="Q226" s="148" t="s">
        <v>557</v>
      </c>
      <c r="R226" s="137" t="s">
        <v>557</v>
      </c>
      <c r="S226" s="135">
        <f>S$3</f>
        <v>46177</v>
      </c>
      <c r="T226" s="136" t="s">
        <v>557</v>
      </c>
      <c r="U226" s="137" t="s">
        <v>557</v>
      </c>
      <c r="V226" s="135">
        <f>V$3</f>
        <v>46178</v>
      </c>
      <c r="W226" s="136" t="s">
        <v>557</v>
      </c>
      <c r="X226" s="137" t="s">
        <v>557</v>
      </c>
      <c r="Y226" s="135">
        <f>Y$3</f>
        <v>46179</v>
      </c>
      <c r="Z226" s="136" t="s">
        <v>557</v>
      </c>
      <c r="AA226" s="137" t="s">
        <v>557</v>
      </c>
      <c r="AB226" s="135"/>
      <c r="AC226" s="135">
        <f>AC$3</f>
        <v>46181</v>
      </c>
      <c r="AD226" s="136" t="s">
        <v>557</v>
      </c>
      <c r="AE226" s="137" t="s">
        <v>557</v>
      </c>
      <c r="AF226" s="135">
        <f>AF$3</f>
        <v>46182</v>
      </c>
      <c r="AG226" s="136" t="s">
        <v>557</v>
      </c>
      <c r="AH226" s="137" t="s">
        <v>557</v>
      </c>
      <c r="AI226" s="135">
        <f>AI$3</f>
        <v>46183</v>
      </c>
      <c r="AJ226" s="136" t="s">
        <v>557</v>
      </c>
      <c r="AK226" s="137" t="s">
        <v>557</v>
      </c>
      <c r="AL226" s="135">
        <f>AL$3</f>
        <v>46184</v>
      </c>
      <c r="AM226" s="136" t="s">
        <v>557</v>
      </c>
      <c r="AN226" s="137" t="s">
        <v>557</v>
      </c>
      <c r="AO226" s="135">
        <f>AO$3</f>
        <v>46185</v>
      </c>
      <c r="AP226" s="136" t="s">
        <v>557</v>
      </c>
      <c r="AQ226" s="137" t="s">
        <v>557</v>
      </c>
      <c r="AR226" s="135">
        <f>AR$3</f>
        <v>46186</v>
      </c>
      <c r="AS226" s="136" t="s">
        <v>557</v>
      </c>
      <c r="AT226" s="137" t="s">
        <v>557</v>
      </c>
      <c r="AU226" s="135"/>
      <c r="AV226" s="135">
        <f>AV$3</f>
        <v>46188</v>
      </c>
      <c r="AW226" s="148" t="s">
        <v>557</v>
      </c>
      <c r="AX226" s="137" t="s">
        <v>557</v>
      </c>
      <c r="AY226" s="135">
        <f>AY$3</f>
        <v>46189</v>
      </c>
      <c r="AZ226" s="136" t="s">
        <v>557</v>
      </c>
      <c r="BA226" s="137" t="s">
        <v>557</v>
      </c>
      <c r="BB226" s="135">
        <f>BB$3</f>
        <v>46190</v>
      </c>
      <c r="BC226" s="136" t="s">
        <v>557</v>
      </c>
      <c r="BD226" s="137" t="s">
        <v>557</v>
      </c>
      <c r="BE226" s="135">
        <f>BE$3</f>
        <v>46191</v>
      </c>
      <c r="BF226" s="136" t="s">
        <v>557</v>
      </c>
      <c r="BG226" s="137" t="s">
        <v>557</v>
      </c>
      <c r="BH226" s="135">
        <f>BH$3</f>
        <v>46192</v>
      </c>
      <c r="BI226" s="136" t="s">
        <v>557</v>
      </c>
      <c r="BJ226" s="137" t="s">
        <v>557</v>
      </c>
      <c r="BK226" s="135">
        <f>BK$3</f>
        <v>46193</v>
      </c>
      <c r="BL226" s="136" t="s">
        <v>557</v>
      </c>
      <c r="BM226" s="137" t="s">
        <v>557</v>
      </c>
    </row>
    <row r="227" spans="1:65" outlineLevel="1">
      <c r="A227" s="122" t="s">
        <v>36</v>
      </c>
      <c r="B227" s="82" t="str">
        <f>'Bảng 7'!A6</f>
        <v>1.Công việc khác.004</v>
      </c>
      <c r="C227" s="81" t="str">
        <f>IF($B227="","",INDEX('All Bảng'!C:C,MATCH($B227,'All Bảng'!$A:$A,0)))</f>
        <v>Công việc khác</v>
      </c>
      <c r="D227" s="81" t="str">
        <f>IF($B227="","",INDEX('All Bảng'!D:D,MATCH($B227,'All Bảng'!$A:$A,0)))</f>
        <v>Công việc khác</v>
      </c>
      <c r="E227" s="81" t="str">
        <f>IF($B227="","",INDEX('All Bảng'!E:E,MATCH($B227,'All Bảng'!$A:$A,0)))</f>
        <v>Công việc khác</v>
      </c>
      <c r="F227" s="81" t="str">
        <f>IF($B227="","",INDEX('All Bảng'!F:F,MATCH($B227,'All Bảng'!$A:$A,0)))</f>
        <v>BIM</v>
      </c>
      <c r="G227" s="81" t="str">
        <f>IF($B227="","",INDEX('All Bảng'!G:G,MATCH($B227,'All Bảng'!$A:$A,0)))</f>
        <v>Báo cáo công việc</v>
      </c>
      <c r="H227" s="121"/>
      <c r="I227" s="135"/>
      <c r="J227" s="135">
        <f>J$3</f>
        <v>46174</v>
      </c>
      <c r="K227" s="148" t="s">
        <v>703</v>
      </c>
      <c r="L227" s="163">
        <v>0.25</v>
      </c>
      <c r="M227" s="135">
        <f>M$3</f>
        <v>46175</v>
      </c>
      <c r="N227" s="148" t="s">
        <v>557</v>
      </c>
      <c r="O227" s="137" t="s">
        <v>557</v>
      </c>
      <c r="P227" s="135">
        <f>P$3</f>
        <v>46176</v>
      </c>
      <c r="Q227" s="148" t="s">
        <v>749</v>
      </c>
      <c r="R227" s="137">
        <v>0.5</v>
      </c>
      <c r="S227" s="135">
        <f>S$3</f>
        <v>46177</v>
      </c>
      <c r="T227" s="136" t="s">
        <v>557</v>
      </c>
      <c r="U227" s="137" t="s">
        <v>557</v>
      </c>
      <c r="V227" s="135">
        <f>V$3</f>
        <v>46178</v>
      </c>
      <c r="W227" s="136" t="s">
        <v>557</v>
      </c>
      <c r="X227" s="137" t="s">
        <v>557</v>
      </c>
      <c r="Y227" s="135">
        <f>Y$3</f>
        <v>46179</v>
      </c>
      <c r="Z227" s="136" t="s">
        <v>557</v>
      </c>
      <c r="AA227" s="137" t="s">
        <v>557</v>
      </c>
      <c r="AB227" s="135"/>
      <c r="AC227" s="135">
        <f>AC$3</f>
        <v>46181</v>
      </c>
      <c r="AD227" s="136" t="s">
        <v>557</v>
      </c>
      <c r="AE227" s="137" t="s">
        <v>557</v>
      </c>
      <c r="AF227" s="135">
        <f>AF$3</f>
        <v>46182</v>
      </c>
      <c r="AG227" s="136" t="s">
        <v>557</v>
      </c>
      <c r="AH227" s="137" t="s">
        <v>557</v>
      </c>
      <c r="AI227" s="135">
        <f>AI$3</f>
        <v>46183</v>
      </c>
      <c r="AJ227" s="136" t="s">
        <v>557</v>
      </c>
      <c r="AK227" s="137" t="s">
        <v>557</v>
      </c>
      <c r="AL227" s="135">
        <f>AL$3</f>
        <v>46184</v>
      </c>
      <c r="AM227" s="136" t="s">
        <v>557</v>
      </c>
      <c r="AN227" s="137" t="s">
        <v>557</v>
      </c>
      <c r="AO227" s="135">
        <f>AO$3</f>
        <v>46185</v>
      </c>
      <c r="AP227" s="136" t="s">
        <v>557</v>
      </c>
      <c r="AQ227" s="137" t="s">
        <v>557</v>
      </c>
      <c r="AR227" s="135">
        <f>AR$3</f>
        <v>46186</v>
      </c>
      <c r="AS227" s="136" t="s">
        <v>557</v>
      </c>
      <c r="AT227" s="137" t="s">
        <v>557</v>
      </c>
      <c r="AU227" s="135"/>
      <c r="AV227" s="135">
        <f>AV$3</f>
        <v>46188</v>
      </c>
      <c r="AW227" s="148" t="s">
        <v>557</v>
      </c>
      <c r="AX227" s="137" t="s">
        <v>557</v>
      </c>
      <c r="AY227" s="135">
        <f>AY$3</f>
        <v>46189</v>
      </c>
      <c r="AZ227" s="136" t="s">
        <v>557</v>
      </c>
      <c r="BA227" s="137" t="s">
        <v>557</v>
      </c>
      <c r="BB227" s="135">
        <f>BB$3</f>
        <v>46190</v>
      </c>
      <c r="BC227" s="136" t="s">
        <v>557</v>
      </c>
      <c r="BD227" s="137" t="s">
        <v>557</v>
      </c>
      <c r="BE227" s="135">
        <f>BE$3</f>
        <v>46191</v>
      </c>
      <c r="BF227" s="136" t="s">
        <v>557</v>
      </c>
      <c r="BG227" s="137" t="s">
        <v>557</v>
      </c>
      <c r="BH227" s="135">
        <f>BH$3</f>
        <v>46192</v>
      </c>
      <c r="BI227" s="136" t="s">
        <v>557</v>
      </c>
      <c r="BJ227" s="137" t="s">
        <v>557</v>
      </c>
      <c r="BK227" s="135">
        <f>BK$3</f>
        <v>46193</v>
      </c>
      <c r="BL227" s="136" t="s">
        <v>557</v>
      </c>
      <c r="BM227" s="137" t="s">
        <v>557</v>
      </c>
    </row>
    <row r="228" spans="1:65">
      <c r="A228" s="152"/>
      <c r="B228" s="12"/>
      <c r="C228" s="12"/>
      <c r="D228" s="12"/>
      <c r="E228" s="75"/>
      <c r="F228" s="12"/>
      <c r="G228" s="75"/>
      <c r="H228" s="93"/>
      <c r="I228" s="153"/>
      <c r="J228" s="153"/>
      <c r="K228" s="154"/>
      <c r="L228" s="164"/>
      <c r="M228" s="153"/>
      <c r="N228" s="154"/>
      <c r="O228" s="155"/>
      <c r="P228" s="153"/>
      <c r="Q228" s="154"/>
      <c r="R228" s="155"/>
      <c r="S228" s="153"/>
      <c r="T228" s="156"/>
      <c r="U228" s="155"/>
      <c r="V228" s="153"/>
      <c r="W228" s="156"/>
      <c r="X228" s="155"/>
      <c r="Y228" s="153"/>
      <c r="Z228" s="156"/>
      <c r="AA228" s="155"/>
      <c r="AB228" s="153"/>
      <c r="AC228" s="153"/>
      <c r="AD228" s="156"/>
      <c r="AE228" s="155"/>
      <c r="AF228" s="153"/>
      <c r="AG228" s="156"/>
      <c r="AH228" s="155"/>
      <c r="AI228" s="153"/>
      <c r="AJ228" s="156"/>
      <c r="AK228" s="155"/>
      <c r="AL228" s="153"/>
      <c r="AM228" s="156"/>
      <c r="AN228" s="155"/>
      <c r="AO228" s="153"/>
      <c r="AP228" s="156"/>
      <c r="AQ228" s="155"/>
      <c r="AR228" s="153"/>
      <c r="AS228" s="156"/>
      <c r="AT228" s="155"/>
      <c r="AU228" s="153"/>
      <c r="AV228" s="153"/>
      <c r="AW228" s="154"/>
      <c r="AX228" s="155"/>
      <c r="AY228" s="153"/>
      <c r="AZ228" s="156"/>
      <c r="BA228" s="155"/>
      <c r="BB228" s="153"/>
      <c r="BC228" s="156"/>
      <c r="BD228" s="155"/>
      <c r="BE228" s="153"/>
      <c r="BF228" s="156"/>
      <c r="BG228" s="155"/>
      <c r="BH228" s="153"/>
      <c r="BI228" s="156"/>
      <c r="BJ228" s="155"/>
      <c r="BK228" s="153"/>
      <c r="BL228" s="156"/>
      <c r="BM228" s="155"/>
    </row>
  </sheetData>
  <autoFilter ref="A3:H171" xr:uid="{D67015DE-D1F2-49CB-BB0A-DEC642B2460A}"/>
  <sortState xmlns:xlrd2="http://schemas.microsoft.com/office/spreadsheetml/2017/richdata2" ref="B27:BQ30">
    <sortCondition ref="B27:B30"/>
  </sortState>
  <mergeCells count="1">
    <mergeCell ref="A1:H1"/>
  </mergeCells>
  <conditionalFormatting sqref="B134:B170">
    <cfRule type="duplicateValues" dxfId="26" priority="23"/>
  </conditionalFormatting>
  <conditionalFormatting sqref="K176">
    <cfRule type="expression" dxfId="25" priority="20">
      <formula>$K176="Đến hạn"</formula>
    </cfRule>
  </conditionalFormatting>
  <conditionalFormatting sqref="K176">
    <cfRule type="expression" dxfId="24" priority="14">
      <formula>$K176="Hủy"</formula>
    </cfRule>
  </conditionalFormatting>
  <conditionalFormatting sqref="K176">
    <cfRule type="expression" dxfId="23" priority="15">
      <formula>$K176="Quá hạn"</formula>
    </cfRule>
  </conditionalFormatting>
  <conditionalFormatting sqref="K176">
    <cfRule type="expression" dxfId="22" priority="16">
      <formula>$K176="Tạm dừng"</formula>
    </cfRule>
  </conditionalFormatting>
  <conditionalFormatting sqref="K176">
    <cfRule type="expression" dxfId="21" priority="17">
      <formula>$K176="Đã hoàn thành"</formula>
    </cfRule>
  </conditionalFormatting>
  <conditionalFormatting sqref="K176">
    <cfRule type="expression" dxfId="20" priority="18">
      <formula>$K176="Đang tiến hành"</formula>
    </cfRule>
  </conditionalFormatting>
  <conditionalFormatting sqref="K176">
    <cfRule type="expression" dxfId="19" priority="19">
      <formula>$K176="Chưa bắt đầu"</formula>
    </cfRule>
  </conditionalFormatting>
  <conditionalFormatting sqref="K176">
    <cfRule type="expression" dxfId="18" priority="13">
      <formula>$K176="Chưa triển khai"</formula>
    </cfRule>
  </conditionalFormatting>
  <conditionalFormatting sqref="B227">
    <cfRule type="duplicateValues" dxfId="17" priority="9"/>
  </conditionalFormatting>
  <conditionalFormatting sqref="B100:B133">
    <cfRule type="duplicateValues" dxfId="16" priority="221"/>
  </conditionalFormatting>
  <conditionalFormatting sqref="B66:B99">
    <cfRule type="duplicateValues" dxfId="15" priority="232"/>
  </conditionalFormatting>
  <conditionalFormatting sqref="B198:B203 B207:B226">
    <cfRule type="duplicateValues" dxfId="14" priority="242"/>
  </conditionalFormatting>
  <conditionalFormatting sqref="B37:B47 B49:B65">
    <cfRule type="duplicateValues" dxfId="13" priority="245"/>
  </conditionalFormatting>
  <conditionalFormatting sqref="B4:B36">
    <cfRule type="duplicateValues" dxfId="12" priority="249"/>
  </conditionalFormatting>
  <conditionalFormatting sqref="B48">
    <cfRule type="duplicateValues" dxfId="11" priority="4"/>
  </conditionalFormatting>
  <conditionalFormatting sqref="B206">
    <cfRule type="duplicateValues" dxfId="10" priority="3"/>
  </conditionalFormatting>
  <conditionalFormatting sqref="B205">
    <cfRule type="duplicateValues" dxfId="9" priority="2"/>
  </conditionalFormatting>
  <conditionalFormatting sqref="B171:B197">
    <cfRule type="duplicateValues" dxfId="8" priority="253"/>
  </conditionalFormatting>
  <conditionalFormatting sqref="B204">
    <cfRule type="duplicateValues" dxfId="7" priority="1"/>
  </conditionalFormatting>
  <dataValidations count="1">
    <dataValidation allowBlank="1" showInputMessage="1" showErrorMessage="1" sqref="K176" xr:uid="{EAA8C3CB-CF84-4F69-942B-BC81D01FBF70}"/>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A2A244B-FB33-4C89-AC23-E300D2417401}">
          <x14:formula1>
            <xm:f>'All Bảng'!$A:$A</xm:f>
          </x14:formula1>
          <xm:sqref>B4:B47 B49:B227</xm:sqref>
        </x14:dataValidation>
        <x14:dataValidation type="list" allowBlank="1" showInputMessage="1" showErrorMessage="1" xr:uid="{C572E7FF-3F51-4E54-BA5C-CD893938DA10}">
          <x14:formula1>
            <xm:f>'Bảng 3'!$A:$A</xm:f>
          </x14:formula1>
          <xm:sqref>B228:B229</xm:sqref>
        </x14:dataValidation>
        <x14:dataValidation type="list" allowBlank="1" showInputMessage="1" showErrorMessage="1" xr:uid="{32C6B3BF-C93D-46D7-B608-BA2EA5E8A189}">
          <x14:formula1>
            <xm:f>Data!$Y:$Y</xm:f>
          </x14:formula1>
          <xm:sqref>A4:A228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0ED854-0463-45BF-A10C-D253788F1854}">
  <dimension ref="A1:AU88"/>
  <sheetViews>
    <sheetView workbookViewId="0">
      <pane xSplit="8" ySplit="3" topLeftCell="O13" activePane="bottomRight" state="frozen"/>
      <selection pane="bottomRight" activeCell="U37" sqref="U37"/>
      <selection pane="bottomLeft"/>
      <selection pane="topRight"/>
    </sheetView>
  </sheetViews>
  <sheetFormatPr defaultRowHeight="15" outlineLevelCol="2"/>
  <cols>
    <col min="1" max="1" width="19.7109375" customWidth="1"/>
    <col min="2" max="2" width="30.85546875" customWidth="1"/>
    <col min="3" max="4" width="15.85546875" customWidth="1"/>
    <col min="5" max="5" width="35" style="129" bestFit="1" customWidth="1"/>
    <col min="6" max="6" width="9.28515625" customWidth="1"/>
    <col min="7" max="7" width="33.85546875" customWidth="1"/>
    <col min="8" max="8" width="11.42578125" customWidth="1"/>
    <col min="9" max="9" width="11.7109375" customWidth="1"/>
    <col min="10" max="10" width="11.7109375" customWidth="1" outlineLevel="1"/>
    <col min="11" max="11" width="19.5703125" customWidth="1" outlineLevel="2"/>
    <col min="12" max="12" width="11.7109375" customWidth="1" outlineLevel="2"/>
    <col min="13" max="13" width="11.7109375" customWidth="1" outlineLevel="1"/>
    <col min="14" max="14" width="18.28515625" customWidth="1" outlineLevel="2"/>
    <col min="15" max="15" width="11.7109375" customWidth="1" outlineLevel="2"/>
    <col min="16" max="16" width="11.7109375" customWidth="1" outlineLevel="1"/>
    <col min="17" max="18" width="11.7109375" customWidth="1" outlineLevel="2"/>
    <col min="19" max="19" width="11.7109375" customWidth="1" outlineLevel="1"/>
    <col min="20" max="21" width="11.7109375" customWidth="1" outlineLevel="2"/>
    <col min="22" max="22" width="11.7109375" customWidth="1" outlineLevel="1"/>
    <col min="23" max="24" width="11.7109375" customWidth="1" outlineLevel="2"/>
    <col min="25" max="25" width="11.7109375" customWidth="1" outlineLevel="1"/>
    <col min="26" max="27" width="11.7109375" customWidth="1" outlineLevel="2"/>
    <col min="28" max="28" width="11.7109375" customWidth="1"/>
    <col min="29" max="29" width="11.7109375" customWidth="1" outlineLevel="1"/>
    <col min="30" max="31" width="11.7109375" customWidth="1" outlineLevel="2"/>
    <col min="32" max="32" width="11.7109375" customWidth="1" outlineLevel="1"/>
    <col min="33" max="34" width="11.7109375" customWidth="1" outlineLevel="2"/>
    <col min="35" max="35" width="11.7109375" customWidth="1" outlineLevel="1"/>
    <col min="36" max="37" width="11.7109375" customWidth="1" outlineLevel="2"/>
    <col min="38" max="38" width="11.7109375" customWidth="1" outlineLevel="1"/>
    <col min="39" max="40" width="11.7109375" customWidth="1" outlineLevel="2"/>
    <col min="41" max="41" width="11.7109375" customWidth="1" outlineLevel="1"/>
    <col min="42" max="43" width="11.7109375" customWidth="1" outlineLevel="2"/>
    <col min="44" max="44" width="11.7109375" customWidth="1" outlineLevel="1"/>
    <col min="45" max="46" width="11.7109375" customWidth="1" outlineLevel="2"/>
    <col min="47" max="47" width="9.140625" bestFit="1" customWidth="1"/>
  </cols>
  <sheetData>
    <row r="1" spans="1:47" ht="15.75">
      <c r="A1" s="329" t="s">
        <v>776</v>
      </c>
      <c r="B1" s="329"/>
      <c r="C1" s="329"/>
      <c r="D1" s="329"/>
      <c r="E1" s="329"/>
      <c r="F1" s="329"/>
      <c r="G1" s="329"/>
      <c r="H1" s="329"/>
      <c r="I1" s="65"/>
      <c r="J1" s="65"/>
      <c r="K1" s="65"/>
      <c r="L1" s="65"/>
      <c r="M1" s="65"/>
      <c r="N1" s="65"/>
      <c r="O1" s="65"/>
      <c r="P1" s="65"/>
      <c r="Q1" s="65"/>
      <c r="R1" s="65"/>
      <c r="S1" s="65"/>
      <c r="T1" s="65"/>
      <c r="U1" s="65"/>
      <c r="V1" s="65"/>
      <c r="W1" s="65"/>
      <c r="X1" s="65"/>
      <c r="Y1" s="65"/>
      <c r="Z1" s="65"/>
      <c r="AA1" s="65"/>
      <c r="AB1" s="65"/>
      <c r="AC1" s="65"/>
      <c r="AD1" s="65"/>
      <c r="AE1" s="65"/>
      <c r="AF1" s="65"/>
      <c r="AG1" s="65"/>
      <c r="AH1" s="65"/>
      <c r="AI1" s="65"/>
      <c r="AJ1" s="65"/>
      <c r="AK1" s="65"/>
      <c r="AL1" s="65"/>
      <c r="AM1" s="65"/>
      <c r="AN1" s="65"/>
      <c r="AO1" s="65"/>
      <c r="AP1" s="65"/>
      <c r="AQ1" s="65"/>
      <c r="AR1" s="65"/>
      <c r="AS1" s="65"/>
      <c r="AT1" s="65"/>
      <c r="AU1" s="12"/>
    </row>
    <row r="2" spans="1:47" s="129" customFormat="1" ht="48.75">
      <c r="A2" s="124" t="s">
        <v>16</v>
      </c>
      <c r="B2" s="124" t="s">
        <v>637</v>
      </c>
      <c r="C2" s="124" t="s">
        <v>458</v>
      </c>
      <c r="D2" s="124" t="s">
        <v>51</v>
      </c>
      <c r="E2" s="124" t="s">
        <v>52</v>
      </c>
      <c r="F2" s="124" t="s">
        <v>53</v>
      </c>
      <c r="G2" s="124" t="s">
        <v>54</v>
      </c>
      <c r="H2" s="112" t="s">
        <v>777</v>
      </c>
      <c r="I2" s="125" t="s">
        <v>639</v>
      </c>
      <c r="J2" s="125" t="s">
        <v>640</v>
      </c>
      <c r="K2" s="126" t="s">
        <v>641</v>
      </c>
      <c r="L2" s="126" t="s">
        <v>642</v>
      </c>
      <c r="M2" s="125" t="s">
        <v>640</v>
      </c>
      <c r="N2" s="126" t="s">
        <v>641</v>
      </c>
      <c r="O2" s="126" t="s">
        <v>642</v>
      </c>
      <c r="P2" s="125" t="s">
        <v>640</v>
      </c>
      <c r="Q2" s="126" t="s">
        <v>641</v>
      </c>
      <c r="R2" s="126" t="s">
        <v>642</v>
      </c>
      <c r="S2" s="125" t="s">
        <v>640</v>
      </c>
      <c r="T2" s="126" t="s">
        <v>641</v>
      </c>
      <c r="U2" s="126" t="s">
        <v>642</v>
      </c>
      <c r="V2" s="125" t="s">
        <v>640</v>
      </c>
      <c r="W2" s="126" t="s">
        <v>641</v>
      </c>
      <c r="X2" s="126" t="s">
        <v>642</v>
      </c>
      <c r="Y2" s="125" t="s">
        <v>640</v>
      </c>
      <c r="Z2" s="126" t="s">
        <v>641</v>
      </c>
      <c r="AA2" s="126" t="s">
        <v>642</v>
      </c>
      <c r="AB2" s="127" t="s">
        <v>643</v>
      </c>
      <c r="AC2" s="127" t="s">
        <v>640</v>
      </c>
      <c r="AD2" s="128" t="s">
        <v>641</v>
      </c>
      <c r="AE2" s="128" t="s">
        <v>642</v>
      </c>
      <c r="AF2" s="127" t="s">
        <v>640</v>
      </c>
      <c r="AG2" s="128" t="s">
        <v>641</v>
      </c>
      <c r="AH2" s="128" t="s">
        <v>642</v>
      </c>
      <c r="AI2" s="127" t="s">
        <v>640</v>
      </c>
      <c r="AJ2" s="128" t="s">
        <v>641</v>
      </c>
      <c r="AK2" s="128" t="s">
        <v>642</v>
      </c>
      <c r="AL2" s="127" t="s">
        <v>640</v>
      </c>
      <c r="AM2" s="128" t="s">
        <v>641</v>
      </c>
      <c r="AN2" s="128" t="s">
        <v>642</v>
      </c>
      <c r="AO2" s="127" t="s">
        <v>640</v>
      </c>
      <c r="AP2" s="128" t="s">
        <v>641</v>
      </c>
      <c r="AQ2" s="128" t="s">
        <v>642</v>
      </c>
      <c r="AR2" s="127" t="s">
        <v>640</v>
      </c>
      <c r="AS2" s="128" t="s">
        <v>641</v>
      </c>
      <c r="AT2" s="128" t="s">
        <v>642</v>
      </c>
      <c r="AU2" s="12"/>
    </row>
    <row r="3" spans="1:47">
      <c r="A3" s="113"/>
      <c r="B3" s="113"/>
      <c r="C3" s="114"/>
      <c r="D3" s="115"/>
      <c r="E3" s="149"/>
      <c r="F3" s="114"/>
      <c r="G3" s="114"/>
      <c r="H3" s="116"/>
      <c r="I3" s="117"/>
      <c r="J3" s="117">
        <v>46174</v>
      </c>
      <c r="K3" s="118" t="s">
        <v>557</v>
      </c>
      <c r="L3" s="118" t="s">
        <v>557</v>
      </c>
      <c r="M3" s="117">
        <f>J3+1</f>
        <v>46175</v>
      </c>
      <c r="N3" s="118" t="s">
        <v>557</v>
      </c>
      <c r="O3" s="118" t="s">
        <v>557</v>
      </c>
      <c r="P3" s="117">
        <f>J3+2</f>
        <v>46176</v>
      </c>
      <c r="Q3" s="118" t="s">
        <v>557</v>
      </c>
      <c r="R3" s="118" t="s">
        <v>557</v>
      </c>
      <c r="S3" s="117">
        <f>J3+3</f>
        <v>46177</v>
      </c>
      <c r="T3" s="118" t="s">
        <v>557</v>
      </c>
      <c r="U3" s="118" t="s">
        <v>557</v>
      </c>
      <c r="V3" s="117">
        <f>J3+4</f>
        <v>46178</v>
      </c>
      <c r="W3" s="118" t="s">
        <v>557</v>
      </c>
      <c r="X3" s="118" t="s">
        <v>557</v>
      </c>
      <c r="Y3" s="117">
        <f>J3+5</f>
        <v>46179</v>
      </c>
      <c r="Z3" s="118" t="s">
        <v>557</v>
      </c>
      <c r="AA3" s="118" t="s">
        <v>557</v>
      </c>
      <c r="AB3" s="119"/>
      <c r="AC3" s="119">
        <v>46181</v>
      </c>
      <c r="AD3" s="120" t="s">
        <v>557</v>
      </c>
      <c r="AE3" s="120" t="s">
        <v>557</v>
      </c>
      <c r="AF3" s="130">
        <f>AC3+1</f>
        <v>46182</v>
      </c>
      <c r="AG3" s="131" t="s">
        <v>557</v>
      </c>
      <c r="AH3" s="131" t="s">
        <v>557</v>
      </c>
      <c r="AI3" s="130">
        <f>AC3+2</f>
        <v>46183</v>
      </c>
      <c r="AJ3" s="131" t="s">
        <v>557</v>
      </c>
      <c r="AK3" s="131" t="s">
        <v>557</v>
      </c>
      <c r="AL3" s="130">
        <f>AC3+3</f>
        <v>46184</v>
      </c>
      <c r="AM3" s="131" t="s">
        <v>557</v>
      </c>
      <c r="AN3" s="131" t="s">
        <v>557</v>
      </c>
      <c r="AO3" s="130">
        <f>AC3+4</f>
        <v>46185</v>
      </c>
      <c r="AP3" s="131" t="s">
        <v>557</v>
      </c>
      <c r="AQ3" s="131" t="s">
        <v>557</v>
      </c>
      <c r="AR3" s="130">
        <f>AC3+5</f>
        <v>46186</v>
      </c>
      <c r="AS3" s="120" t="s">
        <v>557</v>
      </c>
      <c r="AT3" s="120" t="s">
        <v>557</v>
      </c>
      <c r="AU3" s="12"/>
    </row>
    <row r="4" spans="1:47">
      <c r="A4" s="36" t="s">
        <v>201</v>
      </c>
      <c r="B4" s="82"/>
      <c r="C4" s="81" t="str">
        <f>IF($B4="","",INDEX('Bảng 3'!C:C,MATCH($B4,'Bảng 3'!$A:$A,0)))</f>
        <v/>
      </c>
      <c r="D4" s="81" t="str">
        <f>IF($B4="","",INDEX('Bảng 3'!D:D,MATCH($B4,'Bảng 3'!$A:$A,0)))</f>
        <v/>
      </c>
      <c r="E4" s="150" t="str">
        <f>IF($B4="","",INDEX('Bảng 3'!E:E,MATCH($B4,'Bảng 3'!$A:$A,0)))</f>
        <v/>
      </c>
      <c r="F4" s="81" t="str">
        <f>IF($B4="","",INDEX('Bảng 3'!F:F,MATCH($B4,'Bảng 3'!$A:$A,0)))</f>
        <v/>
      </c>
      <c r="G4" s="81" t="str">
        <f>IF($B4="","",INDEX('Bảng 3'!G:G,MATCH($B4,'Bảng 3'!$A:$A,0)))</f>
        <v/>
      </c>
      <c r="H4" s="121"/>
      <c r="I4" s="138"/>
      <c r="J4" s="138">
        <f>J$3</f>
        <v>46174</v>
      </c>
      <c r="K4" s="132" t="s">
        <v>557</v>
      </c>
      <c r="L4" s="133">
        <f>SUM(L5:L17)</f>
        <v>4.3</v>
      </c>
      <c r="M4" s="138">
        <f>M$3</f>
        <v>46175</v>
      </c>
      <c r="N4" s="132" t="s">
        <v>557</v>
      </c>
      <c r="O4" s="133">
        <f>SUM(O5:O17)</f>
        <v>2</v>
      </c>
      <c r="P4" s="138">
        <f>P$3</f>
        <v>46176</v>
      </c>
      <c r="Q4" s="132" t="s">
        <v>557</v>
      </c>
      <c r="R4" s="133">
        <f>SUM(R5:R17)</f>
        <v>6</v>
      </c>
      <c r="S4" s="138">
        <f>S$3</f>
        <v>46177</v>
      </c>
      <c r="T4" s="132" t="s">
        <v>557</v>
      </c>
      <c r="U4" s="133">
        <f>SUM(U5:U17)</f>
        <v>7</v>
      </c>
      <c r="V4" s="138">
        <f>V$3</f>
        <v>46178</v>
      </c>
      <c r="W4" s="132" t="s">
        <v>557</v>
      </c>
      <c r="X4" s="133">
        <f>SUM(X5:X17)</f>
        <v>0</v>
      </c>
      <c r="Y4" s="138">
        <f>Y$3</f>
        <v>46179</v>
      </c>
      <c r="Z4" s="132" t="s">
        <v>557</v>
      </c>
      <c r="AA4" s="133">
        <f>SUM(AA5:AA17)</f>
        <v>0</v>
      </c>
      <c r="AB4" s="138"/>
      <c r="AC4" s="138">
        <f>AC$3</f>
        <v>46181</v>
      </c>
      <c r="AD4" s="132" t="s">
        <v>557</v>
      </c>
      <c r="AE4" s="133">
        <f>SUM(AE5:AE17)</f>
        <v>0</v>
      </c>
      <c r="AF4" s="138">
        <f>AF$3</f>
        <v>46182</v>
      </c>
      <c r="AG4" s="132" t="s">
        <v>557</v>
      </c>
      <c r="AH4" s="133">
        <f>SUM(AH5:AH17)</f>
        <v>0</v>
      </c>
      <c r="AI4" s="138">
        <f>AI$3</f>
        <v>46183</v>
      </c>
      <c r="AJ4" s="132" t="s">
        <v>557</v>
      </c>
      <c r="AK4" s="133">
        <f>SUM(AK5:AK15)</f>
        <v>0</v>
      </c>
      <c r="AL4" s="138">
        <f>AL$3</f>
        <v>46184</v>
      </c>
      <c r="AM4" s="132" t="s">
        <v>557</v>
      </c>
      <c r="AN4" s="133">
        <f>SUM(AN5:AN15)</f>
        <v>0</v>
      </c>
      <c r="AO4" s="138">
        <f>AO$3</f>
        <v>46185</v>
      </c>
      <c r="AP4" s="132" t="s">
        <v>557</v>
      </c>
      <c r="AQ4" s="133">
        <f>SUM(AQ5:AQ15)</f>
        <v>0</v>
      </c>
      <c r="AR4" s="138">
        <f>AR$3</f>
        <v>46186</v>
      </c>
      <c r="AS4" s="132" t="s">
        <v>557</v>
      </c>
      <c r="AT4" s="133">
        <f>SUM(AT5:AT15)</f>
        <v>0</v>
      </c>
      <c r="AU4" s="134"/>
    </row>
    <row r="5" spans="1:47">
      <c r="A5" s="122" t="str">
        <f>$A$4</f>
        <v>Ngô Tuấn Vũ</v>
      </c>
      <c r="B5" s="82" t="s">
        <v>778</v>
      </c>
      <c r="C5" s="81" t="str">
        <f>IF($B5="","",INDEX('All Bảng'!C:C,MATCH($B5,'All Bảng'!$A:$A,0)))</f>
        <v>Xây dựng HTTC BIM</v>
      </c>
      <c r="D5" s="81" t="str">
        <f>IF($B5="","",INDEX('All Bảng'!D:D,MATCH($B5,'All Bảng'!$A:$A,0)))</f>
        <v>Quy định</v>
      </c>
      <c r="E5" s="81" t="str">
        <f>IF($B5="","",INDEX('All Bảng'!E:E,MATCH($B5,'All Bảng'!$A:$A,0)))</f>
        <v>Quy định triển khai BIM</v>
      </c>
      <c r="F5" s="81" t="str">
        <f>IF($B5="","",INDEX('All Bảng'!F:F,MATCH($B5,'All Bảng'!$A:$A,0)))</f>
        <v>BIM</v>
      </c>
      <c r="G5" s="81" t="str">
        <f>IF($B5="","",INDEX('All Bảng'!G:G,MATCH($B5,'All Bảng'!$A:$A,0)))</f>
        <v>Rà soát</v>
      </c>
      <c r="H5" s="121"/>
      <c r="I5" s="135"/>
      <c r="J5" s="135">
        <f>J$3</f>
        <v>46174</v>
      </c>
      <c r="K5" s="136" t="s">
        <v>557</v>
      </c>
      <c r="L5" s="137">
        <v>0.5</v>
      </c>
      <c r="M5" s="135">
        <f>M$3</f>
        <v>46175</v>
      </c>
      <c r="N5" s="136" t="s">
        <v>557</v>
      </c>
      <c r="O5" s="137" t="s">
        <v>557</v>
      </c>
      <c r="P5" s="135">
        <f>P$3</f>
        <v>46176</v>
      </c>
      <c r="Q5" s="136" t="s">
        <v>557</v>
      </c>
      <c r="R5" s="137" t="s">
        <v>557</v>
      </c>
      <c r="S5" s="135">
        <f>S$3</f>
        <v>46177</v>
      </c>
      <c r="T5" s="136" t="s">
        <v>557</v>
      </c>
      <c r="U5" s="137" t="s">
        <v>557</v>
      </c>
      <c r="V5" s="135">
        <f>V$3</f>
        <v>46178</v>
      </c>
      <c r="W5" s="136" t="s">
        <v>557</v>
      </c>
      <c r="X5" s="137" t="s">
        <v>557</v>
      </c>
      <c r="Y5" s="135">
        <f>Y$3</f>
        <v>46179</v>
      </c>
      <c r="Z5" s="136" t="s">
        <v>557</v>
      </c>
      <c r="AA5" s="137" t="s">
        <v>557</v>
      </c>
      <c r="AB5" s="135"/>
      <c r="AC5" s="135">
        <f>AC$3</f>
        <v>46181</v>
      </c>
      <c r="AD5" s="136" t="s">
        <v>557</v>
      </c>
      <c r="AE5" s="137" t="s">
        <v>557</v>
      </c>
      <c r="AF5" s="135">
        <f>AF$3</f>
        <v>46182</v>
      </c>
      <c r="AG5" s="136" t="s">
        <v>557</v>
      </c>
      <c r="AH5" s="137" t="s">
        <v>557</v>
      </c>
      <c r="AI5" s="135">
        <f>AI$3</f>
        <v>46183</v>
      </c>
      <c r="AJ5" s="136" t="s">
        <v>557</v>
      </c>
      <c r="AK5" s="137" t="s">
        <v>557</v>
      </c>
      <c r="AL5" s="135">
        <f>AL$3</f>
        <v>46184</v>
      </c>
      <c r="AM5" s="136" t="s">
        <v>557</v>
      </c>
      <c r="AN5" s="137" t="s">
        <v>557</v>
      </c>
      <c r="AO5" s="135">
        <f>AO$3</f>
        <v>46185</v>
      </c>
      <c r="AP5" s="136" t="s">
        <v>557</v>
      </c>
      <c r="AQ5" s="137" t="s">
        <v>557</v>
      </c>
      <c r="AR5" s="135">
        <f>AR$3</f>
        <v>46186</v>
      </c>
      <c r="AS5" s="136" t="s">
        <v>557</v>
      </c>
      <c r="AT5" s="137" t="s">
        <v>557</v>
      </c>
      <c r="AU5" s="12"/>
    </row>
    <row r="6" spans="1:47">
      <c r="A6" s="122" t="str">
        <f>$A$4</f>
        <v>Ngô Tuấn Vũ</v>
      </c>
      <c r="B6" s="28" t="s">
        <v>779</v>
      </c>
      <c r="C6" s="81" t="str">
        <f>IF($B6="","",INDEX('All Bảng'!C:C,MATCH($B6,'All Bảng'!$A:$A,0)))</f>
        <v>Quản lý BIM</v>
      </c>
      <c r="D6" s="81" t="str">
        <f>IF($B6="","",INDEX('All Bảng'!D:D,MATCH($B6,'All Bảng'!$A:$A,0)))</f>
        <v>B.HYE.NOXHHY.CT</v>
      </c>
      <c r="E6" s="81" t="str">
        <f>IF($B6="","",INDEX('All Bảng'!E:E,MATCH($B6,'All Bảng'!$A:$A,0)))</f>
        <v>NOXH02 (09 tòa)</v>
      </c>
      <c r="F6" s="81" t="str">
        <f>IF($B6="","",INDEX('All Bảng'!F:F,MATCH($B6,'All Bảng'!$A:$A,0)))</f>
        <v>DI</v>
      </c>
      <c r="G6" s="81" t="str">
        <f>IF($B6="","",INDEX('All Bảng'!G:G,MATCH($B6,'All Bảng'!$A:$A,0)))</f>
        <v>KSCL mô hình BIM</v>
      </c>
      <c r="H6" s="121"/>
      <c r="I6" s="135"/>
      <c r="J6" s="135">
        <f>J$3</f>
        <v>46174</v>
      </c>
      <c r="K6" s="136" t="s">
        <v>557</v>
      </c>
      <c r="L6" s="137">
        <v>0.2</v>
      </c>
      <c r="M6" s="135">
        <f>M$3</f>
        <v>46175</v>
      </c>
      <c r="N6" s="136" t="s">
        <v>557</v>
      </c>
      <c r="O6" s="137" t="s">
        <v>557</v>
      </c>
      <c r="P6" s="135">
        <f>P$3</f>
        <v>46176</v>
      </c>
      <c r="Q6" s="136" t="s">
        <v>557</v>
      </c>
      <c r="R6" s="137" t="s">
        <v>557</v>
      </c>
      <c r="S6" s="135">
        <f>S$3</f>
        <v>46177</v>
      </c>
      <c r="T6" s="136" t="s">
        <v>557</v>
      </c>
      <c r="U6" s="137" t="s">
        <v>557</v>
      </c>
      <c r="V6" s="135">
        <f>V$3</f>
        <v>46178</v>
      </c>
      <c r="W6" s="136" t="s">
        <v>557</v>
      </c>
      <c r="X6" s="137" t="s">
        <v>557</v>
      </c>
      <c r="Y6" s="135">
        <f>Y$3</f>
        <v>46179</v>
      </c>
      <c r="Z6" s="136" t="s">
        <v>557</v>
      </c>
      <c r="AA6" s="137" t="s">
        <v>557</v>
      </c>
      <c r="AB6" s="135"/>
      <c r="AC6" s="135">
        <f>AC$3</f>
        <v>46181</v>
      </c>
      <c r="AD6" s="136" t="s">
        <v>557</v>
      </c>
      <c r="AE6" s="137" t="s">
        <v>557</v>
      </c>
      <c r="AF6" s="135">
        <f>AF$3</f>
        <v>46182</v>
      </c>
      <c r="AG6" s="136" t="s">
        <v>557</v>
      </c>
      <c r="AH6" s="137" t="s">
        <v>557</v>
      </c>
      <c r="AI6" s="135">
        <f>AI$3</f>
        <v>46183</v>
      </c>
      <c r="AJ6" s="136" t="s">
        <v>557</v>
      </c>
      <c r="AK6" s="137" t="s">
        <v>557</v>
      </c>
      <c r="AL6" s="135">
        <f>AL$3</f>
        <v>46184</v>
      </c>
      <c r="AM6" s="136" t="s">
        <v>557</v>
      </c>
      <c r="AN6" s="137" t="s">
        <v>557</v>
      </c>
      <c r="AO6" s="135">
        <f>AO$3</f>
        <v>46185</v>
      </c>
      <c r="AP6" s="136" t="s">
        <v>557</v>
      </c>
      <c r="AQ6" s="137" t="s">
        <v>557</v>
      </c>
      <c r="AR6" s="135">
        <f>AR$3</f>
        <v>46186</v>
      </c>
      <c r="AS6" s="136" t="s">
        <v>557</v>
      </c>
      <c r="AT6" s="137" t="s">
        <v>557</v>
      </c>
      <c r="AU6" s="12"/>
    </row>
    <row r="7" spans="1:47">
      <c r="A7" s="122" t="str">
        <f>$A$4</f>
        <v>Ngô Tuấn Vũ</v>
      </c>
      <c r="B7" s="28" t="s">
        <v>780</v>
      </c>
      <c r="C7" s="81" t="str">
        <f>IF($B7="","",INDEX('All Bảng'!C:C,MATCH($B7,'All Bảng'!$A:$A,0)))</f>
        <v>Quản lý BIM</v>
      </c>
      <c r="D7" s="81" t="str">
        <f>IF($B7="","",INDEX('All Bảng'!D:D,MATCH($B7,'All Bảng'!$A:$A,0)))</f>
        <v>B.HYE.NOXHHY.CT</v>
      </c>
      <c r="E7" s="81" t="str">
        <f>IF($B7="","",INDEX('All Bảng'!E:E,MATCH($B7,'All Bảng'!$A:$A,0)))</f>
        <v>NOXH02 (09 tòa)</v>
      </c>
      <c r="F7" s="81" t="str">
        <f>IF($B7="","",INDEX('All Bảng'!F:F,MATCH($B7,'All Bảng'!$A:$A,0)))</f>
        <v>DN</v>
      </c>
      <c r="G7" s="81" t="str">
        <f>IF($B7="","",INDEX('All Bảng'!G:G,MATCH($B7,'All Bảng'!$A:$A,0)))</f>
        <v>KSCL mô hình BIM</v>
      </c>
      <c r="H7" s="121"/>
      <c r="I7" s="135"/>
      <c r="J7" s="135">
        <f>J$3</f>
        <v>46174</v>
      </c>
      <c r="K7" s="136" t="s">
        <v>557</v>
      </c>
      <c r="L7" s="137">
        <v>0.2</v>
      </c>
      <c r="M7" s="135">
        <f>M$3</f>
        <v>46175</v>
      </c>
      <c r="N7" s="136" t="s">
        <v>557</v>
      </c>
      <c r="O7" s="137" t="s">
        <v>557</v>
      </c>
      <c r="P7" s="135">
        <f>P$3</f>
        <v>46176</v>
      </c>
      <c r="Q7" s="136" t="s">
        <v>557</v>
      </c>
      <c r="R7" s="137" t="s">
        <v>557</v>
      </c>
      <c r="S7" s="135">
        <f>S$3</f>
        <v>46177</v>
      </c>
      <c r="T7" s="136" t="s">
        <v>557</v>
      </c>
      <c r="U7" s="137" t="s">
        <v>557</v>
      </c>
      <c r="V7" s="135">
        <f>V$3</f>
        <v>46178</v>
      </c>
      <c r="W7" s="136" t="s">
        <v>557</v>
      </c>
      <c r="X7" s="137" t="s">
        <v>557</v>
      </c>
      <c r="Y7" s="135">
        <f>Y$3</f>
        <v>46179</v>
      </c>
      <c r="Z7" s="136" t="s">
        <v>557</v>
      </c>
      <c r="AA7" s="137" t="s">
        <v>557</v>
      </c>
      <c r="AB7" s="135"/>
      <c r="AC7" s="135">
        <f>AC$3</f>
        <v>46181</v>
      </c>
      <c r="AD7" s="136" t="s">
        <v>557</v>
      </c>
      <c r="AE7" s="137" t="s">
        <v>557</v>
      </c>
      <c r="AF7" s="135">
        <f>AF$3</f>
        <v>46182</v>
      </c>
      <c r="AG7" s="136" t="s">
        <v>557</v>
      </c>
      <c r="AH7" s="137" t="s">
        <v>557</v>
      </c>
      <c r="AI7" s="135">
        <f>AI$3</f>
        <v>46183</v>
      </c>
      <c r="AJ7" s="136" t="s">
        <v>557</v>
      </c>
      <c r="AK7" s="137" t="s">
        <v>557</v>
      </c>
      <c r="AL7" s="135">
        <f>AL$3</f>
        <v>46184</v>
      </c>
      <c r="AM7" s="136" t="s">
        <v>557</v>
      </c>
      <c r="AN7" s="137" t="s">
        <v>557</v>
      </c>
      <c r="AO7" s="135">
        <f>AO$3</f>
        <v>46185</v>
      </c>
      <c r="AP7" s="136" t="s">
        <v>557</v>
      </c>
      <c r="AQ7" s="137" t="s">
        <v>557</v>
      </c>
      <c r="AR7" s="135">
        <f>AR$3</f>
        <v>46186</v>
      </c>
      <c r="AS7" s="136" t="s">
        <v>557</v>
      </c>
      <c r="AT7" s="137" t="s">
        <v>557</v>
      </c>
      <c r="AU7" s="12"/>
    </row>
    <row r="8" spans="1:47">
      <c r="A8" s="122" t="str">
        <f>$A$4</f>
        <v>Ngô Tuấn Vũ</v>
      </c>
      <c r="B8" s="28" t="s">
        <v>781</v>
      </c>
      <c r="C8" s="81" t="str">
        <f>IF($B8="","",INDEX('All Bảng'!C:C,MATCH($B8,'All Bảng'!$A:$A,0)))</f>
        <v>Quản lý BIM</v>
      </c>
      <c r="D8" s="81" t="str">
        <f>IF($B8="","",INDEX('All Bảng'!D:D,MATCH($B8,'All Bảng'!$A:$A,0)))</f>
        <v>B.HYE.NOXHHY.CT</v>
      </c>
      <c r="E8" s="81" t="str">
        <f>IF($B8="","",INDEX('All Bảng'!E:E,MATCH($B8,'All Bảng'!$A:$A,0)))</f>
        <v>NOXH02 (09 tòa)</v>
      </c>
      <c r="F8" s="81" t="str">
        <f>IF($B8="","",INDEX('All Bảng'!F:F,MATCH($B8,'All Bảng'!$A:$A,0)))</f>
        <v>NU</v>
      </c>
      <c r="G8" s="81" t="str">
        <f>IF($B8="","",INDEX('All Bảng'!G:G,MATCH($B8,'All Bảng'!$A:$A,0)))</f>
        <v>KSCL mô hình BIM</v>
      </c>
      <c r="H8" s="121"/>
      <c r="I8" s="135"/>
      <c r="J8" s="135">
        <f>J$3</f>
        <v>46174</v>
      </c>
      <c r="K8" s="136" t="s">
        <v>557</v>
      </c>
      <c r="L8" s="137">
        <v>0.2</v>
      </c>
      <c r="M8" s="135">
        <f>M$3</f>
        <v>46175</v>
      </c>
      <c r="N8" s="136" t="s">
        <v>557</v>
      </c>
      <c r="O8" s="137" t="s">
        <v>557</v>
      </c>
      <c r="P8" s="135">
        <f>P$3</f>
        <v>46176</v>
      </c>
      <c r="Q8" s="136" t="s">
        <v>557</v>
      </c>
      <c r="R8" s="137" t="s">
        <v>557</v>
      </c>
      <c r="S8" s="135">
        <f>S$3</f>
        <v>46177</v>
      </c>
      <c r="T8" s="136" t="s">
        <v>557</v>
      </c>
      <c r="U8" s="137" t="s">
        <v>557</v>
      </c>
      <c r="V8" s="135">
        <f>V$3</f>
        <v>46178</v>
      </c>
      <c r="W8" s="136" t="s">
        <v>557</v>
      </c>
      <c r="X8" s="137" t="s">
        <v>557</v>
      </c>
      <c r="Y8" s="135">
        <f>Y$3</f>
        <v>46179</v>
      </c>
      <c r="Z8" s="136" t="s">
        <v>557</v>
      </c>
      <c r="AA8" s="137" t="s">
        <v>557</v>
      </c>
      <c r="AB8" s="135"/>
      <c r="AC8" s="135">
        <f>AC$3</f>
        <v>46181</v>
      </c>
      <c r="AD8" s="136" t="s">
        <v>557</v>
      </c>
      <c r="AE8" s="137" t="s">
        <v>557</v>
      </c>
      <c r="AF8" s="135">
        <f>AF$3</f>
        <v>46182</v>
      </c>
      <c r="AG8" s="136" t="s">
        <v>557</v>
      </c>
      <c r="AH8" s="137" t="s">
        <v>557</v>
      </c>
      <c r="AI8" s="135">
        <f>AI$3</f>
        <v>46183</v>
      </c>
      <c r="AJ8" s="136" t="s">
        <v>557</v>
      </c>
      <c r="AK8" s="137" t="s">
        <v>557</v>
      </c>
      <c r="AL8" s="135">
        <f>AL$3</f>
        <v>46184</v>
      </c>
      <c r="AM8" s="136" t="s">
        <v>557</v>
      </c>
      <c r="AN8" s="137" t="s">
        <v>557</v>
      </c>
      <c r="AO8" s="135">
        <f>AO$3</f>
        <v>46185</v>
      </c>
      <c r="AP8" s="136" t="s">
        <v>557</v>
      </c>
      <c r="AQ8" s="137" t="s">
        <v>557</v>
      </c>
      <c r="AR8" s="135">
        <f>AR$3</f>
        <v>46186</v>
      </c>
      <c r="AS8" s="136" t="s">
        <v>557</v>
      </c>
      <c r="AT8" s="137" t="s">
        <v>557</v>
      </c>
      <c r="AU8" s="12"/>
    </row>
    <row r="9" spans="1:47">
      <c r="A9" s="122" t="str">
        <f>$A$4</f>
        <v>Ngô Tuấn Vũ</v>
      </c>
      <c r="B9" s="28" t="s">
        <v>782</v>
      </c>
      <c r="C9" s="81" t="str">
        <f>IF($B9="","",INDEX('All Bảng'!C:C,MATCH($B9,'All Bảng'!$A:$A,0)))</f>
        <v>Quản lý BIM</v>
      </c>
      <c r="D9" s="81" t="str">
        <f>IF($B9="","",INDEX('All Bảng'!D:D,MATCH($B9,'All Bảng'!$A:$A,0)))</f>
        <v>B.HYE.NOXHHY.CT</v>
      </c>
      <c r="E9" s="81" t="str">
        <f>IF($B9="","",INDEX('All Bảng'!E:E,MATCH($B9,'All Bảng'!$A:$A,0)))</f>
        <v>NOXH02 (09 tòa)</v>
      </c>
      <c r="F9" s="81" t="str">
        <f>IF($B9="","",INDEX('All Bảng'!F:F,MATCH($B9,'All Bảng'!$A:$A,0)))</f>
        <v>DH</v>
      </c>
      <c r="G9" s="81" t="str">
        <f>IF($B9="","",INDEX('All Bảng'!G:G,MATCH($B9,'All Bảng'!$A:$A,0)))</f>
        <v>KSCL mô hình BIM</v>
      </c>
      <c r="H9" s="121"/>
      <c r="I9" s="135"/>
      <c r="J9" s="135">
        <f>J$3</f>
        <v>46174</v>
      </c>
      <c r="K9" s="136" t="s">
        <v>557</v>
      </c>
      <c r="L9" s="137">
        <v>0.2</v>
      </c>
      <c r="M9" s="135">
        <f>M$3</f>
        <v>46175</v>
      </c>
      <c r="N9" s="136" t="s">
        <v>557</v>
      </c>
      <c r="O9" s="137" t="s">
        <v>557</v>
      </c>
      <c r="P9" s="135">
        <f>P$3</f>
        <v>46176</v>
      </c>
      <c r="Q9" s="136" t="s">
        <v>557</v>
      </c>
      <c r="R9" s="137" t="s">
        <v>557</v>
      </c>
      <c r="S9" s="135">
        <f>S$3</f>
        <v>46177</v>
      </c>
      <c r="T9" s="136" t="s">
        <v>557</v>
      </c>
      <c r="U9" s="137" t="s">
        <v>557</v>
      </c>
      <c r="V9" s="135">
        <f>V$3</f>
        <v>46178</v>
      </c>
      <c r="W9" s="136" t="s">
        <v>557</v>
      </c>
      <c r="X9" s="137" t="s">
        <v>557</v>
      </c>
      <c r="Y9" s="135">
        <f>Y$3</f>
        <v>46179</v>
      </c>
      <c r="Z9" s="136" t="s">
        <v>557</v>
      </c>
      <c r="AA9" s="137" t="s">
        <v>557</v>
      </c>
      <c r="AB9" s="135"/>
      <c r="AC9" s="135">
        <f>AC$3</f>
        <v>46181</v>
      </c>
      <c r="AD9" s="136" t="s">
        <v>557</v>
      </c>
      <c r="AE9" s="137" t="s">
        <v>557</v>
      </c>
      <c r="AF9" s="135">
        <f>AF$3</f>
        <v>46182</v>
      </c>
      <c r="AG9" s="136" t="s">
        <v>557</v>
      </c>
      <c r="AH9" s="137" t="s">
        <v>557</v>
      </c>
      <c r="AI9" s="135">
        <f>AI$3</f>
        <v>46183</v>
      </c>
      <c r="AJ9" s="136" t="s">
        <v>557</v>
      </c>
      <c r="AK9" s="137" t="s">
        <v>557</v>
      </c>
      <c r="AL9" s="135">
        <f>AL$3</f>
        <v>46184</v>
      </c>
      <c r="AM9" s="136" t="s">
        <v>557</v>
      </c>
      <c r="AN9" s="137" t="s">
        <v>557</v>
      </c>
      <c r="AO9" s="135">
        <f>AO$3</f>
        <v>46185</v>
      </c>
      <c r="AP9" s="136" t="s">
        <v>557</v>
      </c>
      <c r="AQ9" s="137" t="s">
        <v>557</v>
      </c>
      <c r="AR9" s="135">
        <f>AR$3</f>
        <v>46186</v>
      </c>
      <c r="AS9" s="136" t="s">
        <v>557</v>
      </c>
      <c r="AT9" s="137" t="s">
        <v>557</v>
      </c>
      <c r="AU9" s="12"/>
    </row>
    <row r="10" spans="1:47">
      <c r="A10" s="122" t="str">
        <f>$A$4</f>
        <v>Ngô Tuấn Vũ</v>
      </c>
      <c r="B10" s="28" t="s">
        <v>783</v>
      </c>
      <c r="C10" s="81" t="str">
        <f>IF($B10="","",INDEX('All Bảng'!C:C,MATCH($B10,'All Bảng'!$A:$A,0)))</f>
        <v>Quản lý BIM</v>
      </c>
      <c r="D10" s="81" t="str">
        <f>IF($B10="","",INDEX('All Bảng'!D:D,MATCH($B10,'All Bảng'!$A:$A,0)))</f>
        <v>B.HYE.NOXHHY.CT</v>
      </c>
      <c r="E10" s="81" t="str">
        <f>IF($B10="","",INDEX('All Bảng'!E:E,MATCH($B10,'All Bảng'!$A:$A,0)))</f>
        <v>NOXH02 (09 tòa)</v>
      </c>
      <c r="F10" s="81" t="str">
        <f>IF($B10="","",INDEX('All Bảng'!F:F,MATCH($B10,'All Bảng'!$A:$A,0)))</f>
        <v>PC</v>
      </c>
      <c r="G10" s="81" t="str">
        <f>IF($B10="","",INDEX('All Bảng'!G:G,MATCH($B10,'All Bảng'!$A:$A,0)))</f>
        <v>KSCL mô hình BIM</v>
      </c>
      <c r="H10" s="121"/>
      <c r="I10" s="135"/>
      <c r="J10" s="135">
        <f>J$3</f>
        <v>46174</v>
      </c>
      <c r="K10" s="136" t="s">
        <v>557</v>
      </c>
      <c r="L10" s="137">
        <v>0.2</v>
      </c>
      <c r="M10" s="135">
        <f>M$3</f>
        <v>46175</v>
      </c>
      <c r="N10" s="136" t="s">
        <v>557</v>
      </c>
      <c r="O10" s="137" t="s">
        <v>557</v>
      </c>
      <c r="P10" s="135">
        <f>P$3</f>
        <v>46176</v>
      </c>
      <c r="Q10" s="136" t="s">
        <v>557</v>
      </c>
      <c r="R10" s="137" t="s">
        <v>557</v>
      </c>
      <c r="S10" s="135">
        <f>S$3</f>
        <v>46177</v>
      </c>
      <c r="T10" s="136" t="s">
        <v>557</v>
      </c>
      <c r="U10" s="137" t="s">
        <v>557</v>
      </c>
      <c r="V10" s="135">
        <f>V$3</f>
        <v>46178</v>
      </c>
      <c r="W10" s="136" t="s">
        <v>557</v>
      </c>
      <c r="X10" s="137" t="s">
        <v>557</v>
      </c>
      <c r="Y10" s="135">
        <f>Y$3</f>
        <v>46179</v>
      </c>
      <c r="Z10" s="136" t="s">
        <v>557</v>
      </c>
      <c r="AA10" s="137" t="s">
        <v>557</v>
      </c>
      <c r="AB10" s="135"/>
      <c r="AC10" s="135">
        <f>AC$3</f>
        <v>46181</v>
      </c>
      <c r="AD10" s="136" t="s">
        <v>557</v>
      </c>
      <c r="AE10" s="137" t="s">
        <v>557</v>
      </c>
      <c r="AF10" s="135">
        <f>AF$3</f>
        <v>46182</v>
      </c>
      <c r="AG10" s="136" t="s">
        <v>557</v>
      </c>
      <c r="AH10" s="137" t="s">
        <v>557</v>
      </c>
      <c r="AI10" s="135">
        <f>AI$3</f>
        <v>46183</v>
      </c>
      <c r="AJ10" s="136" t="s">
        <v>557</v>
      </c>
      <c r="AK10" s="137" t="s">
        <v>557</v>
      </c>
      <c r="AL10" s="135">
        <f>AL$3</f>
        <v>46184</v>
      </c>
      <c r="AM10" s="136" t="s">
        <v>557</v>
      </c>
      <c r="AN10" s="137" t="s">
        <v>557</v>
      </c>
      <c r="AO10" s="135">
        <f>AO$3</f>
        <v>46185</v>
      </c>
      <c r="AP10" s="136" t="s">
        <v>557</v>
      </c>
      <c r="AQ10" s="137" t="s">
        <v>557</v>
      </c>
      <c r="AR10" s="135">
        <f>AR$3</f>
        <v>46186</v>
      </c>
      <c r="AS10" s="136" t="s">
        <v>557</v>
      </c>
      <c r="AT10" s="137" t="s">
        <v>557</v>
      </c>
      <c r="AU10" s="12"/>
    </row>
    <row r="11" spans="1:47">
      <c r="A11" s="122" t="str">
        <f>$A$4</f>
        <v>Ngô Tuấn Vũ</v>
      </c>
      <c r="B11" s="28" t="s">
        <v>784</v>
      </c>
      <c r="C11" s="81" t="str">
        <f>IF($B11="","",INDEX('All Bảng'!C:C,MATCH($B11,'All Bảng'!$A:$A,0)))</f>
        <v>Quản lý BIM</v>
      </c>
      <c r="D11" s="81" t="str">
        <f>IF($B11="","",INDEX('All Bảng'!D:D,MATCH($B11,'All Bảng'!$A:$A,0)))</f>
        <v>T.HTI.STHT.NOXH.CT</v>
      </c>
      <c r="E11" s="81" t="str">
        <f>IF($B11="","",INDEX('All Bảng'!E:E,MATCH($B11,'All Bảng'!$A:$A,0)))</f>
        <v>NOXH-01 (03 tòa)</v>
      </c>
      <c r="F11" s="81" t="str">
        <f>IF($B11="","",INDEX('All Bảng'!F:F,MATCH($B11,'All Bảng'!$A:$A,0)))</f>
        <v>DI</v>
      </c>
      <c r="G11" s="81" t="str">
        <f>IF($B11="","",INDEX('All Bảng'!G:G,MATCH($B11,'All Bảng'!$A:$A,0)))</f>
        <v>KSCL mô hình BIM</v>
      </c>
      <c r="H11" s="121"/>
      <c r="I11" s="135"/>
      <c r="J11" s="135">
        <f>J$3</f>
        <v>46174</v>
      </c>
      <c r="K11" s="136" t="s">
        <v>557</v>
      </c>
      <c r="L11" s="137">
        <v>0.2</v>
      </c>
      <c r="M11" s="135">
        <f>M$3</f>
        <v>46175</v>
      </c>
      <c r="N11" s="136" t="s">
        <v>557</v>
      </c>
      <c r="O11" s="137" t="s">
        <v>557</v>
      </c>
      <c r="P11" s="135">
        <f>P$3</f>
        <v>46176</v>
      </c>
      <c r="Q11" s="136" t="s">
        <v>557</v>
      </c>
      <c r="R11" s="137" t="s">
        <v>557</v>
      </c>
      <c r="S11" s="135">
        <f>S$3</f>
        <v>46177</v>
      </c>
      <c r="T11" s="136" t="s">
        <v>557</v>
      </c>
      <c r="U11" s="137" t="s">
        <v>557</v>
      </c>
      <c r="V11" s="135">
        <f>V$3</f>
        <v>46178</v>
      </c>
      <c r="W11" s="136" t="s">
        <v>557</v>
      </c>
      <c r="X11" s="137" t="s">
        <v>557</v>
      </c>
      <c r="Y11" s="135">
        <f>Y$3</f>
        <v>46179</v>
      </c>
      <c r="Z11" s="136" t="s">
        <v>557</v>
      </c>
      <c r="AA11" s="137" t="s">
        <v>557</v>
      </c>
      <c r="AB11" s="135"/>
      <c r="AC11" s="135">
        <f>AC$3</f>
        <v>46181</v>
      </c>
      <c r="AD11" s="136" t="s">
        <v>557</v>
      </c>
      <c r="AE11" s="137" t="s">
        <v>557</v>
      </c>
      <c r="AF11" s="135">
        <f>AF$3</f>
        <v>46182</v>
      </c>
      <c r="AG11" s="136" t="s">
        <v>557</v>
      </c>
      <c r="AH11" s="137" t="s">
        <v>557</v>
      </c>
      <c r="AI11" s="135">
        <f>AI$3</f>
        <v>46183</v>
      </c>
      <c r="AJ11" s="136" t="s">
        <v>557</v>
      </c>
      <c r="AK11" s="137" t="s">
        <v>557</v>
      </c>
      <c r="AL11" s="135">
        <f>AL$3</f>
        <v>46184</v>
      </c>
      <c r="AM11" s="136" t="s">
        <v>557</v>
      </c>
      <c r="AN11" s="137" t="s">
        <v>557</v>
      </c>
      <c r="AO11" s="135">
        <f>AO$3</f>
        <v>46185</v>
      </c>
      <c r="AP11" s="136" t="s">
        <v>557</v>
      </c>
      <c r="AQ11" s="137" t="s">
        <v>557</v>
      </c>
      <c r="AR11" s="135">
        <f>AR$3</f>
        <v>46186</v>
      </c>
      <c r="AS11" s="136" t="s">
        <v>557</v>
      </c>
      <c r="AT11" s="137" t="s">
        <v>557</v>
      </c>
      <c r="AU11" s="12"/>
    </row>
    <row r="12" spans="1:47">
      <c r="A12" s="122" t="str">
        <f>$A$4</f>
        <v>Ngô Tuấn Vũ</v>
      </c>
      <c r="B12" s="28" t="s">
        <v>785</v>
      </c>
      <c r="C12" s="81" t="str">
        <f>IF($B12="","",INDEX('All Bảng'!C:C,MATCH($B12,'All Bảng'!$A:$A,0)))</f>
        <v>Quản lý BIM</v>
      </c>
      <c r="D12" s="81" t="str">
        <f>IF($B12="","",INDEX('All Bảng'!D:D,MATCH($B12,'All Bảng'!$A:$A,0)))</f>
        <v>T.HTI.STHT.NOXH.CT</v>
      </c>
      <c r="E12" s="81" t="str">
        <f>IF($B12="","",INDEX('All Bảng'!E:E,MATCH($B12,'All Bảng'!$A:$A,0)))</f>
        <v>NOXH-01 (03 tòa)</v>
      </c>
      <c r="F12" s="81" t="str">
        <f>IF($B12="","",INDEX('All Bảng'!F:F,MATCH($B12,'All Bảng'!$A:$A,0)))</f>
        <v>DN</v>
      </c>
      <c r="G12" s="81" t="str">
        <f>IF($B12="","",INDEX('All Bảng'!G:G,MATCH($B12,'All Bảng'!$A:$A,0)))</f>
        <v>KSCL mô hình BIM</v>
      </c>
      <c r="H12" s="121"/>
      <c r="I12" s="135"/>
      <c r="J12" s="135">
        <f>J$3</f>
        <v>46174</v>
      </c>
      <c r="K12" s="136" t="s">
        <v>557</v>
      </c>
      <c r="L12" s="137">
        <v>0.2</v>
      </c>
      <c r="M12" s="135">
        <f>M$3</f>
        <v>46175</v>
      </c>
      <c r="N12" s="136" t="s">
        <v>557</v>
      </c>
      <c r="O12" s="137" t="s">
        <v>557</v>
      </c>
      <c r="P12" s="135">
        <f>P$3</f>
        <v>46176</v>
      </c>
      <c r="Q12" s="136" t="s">
        <v>557</v>
      </c>
      <c r="R12" s="137" t="s">
        <v>557</v>
      </c>
      <c r="S12" s="135">
        <f>S$3</f>
        <v>46177</v>
      </c>
      <c r="T12" s="136" t="s">
        <v>557</v>
      </c>
      <c r="U12" s="137" t="s">
        <v>557</v>
      </c>
      <c r="V12" s="135">
        <f>V$3</f>
        <v>46178</v>
      </c>
      <c r="W12" s="136" t="s">
        <v>557</v>
      </c>
      <c r="X12" s="137" t="s">
        <v>557</v>
      </c>
      <c r="Y12" s="135">
        <f>Y$3</f>
        <v>46179</v>
      </c>
      <c r="Z12" s="136" t="s">
        <v>557</v>
      </c>
      <c r="AA12" s="137" t="s">
        <v>557</v>
      </c>
      <c r="AB12" s="135"/>
      <c r="AC12" s="135">
        <f>AC$3</f>
        <v>46181</v>
      </c>
      <c r="AD12" s="136" t="s">
        <v>557</v>
      </c>
      <c r="AE12" s="137" t="s">
        <v>557</v>
      </c>
      <c r="AF12" s="135">
        <f>AF$3</f>
        <v>46182</v>
      </c>
      <c r="AG12" s="136" t="s">
        <v>557</v>
      </c>
      <c r="AH12" s="137" t="s">
        <v>557</v>
      </c>
      <c r="AI12" s="135">
        <f>AI$3</f>
        <v>46183</v>
      </c>
      <c r="AJ12" s="136" t="s">
        <v>557</v>
      </c>
      <c r="AK12" s="137" t="s">
        <v>557</v>
      </c>
      <c r="AL12" s="135">
        <f>AL$3</f>
        <v>46184</v>
      </c>
      <c r="AM12" s="136" t="s">
        <v>557</v>
      </c>
      <c r="AN12" s="137" t="s">
        <v>557</v>
      </c>
      <c r="AO12" s="135">
        <f>AO$3</f>
        <v>46185</v>
      </c>
      <c r="AP12" s="136" t="s">
        <v>557</v>
      </c>
      <c r="AQ12" s="137" t="s">
        <v>557</v>
      </c>
      <c r="AR12" s="135">
        <f>AR$3</f>
        <v>46186</v>
      </c>
      <c r="AS12" s="136" t="s">
        <v>557</v>
      </c>
      <c r="AT12" s="137" t="s">
        <v>557</v>
      </c>
      <c r="AU12" s="12"/>
    </row>
    <row r="13" spans="1:47">
      <c r="A13" s="122" t="str">
        <f>$A$4</f>
        <v>Ngô Tuấn Vũ</v>
      </c>
      <c r="B13" s="28" t="s">
        <v>786</v>
      </c>
      <c r="C13" s="81" t="str">
        <f>IF($B13="","",INDEX('All Bảng'!C:C,MATCH($B13,'All Bảng'!$A:$A,0)))</f>
        <v>Quản lý BIM</v>
      </c>
      <c r="D13" s="81" t="str">
        <f>IF($B13="","",INDEX('All Bảng'!D:D,MATCH($B13,'All Bảng'!$A:$A,0)))</f>
        <v>T.HTI.STHT.NOXH.CT</v>
      </c>
      <c r="E13" s="81" t="str">
        <f>IF($B13="","",INDEX('All Bảng'!E:E,MATCH($B13,'All Bảng'!$A:$A,0)))</f>
        <v>NOXH-01 (03 tòa)</v>
      </c>
      <c r="F13" s="81" t="str">
        <f>IF($B13="","",INDEX('All Bảng'!F:F,MATCH($B13,'All Bảng'!$A:$A,0)))</f>
        <v>NU</v>
      </c>
      <c r="G13" s="81" t="str">
        <f>IF($B13="","",INDEX('All Bảng'!G:G,MATCH($B13,'All Bảng'!$A:$A,0)))</f>
        <v>KSCL mô hình BIM</v>
      </c>
      <c r="H13" s="121"/>
      <c r="I13" s="135"/>
      <c r="J13" s="135">
        <f>J$3</f>
        <v>46174</v>
      </c>
      <c r="K13" s="136" t="s">
        <v>557</v>
      </c>
      <c r="L13" s="137">
        <v>0.2</v>
      </c>
      <c r="M13" s="135">
        <f>M$3</f>
        <v>46175</v>
      </c>
      <c r="N13" s="136" t="s">
        <v>557</v>
      </c>
      <c r="O13" s="137" t="s">
        <v>557</v>
      </c>
      <c r="P13" s="135">
        <f>P$3</f>
        <v>46176</v>
      </c>
      <c r="Q13" s="136" t="s">
        <v>557</v>
      </c>
      <c r="R13" s="137" t="s">
        <v>557</v>
      </c>
      <c r="S13" s="135">
        <f>S$3</f>
        <v>46177</v>
      </c>
      <c r="T13" s="136" t="s">
        <v>557</v>
      </c>
      <c r="U13" s="137" t="s">
        <v>557</v>
      </c>
      <c r="V13" s="135">
        <f>V$3</f>
        <v>46178</v>
      </c>
      <c r="W13" s="136" t="s">
        <v>557</v>
      </c>
      <c r="X13" s="137" t="s">
        <v>557</v>
      </c>
      <c r="Y13" s="135">
        <f>Y$3</f>
        <v>46179</v>
      </c>
      <c r="Z13" s="136" t="s">
        <v>557</v>
      </c>
      <c r="AA13" s="137" t="s">
        <v>557</v>
      </c>
      <c r="AB13" s="135"/>
      <c r="AC13" s="135">
        <f>AC$3</f>
        <v>46181</v>
      </c>
      <c r="AD13" s="136" t="s">
        <v>557</v>
      </c>
      <c r="AE13" s="137" t="s">
        <v>557</v>
      </c>
      <c r="AF13" s="135">
        <f>AF$3</f>
        <v>46182</v>
      </c>
      <c r="AG13" s="136" t="s">
        <v>557</v>
      </c>
      <c r="AH13" s="137" t="s">
        <v>557</v>
      </c>
      <c r="AI13" s="135">
        <f>AI$3</f>
        <v>46183</v>
      </c>
      <c r="AJ13" s="136" t="s">
        <v>557</v>
      </c>
      <c r="AK13" s="137" t="s">
        <v>557</v>
      </c>
      <c r="AL13" s="135">
        <f>AL$3</f>
        <v>46184</v>
      </c>
      <c r="AM13" s="136" t="s">
        <v>557</v>
      </c>
      <c r="AN13" s="137" t="s">
        <v>557</v>
      </c>
      <c r="AO13" s="135">
        <f>AO$3</f>
        <v>46185</v>
      </c>
      <c r="AP13" s="136" t="s">
        <v>557</v>
      </c>
      <c r="AQ13" s="137" t="s">
        <v>557</v>
      </c>
      <c r="AR13" s="135">
        <f>AR$3</f>
        <v>46186</v>
      </c>
      <c r="AS13" s="136" t="s">
        <v>557</v>
      </c>
      <c r="AT13" s="137" t="s">
        <v>557</v>
      </c>
      <c r="AU13" s="12"/>
    </row>
    <row r="14" spans="1:47">
      <c r="A14" s="122" t="str">
        <f>$A$4</f>
        <v>Ngô Tuấn Vũ</v>
      </c>
      <c r="B14" s="28" t="s">
        <v>787</v>
      </c>
      <c r="C14" s="81" t="str">
        <f>IF($B14="","",INDEX('All Bảng'!C:C,MATCH($B14,'All Bảng'!$A:$A,0)))</f>
        <v>Quản lý BIM</v>
      </c>
      <c r="D14" s="81" t="str">
        <f>IF($B14="","",INDEX('All Bảng'!D:D,MATCH($B14,'All Bảng'!$A:$A,0)))</f>
        <v>T.HTI.STHT.NOXH.CT</v>
      </c>
      <c r="E14" s="81" t="str">
        <f>IF($B14="","",INDEX('All Bảng'!E:E,MATCH($B14,'All Bảng'!$A:$A,0)))</f>
        <v>NOXH-01 (03 tòa)</v>
      </c>
      <c r="F14" s="81" t="str">
        <f>IF($B14="","",INDEX('All Bảng'!F:F,MATCH($B14,'All Bảng'!$A:$A,0)))</f>
        <v>DH</v>
      </c>
      <c r="G14" s="81" t="str">
        <f>IF($B14="","",INDEX('All Bảng'!G:G,MATCH($B14,'All Bảng'!$A:$A,0)))</f>
        <v>KSCL mô hình BIM</v>
      </c>
      <c r="H14" s="121"/>
      <c r="I14" s="135"/>
      <c r="J14" s="135">
        <f>J$3</f>
        <v>46174</v>
      </c>
      <c r="K14" s="136" t="s">
        <v>557</v>
      </c>
      <c r="L14" s="137">
        <v>0.2</v>
      </c>
      <c r="M14" s="135">
        <f>M$3</f>
        <v>46175</v>
      </c>
      <c r="N14" s="136" t="s">
        <v>557</v>
      </c>
      <c r="O14" s="137" t="s">
        <v>557</v>
      </c>
      <c r="P14" s="135">
        <f>P$3</f>
        <v>46176</v>
      </c>
      <c r="Q14" s="136" t="s">
        <v>557</v>
      </c>
      <c r="R14" s="137" t="s">
        <v>557</v>
      </c>
      <c r="S14" s="135">
        <f>S$3</f>
        <v>46177</v>
      </c>
      <c r="T14" s="136" t="s">
        <v>557</v>
      </c>
      <c r="U14" s="137" t="s">
        <v>557</v>
      </c>
      <c r="V14" s="135">
        <f>V$3</f>
        <v>46178</v>
      </c>
      <c r="W14" s="136" t="s">
        <v>557</v>
      </c>
      <c r="X14" s="137" t="s">
        <v>557</v>
      </c>
      <c r="Y14" s="135">
        <f>Y$3</f>
        <v>46179</v>
      </c>
      <c r="Z14" s="136" t="s">
        <v>557</v>
      </c>
      <c r="AA14" s="137" t="s">
        <v>557</v>
      </c>
      <c r="AB14" s="135"/>
      <c r="AC14" s="135">
        <f>AC$3</f>
        <v>46181</v>
      </c>
      <c r="AD14" s="136" t="s">
        <v>557</v>
      </c>
      <c r="AE14" s="137" t="s">
        <v>557</v>
      </c>
      <c r="AF14" s="135">
        <f>AF$3</f>
        <v>46182</v>
      </c>
      <c r="AG14" s="136" t="s">
        <v>557</v>
      </c>
      <c r="AH14" s="137" t="s">
        <v>557</v>
      </c>
      <c r="AI14" s="135">
        <f>AI$3</f>
        <v>46183</v>
      </c>
      <c r="AJ14" s="136" t="s">
        <v>557</v>
      </c>
      <c r="AK14" s="137" t="s">
        <v>557</v>
      </c>
      <c r="AL14" s="135">
        <f>AL$3</f>
        <v>46184</v>
      </c>
      <c r="AM14" s="136" t="s">
        <v>557</v>
      </c>
      <c r="AN14" s="137" t="s">
        <v>557</v>
      </c>
      <c r="AO14" s="135">
        <f>AO$3</f>
        <v>46185</v>
      </c>
      <c r="AP14" s="136" t="s">
        <v>557</v>
      </c>
      <c r="AQ14" s="137" t="s">
        <v>557</v>
      </c>
      <c r="AR14" s="135">
        <f>AR$3</f>
        <v>46186</v>
      </c>
      <c r="AS14" s="136" t="s">
        <v>557</v>
      </c>
      <c r="AT14" s="137" t="s">
        <v>557</v>
      </c>
      <c r="AU14" s="12"/>
    </row>
    <row r="15" spans="1:47">
      <c r="A15" s="122" t="str">
        <f>$A$4</f>
        <v>Ngô Tuấn Vũ</v>
      </c>
      <c r="B15" s="28" t="s">
        <v>788</v>
      </c>
      <c r="C15" s="81" t="str">
        <f>IF($B15="","",INDEX('All Bảng'!C:C,MATCH($B15,'All Bảng'!$A:$A,0)))</f>
        <v>Quản lý BIM</v>
      </c>
      <c r="D15" s="81" t="str">
        <f>IF($B15="","",INDEX('All Bảng'!D:D,MATCH($B15,'All Bảng'!$A:$A,0)))</f>
        <v>N.HCM.Q9.VP</v>
      </c>
      <c r="E15" s="81" t="str">
        <f>IF($B15="","",INDEX('All Bảng'!E:E,MATCH($B15,'All Bảng'!$A:$A,0)))</f>
        <v>Toà văn phòng 43 tầng</v>
      </c>
      <c r="F15" s="81" t="str">
        <f>IF($B15="","",INDEX('All Bảng'!F:F,MATCH($B15,'All Bảng'!$A:$A,0)))</f>
        <v>PC</v>
      </c>
      <c r="G15" s="81" t="str">
        <f>IF($B15="","",INDEX('All Bảng'!G:G,MATCH($B15,'All Bảng'!$A:$A,0)))</f>
        <v>Cập nhật thông tin mô hình BIM</v>
      </c>
      <c r="H15" s="121"/>
      <c r="I15" s="135"/>
      <c r="J15" s="135">
        <f>J$3</f>
        <v>46174</v>
      </c>
      <c r="K15" s="136" t="s">
        <v>557</v>
      </c>
      <c r="L15" s="137">
        <v>2</v>
      </c>
      <c r="M15" s="135">
        <f>M$3</f>
        <v>46175</v>
      </c>
      <c r="N15" s="136"/>
      <c r="O15" s="137">
        <v>2</v>
      </c>
      <c r="P15" s="135">
        <f>P$3</f>
        <v>46176</v>
      </c>
      <c r="Q15" s="136" t="s">
        <v>557</v>
      </c>
      <c r="R15" s="137" t="s">
        <v>557</v>
      </c>
      <c r="S15" s="135">
        <f>S$3</f>
        <v>46177</v>
      </c>
      <c r="T15" s="136" t="s">
        <v>557</v>
      </c>
      <c r="U15" s="137" t="s">
        <v>557</v>
      </c>
      <c r="V15" s="135">
        <f>V$3</f>
        <v>46178</v>
      </c>
      <c r="W15" s="136" t="s">
        <v>557</v>
      </c>
      <c r="X15" s="137" t="s">
        <v>557</v>
      </c>
      <c r="Y15" s="135">
        <f>Y$3</f>
        <v>46179</v>
      </c>
      <c r="Z15" s="136" t="s">
        <v>557</v>
      </c>
      <c r="AA15" s="137" t="s">
        <v>557</v>
      </c>
      <c r="AB15" s="135"/>
      <c r="AC15" s="135">
        <f>AC$3</f>
        <v>46181</v>
      </c>
      <c r="AD15" s="136" t="s">
        <v>557</v>
      </c>
      <c r="AE15" s="137" t="s">
        <v>557</v>
      </c>
      <c r="AF15" s="135">
        <f>AF$3</f>
        <v>46182</v>
      </c>
      <c r="AG15" s="136" t="s">
        <v>557</v>
      </c>
      <c r="AH15" s="137" t="s">
        <v>557</v>
      </c>
      <c r="AI15" s="135">
        <f>AI$3</f>
        <v>46183</v>
      </c>
      <c r="AJ15" s="136" t="s">
        <v>557</v>
      </c>
      <c r="AK15" s="137" t="s">
        <v>557</v>
      </c>
      <c r="AL15" s="135">
        <f>AL$3</f>
        <v>46184</v>
      </c>
      <c r="AM15" s="136" t="s">
        <v>557</v>
      </c>
      <c r="AN15" s="137" t="s">
        <v>557</v>
      </c>
      <c r="AO15" s="135">
        <f>AO$3</f>
        <v>46185</v>
      </c>
      <c r="AP15" s="136" t="s">
        <v>557</v>
      </c>
      <c r="AQ15" s="137" t="s">
        <v>557</v>
      </c>
      <c r="AR15" s="135">
        <f>AR$3</f>
        <v>46186</v>
      </c>
      <c r="AS15" s="136" t="s">
        <v>557</v>
      </c>
      <c r="AT15" s="137" t="s">
        <v>557</v>
      </c>
      <c r="AU15" s="12"/>
    </row>
    <row r="16" spans="1:47">
      <c r="A16" s="122" t="str">
        <f>$A$4</f>
        <v>Ngô Tuấn Vũ</v>
      </c>
      <c r="B16" s="28" t="str">
        <f>'Bảng 3'!A347</f>
        <v>3.N.HCM.CGIO.KS.705</v>
      </c>
      <c r="C16" s="81" t="str">
        <f>IF($B16="","",INDEX('All Bảng'!C:C,MATCH($B16,'All Bảng'!$A:$A,0)))</f>
        <v>Quản lý BIM</v>
      </c>
      <c r="D16" s="81" t="str">
        <f>IF($B16="","",INDEX('All Bảng'!D:D,MATCH($B16,'All Bảng'!$A:$A,0)))</f>
        <v>N.HCM.CGIO.KS</v>
      </c>
      <c r="E16" s="81" t="str">
        <f>IF($B16="","",INDEX('All Bảng'!E:E,MATCH($B16,'All Bảng'!$A:$A,0)))</f>
        <v>Khách sạn Vinpearl A5.02.13</v>
      </c>
      <c r="F16" s="81" t="str">
        <f>IF($B16="","",INDEX('All Bảng'!F:F,MATCH($B16,'All Bảng'!$A:$A,0)))</f>
        <v>PC</v>
      </c>
      <c r="G16" s="81" t="str">
        <f>IF($B16="","",INDEX('All Bảng'!G:G,MATCH($B16,'All Bảng'!$A:$A,0)))</f>
        <v>Cập nhật thông tin mô hình BIM</v>
      </c>
      <c r="H16" s="121">
        <v>46177</v>
      </c>
      <c r="I16" s="135"/>
      <c r="J16" s="135"/>
      <c r="K16" s="136"/>
      <c r="L16" s="137"/>
      <c r="M16" s="135"/>
      <c r="N16" s="136"/>
      <c r="O16" s="137"/>
      <c r="P16" s="135"/>
      <c r="Q16" s="136"/>
      <c r="R16" s="137">
        <v>6</v>
      </c>
      <c r="S16" s="135"/>
      <c r="T16" s="136"/>
      <c r="U16" s="137">
        <v>6</v>
      </c>
      <c r="V16" s="135"/>
      <c r="W16" s="136"/>
      <c r="X16" s="137"/>
      <c r="Y16" s="135"/>
      <c r="Z16" s="136"/>
      <c r="AA16" s="137"/>
      <c r="AB16" s="135"/>
      <c r="AC16" s="135"/>
      <c r="AD16" s="136"/>
      <c r="AE16" s="137"/>
      <c r="AF16" s="135"/>
      <c r="AG16" s="136"/>
      <c r="AH16" s="137"/>
      <c r="AI16" s="135"/>
      <c r="AJ16" s="136"/>
      <c r="AK16" s="137"/>
      <c r="AL16" s="135"/>
      <c r="AM16" s="136"/>
      <c r="AN16" s="137"/>
      <c r="AO16" s="135"/>
      <c r="AP16" s="136"/>
      <c r="AQ16" s="137"/>
      <c r="AR16" s="135"/>
      <c r="AS16" s="136"/>
      <c r="AT16" s="137"/>
      <c r="AU16" s="12"/>
    </row>
    <row r="17" spans="1:47">
      <c r="A17" s="122" t="str">
        <f>$A$4</f>
        <v>Ngô Tuấn Vũ</v>
      </c>
      <c r="B17" s="28" t="str">
        <f>'Bảng 3'!A348</f>
        <v>3.N.HCM.CGIO.KS.706</v>
      </c>
      <c r="C17" s="81" t="str">
        <f>IF($B17="","",INDEX('All Bảng'!C:C,MATCH($B17,'All Bảng'!$A:$A,0)))</f>
        <v>Quản lý BIM</v>
      </c>
      <c r="D17" s="81" t="str">
        <f>IF($B17="","",INDEX('All Bảng'!D:D,MATCH($B17,'All Bảng'!$A:$A,0)))</f>
        <v>N.HCM.CGIO.KS</v>
      </c>
      <c r="E17" s="81" t="str">
        <f>IF($B17="","",INDEX('All Bảng'!E:E,MATCH($B17,'All Bảng'!$A:$A,0)))</f>
        <v>Khách sạn Vinpearl A5.02.13</v>
      </c>
      <c r="F17" s="81" t="str">
        <f>IF($B17="","",INDEX('All Bảng'!F:F,MATCH($B17,'All Bảng'!$A:$A,0)))</f>
        <v>PC</v>
      </c>
      <c r="G17" s="81" t="str">
        <f>IF($B17="","",INDEX('All Bảng'!G:G,MATCH($B17,'All Bảng'!$A:$A,0)))</f>
        <v>Xuất khối lượng từ mô hình BIM</v>
      </c>
      <c r="H17" s="121">
        <v>46177</v>
      </c>
      <c r="I17" s="135"/>
      <c r="J17" s="135"/>
      <c r="K17" s="136"/>
      <c r="L17" s="137"/>
      <c r="M17" s="135"/>
      <c r="N17" s="136"/>
      <c r="O17" s="137"/>
      <c r="P17" s="135"/>
      <c r="Q17" s="136"/>
      <c r="R17" s="137"/>
      <c r="S17" s="135"/>
      <c r="T17" s="136"/>
      <c r="U17" s="137">
        <v>1</v>
      </c>
      <c r="V17" s="135"/>
      <c r="W17" s="136"/>
      <c r="X17" s="137"/>
      <c r="Y17" s="135"/>
      <c r="Z17" s="136"/>
      <c r="AA17" s="137"/>
      <c r="AB17" s="135"/>
      <c r="AC17" s="135"/>
      <c r="AD17" s="136"/>
      <c r="AE17" s="137"/>
      <c r="AF17" s="135"/>
      <c r="AG17" s="136"/>
      <c r="AH17" s="137"/>
      <c r="AI17" s="135"/>
      <c r="AJ17" s="136"/>
      <c r="AK17" s="137"/>
      <c r="AL17" s="135"/>
      <c r="AM17" s="136"/>
      <c r="AN17" s="137"/>
      <c r="AO17" s="135"/>
      <c r="AP17" s="136"/>
      <c r="AQ17" s="137"/>
      <c r="AR17" s="135"/>
      <c r="AS17" s="136"/>
      <c r="AT17" s="137"/>
      <c r="AU17" s="12"/>
    </row>
    <row r="18" spans="1:47">
      <c r="A18" s="36" t="s">
        <v>216</v>
      </c>
      <c r="B18" s="82"/>
      <c r="C18" s="81" t="str">
        <f>IF($B18="","",INDEX('All Bảng'!C:C,MATCH($B18,'All Bảng'!$A:$A,0)))</f>
        <v/>
      </c>
      <c r="D18" s="81" t="str">
        <f>IF($B18="","",INDEX('All Bảng'!D:D,MATCH($B18,'All Bảng'!$A:$A,0)))</f>
        <v/>
      </c>
      <c r="E18" s="81" t="str">
        <f>IF($B18="","",INDEX('All Bảng'!E:E,MATCH($B18,'All Bảng'!$A:$A,0)))</f>
        <v/>
      </c>
      <c r="F18" s="81" t="str">
        <f>IF($B18="","",INDEX('All Bảng'!F:F,MATCH($B18,'All Bảng'!$A:$A,0)))</f>
        <v/>
      </c>
      <c r="G18" s="81" t="str">
        <f>IF($B18="","",INDEX('All Bảng'!G:G,MATCH($B18,'All Bảng'!$A:$A,0)))</f>
        <v/>
      </c>
      <c r="H18" s="121"/>
      <c r="I18" s="138"/>
      <c r="J18" s="138">
        <f>J$3</f>
        <v>46174</v>
      </c>
      <c r="K18" s="132" t="s">
        <v>557</v>
      </c>
      <c r="L18" s="133">
        <f>SUM(L19:L35)</f>
        <v>10</v>
      </c>
      <c r="M18" s="138">
        <f>M$3</f>
        <v>46175</v>
      </c>
      <c r="N18" s="132" t="s">
        <v>557</v>
      </c>
      <c r="O18" s="133">
        <f>SUM(O19:O35)</f>
        <v>8</v>
      </c>
      <c r="P18" s="138">
        <f>P$3</f>
        <v>46176</v>
      </c>
      <c r="Q18" s="132" t="s">
        <v>557</v>
      </c>
      <c r="R18" s="133">
        <f>SUM(R19:R35)</f>
        <v>8</v>
      </c>
      <c r="S18" s="138">
        <f>S$3</f>
        <v>46177</v>
      </c>
      <c r="T18" s="132" t="s">
        <v>557</v>
      </c>
      <c r="U18" s="133">
        <f>SUM(U19:U35)</f>
        <v>8</v>
      </c>
      <c r="V18" s="138">
        <f>V$3</f>
        <v>46178</v>
      </c>
      <c r="W18" s="132" t="s">
        <v>557</v>
      </c>
      <c r="X18" s="133">
        <f>SUM(X19:X35)</f>
        <v>0</v>
      </c>
      <c r="Y18" s="138">
        <f>Y$3</f>
        <v>46179</v>
      </c>
      <c r="Z18" s="132" t="s">
        <v>557</v>
      </c>
      <c r="AA18" s="133">
        <f>SUM(AA19:AA35)</f>
        <v>0</v>
      </c>
      <c r="AB18" s="138"/>
      <c r="AC18" s="138">
        <f>AC$3</f>
        <v>46181</v>
      </c>
      <c r="AD18" s="132" t="s">
        <v>557</v>
      </c>
      <c r="AE18" s="133">
        <f>SUM(AE19:AE35)</f>
        <v>0</v>
      </c>
      <c r="AF18" s="138">
        <f>AF$3</f>
        <v>46182</v>
      </c>
      <c r="AG18" s="132" t="s">
        <v>557</v>
      </c>
      <c r="AH18" s="133">
        <f>SUM(AH19:AH35)</f>
        <v>0</v>
      </c>
      <c r="AI18" s="138">
        <f>AI$3</f>
        <v>46183</v>
      </c>
      <c r="AJ18" s="132" t="s">
        <v>557</v>
      </c>
      <c r="AK18" s="133">
        <f>SUM(AK19:AK35)</f>
        <v>0</v>
      </c>
      <c r="AL18" s="138">
        <f>AL$3</f>
        <v>46184</v>
      </c>
      <c r="AM18" s="132" t="s">
        <v>557</v>
      </c>
      <c r="AN18" s="133">
        <f>SUM(AN19:AN35)</f>
        <v>0</v>
      </c>
      <c r="AO18" s="138">
        <f>AO$3</f>
        <v>46185</v>
      </c>
      <c r="AP18" s="132" t="s">
        <v>557</v>
      </c>
      <c r="AQ18" s="133">
        <f>SUM(AQ19:AQ35)</f>
        <v>0</v>
      </c>
      <c r="AR18" s="138">
        <f>AR$3</f>
        <v>46186</v>
      </c>
      <c r="AS18" s="132" t="s">
        <v>557</v>
      </c>
      <c r="AT18" s="133">
        <f>SUM(AT19:AT35)</f>
        <v>0</v>
      </c>
      <c r="AU18" s="134"/>
    </row>
    <row r="19" spans="1:47" ht="30.75">
      <c r="A19" s="122" t="str">
        <f>$A$18</f>
        <v>Đặng Thái Sơn</v>
      </c>
      <c r="B19" s="82" t="s">
        <v>789</v>
      </c>
      <c r="C19" s="81" t="str">
        <f>IF($B19="","",INDEX('All Bảng'!C:C,MATCH($B19,'All Bảng'!$A:$A,0)))</f>
        <v>Quản lý BIM</v>
      </c>
      <c r="D19" s="81" t="str">
        <f>IF($B19="","",INDEX('All Bảng'!D:D,MATCH($B19,'All Bảng'!$A:$A,0)))</f>
        <v>B.HYE.PVF</v>
      </c>
      <c r="E19" s="81" t="str">
        <f>IF($B19="","",INDEX('All Bảng'!E:E,MATCH($B19,'All Bảng'!$A:$A,0)))</f>
        <v>Sân vận động TDTT01</v>
      </c>
      <c r="F19" s="81" t="str">
        <f>IF($B19="","",INDEX('All Bảng'!F:F,MATCH($B19,'All Bảng'!$A:$A,0)))</f>
        <v>DH</v>
      </c>
      <c r="G19" s="81" t="str">
        <f>IF($B19="","",INDEX('All Bảng'!G:G,MATCH($B19,'All Bảng'!$A:$A,0)))</f>
        <v>Tạo lập mô hình BIM</v>
      </c>
      <c r="H19" s="121">
        <v>46174</v>
      </c>
      <c r="I19" s="135"/>
      <c r="J19" s="135">
        <f>J$3</f>
        <v>46174</v>
      </c>
      <c r="K19" s="148" t="s">
        <v>21</v>
      </c>
      <c r="L19" s="137">
        <v>6</v>
      </c>
      <c r="M19" s="135">
        <f>M$3</f>
        <v>46175</v>
      </c>
      <c r="N19" s="136" t="s">
        <v>557</v>
      </c>
      <c r="O19" s="137" t="s">
        <v>557</v>
      </c>
      <c r="P19" s="135">
        <f>P$3</f>
        <v>46176</v>
      </c>
      <c r="Q19" s="136" t="s">
        <v>557</v>
      </c>
      <c r="R19" s="137" t="s">
        <v>557</v>
      </c>
      <c r="S19" s="135">
        <f>S$3</f>
        <v>46177</v>
      </c>
      <c r="T19" s="136" t="s">
        <v>557</v>
      </c>
      <c r="U19" s="137" t="s">
        <v>557</v>
      </c>
      <c r="V19" s="135">
        <f>V$3</f>
        <v>46178</v>
      </c>
      <c r="W19" s="136" t="s">
        <v>557</v>
      </c>
      <c r="X19" s="137" t="s">
        <v>557</v>
      </c>
      <c r="Y19" s="135">
        <f>Y$3</f>
        <v>46179</v>
      </c>
      <c r="Z19" s="136" t="s">
        <v>557</v>
      </c>
      <c r="AA19" s="137" t="s">
        <v>557</v>
      </c>
      <c r="AB19" s="135"/>
      <c r="AC19" s="135">
        <f>AC$3</f>
        <v>46181</v>
      </c>
      <c r="AD19" s="136" t="s">
        <v>557</v>
      </c>
      <c r="AE19" s="137" t="s">
        <v>557</v>
      </c>
      <c r="AF19" s="135">
        <f>AF$3</f>
        <v>46182</v>
      </c>
      <c r="AG19" s="136" t="s">
        <v>557</v>
      </c>
      <c r="AH19" s="137" t="s">
        <v>557</v>
      </c>
      <c r="AI19" s="135">
        <f>AI$3</f>
        <v>46183</v>
      </c>
      <c r="AJ19" s="136" t="s">
        <v>557</v>
      </c>
      <c r="AK19" s="137" t="s">
        <v>557</v>
      </c>
      <c r="AL19" s="135">
        <f>AL$3</f>
        <v>46184</v>
      </c>
      <c r="AM19" s="136" t="s">
        <v>557</v>
      </c>
      <c r="AN19" s="137" t="s">
        <v>557</v>
      </c>
      <c r="AO19" s="135">
        <f>AO$3</f>
        <v>46185</v>
      </c>
      <c r="AP19" s="136" t="s">
        <v>557</v>
      </c>
      <c r="AQ19" s="137" t="s">
        <v>557</v>
      </c>
      <c r="AR19" s="135">
        <f>AR$3</f>
        <v>46186</v>
      </c>
      <c r="AS19" s="136" t="s">
        <v>557</v>
      </c>
      <c r="AT19" s="137" t="s">
        <v>557</v>
      </c>
      <c r="AU19" s="12"/>
    </row>
    <row r="20" spans="1:47" ht="30.75">
      <c r="A20" s="122" t="str">
        <f>$A$18</f>
        <v>Đặng Thái Sơn</v>
      </c>
      <c r="B20" s="82" t="s">
        <v>790</v>
      </c>
      <c r="C20" s="81" t="str">
        <f>IF($B20="","",INDEX('All Bảng'!C:C,MATCH($B20,'All Bảng'!$A:$A,0)))</f>
        <v>Quản lý BIM</v>
      </c>
      <c r="D20" s="81" t="str">
        <f>IF($B20="","",INDEX('All Bảng'!D:D,MATCH($B20,'All Bảng'!$A:$A,0)))</f>
        <v>N.HCM.Q9.VP</v>
      </c>
      <c r="E20" s="81" t="str">
        <f>IF($B20="","",INDEX('All Bảng'!E:E,MATCH($B20,'All Bảng'!$A:$A,0)))</f>
        <v>Toà văn phòng 43 tầng</v>
      </c>
      <c r="F20" s="81" t="str">
        <f>IF($B20="","",INDEX('All Bảng'!F:F,MATCH($B20,'All Bảng'!$A:$A,0)))</f>
        <v>DH</v>
      </c>
      <c r="G20" s="81" t="str">
        <f>IF($B20="","",INDEX('All Bảng'!G:G,MATCH($B20,'All Bảng'!$A:$A,0)))</f>
        <v>Cập nhật thông tin mô hình BIM</v>
      </c>
      <c r="H20" s="121">
        <v>46174</v>
      </c>
      <c r="I20" s="135"/>
      <c r="J20" s="135">
        <f>J$3</f>
        <v>46174</v>
      </c>
      <c r="K20" s="148" t="s">
        <v>791</v>
      </c>
      <c r="L20" s="137">
        <v>2</v>
      </c>
      <c r="M20" s="135">
        <f>M$3</f>
        <v>46175</v>
      </c>
      <c r="N20" s="136" t="s">
        <v>557</v>
      </c>
      <c r="O20" s="137" t="s">
        <v>557</v>
      </c>
      <c r="P20" s="135">
        <f>P$3</f>
        <v>46176</v>
      </c>
      <c r="Q20" s="136" t="s">
        <v>557</v>
      </c>
      <c r="R20" s="137" t="s">
        <v>557</v>
      </c>
      <c r="S20" s="135">
        <f>S$3</f>
        <v>46177</v>
      </c>
      <c r="T20" s="136" t="s">
        <v>557</v>
      </c>
      <c r="U20" s="137" t="s">
        <v>557</v>
      </c>
      <c r="V20" s="135">
        <f>V$3</f>
        <v>46178</v>
      </c>
      <c r="W20" s="136" t="s">
        <v>557</v>
      </c>
      <c r="X20" s="137" t="s">
        <v>557</v>
      </c>
      <c r="Y20" s="135">
        <f>Y$3</f>
        <v>46179</v>
      </c>
      <c r="Z20" s="136" t="s">
        <v>557</v>
      </c>
      <c r="AA20" s="137" t="s">
        <v>557</v>
      </c>
      <c r="AB20" s="135"/>
      <c r="AC20" s="135">
        <f>AC$3</f>
        <v>46181</v>
      </c>
      <c r="AD20" s="136" t="s">
        <v>557</v>
      </c>
      <c r="AE20" s="137" t="s">
        <v>557</v>
      </c>
      <c r="AF20" s="135">
        <f>AF$3</f>
        <v>46182</v>
      </c>
      <c r="AG20" s="136" t="s">
        <v>557</v>
      </c>
      <c r="AH20" s="137" t="s">
        <v>557</v>
      </c>
      <c r="AI20" s="135">
        <f>AI$3</f>
        <v>46183</v>
      </c>
      <c r="AJ20" s="136" t="s">
        <v>557</v>
      </c>
      <c r="AK20" s="137" t="s">
        <v>557</v>
      </c>
      <c r="AL20" s="135">
        <f>AL$3</f>
        <v>46184</v>
      </c>
      <c r="AM20" s="136" t="s">
        <v>557</v>
      </c>
      <c r="AN20" s="137" t="s">
        <v>557</v>
      </c>
      <c r="AO20" s="135">
        <f>AO$3</f>
        <v>46185</v>
      </c>
      <c r="AP20" s="136" t="s">
        <v>557</v>
      </c>
      <c r="AQ20" s="137" t="s">
        <v>557</v>
      </c>
      <c r="AR20" s="135">
        <f>AR$3</f>
        <v>46186</v>
      </c>
      <c r="AS20" s="136" t="s">
        <v>557</v>
      </c>
      <c r="AT20" s="137" t="s">
        <v>557</v>
      </c>
      <c r="AU20" s="12"/>
    </row>
    <row r="21" spans="1:47" ht="45.75">
      <c r="A21" s="122" t="str">
        <f>$A$18</f>
        <v>Đặng Thái Sơn</v>
      </c>
      <c r="B21" s="82" t="s">
        <v>792</v>
      </c>
      <c r="C21" s="81" t="str">
        <f>IF($B21="","",INDEX('All Bảng'!C:C,MATCH($B21,'All Bảng'!$A:$A,0)))</f>
        <v>Quản lý BIM</v>
      </c>
      <c r="D21" s="81" t="str">
        <f>IF($B21="","",INDEX('All Bảng'!D:D,MATCH($B21,'All Bảng'!$A:$A,0)))</f>
        <v>N.HCM.Q9.VP</v>
      </c>
      <c r="E21" s="81" t="str">
        <f>IF($B21="","",INDEX('All Bảng'!E:E,MATCH($B21,'All Bảng'!$A:$A,0)))</f>
        <v>Toà văn phòng 43 tầng</v>
      </c>
      <c r="F21" s="81" t="str">
        <f>IF($B21="","",INDEX('All Bảng'!F:F,MATCH($B21,'All Bảng'!$A:$A,0)))</f>
        <v>DH</v>
      </c>
      <c r="G21" s="81" t="str">
        <f>IF($B21="","",INDEX('All Bảng'!G:G,MATCH($B21,'All Bảng'!$A:$A,0)))</f>
        <v>Xuất khối lượng từ mô hình BIM</v>
      </c>
      <c r="H21" s="121">
        <v>46174</v>
      </c>
      <c r="I21" s="135"/>
      <c r="J21" s="135">
        <f>J$3</f>
        <v>46174</v>
      </c>
      <c r="K21" s="148" t="s">
        <v>793</v>
      </c>
      <c r="L21" s="137">
        <v>2</v>
      </c>
      <c r="M21" s="135">
        <f>M$3</f>
        <v>46175</v>
      </c>
      <c r="N21" s="136" t="s">
        <v>557</v>
      </c>
      <c r="O21" s="137" t="s">
        <v>557</v>
      </c>
      <c r="P21" s="135">
        <f>P$3</f>
        <v>46176</v>
      </c>
      <c r="Q21" s="136" t="s">
        <v>557</v>
      </c>
      <c r="R21" s="137" t="s">
        <v>557</v>
      </c>
      <c r="S21" s="135">
        <f>S$3</f>
        <v>46177</v>
      </c>
      <c r="T21" s="136" t="s">
        <v>557</v>
      </c>
      <c r="U21" s="137" t="s">
        <v>557</v>
      </c>
      <c r="V21" s="135">
        <f>V$3</f>
        <v>46178</v>
      </c>
      <c r="W21" s="136" t="s">
        <v>557</v>
      </c>
      <c r="X21" s="137" t="s">
        <v>557</v>
      </c>
      <c r="Y21" s="135">
        <f>Y$3</f>
        <v>46179</v>
      </c>
      <c r="Z21" s="136" t="s">
        <v>557</v>
      </c>
      <c r="AA21" s="137" t="s">
        <v>557</v>
      </c>
      <c r="AB21" s="135"/>
      <c r="AC21" s="135">
        <f>AC$3</f>
        <v>46181</v>
      </c>
      <c r="AD21" s="136" t="s">
        <v>557</v>
      </c>
      <c r="AE21" s="137" t="s">
        <v>557</v>
      </c>
      <c r="AF21" s="135">
        <f>AF$3</f>
        <v>46182</v>
      </c>
      <c r="AG21" s="136" t="s">
        <v>557</v>
      </c>
      <c r="AH21" s="137" t="s">
        <v>557</v>
      </c>
      <c r="AI21" s="135">
        <f>AI$3</f>
        <v>46183</v>
      </c>
      <c r="AJ21" s="136" t="s">
        <v>557</v>
      </c>
      <c r="AK21" s="137" t="s">
        <v>557</v>
      </c>
      <c r="AL21" s="135">
        <f>AL$3</f>
        <v>46184</v>
      </c>
      <c r="AM21" s="136" t="s">
        <v>557</v>
      </c>
      <c r="AN21" s="137" t="s">
        <v>557</v>
      </c>
      <c r="AO21" s="135">
        <f>AO$3</f>
        <v>46185</v>
      </c>
      <c r="AP21" s="136" t="s">
        <v>557</v>
      </c>
      <c r="AQ21" s="137" t="s">
        <v>557</v>
      </c>
      <c r="AR21" s="135">
        <f>AR$3</f>
        <v>46186</v>
      </c>
      <c r="AS21" s="136" t="s">
        <v>557</v>
      </c>
      <c r="AT21" s="137" t="s">
        <v>557</v>
      </c>
      <c r="AU21" s="12"/>
    </row>
    <row r="22" spans="1:47">
      <c r="A22" s="122" t="str">
        <f>$A$18</f>
        <v>Đặng Thái Sơn</v>
      </c>
      <c r="B22" s="82" t="s">
        <v>794</v>
      </c>
      <c r="C22" s="81" t="str">
        <f>IF($B22="","",INDEX('All Bảng'!C:C,MATCH($B22,'All Bảng'!$A:$A,0)))</f>
        <v>Quản lý BIM</v>
      </c>
      <c r="D22" s="81" t="str">
        <f>IF($B22="","",INDEX('All Bảng'!D:D,MATCH($B22,'All Bảng'!$A:$A,0)))</f>
        <v>B.HYE.NOXHHY.CT</v>
      </c>
      <c r="E22" s="81" t="str">
        <f>IF($B22="","",INDEX('All Bảng'!E:E,MATCH($B22,'All Bảng'!$A:$A,0)))</f>
        <v>NOXH01 (04 tòa)</v>
      </c>
      <c r="F22" s="81" t="str">
        <f>IF($B22="","",INDEX('All Bảng'!F:F,MATCH($B22,'All Bảng'!$A:$A,0)))</f>
        <v>DI</v>
      </c>
      <c r="G22" s="81" t="str">
        <f>IF($B22="","",INDEX('All Bảng'!G:G,MATCH($B22,'All Bảng'!$A:$A,0)))</f>
        <v>KSCL mô hình BIM</v>
      </c>
      <c r="H22" s="121"/>
      <c r="I22" s="135"/>
      <c r="J22" s="135">
        <f>J$3</f>
        <v>46174</v>
      </c>
      <c r="K22" s="136" t="s">
        <v>557</v>
      </c>
      <c r="L22" s="137" t="s">
        <v>557</v>
      </c>
      <c r="M22" s="135">
        <f>M$3</f>
        <v>46175</v>
      </c>
      <c r="N22" s="136" t="s">
        <v>557</v>
      </c>
      <c r="O22" s="137">
        <v>0.5</v>
      </c>
      <c r="P22" s="135">
        <f>P$3</f>
        <v>46176</v>
      </c>
      <c r="Q22" s="136" t="s">
        <v>557</v>
      </c>
      <c r="R22" s="137" t="s">
        <v>557</v>
      </c>
      <c r="S22" s="135">
        <f>S$3</f>
        <v>46177</v>
      </c>
      <c r="T22" s="136" t="s">
        <v>557</v>
      </c>
      <c r="U22" s="137" t="s">
        <v>557</v>
      </c>
      <c r="V22" s="135">
        <f>V$3</f>
        <v>46178</v>
      </c>
      <c r="W22" s="136" t="s">
        <v>557</v>
      </c>
      <c r="X22" s="137" t="s">
        <v>557</v>
      </c>
      <c r="Y22" s="135">
        <f>Y$3</f>
        <v>46179</v>
      </c>
      <c r="Z22" s="136" t="s">
        <v>557</v>
      </c>
      <c r="AA22" s="137" t="s">
        <v>557</v>
      </c>
      <c r="AB22" s="135"/>
      <c r="AC22" s="135">
        <f>AC$3</f>
        <v>46181</v>
      </c>
      <c r="AD22" s="136" t="s">
        <v>557</v>
      </c>
      <c r="AE22" s="137" t="s">
        <v>557</v>
      </c>
      <c r="AF22" s="135">
        <f>AF$3</f>
        <v>46182</v>
      </c>
      <c r="AG22" s="136" t="s">
        <v>557</v>
      </c>
      <c r="AH22" s="137" t="s">
        <v>557</v>
      </c>
      <c r="AI22" s="135">
        <f>AI$3</f>
        <v>46183</v>
      </c>
      <c r="AJ22" s="136" t="s">
        <v>557</v>
      </c>
      <c r="AK22" s="137" t="s">
        <v>557</v>
      </c>
      <c r="AL22" s="135">
        <f>AL$3</f>
        <v>46184</v>
      </c>
      <c r="AM22" s="136" t="s">
        <v>557</v>
      </c>
      <c r="AN22" s="137" t="s">
        <v>557</v>
      </c>
      <c r="AO22" s="135">
        <f>AO$3</f>
        <v>46185</v>
      </c>
      <c r="AP22" s="136" t="s">
        <v>557</v>
      </c>
      <c r="AQ22" s="137" t="s">
        <v>557</v>
      </c>
      <c r="AR22" s="135">
        <f>AR$3</f>
        <v>46186</v>
      </c>
      <c r="AS22" s="136" t="s">
        <v>557</v>
      </c>
      <c r="AT22" s="137" t="s">
        <v>557</v>
      </c>
      <c r="AU22" s="12"/>
    </row>
    <row r="23" spans="1:47">
      <c r="A23" s="122" t="str">
        <f>$A$18</f>
        <v>Đặng Thái Sơn</v>
      </c>
      <c r="B23" s="82" t="s">
        <v>795</v>
      </c>
      <c r="C23" s="81" t="str">
        <f>IF($B23="","",INDEX('All Bảng'!C:C,MATCH($B23,'All Bảng'!$A:$A,0)))</f>
        <v>Quản lý BIM</v>
      </c>
      <c r="D23" s="81" t="str">
        <f>IF($B23="","",INDEX('All Bảng'!D:D,MATCH($B23,'All Bảng'!$A:$A,0)))</f>
        <v>B.HYE.NOXHHY.CT</v>
      </c>
      <c r="E23" s="81" t="str">
        <f>IF($B23="","",INDEX('All Bảng'!E:E,MATCH($B23,'All Bảng'!$A:$A,0)))</f>
        <v>NOXH01 (04 tòa)</v>
      </c>
      <c r="F23" s="81" t="str">
        <f>IF($B23="","",INDEX('All Bảng'!F:F,MATCH($B23,'All Bảng'!$A:$A,0)))</f>
        <v>DN</v>
      </c>
      <c r="G23" s="81" t="str">
        <f>IF($B23="","",INDEX('All Bảng'!G:G,MATCH($B23,'All Bảng'!$A:$A,0)))</f>
        <v>KSCL mô hình BIM</v>
      </c>
      <c r="H23" s="121"/>
      <c r="I23" s="135"/>
      <c r="J23" s="135">
        <f>J$3</f>
        <v>46174</v>
      </c>
      <c r="K23" s="136" t="s">
        <v>557</v>
      </c>
      <c r="L23" s="137" t="s">
        <v>557</v>
      </c>
      <c r="M23" s="135">
        <f>M$3</f>
        <v>46175</v>
      </c>
      <c r="N23" s="136" t="s">
        <v>557</v>
      </c>
      <c r="O23" s="137">
        <v>0.5</v>
      </c>
      <c r="P23" s="135">
        <f>P$3</f>
        <v>46176</v>
      </c>
      <c r="Q23" s="136" t="s">
        <v>557</v>
      </c>
      <c r="R23" s="137" t="s">
        <v>557</v>
      </c>
      <c r="S23" s="135">
        <f>S$3</f>
        <v>46177</v>
      </c>
      <c r="T23" s="136" t="s">
        <v>557</v>
      </c>
      <c r="U23" s="137" t="s">
        <v>557</v>
      </c>
      <c r="V23" s="135">
        <f>V$3</f>
        <v>46178</v>
      </c>
      <c r="W23" s="136" t="s">
        <v>557</v>
      </c>
      <c r="X23" s="137" t="s">
        <v>557</v>
      </c>
      <c r="Y23" s="135">
        <f>Y$3</f>
        <v>46179</v>
      </c>
      <c r="Z23" s="136" t="s">
        <v>557</v>
      </c>
      <c r="AA23" s="137" t="s">
        <v>557</v>
      </c>
      <c r="AB23" s="135"/>
      <c r="AC23" s="135">
        <f>AC$3</f>
        <v>46181</v>
      </c>
      <c r="AD23" s="136" t="s">
        <v>557</v>
      </c>
      <c r="AE23" s="137" t="s">
        <v>557</v>
      </c>
      <c r="AF23" s="135">
        <f>AF$3</f>
        <v>46182</v>
      </c>
      <c r="AG23" s="136" t="s">
        <v>557</v>
      </c>
      <c r="AH23" s="137" t="s">
        <v>557</v>
      </c>
      <c r="AI23" s="135">
        <f>AI$3</f>
        <v>46183</v>
      </c>
      <c r="AJ23" s="136" t="s">
        <v>557</v>
      </c>
      <c r="AK23" s="137" t="s">
        <v>557</v>
      </c>
      <c r="AL23" s="135">
        <f>AL$3</f>
        <v>46184</v>
      </c>
      <c r="AM23" s="136" t="s">
        <v>557</v>
      </c>
      <c r="AN23" s="137" t="s">
        <v>557</v>
      </c>
      <c r="AO23" s="135">
        <f>AO$3</f>
        <v>46185</v>
      </c>
      <c r="AP23" s="136" t="s">
        <v>557</v>
      </c>
      <c r="AQ23" s="137" t="s">
        <v>557</v>
      </c>
      <c r="AR23" s="135">
        <f>AR$3</f>
        <v>46186</v>
      </c>
      <c r="AS23" s="136" t="s">
        <v>557</v>
      </c>
      <c r="AT23" s="137" t="s">
        <v>557</v>
      </c>
      <c r="AU23" s="12"/>
    </row>
    <row r="24" spans="1:47">
      <c r="A24" s="122" t="str">
        <f>$A$18</f>
        <v>Đặng Thái Sơn</v>
      </c>
      <c r="B24" s="82" t="s">
        <v>796</v>
      </c>
      <c r="C24" s="81" t="str">
        <f>IF($B24="","",INDEX('All Bảng'!C:C,MATCH($B24,'All Bảng'!$A:$A,0)))</f>
        <v>Quản lý BIM</v>
      </c>
      <c r="D24" s="81" t="str">
        <f>IF($B24="","",INDEX('All Bảng'!D:D,MATCH($B24,'All Bảng'!$A:$A,0)))</f>
        <v>B.HYE.NOXHHY.CT</v>
      </c>
      <c r="E24" s="81" t="str">
        <f>IF($B24="","",INDEX('All Bảng'!E:E,MATCH($B24,'All Bảng'!$A:$A,0)))</f>
        <v>NOXH01 (04 tòa)</v>
      </c>
      <c r="F24" s="81" t="str">
        <f>IF($B24="","",INDEX('All Bảng'!F:F,MATCH($B24,'All Bảng'!$A:$A,0)))</f>
        <v>NU</v>
      </c>
      <c r="G24" s="81" t="str">
        <f>IF($B24="","",INDEX('All Bảng'!G:G,MATCH($B24,'All Bảng'!$A:$A,0)))</f>
        <v>KSCL mô hình BIM</v>
      </c>
      <c r="H24" s="121"/>
      <c r="I24" s="135"/>
      <c r="J24" s="135">
        <f>J$3</f>
        <v>46174</v>
      </c>
      <c r="K24" s="136" t="s">
        <v>557</v>
      </c>
      <c r="L24" s="137" t="s">
        <v>557</v>
      </c>
      <c r="M24" s="135">
        <f>M$3</f>
        <v>46175</v>
      </c>
      <c r="N24" s="136" t="s">
        <v>557</v>
      </c>
      <c r="O24" s="137">
        <v>0.5</v>
      </c>
      <c r="P24" s="135">
        <f>P$3</f>
        <v>46176</v>
      </c>
      <c r="Q24" s="136" t="s">
        <v>557</v>
      </c>
      <c r="R24" s="137" t="s">
        <v>557</v>
      </c>
      <c r="S24" s="135">
        <f>S$3</f>
        <v>46177</v>
      </c>
      <c r="T24" s="136" t="s">
        <v>557</v>
      </c>
      <c r="U24" s="137" t="s">
        <v>557</v>
      </c>
      <c r="V24" s="135">
        <f>V$3</f>
        <v>46178</v>
      </c>
      <c r="W24" s="136" t="s">
        <v>557</v>
      </c>
      <c r="X24" s="137" t="s">
        <v>557</v>
      </c>
      <c r="Y24" s="135">
        <f>Y$3</f>
        <v>46179</v>
      </c>
      <c r="Z24" s="136" t="s">
        <v>557</v>
      </c>
      <c r="AA24" s="137" t="s">
        <v>557</v>
      </c>
      <c r="AB24" s="135"/>
      <c r="AC24" s="135">
        <f>AC$3</f>
        <v>46181</v>
      </c>
      <c r="AD24" s="136" t="s">
        <v>557</v>
      </c>
      <c r="AE24" s="137" t="s">
        <v>557</v>
      </c>
      <c r="AF24" s="135">
        <f>AF$3</f>
        <v>46182</v>
      </c>
      <c r="AG24" s="136" t="s">
        <v>557</v>
      </c>
      <c r="AH24" s="137" t="s">
        <v>557</v>
      </c>
      <c r="AI24" s="135">
        <f>AI$3</f>
        <v>46183</v>
      </c>
      <c r="AJ24" s="136" t="s">
        <v>557</v>
      </c>
      <c r="AK24" s="137" t="s">
        <v>557</v>
      </c>
      <c r="AL24" s="135">
        <f>AL$3</f>
        <v>46184</v>
      </c>
      <c r="AM24" s="136" t="s">
        <v>557</v>
      </c>
      <c r="AN24" s="137" t="s">
        <v>557</v>
      </c>
      <c r="AO24" s="135">
        <f>AO$3</f>
        <v>46185</v>
      </c>
      <c r="AP24" s="136" t="s">
        <v>557</v>
      </c>
      <c r="AQ24" s="137" t="s">
        <v>557</v>
      </c>
      <c r="AR24" s="135">
        <f>AR$3</f>
        <v>46186</v>
      </c>
      <c r="AS24" s="136" t="s">
        <v>557</v>
      </c>
      <c r="AT24" s="137" t="s">
        <v>557</v>
      </c>
      <c r="AU24" s="12"/>
    </row>
    <row r="25" spans="1:47">
      <c r="A25" s="122" t="str">
        <f>$A$18</f>
        <v>Đặng Thái Sơn</v>
      </c>
      <c r="B25" s="82" t="s">
        <v>797</v>
      </c>
      <c r="C25" s="81" t="str">
        <f>IF($B25="","",INDEX('All Bảng'!C:C,MATCH($B25,'All Bảng'!$A:$A,0)))</f>
        <v>Quản lý BIM</v>
      </c>
      <c r="D25" s="81" t="str">
        <f>IF($B25="","",INDEX('All Bảng'!D:D,MATCH($B25,'All Bảng'!$A:$A,0)))</f>
        <v>B.HYE.NOXHHY.CT</v>
      </c>
      <c r="E25" s="81" t="str">
        <f>IF($B25="","",INDEX('All Bảng'!E:E,MATCH($B25,'All Bảng'!$A:$A,0)))</f>
        <v>NOXH01 (04 tòa)</v>
      </c>
      <c r="F25" s="81" t="str">
        <f>IF($B25="","",INDEX('All Bảng'!F:F,MATCH($B25,'All Bảng'!$A:$A,0)))</f>
        <v>DH</v>
      </c>
      <c r="G25" s="81" t="str">
        <f>IF($B25="","",INDEX('All Bảng'!G:G,MATCH($B25,'All Bảng'!$A:$A,0)))</f>
        <v>KSCL mô hình BIM</v>
      </c>
      <c r="H25" s="121"/>
      <c r="I25" s="135"/>
      <c r="J25" s="135">
        <f>J$3</f>
        <v>46174</v>
      </c>
      <c r="K25" s="136" t="s">
        <v>557</v>
      </c>
      <c r="L25" s="137" t="s">
        <v>557</v>
      </c>
      <c r="M25" s="135">
        <f>M$3</f>
        <v>46175</v>
      </c>
      <c r="N25" s="136" t="s">
        <v>557</v>
      </c>
      <c r="O25" s="137">
        <v>0.5</v>
      </c>
      <c r="P25" s="135">
        <f>P$3</f>
        <v>46176</v>
      </c>
      <c r="Q25" s="136" t="s">
        <v>557</v>
      </c>
      <c r="R25" s="137" t="s">
        <v>557</v>
      </c>
      <c r="S25" s="135">
        <f>S$3</f>
        <v>46177</v>
      </c>
      <c r="T25" s="136" t="s">
        <v>557</v>
      </c>
      <c r="U25" s="137" t="s">
        <v>557</v>
      </c>
      <c r="V25" s="135">
        <f>V$3</f>
        <v>46178</v>
      </c>
      <c r="W25" s="136" t="s">
        <v>557</v>
      </c>
      <c r="X25" s="137" t="s">
        <v>557</v>
      </c>
      <c r="Y25" s="135">
        <f>Y$3</f>
        <v>46179</v>
      </c>
      <c r="Z25" s="136" t="s">
        <v>557</v>
      </c>
      <c r="AA25" s="137" t="s">
        <v>557</v>
      </c>
      <c r="AB25" s="135"/>
      <c r="AC25" s="135">
        <f>AC$3</f>
        <v>46181</v>
      </c>
      <c r="AD25" s="136" t="s">
        <v>557</v>
      </c>
      <c r="AE25" s="137" t="s">
        <v>557</v>
      </c>
      <c r="AF25" s="135">
        <f>AF$3</f>
        <v>46182</v>
      </c>
      <c r="AG25" s="136" t="s">
        <v>557</v>
      </c>
      <c r="AH25" s="137" t="s">
        <v>557</v>
      </c>
      <c r="AI25" s="135">
        <f>AI$3</f>
        <v>46183</v>
      </c>
      <c r="AJ25" s="136" t="s">
        <v>557</v>
      </c>
      <c r="AK25" s="137" t="s">
        <v>557</v>
      </c>
      <c r="AL25" s="135">
        <f>AL$3</f>
        <v>46184</v>
      </c>
      <c r="AM25" s="136" t="s">
        <v>557</v>
      </c>
      <c r="AN25" s="137" t="s">
        <v>557</v>
      </c>
      <c r="AO25" s="135">
        <f>AO$3</f>
        <v>46185</v>
      </c>
      <c r="AP25" s="136" t="s">
        <v>557</v>
      </c>
      <c r="AQ25" s="137" t="s">
        <v>557</v>
      </c>
      <c r="AR25" s="135">
        <f>AR$3</f>
        <v>46186</v>
      </c>
      <c r="AS25" s="136" t="s">
        <v>557</v>
      </c>
      <c r="AT25" s="137" t="s">
        <v>557</v>
      </c>
      <c r="AU25" s="12"/>
    </row>
    <row r="26" spans="1:47">
      <c r="A26" s="122" t="str">
        <f>$A$18</f>
        <v>Đặng Thái Sơn</v>
      </c>
      <c r="B26" s="82" t="s">
        <v>798</v>
      </c>
      <c r="C26" s="81" t="str">
        <f>IF($B26="","",INDEX('All Bảng'!C:C,MATCH($B26,'All Bảng'!$A:$A,0)))</f>
        <v>Quản lý BIM</v>
      </c>
      <c r="D26" s="81" t="str">
        <f>IF($B26="","",INDEX('All Bảng'!D:D,MATCH($B26,'All Bảng'!$A:$A,0)))</f>
        <v>B.HYE.NOXHHY.CT</v>
      </c>
      <c r="E26" s="81" t="str">
        <f>IF($B26="","",INDEX('All Bảng'!E:E,MATCH($B26,'All Bảng'!$A:$A,0)))</f>
        <v>NOXH01 (04 tòa)</v>
      </c>
      <c r="F26" s="81" t="str">
        <f>IF($B26="","",INDEX('All Bảng'!F:F,MATCH($B26,'All Bảng'!$A:$A,0)))</f>
        <v>PC</v>
      </c>
      <c r="G26" s="81" t="str">
        <f>IF($B26="","",INDEX('All Bảng'!G:G,MATCH($B26,'All Bảng'!$A:$A,0)))</f>
        <v>KSCL mô hình BIM</v>
      </c>
      <c r="H26" s="121"/>
      <c r="I26" s="135"/>
      <c r="J26" s="135">
        <f>J$3</f>
        <v>46174</v>
      </c>
      <c r="K26" s="136" t="s">
        <v>557</v>
      </c>
      <c r="L26" s="137" t="s">
        <v>557</v>
      </c>
      <c r="M26" s="135">
        <f>M$3</f>
        <v>46175</v>
      </c>
      <c r="N26" s="136" t="s">
        <v>557</v>
      </c>
      <c r="O26" s="137">
        <v>0.5</v>
      </c>
      <c r="P26" s="135">
        <f>P$3</f>
        <v>46176</v>
      </c>
      <c r="Q26" s="136" t="s">
        <v>557</v>
      </c>
      <c r="R26" s="137" t="s">
        <v>557</v>
      </c>
      <c r="S26" s="135">
        <f>S$3</f>
        <v>46177</v>
      </c>
      <c r="T26" s="136" t="s">
        <v>557</v>
      </c>
      <c r="U26" s="137" t="s">
        <v>557</v>
      </c>
      <c r="V26" s="135">
        <f>V$3</f>
        <v>46178</v>
      </c>
      <c r="W26" s="136" t="s">
        <v>557</v>
      </c>
      <c r="X26" s="137" t="s">
        <v>557</v>
      </c>
      <c r="Y26" s="135">
        <f>Y$3</f>
        <v>46179</v>
      </c>
      <c r="Z26" s="136" t="s">
        <v>557</v>
      </c>
      <c r="AA26" s="137" t="s">
        <v>557</v>
      </c>
      <c r="AB26" s="135"/>
      <c r="AC26" s="135">
        <f>AC$3</f>
        <v>46181</v>
      </c>
      <c r="AD26" s="136" t="s">
        <v>557</v>
      </c>
      <c r="AE26" s="137" t="s">
        <v>557</v>
      </c>
      <c r="AF26" s="135">
        <f>AF$3</f>
        <v>46182</v>
      </c>
      <c r="AG26" s="136" t="s">
        <v>557</v>
      </c>
      <c r="AH26" s="137" t="s">
        <v>557</v>
      </c>
      <c r="AI26" s="135">
        <f>AI$3</f>
        <v>46183</v>
      </c>
      <c r="AJ26" s="136" t="s">
        <v>557</v>
      </c>
      <c r="AK26" s="137" t="s">
        <v>557</v>
      </c>
      <c r="AL26" s="135">
        <f>AL$3</f>
        <v>46184</v>
      </c>
      <c r="AM26" s="136" t="s">
        <v>557</v>
      </c>
      <c r="AN26" s="137" t="s">
        <v>557</v>
      </c>
      <c r="AO26" s="135">
        <f>AO$3</f>
        <v>46185</v>
      </c>
      <c r="AP26" s="136" t="s">
        <v>557</v>
      </c>
      <c r="AQ26" s="137" t="s">
        <v>557</v>
      </c>
      <c r="AR26" s="135">
        <f>AR$3</f>
        <v>46186</v>
      </c>
      <c r="AS26" s="136" t="s">
        <v>557</v>
      </c>
      <c r="AT26" s="137" t="s">
        <v>557</v>
      </c>
      <c r="AU26" s="12"/>
    </row>
    <row r="27" spans="1:47" ht="30.75">
      <c r="A27" s="122" t="str">
        <f>$A$18</f>
        <v>Đặng Thái Sơn</v>
      </c>
      <c r="B27" s="82" t="s">
        <v>799</v>
      </c>
      <c r="C27" s="81" t="str">
        <f>IF($B27="","",INDEX('All Bảng'!C:C,MATCH($B27,'All Bảng'!$A:$A,0)))</f>
        <v>Quản lý BIM</v>
      </c>
      <c r="D27" s="81" t="str">
        <f>IF($B27="","",INDEX('All Bảng'!D:D,MATCH($B27,'All Bảng'!$A:$A,0)))</f>
        <v>N.HCM.Q9.VP</v>
      </c>
      <c r="E27" s="81" t="str">
        <f>IF($B27="","",INDEX('All Bảng'!E:E,MATCH($B27,'All Bảng'!$A:$A,0)))</f>
        <v>Toà văn phòng 43 tầng</v>
      </c>
      <c r="F27" s="81" t="str">
        <f>IF($B27="","",INDEX('All Bảng'!F:F,MATCH($B27,'All Bảng'!$A:$A,0)))</f>
        <v>DH</v>
      </c>
      <c r="G27" s="81" t="str">
        <f>IF($B27="","",INDEX('All Bảng'!G:G,MATCH($B27,'All Bảng'!$A:$A,0)))</f>
        <v>Cập nhật thông tin mô hình BIM</v>
      </c>
      <c r="H27" s="121"/>
      <c r="I27" s="135"/>
      <c r="J27" s="135">
        <f>J$3</f>
        <v>46174</v>
      </c>
      <c r="K27" s="136" t="s">
        <v>557</v>
      </c>
      <c r="L27" s="137" t="s">
        <v>557</v>
      </c>
      <c r="M27" s="135">
        <f>M$3</f>
        <v>46175</v>
      </c>
      <c r="N27" s="148" t="s">
        <v>800</v>
      </c>
      <c r="O27" s="137">
        <v>1.5</v>
      </c>
      <c r="P27" s="135">
        <f>P$3</f>
        <v>46176</v>
      </c>
      <c r="Q27" s="136" t="s">
        <v>557</v>
      </c>
      <c r="R27" s="137" t="s">
        <v>557</v>
      </c>
      <c r="S27" s="135">
        <f>S$3</f>
        <v>46177</v>
      </c>
      <c r="T27" s="136" t="s">
        <v>557</v>
      </c>
      <c r="U27" s="137" t="s">
        <v>557</v>
      </c>
      <c r="V27" s="135">
        <f>V$3</f>
        <v>46178</v>
      </c>
      <c r="W27" s="136" t="s">
        <v>557</v>
      </c>
      <c r="X27" s="137" t="s">
        <v>557</v>
      </c>
      <c r="Y27" s="135">
        <f>Y$3</f>
        <v>46179</v>
      </c>
      <c r="Z27" s="136" t="s">
        <v>557</v>
      </c>
      <c r="AA27" s="137" t="s">
        <v>557</v>
      </c>
      <c r="AB27" s="135"/>
      <c r="AC27" s="135">
        <f>AC$3</f>
        <v>46181</v>
      </c>
      <c r="AD27" s="136" t="s">
        <v>557</v>
      </c>
      <c r="AE27" s="137" t="s">
        <v>557</v>
      </c>
      <c r="AF27" s="135">
        <f>AF$3</f>
        <v>46182</v>
      </c>
      <c r="AG27" s="136" t="s">
        <v>557</v>
      </c>
      <c r="AH27" s="137" t="s">
        <v>557</v>
      </c>
      <c r="AI27" s="135">
        <f>AI$3</f>
        <v>46183</v>
      </c>
      <c r="AJ27" s="136" t="s">
        <v>557</v>
      </c>
      <c r="AK27" s="137" t="s">
        <v>557</v>
      </c>
      <c r="AL27" s="135">
        <f>AL$3</f>
        <v>46184</v>
      </c>
      <c r="AM27" s="136" t="s">
        <v>557</v>
      </c>
      <c r="AN27" s="137" t="s">
        <v>557</v>
      </c>
      <c r="AO27" s="135">
        <f>AO$3</f>
        <v>46185</v>
      </c>
      <c r="AP27" s="136" t="s">
        <v>557</v>
      </c>
      <c r="AQ27" s="137" t="s">
        <v>557</v>
      </c>
      <c r="AR27" s="135">
        <f>AR$3</f>
        <v>46186</v>
      </c>
      <c r="AS27" s="136" t="s">
        <v>557</v>
      </c>
      <c r="AT27" s="137" t="s">
        <v>557</v>
      </c>
      <c r="AU27" s="12"/>
    </row>
    <row r="28" spans="1:47" ht="45.75">
      <c r="A28" s="122" t="str">
        <f>$A$18</f>
        <v>Đặng Thái Sơn</v>
      </c>
      <c r="B28" s="82" t="s">
        <v>801</v>
      </c>
      <c r="C28" s="81" t="str">
        <f>IF($B28="","",INDEX('All Bảng'!C:C,MATCH($B28,'All Bảng'!$A:$A,0)))</f>
        <v>Quản lý BIM</v>
      </c>
      <c r="D28" s="81" t="str">
        <f>IF($B28="","",INDEX('All Bảng'!D:D,MATCH($B28,'All Bảng'!$A:$A,0)))</f>
        <v>N.HCM.Q9.VP</v>
      </c>
      <c r="E28" s="81" t="str">
        <f>IF($B28="","",INDEX('All Bảng'!E:E,MATCH($B28,'All Bảng'!$A:$A,0)))</f>
        <v>Toà văn phòng 43 tầng</v>
      </c>
      <c r="F28" s="81" t="str">
        <f>IF($B28="","",INDEX('All Bảng'!F:F,MATCH($B28,'All Bảng'!$A:$A,0)))</f>
        <v>DH</v>
      </c>
      <c r="G28" s="81" t="str">
        <f>IF($B28="","",INDEX('All Bảng'!G:G,MATCH($B28,'All Bảng'!$A:$A,0)))</f>
        <v>Xuất khối lượng từ mô hình BIM</v>
      </c>
      <c r="H28" s="121"/>
      <c r="I28" s="135"/>
      <c r="J28" s="135">
        <f>J$3</f>
        <v>46174</v>
      </c>
      <c r="K28" s="136" t="s">
        <v>557</v>
      </c>
      <c r="L28" s="137" t="s">
        <v>557</v>
      </c>
      <c r="M28" s="135">
        <f>M$3</f>
        <v>46175</v>
      </c>
      <c r="N28" s="148" t="s">
        <v>802</v>
      </c>
      <c r="O28" s="137"/>
      <c r="P28" s="135">
        <f>P$3</f>
        <v>46176</v>
      </c>
      <c r="Q28" s="136" t="s">
        <v>557</v>
      </c>
      <c r="R28" s="137" t="s">
        <v>557</v>
      </c>
      <c r="S28" s="135">
        <f>S$3</f>
        <v>46177</v>
      </c>
      <c r="T28" s="136" t="s">
        <v>557</v>
      </c>
      <c r="U28" s="137" t="s">
        <v>557</v>
      </c>
      <c r="V28" s="135">
        <f>V$3</f>
        <v>46178</v>
      </c>
      <c r="W28" s="136" t="s">
        <v>557</v>
      </c>
      <c r="X28" s="137" t="s">
        <v>557</v>
      </c>
      <c r="Y28" s="135">
        <f>Y$3</f>
        <v>46179</v>
      </c>
      <c r="Z28" s="136" t="s">
        <v>557</v>
      </c>
      <c r="AA28" s="137" t="s">
        <v>557</v>
      </c>
      <c r="AB28" s="135"/>
      <c r="AC28" s="135">
        <f>AC$3</f>
        <v>46181</v>
      </c>
      <c r="AD28" s="136" t="s">
        <v>557</v>
      </c>
      <c r="AE28" s="137" t="s">
        <v>557</v>
      </c>
      <c r="AF28" s="135">
        <f>AF$3</f>
        <v>46182</v>
      </c>
      <c r="AG28" s="136" t="s">
        <v>557</v>
      </c>
      <c r="AH28" s="137" t="s">
        <v>557</v>
      </c>
      <c r="AI28" s="135">
        <f>AI$3</f>
        <v>46183</v>
      </c>
      <c r="AJ28" s="136" t="s">
        <v>557</v>
      </c>
      <c r="AK28" s="137" t="s">
        <v>557</v>
      </c>
      <c r="AL28" s="135">
        <f>AL$3</f>
        <v>46184</v>
      </c>
      <c r="AM28" s="136" t="s">
        <v>557</v>
      </c>
      <c r="AN28" s="137" t="s">
        <v>557</v>
      </c>
      <c r="AO28" s="135">
        <f>AO$3</f>
        <v>46185</v>
      </c>
      <c r="AP28" s="136" t="s">
        <v>557</v>
      </c>
      <c r="AQ28" s="137" t="s">
        <v>557</v>
      </c>
      <c r="AR28" s="135">
        <f>AR$3</f>
        <v>46186</v>
      </c>
      <c r="AS28" s="136" t="s">
        <v>557</v>
      </c>
      <c r="AT28" s="137" t="s">
        <v>557</v>
      </c>
      <c r="AU28" s="12"/>
    </row>
    <row r="29" spans="1:47">
      <c r="A29" s="122" t="str">
        <f>$A$18</f>
        <v>Đặng Thái Sơn</v>
      </c>
      <c r="B29" s="82" t="s">
        <v>803</v>
      </c>
      <c r="C29" s="81" t="str">
        <f>IF($B29="","",INDEX('All Bảng'!C:C,MATCH($B29,'All Bảng'!$A:$A,0)))</f>
        <v>Quản lý BIM</v>
      </c>
      <c r="D29" s="81" t="str">
        <f>IF($B29="","",INDEX('All Bảng'!D:D,MATCH($B29,'All Bảng'!$A:$A,0)))</f>
        <v>B.HYE.PVF</v>
      </c>
      <c r="E29" s="81" t="str">
        <f>IF($B29="","",INDEX('All Bảng'!E:E,MATCH($B29,'All Bảng'!$A:$A,0)))</f>
        <v>Sân vận động TDTT01</v>
      </c>
      <c r="F29" s="81" t="str">
        <f>IF($B29="","",INDEX('All Bảng'!F:F,MATCH($B29,'All Bảng'!$A:$A,0)))</f>
        <v>DI</v>
      </c>
      <c r="G29" s="81" t="str">
        <f>IF($B29="","",INDEX('All Bảng'!G:G,MATCH($B29,'All Bảng'!$A:$A,0)))</f>
        <v>KSCL mô hình BIM</v>
      </c>
      <c r="H29" s="121"/>
      <c r="I29" s="135"/>
      <c r="J29" s="135">
        <f>J$3</f>
        <v>46174</v>
      </c>
      <c r="K29" s="136" t="s">
        <v>557</v>
      </c>
      <c r="L29" s="137" t="s">
        <v>557</v>
      </c>
      <c r="M29" s="135">
        <f>M$3</f>
        <v>46175</v>
      </c>
      <c r="N29" s="136" t="s">
        <v>557</v>
      </c>
      <c r="O29" s="137">
        <v>0.5</v>
      </c>
      <c r="P29" s="135">
        <f>P$3</f>
        <v>46176</v>
      </c>
      <c r="Q29" s="136" t="s">
        <v>557</v>
      </c>
      <c r="R29" s="137" t="s">
        <v>557</v>
      </c>
      <c r="S29" s="135">
        <f>S$3</f>
        <v>46177</v>
      </c>
      <c r="T29" s="136" t="s">
        <v>557</v>
      </c>
      <c r="U29" s="137" t="s">
        <v>557</v>
      </c>
      <c r="V29" s="135">
        <f>V$3</f>
        <v>46178</v>
      </c>
      <c r="W29" s="136" t="s">
        <v>557</v>
      </c>
      <c r="X29" s="137" t="s">
        <v>557</v>
      </c>
      <c r="Y29" s="135">
        <f>Y$3</f>
        <v>46179</v>
      </c>
      <c r="Z29" s="136" t="s">
        <v>557</v>
      </c>
      <c r="AA29" s="137" t="s">
        <v>557</v>
      </c>
      <c r="AB29" s="135"/>
      <c r="AC29" s="135">
        <f>AC$3</f>
        <v>46181</v>
      </c>
      <c r="AD29" s="136" t="s">
        <v>557</v>
      </c>
      <c r="AE29" s="137" t="s">
        <v>557</v>
      </c>
      <c r="AF29" s="135">
        <f>AF$3</f>
        <v>46182</v>
      </c>
      <c r="AG29" s="136" t="s">
        <v>557</v>
      </c>
      <c r="AH29" s="137" t="s">
        <v>557</v>
      </c>
      <c r="AI29" s="135">
        <f>AI$3</f>
        <v>46183</v>
      </c>
      <c r="AJ29" s="136" t="s">
        <v>557</v>
      </c>
      <c r="AK29" s="137" t="s">
        <v>557</v>
      </c>
      <c r="AL29" s="135">
        <f>AL$3</f>
        <v>46184</v>
      </c>
      <c r="AM29" s="136" t="s">
        <v>557</v>
      </c>
      <c r="AN29" s="137" t="s">
        <v>557</v>
      </c>
      <c r="AO29" s="135">
        <f>AO$3</f>
        <v>46185</v>
      </c>
      <c r="AP29" s="136" t="s">
        <v>557</v>
      </c>
      <c r="AQ29" s="137" t="s">
        <v>557</v>
      </c>
      <c r="AR29" s="135">
        <f>AR$3</f>
        <v>46186</v>
      </c>
      <c r="AS29" s="136" t="s">
        <v>557</v>
      </c>
      <c r="AT29" s="137" t="s">
        <v>557</v>
      </c>
      <c r="AU29" s="12"/>
    </row>
    <row r="30" spans="1:47">
      <c r="A30" s="122" t="str">
        <f>$A$18</f>
        <v>Đặng Thái Sơn</v>
      </c>
      <c r="B30" s="82" t="s">
        <v>804</v>
      </c>
      <c r="C30" s="81" t="str">
        <f>IF($B30="","",INDEX('All Bảng'!C:C,MATCH($B30,'All Bảng'!$A:$A,0)))</f>
        <v>Quản lý BIM</v>
      </c>
      <c r="D30" s="81" t="str">
        <f>IF($B30="","",INDEX('All Bảng'!D:D,MATCH($B30,'All Bảng'!$A:$A,0)))</f>
        <v>B.HYE.PVF</v>
      </c>
      <c r="E30" s="81" t="str">
        <f>IF($B30="","",INDEX('All Bảng'!E:E,MATCH($B30,'All Bảng'!$A:$A,0)))</f>
        <v>Sân vận động TDTT01</v>
      </c>
      <c r="F30" s="81" t="str">
        <f>IF($B30="","",INDEX('All Bảng'!F:F,MATCH($B30,'All Bảng'!$A:$A,0)))</f>
        <v>DN</v>
      </c>
      <c r="G30" s="81" t="str">
        <f>IF($B30="","",INDEX('All Bảng'!G:G,MATCH($B30,'All Bảng'!$A:$A,0)))</f>
        <v>KSCL mô hình BIM</v>
      </c>
      <c r="H30" s="121"/>
      <c r="I30" s="135"/>
      <c r="J30" s="135">
        <f>J$3</f>
        <v>46174</v>
      </c>
      <c r="K30" s="136" t="s">
        <v>557</v>
      </c>
      <c r="L30" s="137" t="s">
        <v>557</v>
      </c>
      <c r="M30" s="135">
        <f>M$3</f>
        <v>46175</v>
      </c>
      <c r="N30" s="136" t="s">
        <v>557</v>
      </c>
      <c r="O30" s="137">
        <v>0.5</v>
      </c>
      <c r="P30" s="135">
        <f>P$3</f>
        <v>46176</v>
      </c>
      <c r="Q30" s="136" t="s">
        <v>557</v>
      </c>
      <c r="R30" s="137" t="s">
        <v>557</v>
      </c>
      <c r="S30" s="135">
        <f>S$3</f>
        <v>46177</v>
      </c>
      <c r="T30" s="136" t="s">
        <v>557</v>
      </c>
      <c r="U30" s="137" t="s">
        <v>557</v>
      </c>
      <c r="V30" s="135">
        <f>V$3</f>
        <v>46178</v>
      </c>
      <c r="W30" s="136" t="s">
        <v>557</v>
      </c>
      <c r="X30" s="137" t="s">
        <v>557</v>
      </c>
      <c r="Y30" s="135">
        <f>Y$3</f>
        <v>46179</v>
      </c>
      <c r="Z30" s="136" t="s">
        <v>557</v>
      </c>
      <c r="AA30" s="137" t="s">
        <v>557</v>
      </c>
      <c r="AB30" s="135"/>
      <c r="AC30" s="135">
        <f>AC$3</f>
        <v>46181</v>
      </c>
      <c r="AD30" s="136" t="s">
        <v>557</v>
      </c>
      <c r="AE30" s="137" t="s">
        <v>557</v>
      </c>
      <c r="AF30" s="135">
        <f>AF$3</f>
        <v>46182</v>
      </c>
      <c r="AG30" s="136" t="s">
        <v>557</v>
      </c>
      <c r="AH30" s="137" t="s">
        <v>557</v>
      </c>
      <c r="AI30" s="135">
        <f>AI$3</f>
        <v>46183</v>
      </c>
      <c r="AJ30" s="136" t="s">
        <v>557</v>
      </c>
      <c r="AK30" s="137" t="s">
        <v>557</v>
      </c>
      <c r="AL30" s="135">
        <f>AL$3</f>
        <v>46184</v>
      </c>
      <c r="AM30" s="136" t="s">
        <v>557</v>
      </c>
      <c r="AN30" s="137" t="s">
        <v>557</v>
      </c>
      <c r="AO30" s="135">
        <f>AO$3</f>
        <v>46185</v>
      </c>
      <c r="AP30" s="136" t="s">
        <v>557</v>
      </c>
      <c r="AQ30" s="137" t="s">
        <v>557</v>
      </c>
      <c r="AR30" s="135">
        <f>AR$3</f>
        <v>46186</v>
      </c>
      <c r="AS30" s="136" t="s">
        <v>557</v>
      </c>
      <c r="AT30" s="137" t="s">
        <v>557</v>
      </c>
      <c r="AU30" s="12"/>
    </row>
    <row r="31" spans="1:47">
      <c r="A31" s="122" t="str">
        <f>$A$18</f>
        <v>Đặng Thái Sơn</v>
      </c>
      <c r="B31" s="82" t="s">
        <v>805</v>
      </c>
      <c r="C31" s="81" t="str">
        <f>IF($B31="","",INDEX('All Bảng'!C:C,MATCH($B31,'All Bảng'!$A:$A,0)))</f>
        <v>Quản lý BIM</v>
      </c>
      <c r="D31" s="81" t="str">
        <f>IF($B31="","",INDEX('All Bảng'!D:D,MATCH($B31,'All Bảng'!$A:$A,0)))</f>
        <v>B.HYE.PVF</v>
      </c>
      <c r="E31" s="81" t="str">
        <f>IF($B31="","",INDEX('All Bảng'!E:E,MATCH($B31,'All Bảng'!$A:$A,0)))</f>
        <v>Sân vận động TDTT01</v>
      </c>
      <c r="F31" s="81" t="str">
        <f>IF($B31="","",INDEX('All Bảng'!F:F,MATCH($B31,'All Bảng'!$A:$A,0)))</f>
        <v>NU</v>
      </c>
      <c r="G31" s="81" t="str">
        <f>IF($B31="","",INDEX('All Bảng'!G:G,MATCH($B31,'All Bảng'!$A:$A,0)))</f>
        <v>KSCL mô hình BIM</v>
      </c>
      <c r="H31" s="121"/>
      <c r="I31" s="135"/>
      <c r="J31" s="135">
        <f>J$3</f>
        <v>46174</v>
      </c>
      <c r="K31" s="136" t="s">
        <v>557</v>
      </c>
      <c r="L31" s="137" t="s">
        <v>557</v>
      </c>
      <c r="M31" s="135">
        <f>M$3</f>
        <v>46175</v>
      </c>
      <c r="N31" s="136" t="s">
        <v>557</v>
      </c>
      <c r="O31" s="137">
        <v>0.5</v>
      </c>
      <c r="P31" s="135">
        <f>P$3</f>
        <v>46176</v>
      </c>
      <c r="Q31" s="136" t="s">
        <v>557</v>
      </c>
      <c r="R31" s="137" t="s">
        <v>557</v>
      </c>
      <c r="S31" s="135">
        <f>S$3</f>
        <v>46177</v>
      </c>
      <c r="T31" s="136" t="s">
        <v>557</v>
      </c>
      <c r="U31" s="137" t="s">
        <v>557</v>
      </c>
      <c r="V31" s="135">
        <f>V$3</f>
        <v>46178</v>
      </c>
      <c r="W31" s="136" t="s">
        <v>557</v>
      </c>
      <c r="X31" s="137" t="s">
        <v>557</v>
      </c>
      <c r="Y31" s="135">
        <f>Y$3</f>
        <v>46179</v>
      </c>
      <c r="Z31" s="136" t="s">
        <v>557</v>
      </c>
      <c r="AA31" s="137" t="s">
        <v>557</v>
      </c>
      <c r="AB31" s="135"/>
      <c r="AC31" s="135">
        <f>AC$3</f>
        <v>46181</v>
      </c>
      <c r="AD31" s="136" t="s">
        <v>557</v>
      </c>
      <c r="AE31" s="137" t="s">
        <v>557</v>
      </c>
      <c r="AF31" s="135">
        <f>AF$3</f>
        <v>46182</v>
      </c>
      <c r="AG31" s="136" t="s">
        <v>557</v>
      </c>
      <c r="AH31" s="137" t="s">
        <v>557</v>
      </c>
      <c r="AI31" s="135">
        <f>AI$3</f>
        <v>46183</v>
      </c>
      <c r="AJ31" s="136" t="s">
        <v>557</v>
      </c>
      <c r="AK31" s="137" t="s">
        <v>557</v>
      </c>
      <c r="AL31" s="135">
        <f>AL$3</f>
        <v>46184</v>
      </c>
      <c r="AM31" s="136" t="s">
        <v>557</v>
      </c>
      <c r="AN31" s="137" t="s">
        <v>557</v>
      </c>
      <c r="AO31" s="135">
        <f>AO$3</f>
        <v>46185</v>
      </c>
      <c r="AP31" s="136" t="s">
        <v>557</v>
      </c>
      <c r="AQ31" s="137" t="s">
        <v>557</v>
      </c>
      <c r="AR31" s="135">
        <f>AR$3</f>
        <v>46186</v>
      </c>
      <c r="AS31" s="136" t="s">
        <v>557</v>
      </c>
      <c r="AT31" s="137" t="s">
        <v>557</v>
      </c>
      <c r="AU31" s="12"/>
    </row>
    <row r="32" spans="1:47">
      <c r="A32" s="122" t="str">
        <f>$A$18</f>
        <v>Đặng Thái Sơn</v>
      </c>
      <c r="B32" s="82" t="s">
        <v>806</v>
      </c>
      <c r="C32" s="81" t="str">
        <f>IF($B32="","",INDEX('All Bảng'!C:C,MATCH($B32,'All Bảng'!$A:$A,0)))</f>
        <v>Quản lý BIM</v>
      </c>
      <c r="D32" s="81" t="str">
        <f>IF($B32="","",INDEX('All Bảng'!D:D,MATCH($B32,'All Bảng'!$A:$A,0)))</f>
        <v>B.HYE.PVF</v>
      </c>
      <c r="E32" s="81" t="str">
        <f>IF($B32="","",INDEX('All Bảng'!E:E,MATCH($B32,'All Bảng'!$A:$A,0)))</f>
        <v>Sân vận động TDTT01</v>
      </c>
      <c r="F32" s="81" t="str">
        <f>IF($B32="","",INDEX('All Bảng'!F:F,MATCH($B32,'All Bảng'!$A:$A,0)))</f>
        <v>DH</v>
      </c>
      <c r="G32" s="81" t="str">
        <f>IF($B32="","",INDEX('All Bảng'!G:G,MATCH($B32,'All Bảng'!$A:$A,0)))</f>
        <v>KSCL mô hình BIM</v>
      </c>
      <c r="H32" s="121"/>
      <c r="I32" s="135"/>
      <c r="J32" s="135">
        <f>J$3</f>
        <v>46174</v>
      </c>
      <c r="K32" s="136" t="s">
        <v>557</v>
      </c>
      <c r="L32" s="137" t="s">
        <v>557</v>
      </c>
      <c r="M32" s="135">
        <f>M$3</f>
        <v>46175</v>
      </c>
      <c r="N32" s="136" t="s">
        <v>557</v>
      </c>
      <c r="O32" s="137">
        <v>0.5</v>
      </c>
      <c r="P32" s="135">
        <f>P$3</f>
        <v>46176</v>
      </c>
      <c r="Q32" s="136" t="s">
        <v>557</v>
      </c>
      <c r="R32" s="137" t="s">
        <v>557</v>
      </c>
      <c r="S32" s="135">
        <f>S$3</f>
        <v>46177</v>
      </c>
      <c r="T32" s="136" t="s">
        <v>557</v>
      </c>
      <c r="U32" s="137" t="s">
        <v>557</v>
      </c>
      <c r="V32" s="135">
        <f>V$3</f>
        <v>46178</v>
      </c>
      <c r="W32" s="136" t="s">
        <v>557</v>
      </c>
      <c r="X32" s="137" t="s">
        <v>557</v>
      </c>
      <c r="Y32" s="135">
        <f>Y$3</f>
        <v>46179</v>
      </c>
      <c r="Z32" s="136" t="s">
        <v>557</v>
      </c>
      <c r="AA32" s="137" t="s">
        <v>557</v>
      </c>
      <c r="AB32" s="135"/>
      <c r="AC32" s="135">
        <f>AC$3</f>
        <v>46181</v>
      </c>
      <c r="AD32" s="136" t="s">
        <v>557</v>
      </c>
      <c r="AE32" s="137" t="s">
        <v>557</v>
      </c>
      <c r="AF32" s="135">
        <f>AF$3</f>
        <v>46182</v>
      </c>
      <c r="AG32" s="136" t="s">
        <v>557</v>
      </c>
      <c r="AH32" s="137" t="s">
        <v>557</v>
      </c>
      <c r="AI32" s="135">
        <f>AI$3</f>
        <v>46183</v>
      </c>
      <c r="AJ32" s="136" t="s">
        <v>557</v>
      </c>
      <c r="AK32" s="137" t="s">
        <v>557</v>
      </c>
      <c r="AL32" s="135">
        <f>AL$3</f>
        <v>46184</v>
      </c>
      <c r="AM32" s="136" t="s">
        <v>557</v>
      </c>
      <c r="AN32" s="137" t="s">
        <v>557</v>
      </c>
      <c r="AO32" s="135">
        <f>AO$3</f>
        <v>46185</v>
      </c>
      <c r="AP32" s="136" t="s">
        <v>557</v>
      </c>
      <c r="AQ32" s="137" t="s">
        <v>557</v>
      </c>
      <c r="AR32" s="135">
        <f>AR$3</f>
        <v>46186</v>
      </c>
      <c r="AS32" s="136" t="s">
        <v>557</v>
      </c>
      <c r="AT32" s="137" t="s">
        <v>557</v>
      </c>
      <c r="AU32" s="12"/>
    </row>
    <row r="33" spans="1:47">
      <c r="A33" s="122" t="str">
        <f>$A$18</f>
        <v>Đặng Thái Sơn</v>
      </c>
      <c r="B33" s="82" t="s">
        <v>807</v>
      </c>
      <c r="C33" s="81" t="str">
        <f>IF($B33="","",INDEX('All Bảng'!C:C,MATCH($B33,'All Bảng'!$A:$A,0)))</f>
        <v>Quản lý BIM</v>
      </c>
      <c r="D33" s="81" t="str">
        <f>IF($B33="","",INDEX('All Bảng'!D:D,MATCH($B33,'All Bảng'!$A:$A,0)))</f>
        <v>B.HYE.PVF</v>
      </c>
      <c r="E33" s="81" t="str">
        <f>IF($B33="","",INDEX('All Bảng'!E:E,MATCH($B33,'All Bảng'!$A:$A,0)))</f>
        <v>Sân vận động TDTT01</v>
      </c>
      <c r="F33" s="81" t="str">
        <f>IF($B33="","",INDEX('All Bảng'!F:F,MATCH($B33,'All Bảng'!$A:$A,0)))</f>
        <v>PC</v>
      </c>
      <c r="G33" s="81" t="str">
        <f>IF($B33="","",INDEX('All Bảng'!G:G,MATCH($B33,'All Bảng'!$A:$A,0)))</f>
        <v>KSCL mô hình BIM</v>
      </c>
      <c r="H33" s="121"/>
      <c r="I33" s="135"/>
      <c r="J33" s="135">
        <f>J$3</f>
        <v>46174</v>
      </c>
      <c r="K33" s="136" t="s">
        <v>557</v>
      </c>
      <c r="L33" s="137" t="s">
        <v>557</v>
      </c>
      <c r="M33" s="135">
        <f>M$3</f>
        <v>46175</v>
      </c>
      <c r="N33" s="136" t="s">
        <v>557</v>
      </c>
      <c r="O33" s="137">
        <v>0.5</v>
      </c>
      <c r="P33" s="135">
        <f>P$3</f>
        <v>46176</v>
      </c>
      <c r="Q33" s="136" t="s">
        <v>557</v>
      </c>
      <c r="R33" s="137" t="s">
        <v>557</v>
      </c>
      <c r="S33" s="135">
        <f>S$3</f>
        <v>46177</v>
      </c>
      <c r="T33" s="136" t="s">
        <v>557</v>
      </c>
      <c r="U33" s="137" t="s">
        <v>557</v>
      </c>
      <c r="V33" s="135">
        <f>V$3</f>
        <v>46178</v>
      </c>
      <c r="W33" s="136" t="s">
        <v>557</v>
      </c>
      <c r="X33" s="137" t="s">
        <v>557</v>
      </c>
      <c r="Y33" s="135">
        <f>Y$3</f>
        <v>46179</v>
      </c>
      <c r="Z33" s="136" t="s">
        <v>557</v>
      </c>
      <c r="AA33" s="137" t="s">
        <v>557</v>
      </c>
      <c r="AB33" s="135"/>
      <c r="AC33" s="135">
        <f>AC$3</f>
        <v>46181</v>
      </c>
      <c r="AD33" s="136" t="s">
        <v>557</v>
      </c>
      <c r="AE33" s="137" t="s">
        <v>557</v>
      </c>
      <c r="AF33" s="135">
        <f>AF$3</f>
        <v>46182</v>
      </c>
      <c r="AG33" s="136" t="s">
        <v>557</v>
      </c>
      <c r="AH33" s="137" t="s">
        <v>557</v>
      </c>
      <c r="AI33" s="135">
        <f>AI$3</f>
        <v>46183</v>
      </c>
      <c r="AJ33" s="136" t="s">
        <v>557</v>
      </c>
      <c r="AK33" s="137" t="s">
        <v>557</v>
      </c>
      <c r="AL33" s="135">
        <f>AL$3</f>
        <v>46184</v>
      </c>
      <c r="AM33" s="136" t="s">
        <v>557</v>
      </c>
      <c r="AN33" s="137" t="s">
        <v>557</v>
      </c>
      <c r="AO33" s="135">
        <f>AO$3</f>
        <v>46185</v>
      </c>
      <c r="AP33" s="136" t="s">
        <v>557</v>
      </c>
      <c r="AQ33" s="137" t="s">
        <v>557</v>
      </c>
      <c r="AR33" s="135">
        <f>AR$3</f>
        <v>46186</v>
      </c>
      <c r="AS33" s="136" t="s">
        <v>557</v>
      </c>
      <c r="AT33" s="137" t="s">
        <v>557</v>
      </c>
      <c r="AU33" s="12"/>
    </row>
    <row r="34" spans="1:47">
      <c r="A34" s="122" t="str">
        <f>$A$18</f>
        <v>Đặng Thái Sơn</v>
      </c>
      <c r="B34" s="82" t="s">
        <v>808</v>
      </c>
      <c r="C34" s="81" t="str">
        <f>IF($B34="","",INDEX('All Bảng'!C:C,MATCH($B34,'All Bảng'!$A:$A,0)))</f>
        <v>Quản lý BIM</v>
      </c>
      <c r="D34" s="81" t="str">
        <f>IF($B34="","",INDEX('All Bảng'!D:D,MATCH($B34,'All Bảng'!$A:$A,0)))</f>
        <v>N.HCM.CGIO.KS</v>
      </c>
      <c r="E34" s="81" t="str">
        <f>IF($B34="","",INDEX('All Bảng'!E:E,MATCH($B34,'All Bảng'!$A:$A,0)))</f>
        <v>Khách sạn Vinpearl A5.02.13</v>
      </c>
      <c r="F34" s="81" t="str">
        <f>IF($B34="","",INDEX('All Bảng'!F:F,MATCH($B34,'All Bảng'!$A:$A,0)))</f>
        <v>DH</v>
      </c>
      <c r="G34" s="81" t="str">
        <f>IF($B34="","",INDEX('All Bảng'!G:G,MATCH($B34,'All Bảng'!$A:$A,0)))</f>
        <v>Cập nhật thông tin mô hình BIM</v>
      </c>
      <c r="H34" s="121">
        <v>46177</v>
      </c>
      <c r="I34" s="135"/>
      <c r="J34" s="135">
        <f>J$3</f>
        <v>46174</v>
      </c>
      <c r="K34" s="136" t="s">
        <v>557</v>
      </c>
      <c r="L34" s="137" t="s">
        <v>557</v>
      </c>
      <c r="M34" s="135">
        <f>M$3</f>
        <v>46175</v>
      </c>
      <c r="N34" s="136" t="s">
        <v>557</v>
      </c>
      <c r="O34" s="137">
        <v>1.5</v>
      </c>
      <c r="P34" s="135">
        <f>P$3</f>
        <v>46176</v>
      </c>
      <c r="Q34" s="136" t="s">
        <v>557</v>
      </c>
      <c r="R34" s="137">
        <v>6</v>
      </c>
      <c r="S34" s="135">
        <f>S$3</f>
        <v>46177</v>
      </c>
      <c r="T34" s="136" t="s">
        <v>557</v>
      </c>
      <c r="U34" s="137">
        <v>4</v>
      </c>
      <c r="V34" s="135">
        <f>V$3</f>
        <v>46178</v>
      </c>
      <c r="W34" s="136" t="s">
        <v>557</v>
      </c>
      <c r="X34" s="137" t="s">
        <v>557</v>
      </c>
      <c r="Y34" s="135">
        <f>Y$3</f>
        <v>46179</v>
      </c>
      <c r="Z34" s="136" t="s">
        <v>557</v>
      </c>
      <c r="AA34" s="137" t="s">
        <v>557</v>
      </c>
      <c r="AB34" s="135"/>
      <c r="AC34" s="135">
        <f>AC$3</f>
        <v>46181</v>
      </c>
      <c r="AD34" s="136" t="s">
        <v>557</v>
      </c>
      <c r="AE34" s="137" t="s">
        <v>557</v>
      </c>
      <c r="AF34" s="135">
        <f>AF$3</f>
        <v>46182</v>
      </c>
      <c r="AG34" s="136" t="s">
        <v>557</v>
      </c>
      <c r="AH34" s="137" t="s">
        <v>557</v>
      </c>
      <c r="AI34" s="135">
        <f>AI$3</f>
        <v>46183</v>
      </c>
      <c r="AJ34" s="136" t="s">
        <v>557</v>
      </c>
      <c r="AK34" s="137" t="s">
        <v>557</v>
      </c>
      <c r="AL34" s="135">
        <f>AL$3</f>
        <v>46184</v>
      </c>
      <c r="AM34" s="136" t="s">
        <v>557</v>
      </c>
      <c r="AN34" s="137" t="s">
        <v>557</v>
      </c>
      <c r="AO34" s="135">
        <f>AO$3</f>
        <v>46185</v>
      </c>
      <c r="AP34" s="136" t="s">
        <v>557</v>
      </c>
      <c r="AQ34" s="137" t="s">
        <v>557</v>
      </c>
      <c r="AR34" s="135">
        <f>AR$3</f>
        <v>46186</v>
      </c>
      <c r="AS34" s="136" t="s">
        <v>557</v>
      </c>
      <c r="AT34" s="137" t="s">
        <v>557</v>
      </c>
      <c r="AU34" s="12"/>
    </row>
    <row r="35" spans="1:47">
      <c r="A35" s="122" t="str">
        <f>$A$18</f>
        <v>Đặng Thái Sơn</v>
      </c>
      <c r="B35" s="82" t="s">
        <v>809</v>
      </c>
      <c r="C35" s="81" t="str">
        <f>IF($B35="","",INDEX('All Bảng'!C:C,MATCH($B35,'All Bảng'!$A:$A,0)))</f>
        <v>Quản lý BIM</v>
      </c>
      <c r="D35" s="81" t="str">
        <f>IF($B35="","",INDEX('All Bảng'!D:D,MATCH($B35,'All Bảng'!$A:$A,0)))</f>
        <v>N.HCM.CGIO.KS</v>
      </c>
      <c r="E35" s="81" t="str">
        <f>IF($B35="","",INDEX('All Bảng'!E:E,MATCH($B35,'All Bảng'!$A:$A,0)))</f>
        <v>Khách sạn Vinpearl A5.02.13</v>
      </c>
      <c r="F35" s="81" t="str">
        <f>IF($B35="","",INDEX('All Bảng'!F:F,MATCH($B35,'All Bảng'!$A:$A,0)))</f>
        <v>DH</v>
      </c>
      <c r="G35" s="81" t="str">
        <f>IF($B35="","",INDEX('All Bảng'!G:G,MATCH($B35,'All Bảng'!$A:$A,0)))</f>
        <v>Xuất khối lượng từ mô hình BIM</v>
      </c>
      <c r="H35" s="121">
        <v>46177</v>
      </c>
      <c r="I35" s="135"/>
      <c r="J35" s="135">
        <f>J$3</f>
        <v>46174</v>
      </c>
      <c r="K35" s="136" t="s">
        <v>557</v>
      </c>
      <c r="L35" s="137" t="s">
        <v>557</v>
      </c>
      <c r="M35" s="135">
        <f>M$3</f>
        <v>46175</v>
      </c>
      <c r="N35" s="136" t="s">
        <v>557</v>
      </c>
      <c r="O35" s="137" t="s">
        <v>557</v>
      </c>
      <c r="P35" s="135">
        <f>P$3</f>
        <v>46176</v>
      </c>
      <c r="Q35" s="136" t="s">
        <v>557</v>
      </c>
      <c r="R35" s="137">
        <v>2</v>
      </c>
      <c r="S35" s="135">
        <f>S$3</f>
        <v>46177</v>
      </c>
      <c r="T35" s="136" t="s">
        <v>557</v>
      </c>
      <c r="U35" s="137">
        <v>4</v>
      </c>
      <c r="V35" s="135">
        <f>V$3</f>
        <v>46178</v>
      </c>
      <c r="W35" s="136" t="s">
        <v>557</v>
      </c>
      <c r="X35" s="137" t="s">
        <v>557</v>
      </c>
      <c r="Y35" s="135">
        <f>Y$3</f>
        <v>46179</v>
      </c>
      <c r="Z35" s="136" t="s">
        <v>557</v>
      </c>
      <c r="AA35" s="137" t="s">
        <v>557</v>
      </c>
      <c r="AB35" s="135"/>
      <c r="AC35" s="135">
        <f>AC$3</f>
        <v>46181</v>
      </c>
      <c r="AD35" s="136" t="s">
        <v>557</v>
      </c>
      <c r="AE35" s="137" t="s">
        <v>557</v>
      </c>
      <c r="AF35" s="135">
        <f>AF$3</f>
        <v>46182</v>
      </c>
      <c r="AG35" s="136" t="s">
        <v>557</v>
      </c>
      <c r="AH35" s="137" t="s">
        <v>557</v>
      </c>
      <c r="AI35" s="135">
        <f>AI$3</f>
        <v>46183</v>
      </c>
      <c r="AJ35" s="136" t="s">
        <v>557</v>
      </c>
      <c r="AK35" s="137" t="s">
        <v>557</v>
      </c>
      <c r="AL35" s="135">
        <f>AL$3</f>
        <v>46184</v>
      </c>
      <c r="AM35" s="136" t="s">
        <v>557</v>
      </c>
      <c r="AN35" s="137" t="s">
        <v>557</v>
      </c>
      <c r="AO35" s="135">
        <f>AO$3</f>
        <v>46185</v>
      </c>
      <c r="AP35" s="136" t="s">
        <v>557</v>
      </c>
      <c r="AQ35" s="137" t="s">
        <v>557</v>
      </c>
      <c r="AR35" s="135">
        <f>AR$3</f>
        <v>46186</v>
      </c>
      <c r="AS35" s="136" t="s">
        <v>557</v>
      </c>
      <c r="AT35" s="137" t="s">
        <v>557</v>
      </c>
      <c r="AU35" s="12"/>
    </row>
    <row r="36" spans="1:47">
      <c r="A36" s="122" t="str">
        <f>$A$18</f>
        <v>Đặng Thái Sơn</v>
      </c>
      <c r="B36" s="82" t="s">
        <v>810</v>
      </c>
      <c r="C36" s="81" t="str">
        <f>IF($B36="","",INDEX('All Bảng'!C:C,MATCH($B36,'All Bảng'!$A:$A,0)))</f>
        <v>Quản lý BIM</v>
      </c>
      <c r="D36" s="81" t="str">
        <f>IF($B36="","",INDEX('All Bảng'!D:D,MATCH($B36,'All Bảng'!$A:$A,0)))</f>
        <v>B.DSHNQN.SUP</v>
      </c>
      <c r="E36" s="81" t="str">
        <f>IF($B36="","",INDEX('All Bảng'!E:E,MATCH($B36,'All Bảng'!$A:$A,0)))</f>
        <v>Bãi đúc dầm 01</v>
      </c>
      <c r="F36" s="81" t="str">
        <f>IF($B36="","",INDEX('All Bảng'!F:F,MATCH($B36,'All Bảng'!$A:$A,0)))</f>
        <v>DH</v>
      </c>
      <c r="G36" s="81" t="str">
        <f>IF($B36="","",INDEX('All Bảng'!G:G,MATCH($B36,'All Bảng'!$A:$A,0)))</f>
        <v>Tạo lập mô hình BIM</v>
      </c>
      <c r="H36" s="121"/>
      <c r="I36" s="135"/>
      <c r="J36" s="135">
        <f>J$3</f>
        <v>46174</v>
      </c>
      <c r="K36" s="136" t="s">
        <v>557</v>
      </c>
      <c r="L36" s="137" t="s">
        <v>557</v>
      </c>
      <c r="M36" s="135">
        <f>M$3</f>
        <v>46175</v>
      </c>
      <c r="N36" s="136" t="s">
        <v>557</v>
      </c>
      <c r="O36" s="137" t="s">
        <v>557</v>
      </c>
      <c r="P36" s="135">
        <f>P$3</f>
        <v>46176</v>
      </c>
      <c r="Q36" s="136" t="s">
        <v>557</v>
      </c>
      <c r="R36" s="137" t="s">
        <v>557</v>
      </c>
      <c r="S36" s="135">
        <f>S$3</f>
        <v>46177</v>
      </c>
      <c r="T36" s="136" t="s">
        <v>557</v>
      </c>
      <c r="U36" s="137" t="s">
        <v>557</v>
      </c>
      <c r="V36" s="135">
        <f>V$3</f>
        <v>46178</v>
      </c>
      <c r="W36" s="136" t="s">
        <v>557</v>
      </c>
      <c r="X36" s="137" t="s">
        <v>557</v>
      </c>
      <c r="Y36" s="135">
        <f>Y$3</f>
        <v>46179</v>
      </c>
      <c r="Z36" s="136" t="s">
        <v>557</v>
      </c>
      <c r="AA36" s="137" t="s">
        <v>557</v>
      </c>
      <c r="AB36" s="135"/>
      <c r="AC36" s="135">
        <f>AC$3</f>
        <v>46181</v>
      </c>
      <c r="AD36" s="136" t="s">
        <v>557</v>
      </c>
      <c r="AE36" s="137" t="s">
        <v>557</v>
      </c>
      <c r="AF36" s="135">
        <f>AF$3</f>
        <v>46182</v>
      </c>
      <c r="AG36" s="136" t="s">
        <v>557</v>
      </c>
      <c r="AH36" s="137" t="s">
        <v>557</v>
      </c>
      <c r="AI36" s="135">
        <f>AI$3</f>
        <v>46183</v>
      </c>
      <c r="AJ36" s="136" t="s">
        <v>557</v>
      </c>
      <c r="AK36" s="137" t="s">
        <v>557</v>
      </c>
      <c r="AL36" s="135">
        <f>AL$3</f>
        <v>46184</v>
      </c>
      <c r="AM36" s="136" t="s">
        <v>557</v>
      </c>
      <c r="AN36" s="137" t="s">
        <v>557</v>
      </c>
      <c r="AO36" s="135">
        <f>AO$3</f>
        <v>46185</v>
      </c>
      <c r="AP36" s="136" t="s">
        <v>557</v>
      </c>
      <c r="AQ36" s="137" t="s">
        <v>557</v>
      </c>
      <c r="AR36" s="135">
        <f>AR$3</f>
        <v>46186</v>
      </c>
      <c r="AS36" s="136" t="s">
        <v>557</v>
      </c>
      <c r="AT36" s="137" t="s">
        <v>557</v>
      </c>
      <c r="AU36" s="12"/>
    </row>
    <row r="37" spans="1:47">
      <c r="A37" s="122" t="str">
        <f>$A$18</f>
        <v>Đặng Thái Sơn</v>
      </c>
      <c r="B37" s="82" t="s">
        <v>811</v>
      </c>
      <c r="C37" s="81" t="str">
        <f>IF($B37="","",INDEX('All Bảng'!C:C,MATCH($B37,'All Bảng'!$A:$A,0)))</f>
        <v>Quản lý BIM</v>
      </c>
      <c r="D37" s="81" t="str">
        <f>IF($B37="","",INDEX('All Bảng'!D:D,MATCH($B37,'All Bảng'!$A:$A,0)))</f>
        <v>B.DSHNQN.SUP</v>
      </c>
      <c r="E37" s="81" t="str">
        <f>IF($B37="","",INDEX('All Bảng'!E:E,MATCH($B37,'All Bảng'!$A:$A,0)))</f>
        <v>Bãi đúc dầm 01A</v>
      </c>
      <c r="F37" s="81" t="str">
        <f>IF($B37="","",INDEX('All Bảng'!F:F,MATCH($B37,'All Bảng'!$A:$A,0)))</f>
        <v>DH</v>
      </c>
      <c r="G37" s="81" t="str">
        <f>IF($B37="","",INDEX('All Bảng'!G:G,MATCH($B37,'All Bảng'!$A:$A,0)))</f>
        <v>Tạo lập mô hình BIM</v>
      </c>
      <c r="H37" s="121"/>
      <c r="I37" s="135"/>
      <c r="J37" s="135">
        <f>J$3</f>
        <v>46174</v>
      </c>
      <c r="K37" s="136" t="s">
        <v>557</v>
      </c>
      <c r="L37" s="137" t="s">
        <v>557</v>
      </c>
      <c r="M37" s="135">
        <f>M$3</f>
        <v>46175</v>
      </c>
      <c r="N37" s="136" t="s">
        <v>557</v>
      </c>
      <c r="O37" s="137" t="s">
        <v>557</v>
      </c>
      <c r="P37" s="135">
        <f>P$3</f>
        <v>46176</v>
      </c>
      <c r="Q37" s="136" t="s">
        <v>557</v>
      </c>
      <c r="R37" s="137" t="s">
        <v>557</v>
      </c>
      <c r="S37" s="135">
        <f>S$3</f>
        <v>46177</v>
      </c>
      <c r="T37" s="136" t="s">
        <v>557</v>
      </c>
      <c r="U37" s="137" t="s">
        <v>557</v>
      </c>
      <c r="V37" s="135">
        <f>V$3</f>
        <v>46178</v>
      </c>
      <c r="W37" s="136" t="s">
        <v>557</v>
      </c>
      <c r="X37" s="137" t="s">
        <v>557</v>
      </c>
      <c r="Y37" s="135">
        <f>Y$3</f>
        <v>46179</v>
      </c>
      <c r="Z37" s="136" t="s">
        <v>557</v>
      </c>
      <c r="AA37" s="137" t="s">
        <v>557</v>
      </c>
      <c r="AB37" s="135"/>
      <c r="AC37" s="135">
        <f>AC$3</f>
        <v>46181</v>
      </c>
      <c r="AD37" s="136" t="s">
        <v>557</v>
      </c>
      <c r="AE37" s="137" t="s">
        <v>557</v>
      </c>
      <c r="AF37" s="135">
        <f>AF$3</f>
        <v>46182</v>
      </c>
      <c r="AG37" s="136" t="s">
        <v>557</v>
      </c>
      <c r="AH37" s="137" t="s">
        <v>557</v>
      </c>
      <c r="AI37" s="135">
        <f>AI$3</f>
        <v>46183</v>
      </c>
      <c r="AJ37" s="136" t="s">
        <v>557</v>
      </c>
      <c r="AK37" s="137" t="s">
        <v>557</v>
      </c>
      <c r="AL37" s="135">
        <f>AL$3</f>
        <v>46184</v>
      </c>
      <c r="AM37" s="136" t="s">
        <v>557</v>
      </c>
      <c r="AN37" s="137" t="s">
        <v>557</v>
      </c>
      <c r="AO37" s="135">
        <f>AO$3</f>
        <v>46185</v>
      </c>
      <c r="AP37" s="136" t="s">
        <v>557</v>
      </c>
      <c r="AQ37" s="137" t="s">
        <v>557</v>
      </c>
      <c r="AR37" s="135">
        <f>AR$3</f>
        <v>46186</v>
      </c>
      <c r="AS37" s="136" t="s">
        <v>557</v>
      </c>
      <c r="AT37" s="137" t="s">
        <v>557</v>
      </c>
      <c r="AU37" s="12"/>
    </row>
    <row r="38" spans="1:47">
      <c r="A38" s="122" t="str">
        <f>$A$18</f>
        <v>Đặng Thái Sơn</v>
      </c>
      <c r="B38" s="82" t="s">
        <v>812</v>
      </c>
      <c r="C38" s="81" t="str">
        <f>IF($B38="","",INDEX('All Bảng'!C:C,MATCH($B38,'All Bảng'!$A:$A,0)))</f>
        <v>Quản lý BIM</v>
      </c>
      <c r="D38" s="81" t="str">
        <f>IF($B38="","",INDEX('All Bảng'!D:D,MATCH($B38,'All Bảng'!$A:$A,0)))</f>
        <v>B.DSHNQN.SUP</v>
      </c>
      <c r="E38" s="81" t="str">
        <f>IF($B38="","",INDEX('All Bảng'!E:E,MATCH($B38,'All Bảng'!$A:$A,0)))</f>
        <v>Bãi đúc dầm 02</v>
      </c>
      <c r="F38" s="81" t="str">
        <f>IF($B38="","",INDEX('All Bảng'!F:F,MATCH($B38,'All Bảng'!$A:$A,0)))</f>
        <v>DH</v>
      </c>
      <c r="G38" s="81" t="str">
        <f>IF($B38="","",INDEX('All Bảng'!G:G,MATCH($B38,'All Bảng'!$A:$A,0)))</f>
        <v>Tạo lập mô hình BIM</v>
      </c>
      <c r="H38" s="121"/>
      <c r="I38" s="135"/>
      <c r="J38" s="135">
        <f>J$3</f>
        <v>46174</v>
      </c>
      <c r="K38" s="136" t="s">
        <v>557</v>
      </c>
      <c r="L38" s="137" t="s">
        <v>557</v>
      </c>
      <c r="M38" s="135">
        <f>M$3</f>
        <v>46175</v>
      </c>
      <c r="N38" s="136" t="s">
        <v>557</v>
      </c>
      <c r="O38" s="137" t="s">
        <v>557</v>
      </c>
      <c r="P38" s="135">
        <f>P$3</f>
        <v>46176</v>
      </c>
      <c r="Q38" s="136" t="s">
        <v>557</v>
      </c>
      <c r="R38" s="137" t="s">
        <v>557</v>
      </c>
      <c r="S38" s="135">
        <f>S$3</f>
        <v>46177</v>
      </c>
      <c r="T38" s="136" t="s">
        <v>557</v>
      </c>
      <c r="U38" s="137" t="s">
        <v>557</v>
      </c>
      <c r="V38" s="135">
        <f>V$3</f>
        <v>46178</v>
      </c>
      <c r="W38" s="136" t="s">
        <v>557</v>
      </c>
      <c r="X38" s="137" t="s">
        <v>557</v>
      </c>
      <c r="Y38" s="135">
        <f>Y$3</f>
        <v>46179</v>
      </c>
      <c r="Z38" s="136" t="s">
        <v>557</v>
      </c>
      <c r="AA38" s="137" t="s">
        <v>557</v>
      </c>
      <c r="AB38" s="135"/>
      <c r="AC38" s="135">
        <f>AC$3</f>
        <v>46181</v>
      </c>
      <c r="AD38" s="136" t="s">
        <v>557</v>
      </c>
      <c r="AE38" s="137" t="s">
        <v>557</v>
      </c>
      <c r="AF38" s="135">
        <f>AF$3</f>
        <v>46182</v>
      </c>
      <c r="AG38" s="136" t="s">
        <v>557</v>
      </c>
      <c r="AH38" s="137" t="s">
        <v>557</v>
      </c>
      <c r="AI38" s="135">
        <f>AI$3</f>
        <v>46183</v>
      </c>
      <c r="AJ38" s="136" t="s">
        <v>557</v>
      </c>
      <c r="AK38" s="137" t="s">
        <v>557</v>
      </c>
      <c r="AL38" s="135">
        <f>AL$3</f>
        <v>46184</v>
      </c>
      <c r="AM38" s="136" t="s">
        <v>557</v>
      </c>
      <c r="AN38" s="137" t="s">
        <v>557</v>
      </c>
      <c r="AO38" s="135">
        <f>AO$3</f>
        <v>46185</v>
      </c>
      <c r="AP38" s="136" t="s">
        <v>557</v>
      </c>
      <c r="AQ38" s="137" t="s">
        <v>557</v>
      </c>
      <c r="AR38" s="135">
        <f>AR$3</f>
        <v>46186</v>
      </c>
      <c r="AS38" s="136" t="s">
        <v>557</v>
      </c>
      <c r="AT38" s="137" t="s">
        <v>557</v>
      </c>
      <c r="AU38" s="12"/>
    </row>
    <row r="39" spans="1:47">
      <c r="A39" s="122" t="str">
        <f>$A$18</f>
        <v>Đặng Thái Sơn</v>
      </c>
      <c r="B39" s="82" t="s">
        <v>813</v>
      </c>
      <c r="C39" s="81" t="str">
        <f>IF($B39="","",INDEX('All Bảng'!C:C,MATCH($B39,'All Bảng'!$A:$A,0)))</f>
        <v>Quản lý BIM</v>
      </c>
      <c r="D39" s="81" t="str">
        <f>IF($B39="","",INDEX('All Bảng'!D:D,MATCH($B39,'All Bảng'!$A:$A,0)))</f>
        <v>B.DSHNQN.SUP</v>
      </c>
      <c r="E39" s="81" t="str">
        <f>IF($B39="","",INDEX('All Bảng'!E:E,MATCH($B39,'All Bảng'!$A:$A,0)))</f>
        <v>Bãi đúc dầm 02A</v>
      </c>
      <c r="F39" s="81" t="str">
        <f>IF($B39="","",INDEX('All Bảng'!F:F,MATCH($B39,'All Bảng'!$A:$A,0)))</f>
        <v>DH</v>
      </c>
      <c r="G39" s="81" t="str">
        <f>IF($B39="","",INDEX('All Bảng'!G:G,MATCH($B39,'All Bảng'!$A:$A,0)))</f>
        <v>Tạo lập mô hình BIM</v>
      </c>
      <c r="H39" s="121"/>
      <c r="I39" s="135"/>
      <c r="J39" s="135">
        <f>J$3</f>
        <v>46174</v>
      </c>
      <c r="K39" s="136" t="s">
        <v>557</v>
      </c>
      <c r="L39" s="137" t="s">
        <v>557</v>
      </c>
      <c r="M39" s="135">
        <f>M$3</f>
        <v>46175</v>
      </c>
      <c r="N39" s="136" t="s">
        <v>557</v>
      </c>
      <c r="O39" s="137" t="s">
        <v>557</v>
      </c>
      <c r="P39" s="135">
        <f>P$3</f>
        <v>46176</v>
      </c>
      <c r="Q39" s="136" t="s">
        <v>557</v>
      </c>
      <c r="R39" s="137" t="s">
        <v>557</v>
      </c>
      <c r="S39" s="135">
        <f>S$3</f>
        <v>46177</v>
      </c>
      <c r="T39" s="136" t="s">
        <v>557</v>
      </c>
      <c r="U39" s="137" t="s">
        <v>557</v>
      </c>
      <c r="V39" s="135">
        <f>V$3</f>
        <v>46178</v>
      </c>
      <c r="W39" s="136" t="s">
        <v>557</v>
      </c>
      <c r="X39" s="137" t="s">
        <v>557</v>
      </c>
      <c r="Y39" s="135">
        <f>Y$3</f>
        <v>46179</v>
      </c>
      <c r="Z39" s="136" t="s">
        <v>557</v>
      </c>
      <c r="AA39" s="137" t="s">
        <v>557</v>
      </c>
      <c r="AB39" s="135"/>
      <c r="AC39" s="135">
        <f>AC$3</f>
        <v>46181</v>
      </c>
      <c r="AD39" s="136" t="s">
        <v>557</v>
      </c>
      <c r="AE39" s="137" t="s">
        <v>557</v>
      </c>
      <c r="AF39" s="135">
        <f>AF$3</f>
        <v>46182</v>
      </c>
      <c r="AG39" s="136" t="s">
        <v>557</v>
      </c>
      <c r="AH39" s="137" t="s">
        <v>557</v>
      </c>
      <c r="AI39" s="135">
        <f>AI$3</f>
        <v>46183</v>
      </c>
      <c r="AJ39" s="136" t="s">
        <v>557</v>
      </c>
      <c r="AK39" s="137" t="s">
        <v>557</v>
      </c>
      <c r="AL39" s="135">
        <f>AL$3</f>
        <v>46184</v>
      </c>
      <c r="AM39" s="136" t="s">
        <v>557</v>
      </c>
      <c r="AN39" s="137" t="s">
        <v>557</v>
      </c>
      <c r="AO39" s="135">
        <f>AO$3</f>
        <v>46185</v>
      </c>
      <c r="AP39" s="136" t="s">
        <v>557</v>
      </c>
      <c r="AQ39" s="137" t="s">
        <v>557</v>
      </c>
      <c r="AR39" s="135">
        <f>AR$3</f>
        <v>46186</v>
      </c>
      <c r="AS39" s="136" t="s">
        <v>557</v>
      </c>
      <c r="AT39" s="137" t="s">
        <v>557</v>
      </c>
      <c r="AU39" s="12"/>
    </row>
    <row r="40" spans="1:47">
      <c r="A40" s="122" t="str">
        <f>$A$18</f>
        <v>Đặng Thái Sơn</v>
      </c>
      <c r="B40" s="82" t="s">
        <v>814</v>
      </c>
      <c r="C40" s="81" t="str">
        <f>IF($B40="","",INDEX('All Bảng'!C:C,MATCH($B40,'All Bảng'!$A:$A,0)))</f>
        <v>Quản lý BIM</v>
      </c>
      <c r="D40" s="81" t="str">
        <f>IF($B40="","",INDEX('All Bảng'!D:D,MATCH($B40,'All Bảng'!$A:$A,0)))</f>
        <v>B.DSHNQN.SUP</v>
      </c>
      <c r="E40" s="81" t="str">
        <f>IF($B40="","",INDEX('All Bảng'!E:E,MATCH($B40,'All Bảng'!$A:$A,0)))</f>
        <v>Bãi đúc dầm 03</v>
      </c>
      <c r="F40" s="81" t="str">
        <f>IF($B40="","",INDEX('All Bảng'!F:F,MATCH($B40,'All Bảng'!$A:$A,0)))</f>
        <v>DH</v>
      </c>
      <c r="G40" s="81" t="str">
        <f>IF($B40="","",INDEX('All Bảng'!G:G,MATCH($B40,'All Bảng'!$A:$A,0)))</f>
        <v>Tạo lập mô hình BIM</v>
      </c>
      <c r="H40" s="121"/>
      <c r="I40" s="135"/>
      <c r="J40" s="135">
        <f>J$3</f>
        <v>46174</v>
      </c>
      <c r="K40" s="136" t="s">
        <v>557</v>
      </c>
      <c r="L40" s="137" t="s">
        <v>557</v>
      </c>
      <c r="M40" s="135">
        <f>M$3</f>
        <v>46175</v>
      </c>
      <c r="N40" s="136" t="s">
        <v>557</v>
      </c>
      <c r="O40" s="137" t="s">
        <v>557</v>
      </c>
      <c r="P40" s="135">
        <f>P$3</f>
        <v>46176</v>
      </c>
      <c r="Q40" s="136" t="s">
        <v>557</v>
      </c>
      <c r="R40" s="137" t="s">
        <v>557</v>
      </c>
      <c r="S40" s="135">
        <f>S$3</f>
        <v>46177</v>
      </c>
      <c r="T40" s="136" t="s">
        <v>557</v>
      </c>
      <c r="U40" s="137" t="s">
        <v>557</v>
      </c>
      <c r="V40" s="135">
        <f>V$3</f>
        <v>46178</v>
      </c>
      <c r="W40" s="136" t="s">
        <v>557</v>
      </c>
      <c r="X40" s="137" t="s">
        <v>557</v>
      </c>
      <c r="Y40" s="135">
        <f>Y$3</f>
        <v>46179</v>
      </c>
      <c r="Z40" s="136" t="s">
        <v>557</v>
      </c>
      <c r="AA40" s="137" t="s">
        <v>557</v>
      </c>
      <c r="AB40" s="135"/>
      <c r="AC40" s="135">
        <f>AC$3</f>
        <v>46181</v>
      </c>
      <c r="AD40" s="136" t="s">
        <v>557</v>
      </c>
      <c r="AE40" s="137" t="s">
        <v>557</v>
      </c>
      <c r="AF40" s="135">
        <f>AF$3</f>
        <v>46182</v>
      </c>
      <c r="AG40" s="136" t="s">
        <v>557</v>
      </c>
      <c r="AH40" s="137" t="s">
        <v>557</v>
      </c>
      <c r="AI40" s="135">
        <f>AI$3</f>
        <v>46183</v>
      </c>
      <c r="AJ40" s="136" t="s">
        <v>557</v>
      </c>
      <c r="AK40" s="137" t="s">
        <v>557</v>
      </c>
      <c r="AL40" s="135">
        <f>AL$3</f>
        <v>46184</v>
      </c>
      <c r="AM40" s="136" t="s">
        <v>557</v>
      </c>
      <c r="AN40" s="137" t="s">
        <v>557</v>
      </c>
      <c r="AO40" s="135">
        <f>AO$3</f>
        <v>46185</v>
      </c>
      <c r="AP40" s="136" t="s">
        <v>557</v>
      </c>
      <c r="AQ40" s="137" t="s">
        <v>557</v>
      </c>
      <c r="AR40" s="135">
        <f>AR$3</f>
        <v>46186</v>
      </c>
      <c r="AS40" s="136" t="s">
        <v>557</v>
      </c>
      <c r="AT40" s="137" t="s">
        <v>557</v>
      </c>
      <c r="AU40" s="12"/>
    </row>
    <row r="41" spans="1:47">
      <c r="A41" s="122" t="str">
        <f>$A$18</f>
        <v>Đặng Thái Sơn</v>
      </c>
      <c r="B41" s="82" t="s">
        <v>815</v>
      </c>
      <c r="C41" s="81" t="str">
        <f>IF($B41="","",INDEX('All Bảng'!C:C,MATCH($B41,'All Bảng'!$A:$A,0)))</f>
        <v>Quản lý BIM</v>
      </c>
      <c r="D41" s="81" t="str">
        <f>IF($B41="","",INDEX('All Bảng'!D:D,MATCH($B41,'All Bảng'!$A:$A,0)))</f>
        <v>B.DSHNQN.SUP</v>
      </c>
      <c r="E41" s="81" t="str">
        <f>IF($B41="","",INDEX('All Bảng'!E:E,MATCH($B41,'All Bảng'!$A:$A,0)))</f>
        <v>Bãi đúc dầm 04</v>
      </c>
      <c r="F41" s="81" t="str">
        <f>IF($B41="","",INDEX('All Bảng'!F:F,MATCH($B41,'All Bảng'!$A:$A,0)))</f>
        <v>DH</v>
      </c>
      <c r="G41" s="81" t="str">
        <f>IF($B41="","",INDEX('All Bảng'!G:G,MATCH($B41,'All Bảng'!$A:$A,0)))</f>
        <v>Tạo lập mô hình BIM</v>
      </c>
      <c r="H41" s="121"/>
      <c r="I41" s="135"/>
      <c r="J41" s="135">
        <f>J$3</f>
        <v>46174</v>
      </c>
      <c r="K41" s="136" t="s">
        <v>557</v>
      </c>
      <c r="L41" s="137" t="s">
        <v>557</v>
      </c>
      <c r="M41" s="135">
        <f>M$3</f>
        <v>46175</v>
      </c>
      <c r="N41" s="136" t="s">
        <v>557</v>
      </c>
      <c r="O41" s="137" t="s">
        <v>557</v>
      </c>
      <c r="P41" s="135">
        <f>P$3</f>
        <v>46176</v>
      </c>
      <c r="Q41" s="136" t="s">
        <v>557</v>
      </c>
      <c r="R41" s="137" t="s">
        <v>557</v>
      </c>
      <c r="S41" s="135">
        <f>S$3</f>
        <v>46177</v>
      </c>
      <c r="T41" s="136" t="s">
        <v>557</v>
      </c>
      <c r="U41" s="137" t="s">
        <v>557</v>
      </c>
      <c r="V41" s="135">
        <f>V$3</f>
        <v>46178</v>
      </c>
      <c r="W41" s="136" t="s">
        <v>557</v>
      </c>
      <c r="X41" s="137" t="s">
        <v>557</v>
      </c>
      <c r="Y41" s="135">
        <f>Y$3</f>
        <v>46179</v>
      </c>
      <c r="Z41" s="136" t="s">
        <v>557</v>
      </c>
      <c r="AA41" s="137" t="s">
        <v>557</v>
      </c>
      <c r="AB41" s="135"/>
      <c r="AC41" s="135">
        <f>AC$3</f>
        <v>46181</v>
      </c>
      <c r="AD41" s="136" t="s">
        <v>557</v>
      </c>
      <c r="AE41" s="137" t="s">
        <v>557</v>
      </c>
      <c r="AF41" s="135">
        <f>AF$3</f>
        <v>46182</v>
      </c>
      <c r="AG41" s="136" t="s">
        <v>557</v>
      </c>
      <c r="AH41" s="137" t="s">
        <v>557</v>
      </c>
      <c r="AI41" s="135">
        <f>AI$3</f>
        <v>46183</v>
      </c>
      <c r="AJ41" s="136" t="s">
        <v>557</v>
      </c>
      <c r="AK41" s="137" t="s">
        <v>557</v>
      </c>
      <c r="AL41" s="135">
        <f>AL$3</f>
        <v>46184</v>
      </c>
      <c r="AM41" s="136" t="s">
        <v>557</v>
      </c>
      <c r="AN41" s="137" t="s">
        <v>557</v>
      </c>
      <c r="AO41" s="135">
        <f>AO$3</f>
        <v>46185</v>
      </c>
      <c r="AP41" s="136" t="s">
        <v>557</v>
      </c>
      <c r="AQ41" s="137" t="s">
        <v>557</v>
      </c>
      <c r="AR41" s="135">
        <f>AR$3</f>
        <v>46186</v>
      </c>
      <c r="AS41" s="136" t="s">
        <v>557</v>
      </c>
      <c r="AT41" s="137" t="s">
        <v>557</v>
      </c>
      <c r="AU41" s="12"/>
    </row>
    <row r="42" spans="1:47">
      <c r="A42" s="122" t="str">
        <f>$A$18</f>
        <v>Đặng Thái Sơn</v>
      </c>
      <c r="B42" s="82" t="s">
        <v>816</v>
      </c>
      <c r="C42" s="81" t="str">
        <f>IF($B42="","",INDEX('All Bảng'!C:C,MATCH($B42,'All Bảng'!$A:$A,0)))</f>
        <v>Quản lý BIM</v>
      </c>
      <c r="D42" s="81" t="str">
        <f>IF($B42="","",INDEX('All Bảng'!D:D,MATCH($B42,'All Bảng'!$A:$A,0)))</f>
        <v>B.DSHNQN.SUP</v>
      </c>
      <c r="E42" s="81" t="str">
        <f>IF($B42="","",INDEX('All Bảng'!E:E,MATCH($B42,'All Bảng'!$A:$A,0)))</f>
        <v>Bãi đúc dầm 05</v>
      </c>
      <c r="F42" s="81" t="str">
        <f>IF($B42="","",INDEX('All Bảng'!F:F,MATCH($B42,'All Bảng'!$A:$A,0)))</f>
        <v>DH</v>
      </c>
      <c r="G42" s="81" t="str">
        <f>IF($B42="","",INDEX('All Bảng'!G:G,MATCH($B42,'All Bảng'!$A:$A,0)))</f>
        <v>Tạo lập mô hình BIM</v>
      </c>
      <c r="H42" s="121"/>
      <c r="I42" s="135"/>
      <c r="J42" s="135">
        <f>J$3</f>
        <v>46174</v>
      </c>
      <c r="K42" s="136" t="s">
        <v>557</v>
      </c>
      <c r="L42" s="137" t="s">
        <v>557</v>
      </c>
      <c r="M42" s="135">
        <f>M$3</f>
        <v>46175</v>
      </c>
      <c r="N42" s="136" t="s">
        <v>557</v>
      </c>
      <c r="O42" s="137" t="s">
        <v>557</v>
      </c>
      <c r="P42" s="135">
        <f>P$3</f>
        <v>46176</v>
      </c>
      <c r="Q42" s="136" t="s">
        <v>557</v>
      </c>
      <c r="R42" s="137" t="s">
        <v>557</v>
      </c>
      <c r="S42" s="135">
        <f>S$3</f>
        <v>46177</v>
      </c>
      <c r="T42" s="136" t="s">
        <v>557</v>
      </c>
      <c r="U42" s="137" t="s">
        <v>557</v>
      </c>
      <c r="V42" s="135">
        <f>V$3</f>
        <v>46178</v>
      </c>
      <c r="W42" s="136" t="s">
        <v>557</v>
      </c>
      <c r="X42" s="137" t="s">
        <v>557</v>
      </c>
      <c r="Y42" s="135">
        <f>Y$3</f>
        <v>46179</v>
      </c>
      <c r="Z42" s="136" t="s">
        <v>557</v>
      </c>
      <c r="AA42" s="137" t="s">
        <v>557</v>
      </c>
      <c r="AB42" s="135"/>
      <c r="AC42" s="135">
        <f>AC$3</f>
        <v>46181</v>
      </c>
      <c r="AD42" s="136" t="s">
        <v>557</v>
      </c>
      <c r="AE42" s="137" t="s">
        <v>557</v>
      </c>
      <c r="AF42" s="135">
        <f>AF$3</f>
        <v>46182</v>
      </c>
      <c r="AG42" s="136" t="s">
        <v>557</v>
      </c>
      <c r="AH42" s="137" t="s">
        <v>557</v>
      </c>
      <c r="AI42" s="135">
        <f>AI$3</f>
        <v>46183</v>
      </c>
      <c r="AJ42" s="136" t="s">
        <v>557</v>
      </c>
      <c r="AK42" s="137" t="s">
        <v>557</v>
      </c>
      <c r="AL42" s="135">
        <f>AL$3</f>
        <v>46184</v>
      </c>
      <c r="AM42" s="136" t="s">
        <v>557</v>
      </c>
      <c r="AN42" s="137" t="s">
        <v>557</v>
      </c>
      <c r="AO42" s="135">
        <f>AO$3</f>
        <v>46185</v>
      </c>
      <c r="AP42" s="136" t="s">
        <v>557</v>
      </c>
      <c r="AQ42" s="137" t="s">
        <v>557</v>
      </c>
      <c r="AR42" s="135">
        <f>AR$3</f>
        <v>46186</v>
      </c>
      <c r="AS42" s="136" t="s">
        <v>557</v>
      </c>
      <c r="AT42" s="137" t="s">
        <v>557</v>
      </c>
      <c r="AU42" s="12"/>
    </row>
    <row r="43" spans="1:47">
      <c r="A43" s="122" t="str">
        <f>$A$18</f>
        <v>Đặng Thái Sơn</v>
      </c>
      <c r="B43" s="82" t="s">
        <v>817</v>
      </c>
      <c r="C43" s="81" t="str">
        <f>IF($B43="","",INDEX('All Bảng'!C:C,MATCH($B43,'All Bảng'!$A:$A,0)))</f>
        <v>Quản lý BIM</v>
      </c>
      <c r="D43" s="81" t="str">
        <f>IF($B43="","",INDEX('All Bảng'!D:D,MATCH($B43,'All Bảng'!$A:$A,0)))</f>
        <v>B.DSHNQN.SUP</v>
      </c>
      <c r="E43" s="81" t="str">
        <f>IF($B43="","",INDEX('All Bảng'!E:E,MATCH($B43,'All Bảng'!$A:$A,0)))</f>
        <v>Bãi đúc dầm 06</v>
      </c>
      <c r="F43" s="81" t="str">
        <f>IF($B43="","",INDEX('All Bảng'!F:F,MATCH($B43,'All Bảng'!$A:$A,0)))</f>
        <v>DH</v>
      </c>
      <c r="G43" s="81" t="str">
        <f>IF($B43="","",INDEX('All Bảng'!G:G,MATCH($B43,'All Bảng'!$A:$A,0)))</f>
        <v>Tạo lập mô hình BIM</v>
      </c>
      <c r="H43" s="121"/>
      <c r="I43" s="135"/>
      <c r="J43" s="135">
        <f>J$3</f>
        <v>46174</v>
      </c>
      <c r="K43" s="136" t="s">
        <v>557</v>
      </c>
      <c r="L43" s="137" t="s">
        <v>557</v>
      </c>
      <c r="M43" s="135">
        <f>M$3</f>
        <v>46175</v>
      </c>
      <c r="N43" s="136" t="s">
        <v>557</v>
      </c>
      <c r="O43" s="137" t="s">
        <v>557</v>
      </c>
      <c r="P43" s="135">
        <f>P$3</f>
        <v>46176</v>
      </c>
      <c r="Q43" s="136" t="s">
        <v>557</v>
      </c>
      <c r="R43" s="137" t="s">
        <v>557</v>
      </c>
      <c r="S43" s="135">
        <f>S$3</f>
        <v>46177</v>
      </c>
      <c r="T43" s="136" t="s">
        <v>557</v>
      </c>
      <c r="U43" s="137" t="s">
        <v>557</v>
      </c>
      <c r="V43" s="135">
        <f>V$3</f>
        <v>46178</v>
      </c>
      <c r="W43" s="136" t="s">
        <v>557</v>
      </c>
      <c r="X43" s="137" t="s">
        <v>557</v>
      </c>
      <c r="Y43" s="135">
        <f>Y$3</f>
        <v>46179</v>
      </c>
      <c r="Z43" s="136" t="s">
        <v>557</v>
      </c>
      <c r="AA43" s="137" t="s">
        <v>557</v>
      </c>
      <c r="AB43" s="135"/>
      <c r="AC43" s="135">
        <f>AC$3</f>
        <v>46181</v>
      </c>
      <c r="AD43" s="136" t="s">
        <v>557</v>
      </c>
      <c r="AE43" s="137" t="s">
        <v>557</v>
      </c>
      <c r="AF43" s="135">
        <f>AF$3</f>
        <v>46182</v>
      </c>
      <c r="AG43" s="136" t="s">
        <v>557</v>
      </c>
      <c r="AH43" s="137" t="s">
        <v>557</v>
      </c>
      <c r="AI43" s="135">
        <f>AI$3</f>
        <v>46183</v>
      </c>
      <c r="AJ43" s="136" t="s">
        <v>557</v>
      </c>
      <c r="AK43" s="137" t="s">
        <v>557</v>
      </c>
      <c r="AL43" s="135">
        <f>AL$3</f>
        <v>46184</v>
      </c>
      <c r="AM43" s="136" t="s">
        <v>557</v>
      </c>
      <c r="AN43" s="137" t="s">
        <v>557</v>
      </c>
      <c r="AO43" s="135">
        <f>AO$3</f>
        <v>46185</v>
      </c>
      <c r="AP43" s="136" t="s">
        <v>557</v>
      </c>
      <c r="AQ43" s="137" t="s">
        <v>557</v>
      </c>
      <c r="AR43" s="135">
        <f>AR$3</f>
        <v>46186</v>
      </c>
      <c r="AS43" s="136" t="s">
        <v>557</v>
      </c>
      <c r="AT43" s="137" t="s">
        <v>557</v>
      </c>
      <c r="AU43" s="12"/>
    </row>
    <row r="44" spans="1:47">
      <c r="A44" s="122" t="str">
        <f>$A$18</f>
        <v>Đặng Thái Sơn</v>
      </c>
      <c r="B44" s="82"/>
      <c r="C44" s="81" t="str">
        <f>IF($B44="","",INDEX('All Bảng'!C:C,MATCH($B44,'All Bảng'!$A:$A,0)))</f>
        <v/>
      </c>
      <c r="D44" s="81" t="str">
        <f>IF($B44="","",INDEX('All Bảng'!D:D,MATCH($B44,'All Bảng'!$A:$A,0)))</f>
        <v/>
      </c>
      <c r="E44" s="81" t="str">
        <f>IF($B44="","",INDEX('All Bảng'!E:E,MATCH($B44,'All Bảng'!$A:$A,0)))</f>
        <v/>
      </c>
      <c r="F44" s="81" t="str">
        <f>IF($B44="","",INDEX('All Bảng'!F:F,MATCH($B44,'All Bảng'!$A:$A,0)))</f>
        <v/>
      </c>
      <c r="G44" s="81" t="str">
        <f>IF($B44="","",INDEX('All Bảng'!G:G,MATCH($B44,'All Bảng'!$A:$A,0)))</f>
        <v/>
      </c>
      <c r="H44" s="121"/>
      <c r="I44" s="135"/>
      <c r="J44" s="135">
        <f>J$3</f>
        <v>46174</v>
      </c>
      <c r="K44" s="136" t="s">
        <v>557</v>
      </c>
      <c r="L44" s="137" t="s">
        <v>557</v>
      </c>
      <c r="M44" s="135">
        <f>M$3</f>
        <v>46175</v>
      </c>
      <c r="N44" s="136" t="s">
        <v>557</v>
      </c>
      <c r="O44" s="137" t="s">
        <v>557</v>
      </c>
      <c r="P44" s="135">
        <f>P$3</f>
        <v>46176</v>
      </c>
      <c r="Q44" s="136" t="s">
        <v>557</v>
      </c>
      <c r="R44" s="137" t="s">
        <v>557</v>
      </c>
      <c r="S44" s="135">
        <f>S$3</f>
        <v>46177</v>
      </c>
      <c r="T44" s="136" t="s">
        <v>557</v>
      </c>
      <c r="U44" s="137" t="s">
        <v>557</v>
      </c>
      <c r="V44" s="135">
        <f>V$3</f>
        <v>46178</v>
      </c>
      <c r="W44" s="136" t="s">
        <v>557</v>
      </c>
      <c r="X44" s="137" t="s">
        <v>557</v>
      </c>
      <c r="Y44" s="135">
        <f>Y$3</f>
        <v>46179</v>
      </c>
      <c r="Z44" s="136" t="s">
        <v>557</v>
      </c>
      <c r="AA44" s="137" t="s">
        <v>557</v>
      </c>
      <c r="AB44" s="135"/>
      <c r="AC44" s="135">
        <f>AC$3</f>
        <v>46181</v>
      </c>
      <c r="AD44" s="136" t="s">
        <v>557</v>
      </c>
      <c r="AE44" s="137" t="s">
        <v>557</v>
      </c>
      <c r="AF44" s="135">
        <f>AF$3</f>
        <v>46182</v>
      </c>
      <c r="AG44" s="136" t="s">
        <v>557</v>
      </c>
      <c r="AH44" s="137" t="s">
        <v>557</v>
      </c>
      <c r="AI44" s="135">
        <f>AI$3</f>
        <v>46183</v>
      </c>
      <c r="AJ44" s="136" t="s">
        <v>557</v>
      </c>
      <c r="AK44" s="137" t="s">
        <v>557</v>
      </c>
      <c r="AL44" s="135">
        <f>AL$3</f>
        <v>46184</v>
      </c>
      <c r="AM44" s="136" t="s">
        <v>557</v>
      </c>
      <c r="AN44" s="137" t="s">
        <v>557</v>
      </c>
      <c r="AO44" s="135">
        <f>AO$3</f>
        <v>46185</v>
      </c>
      <c r="AP44" s="136" t="s">
        <v>557</v>
      </c>
      <c r="AQ44" s="137" t="s">
        <v>557</v>
      </c>
      <c r="AR44" s="135">
        <f>AR$3</f>
        <v>46186</v>
      </c>
      <c r="AS44" s="136" t="s">
        <v>557</v>
      </c>
      <c r="AT44" s="137" t="s">
        <v>557</v>
      </c>
      <c r="AU44" s="12"/>
    </row>
    <row r="45" spans="1:47">
      <c r="A45" s="122" t="str">
        <f>$A$18</f>
        <v>Đặng Thái Sơn</v>
      </c>
      <c r="B45" s="82"/>
      <c r="C45" s="81" t="str">
        <f>IF($B45="","",INDEX('All Bảng'!C:C,MATCH($B45,'All Bảng'!$A:$A,0)))</f>
        <v/>
      </c>
      <c r="D45" s="81" t="str">
        <f>IF($B45="","",INDEX('All Bảng'!D:D,MATCH($B45,'All Bảng'!$A:$A,0)))</f>
        <v/>
      </c>
      <c r="E45" s="81" t="str">
        <f>IF($B45="","",INDEX('All Bảng'!E:E,MATCH($B45,'All Bảng'!$A:$A,0)))</f>
        <v/>
      </c>
      <c r="F45" s="81" t="str">
        <f>IF($B45="","",INDEX('All Bảng'!F:F,MATCH($B45,'All Bảng'!$A:$A,0)))</f>
        <v/>
      </c>
      <c r="G45" s="81" t="str">
        <f>IF($B45="","",INDEX('All Bảng'!G:G,MATCH($B45,'All Bảng'!$A:$A,0)))</f>
        <v/>
      </c>
      <c r="H45" s="121"/>
      <c r="I45" s="135"/>
      <c r="J45" s="135">
        <f>J$3</f>
        <v>46174</v>
      </c>
      <c r="K45" s="136" t="s">
        <v>557</v>
      </c>
      <c r="L45" s="137" t="s">
        <v>557</v>
      </c>
      <c r="M45" s="135">
        <f>M$3</f>
        <v>46175</v>
      </c>
      <c r="N45" s="136" t="s">
        <v>557</v>
      </c>
      <c r="O45" s="137" t="s">
        <v>557</v>
      </c>
      <c r="P45" s="135">
        <f>P$3</f>
        <v>46176</v>
      </c>
      <c r="Q45" s="136" t="s">
        <v>557</v>
      </c>
      <c r="R45" s="137" t="s">
        <v>557</v>
      </c>
      <c r="S45" s="135">
        <f>S$3</f>
        <v>46177</v>
      </c>
      <c r="T45" s="136" t="s">
        <v>557</v>
      </c>
      <c r="U45" s="137" t="s">
        <v>557</v>
      </c>
      <c r="V45" s="135">
        <f>V$3</f>
        <v>46178</v>
      </c>
      <c r="W45" s="136" t="s">
        <v>557</v>
      </c>
      <c r="X45" s="137" t="s">
        <v>557</v>
      </c>
      <c r="Y45" s="135">
        <f>Y$3</f>
        <v>46179</v>
      </c>
      <c r="Z45" s="136" t="s">
        <v>557</v>
      </c>
      <c r="AA45" s="137" t="s">
        <v>557</v>
      </c>
      <c r="AB45" s="135"/>
      <c r="AC45" s="135">
        <f>AC$3</f>
        <v>46181</v>
      </c>
      <c r="AD45" s="136" t="s">
        <v>557</v>
      </c>
      <c r="AE45" s="137" t="s">
        <v>557</v>
      </c>
      <c r="AF45" s="135">
        <f>AF$3</f>
        <v>46182</v>
      </c>
      <c r="AG45" s="136" t="s">
        <v>557</v>
      </c>
      <c r="AH45" s="137" t="s">
        <v>557</v>
      </c>
      <c r="AI45" s="135">
        <f>AI$3</f>
        <v>46183</v>
      </c>
      <c r="AJ45" s="136" t="s">
        <v>557</v>
      </c>
      <c r="AK45" s="137" t="s">
        <v>557</v>
      </c>
      <c r="AL45" s="135">
        <f>AL$3</f>
        <v>46184</v>
      </c>
      <c r="AM45" s="136" t="s">
        <v>557</v>
      </c>
      <c r="AN45" s="137" t="s">
        <v>557</v>
      </c>
      <c r="AO45" s="135">
        <f>AO$3</f>
        <v>46185</v>
      </c>
      <c r="AP45" s="136" t="s">
        <v>557</v>
      </c>
      <c r="AQ45" s="137" t="s">
        <v>557</v>
      </c>
      <c r="AR45" s="135">
        <f>AR$3</f>
        <v>46186</v>
      </c>
      <c r="AS45" s="136" t="s">
        <v>557</v>
      </c>
      <c r="AT45" s="137" t="s">
        <v>557</v>
      </c>
      <c r="AU45" s="12"/>
    </row>
    <row r="46" spans="1:47">
      <c r="A46" s="122" t="str">
        <f>$A$18</f>
        <v>Đặng Thái Sơn</v>
      </c>
      <c r="B46" s="82"/>
      <c r="C46" s="81" t="str">
        <f>IF($B46="","",INDEX('All Bảng'!C:C,MATCH($B46,'All Bảng'!$A:$A,0)))</f>
        <v/>
      </c>
      <c r="D46" s="81" t="str">
        <f>IF($B46="","",INDEX('All Bảng'!D:D,MATCH($B46,'All Bảng'!$A:$A,0)))</f>
        <v/>
      </c>
      <c r="E46" s="81" t="str">
        <f>IF($B46="","",INDEX('All Bảng'!E:E,MATCH($B46,'All Bảng'!$A:$A,0)))</f>
        <v/>
      </c>
      <c r="F46" s="81" t="str">
        <f>IF($B46="","",INDEX('All Bảng'!F:F,MATCH($B46,'All Bảng'!$A:$A,0)))</f>
        <v/>
      </c>
      <c r="G46" s="81" t="str">
        <f>IF($B46="","",INDEX('All Bảng'!G:G,MATCH($B46,'All Bảng'!$A:$A,0)))</f>
        <v/>
      </c>
      <c r="H46" s="121"/>
      <c r="I46" s="135"/>
      <c r="J46" s="135">
        <f>J$3</f>
        <v>46174</v>
      </c>
      <c r="K46" s="136" t="s">
        <v>557</v>
      </c>
      <c r="L46" s="137" t="s">
        <v>557</v>
      </c>
      <c r="M46" s="135">
        <f>M$3</f>
        <v>46175</v>
      </c>
      <c r="N46" s="136" t="s">
        <v>557</v>
      </c>
      <c r="O46" s="137" t="s">
        <v>557</v>
      </c>
      <c r="P46" s="135">
        <f>P$3</f>
        <v>46176</v>
      </c>
      <c r="Q46" s="136" t="s">
        <v>557</v>
      </c>
      <c r="R46" s="137" t="s">
        <v>557</v>
      </c>
      <c r="S46" s="135">
        <f>S$3</f>
        <v>46177</v>
      </c>
      <c r="T46" s="136" t="s">
        <v>557</v>
      </c>
      <c r="U46" s="137" t="s">
        <v>557</v>
      </c>
      <c r="V46" s="135">
        <f>V$3</f>
        <v>46178</v>
      </c>
      <c r="W46" s="136" t="s">
        <v>557</v>
      </c>
      <c r="X46" s="137" t="s">
        <v>557</v>
      </c>
      <c r="Y46" s="135">
        <f>Y$3</f>
        <v>46179</v>
      </c>
      <c r="Z46" s="136" t="s">
        <v>557</v>
      </c>
      <c r="AA46" s="137" t="s">
        <v>557</v>
      </c>
      <c r="AB46" s="135"/>
      <c r="AC46" s="135">
        <f>AC$3</f>
        <v>46181</v>
      </c>
      <c r="AD46" s="136" t="s">
        <v>557</v>
      </c>
      <c r="AE46" s="137" t="s">
        <v>557</v>
      </c>
      <c r="AF46" s="135">
        <f>AF$3</f>
        <v>46182</v>
      </c>
      <c r="AG46" s="136" t="s">
        <v>557</v>
      </c>
      <c r="AH46" s="137" t="s">
        <v>557</v>
      </c>
      <c r="AI46" s="135">
        <f>AI$3</f>
        <v>46183</v>
      </c>
      <c r="AJ46" s="136" t="s">
        <v>557</v>
      </c>
      <c r="AK46" s="137" t="s">
        <v>557</v>
      </c>
      <c r="AL46" s="135">
        <f>AL$3</f>
        <v>46184</v>
      </c>
      <c r="AM46" s="136" t="s">
        <v>557</v>
      </c>
      <c r="AN46" s="137" t="s">
        <v>557</v>
      </c>
      <c r="AO46" s="135">
        <f>AO$3</f>
        <v>46185</v>
      </c>
      <c r="AP46" s="136" t="s">
        <v>557</v>
      </c>
      <c r="AQ46" s="137" t="s">
        <v>557</v>
      </c>
      <c r="AR46" s="135">
        <f>AR$3</f>
        <v>46186</v>
      </c>
      <c r="AS46" s="136" t="s">
        <v>557</v>
      </c>
      <c r="AT46" s="137" t="s">
        <v>557</v>
      </c>
      <c r="AU46" s="12"/>
    </row>
    <row r="47" spans="1:47">
      <c r="A47" s="122" t="str">
        <f>$A$18</f>
        <v>Đặng Thái Sơn</v>
      </c>
      <c r="B47" s="82"/>
      <c r="C47" s="81" t="str">
        <f>IF($B47="","",INDEX('All Bảng'!C:C,MATCH($B47,'All Bảng'!$A:$A,0)))</f>
        <v/>
      </c>
      <c r="D47" s="81" t="str">
        <f>IF($B47="","",INDEX('All Bảng'!D:D,MATCH($B47,'All Bảng'!$A:$A,0)))</f>
        <v/>
      </c>
      <c r="E47" s="81" t="str">
        <f>IF($B47="","",INDEX('All Bảng'!E:E,MATCH($B47,'All Bảng'!$A:$A,0)))</f>
        <v/>
      </c>
      <c r="F47" s="81" t="str">
        <f>IF($B47="","",INDEX('All Bảng'!F:F,MATCH($B47,'All Bảng'!$A:$A,0)))</f>
        <v/>
      </c>
      <c r="G47" s="81" t="str">
        <f>IF($B47="","",INDEX('All Bảng'!G:G,MATCH($B47,'All Bảng'!$A:$A,0)))</f>
        <v/>
      </c>
      <c r="H47" s="121"/>
      <c r="I47" s="135"/>
      <c r="J47" s="135">
        <f>J$3</f>
        <v>46174</v>
      </c>
      <c r="K47" s="136" t="s">
        <v>557</v>
      </c>
      <c r="L47" s="137" t="s">
        <v>557</v>
      </c>
      <c r="M47" s="135">
        <f>M$3</f>
        <v>46175</v>
      </c>
      <c r="N47" s="136" t="s">
        <v>557</v>
      </c>
      <c r="O47" s="137" t="s">
        <v>557</v>
      </c>
      <c r="P47" s="135">
        <f>P$3</f>
        <v>46176</v>
      </c>
      <c r="Q47" s="136" t="s">
        <v>557</v>
      </c>
      <c r="R47" s="137" t="s">
        <v>557</v>
      </c>
      <c r="S47" s="135">
        <f>S$3</f>
        <v>46177</v>
      </c>
      <c r="T47" s="136" t="s">
        <v>557</v>
      </c>
      <c r="U47" s="137" t="s">
        <v>557</v>
      </c>
      <c r="V47" s="135">
        <f>V$3</f>
        <v>46178</v>
      </c>
      <c r="W47" s="136" t="s">
        <v>557</v>
      </c>
      <c r="X47" s="137" t="s">
        <v>557</v>
      </c>
      <c r="Y47" s="135">
        <f>Y$3</f>
        <v>46179</v>
      </c>
      <c r="Z47" s="136" t="s">
        <v>557</v>
      </c>
      <c r="AA47" s="137" t="s">
        <v>557</v>
      </c>
      <c r="AB47" s="135"/>
      <c r="AC47" s="135">
        <f>AC$3</f>
        <v>46181</v>
      </c>
      <c r="AD47" s="136" t="s">
        <v>557</v>
      </c>
      <c r="AE47" s="137" t="s">
        <v>557</v>
      </c>
      <c r="AF47" s="135">
        <f>AF$3</f>
        <v>46182</v>
      </c>
      <c r="AG47" s="136" t="s">
        <v>557</v>
      </c>
      <c r="AH47" s="137" t="s">
        <v>557</v>
      </c>
      <c r="AI47" s="135">
        <f>AI$3</f>
        <v>46183</v>
      </c>
      <c r="AJ47" s="136" t="s">
        <v>557</v>
      </c>
      <c r="AK47" s="137" t="s">
        <v>557</v>
      </c>
      <c r="AL47" s="135">
        <f>AL$3</f>
        <v>46184</v>
      </c>
      <c r="AM47" s="136" t="s">
        <v>557</v>
      </c>
      <c r="AN47" s="137" t="s">
        <v>557</v>
      </c>
      <c r="AO47" s="135">
        <f>AO$3</f>
        <v>46185</v>
      </c>
      <c r="AP47" s="136" t="s">
        <v>557</v>
      </c>
      <c r="AQ47" s="137" t="s">
        <v>557</v>
      </c>
      <c r="AR47" s="135">
        <f>AR$3</f>
        <v>46186</v>
      </c>
      <c r="AS47" s="136" t="s">
        <v>557</v>
      </c>
      <c r="AT47" s="137" t="s">
        <v>557</v>
      </c>
      <c r="AU47" s="12"/>
    </row>
    <row r="48" spans="1:47">
      <c r="A48" s="36" t="s">
        <v>206</v>
      </c>
      <c r="B48" s="28"/>
      <c r="C48" s="81" t="str">
        <f>IF($B48="","",INDEX('All Bảng'!C:C,MATCH($B48,'All Bảng'!$A:$A,0)))</f>
        <v/>
      </c>
      <c r="D48" s="81" t="str">
        <f>IF($B48="","",INDEX('All Bảng'!D:D,MATCH($B48,'All Bảng'!$A:$A,0)))</f>
        <v/>
      </c>
      <c r="E48" s="81" t="str">
        <f>IF($B48="","",INDEX('All Bảng'!E:E,MATCH($B48,'All Bảng'!$A:$A,0)))</f>
        <v/>
      </c>
      <c r="F48" s="81" t="str">
        <f>IF($B48="","",INDEX('All Bảng'!F:F,MATCH($B48,'All Bảng'!$A:$A,0)))</f>
        <v/>
      </c>
      <c r="G48" s="81" t="str">
        <f>IF($B48="","",INDEX('All Bảng'!G:G,MATCH($B48,'All Bảng'!$A:$A,0)))</f>
        <v/>
      </c>
      <c r="H48" s="121"/>
      <c r="I48" s="138"/>
      <c r="J48" s="138">
        <f>J$3</f>
        <v>46174</v>
      </c>
      <c r="K48" s="132" t="s">
        <v>557</v>
      </c>
      <c r="L48" s="133">
        <f>SUM(L49:L72)</f>
        <v>8</v>
      </c>
      <c r="M48" s="138">
        <f>M$3</f>
        <v>46175</v>
      </c>
      <c r="N48" s="132" t="s">
        <v>557</v>
      </c>
      <c r="O48" s="133">
        <f>SUM(O49:O72)</f>
        <v>8</v>
      </c>
      <c r="P48" s="138">
        <f>P$3</f>
        <v>46176</v>
      </c>
      <c r="Q48" s="132" t="s">
        <v>557</v>
      </c>
      <c r="R48" s="133">
        <f>SUM(R49:R72)</f>
        <v>8</v>
      </c>
      <c r="S48" s="138">
        <f>S$3</f>
        <v>46177</v>
      </c>
      <c r="T48" s="132" t="s">
        <v>557</v>
      </c>
      <c r="U48" s="133">
        <f>SUM(U49:U72)</f>
        <v>8</v>
      </c>
      <c r="V48" s="138">
        <f>V$3</f>
        <v>46178</v>
      </c>
      <c r="W48" s="132" t="s">
        <v>557</v>
      </c>
      <c r="X48" s="133">
        <f>SUM(X49:X72)</f>
        <v>0</v>
      </c>
      <c r="Y48" s="138">
        <f>Y$3</f>
        <v>46179</v>
      </c>
      <c r="Z48" s="132" t="s">
        <v>557</v>
      </c>
      <c r="AA48" s="133">
        <f>SUM(AA49:AA72)</f>
        <v>0</v>
      </c>
      <c r="AB48" s="138"/>
      <c r="AC48" s="138">
        <f>AC$3</f>
        <v>46181</v>
      </c>
      <c r="AD48" s="132" t="s">
        <v>557</v>
      </c>
      <c r="AE48" s="133">
        <f>SUM(AE49:AE72)</f>
        <v>0</v>
      </c>
      <c r="AF48" s="138">
        <f>AF$3</f>
        <v>46182</v>
      </c>
      <c r="AG48" s="132" t="s">
        <v>557</v>
      </c>
      <c r="AH48" s="133">
        <f>SUM(AH49:AH72)</f>
        <v>0</v>
      </c>
      <c r="AI48" s="138">
        <f>AI$3</f>
        <v>46183</v>
      </c>
      <c r="AJ48" s="132" t="s">
        <v>557</v>
      </c>
      <c r="AK48" s="133">
        <f>SUM(AK49:AK72)</f>
        <v>0</v>
      </c>
      <c r="AL48" s="138">
        <f>AL$3</f>
        <v>46184</v>
      </c>
      <c r="AM48" s="132" t="s">
        <v>557</v>
      </c>
      <c r="AN48" s="133">
        <f>SUM(AN49:AN72)</f>
        <v>0</v>
      </c>
      <c r="AO48" s="138">
        <f>AO$3</f>
        <v>46185</v>
      </c>
      <c r="AP48" s="132" t="s">
        <v>557</v>
      </c>
      <c r="AQ48" s="133">
        <f>SUM(AQ49:AQ72)</f>
        <v>0</v>
      </c>
      <c r="AR48" s="138">
        <f>AR$3</f>
        <v>46186</v>
      </c>
      <c r="AS48" s="132" t="s">
        <v>557</v>
      </c>
      <c r="AT48" s="133">
        <f>SUM(AT49:AT72)</f>
        <v>0</v>
      </c>
      <c r="AU48" s="134"/>
    </row>
    <row r="49" spans="1:47">
      <c r="A49" s="122" t="str">
        <f>$A$48</f>
        <v>Nguyễn Văn Hải</v>
      </c>
      <c r="B49" t="s">
        <v>818</v>
      </c>
      <c r="C49" s="81" t="str">
        <f>IF($B49="","",INDEX('All Bảng'!C:C,MATCH($B49,'All Bảng'!$A:$A,0)))</f>
        <v>Quản lý BIM</v>
      </c>
      <c r="D49" s="81" t="str">
        <f>IF($B49="","",INDEX('All Bảng'!D:D,MATCH($B49,'All Bảng'!$A:$A,0)))</f>
        <v>B.HYE.PVF</v>
      </c>
      <c r="E49" s="81" t="str">
        <f>IF($B49="","",INDEX('All Bảng'!E:E,MATCH($B49,'All Bảng'!$A:$A,0)))</f>
        <v>Sân vận động TDTT01</v>
      </c>
      <c r="F49" s="81" t="str">
        <f>IF($B49="","",INDEX('All Bảng'!F:F,MATCH($B49,'All Bảng'!$A:$A,0)))</f>
        <v>NU</v>
      </c>
      <c r="G49" s="81" t="str">
        <f>IF($B49="","",INDEX('All Bảng'!G:G,MATCH($B49,'All Bảng'!$A:$A,0)))</f>
        <v>Tạo lập mô hình BIM</v>
      </c>
      <c r="H49" s="121"/>
      <c r="I49" s="135"/>
      <c r="J49" s="135">
        <f>J$3</f>
        <v>46174</v>
      </c>
      <c r="K49" s="136" t="s">
        <v>557</v>
      </c>
      <c r="L49" s="137">
        <v>3.5</v>
      </c>
      <c r="M49" s="135">
        <f>M$3</f>
        <v>46175</v>
      </c>
      <c r="N49" s="136" t="s">
        <v>557</v>
      </c>
      <c r="O49" s="137">
        <v>8</v>
      </c>
      <c r="P49" s="135">
        <f>P$3</f>
        <v>46176</v>
      </c>
      <c r="Q49" s="136" t="s">
        <v>557</v>
      </c>
      <c r="R49" s="137">
        <v>2</v>
      </c>
      <c r="S49" s="135">
        <f>S$3</f>
        <v>46177</v>
      </c>
      <c r="T49" s="136" t="s">
        <v>557</v>
      </c>
      <c r="U49" s="137">
        <v>2</v>
      </c>
      <c r="V49" s="135">
        <f>V$3</f>
        <v>46178</v>
      </c>
      <c r="W49" s="136" t="s">
        <v>557</v>
      </c>
      <c r="X49" s="137" t="s">
        <v>557</v>
      </c>
      <c r="Y49" s="135">
        <f>Y$3</f>
        <v>46179</v>
      </c>
      <c r="Z49" s="136" t="s">
        <v>557</v>
      </c>
      <c r="AA49" s="137" t="s">
        <v>557</v>
      </c>
      <c r="AB49" s="135"/>
      <c r="AC49" s="135">
        <f>AC$3</f>
        <v>46181</v>
      </c>
      <c r="AD49" s="136" t="s">
        <v>557</v>
      </c>
      <c r="AE49" s="137" t="s">
        <v>557</v>
      </c>
      <c r="AF49" s="135">
        <f>AF$3</f>
        <v>46182</v>
      </c>
      <c r="AG49" s="136" t="s">
        <v>557</v>
      </c>
      <c r="AH49" s="137" t="s">
        <v>557</v>
      </c>
      <c r="AI49" s="135">
        <f>AI$3</f>
        <v>46183</v>
      </c>
      <c r="AJ49" s="136" t="s">
        <v>557</v>
      </c>
      <c r="AK49" s="137" t="s">
        <v>557</v>
      </c>
      <c r="AL49" s="135">
        <f>AL$3</f>
        <v>46184</v>
      </c>
      <c r="AM49" s="136" t="s">
        <v>557</v>
      </c>
      <c r="AN49" s="137" t="s">
        <v>557</v>
      </c>
      <c r="AO49" s="135">
        <f>AO$3</f>
        <v>46185</v>
      </c>
      <c r="AP49" s="136" t="s">
        <v>557</v>
      </c>
      <c r="AQ49" s="137" t="s">
        <v>557</v>
      </c>
      <c r="AR49" s="135">
        <f>AR$3</f>
        <v>46186</v>
      </c>
      <c r="AS49" s="136" t="s">
        <v>557</v>
      </c>
      <c r="AT49" s="137" t="s">
        <v>557</v>
      </c>
      <c r="AU49" s="12"/>
    </row>
    <row r="50" spans="1:47">
      <c r="A50" s="122" t="str">
        <f>$A$48</f>
        <v>Nguyễn Văn Hải</v>
      </c>
      <c r="B50" s="28" t="s">
        <v>819</v>
      </c>
      <c r="C50" s="81" t="str">
        <f>IF($B50="","",INDEX('All Bảng'!C:C,MATCH($B50,'All Bảng'!$A:$A,0)))</f>
        <v>Quản lý BIM</v>
      </c>
      <c r="D50" s="81" t="str">
        <f>IF($B50="","",INDEX('All Bảng'!D:D,MATCH($B50,'All Bảng'!$A:$A,0)))</f>
        <v>N.HCM.Q9.VP</v>
      </c>
      <c r="E50" s="81" t="str">
        <f>IF($B50="","",INDEX('All Bảng'!E:E,MATCH($B50,'All Bảng'!$A:$A,0)))</f>
        <v>Toà văn phòng 43 tầng</v>
      </c>
      <c r="F50" s="81" t="str">
        <f>IF($B50="","",INDEX('All Bảng'!F:F,MATCH($B50,'All Bảng'!$A:$A,0)))</f>
        <v>NU</v>
      </c>
      <c r="G50" s="81" t="str">
        <f>IF($B50="","",INDEX('All Bảng'!G:G,MATCH($B50,'All Bảng'!$A:$A,0)))</f>
        <v>Xuất khối lượng từ mô hình BIM</v>
      </c>
      <c r="H50" s="121">
        <v>46174</v>
      </c>
      <c r="I50" s="135"/>
      <c r="J50" s="135">
        <f>J$3</f>
        <v>46174</v>
      </c>
      <c r="K50" s="136" t="s">
        <v>557</v>
      </c>
      <c r="L50" s="137">
        <v>4</v>
      </c>
      <c r="M50" s="135">
        <f>M$3</f>
        <v>46175</v>
      </c>
      <c r="N50" s="136" t="s">
        <v>557</v>
      </c>
      <c r="O50" s="137" t="s">
        <v>557</v>
      </c>
      <c r="P50" s="135">
        <f>P$3</f>
        <v>46176</v>
      </c>
      <c r="Q50" s="136" t="s">
        <v>557</v>
      </c>
      <c r="R50" s="137" t="s">
        <v>557</v>
      </c>
      <c r="S50" s="135">
        <f>S$3</f>
        <v>46177</v>
      </c>
      <c r="T50" s="136" t="s">
        <v>557</v>
      </c>
      <c r="U50" s="137" t="s">
        <v>557</v>
      </c>
      <c r="V50" s="135">
        <f>V$3</f>
        <v>46178</v>
      </c>
      <c r="W50" s="136" t="s">
        <v>557</v>
      </c>
      <c r="X50" s="137" t="s">
        <v>557</v>
      </c>
      <c r="Y50" s="135">
        <f>Y$3</f>
        <v>46179</v>
      </c>
      <c r="Z50" s="136" t="s">
        <v>557</v>
      </c>
      <c r="AA50" s="137" t="s">
        <v>557</v>
      </c>
      <c r="AB50" s="135"/>
      <c r="AC50" s="135">
        <f>AC$3</f>
        <v>46181</v>
      </c>
      <c r="AD50" s="136" t="s">
        <v>557</v>
      </c>
      <c r="AE50" s="137" t="s">
        <v>557</v>
      </c>
      <c r="AF50" s="135">
        <f>AF$3</f>
        <v>46182</v>
      </c>
      <c r="AG50" s="136" t="s">
        <v>557</v>
      </c>
      <c r="AH50" s="137" t="s">
        <v>557</v>
      </c>
      <c r="AI50" s="135">
        <f>AI$3</f>
        <v>46183</v>
      </c>
      <c r="AJ50" s="136" t="s">
        <v>557</v>
      </c>
      <c r="AK50" s="137" t="s">
        <v>557</v>
      </c>
      <c r="AL50" s="135">
        <f>AL$3</f>
        <v>46184</v>
      </c>
      <c r="AM50" s="136" t="s">
        <v>557</v>
      </c>
      <c r="AN50" s="137" t="s">
        <v>557</v>
      </c>
      <c r="AO50" s="135">
        <f>AO$3</f>
        <v>46185</v>
      </c>
      <c r="AP50" s="136" t="s">
        <v>557</v>
      </c>
      <c r="AQ50" s="137" t="s">
        <v>557</v>
      </c>
      <c r="AR50" s="135">
        <f>AR$3</f>
        <v>46186</v>
      </c>
      <c r="AS50" s="136" t="s">
        <v>557</v>
      </c>
      <c r="AT50" s="137" t="s">
        <v>557</v>
      </c>
      <c r="AU50" s="12"/>
    </row>
    <row r="51" spans="1:47">
      <c r="A51" s="122" t="str">
        <f>$A$48</f>
        <v>Nguyễn Văn Hải</v>
      </c>
      <c r="B51" s="28" t="s">
        <v>820</v>
      </c>
      <c r="C51" s="81" t="str">
        <f>IF($B51="","",INDEX('All Bảng'!C:C,MATCH($B51,'All Bảng'!$A:$A,0)))</f>
        <v>Quản lý BIM</v>
      </c>
      <c r="D51" s="81" t="str">
        <f>IF($B51="","",INDEX('All Bảng'!D:D,MATCH($B51,'All Bảng'!$A:$A,0)))</f>
        <v>T.HTI.STHT.NOXH.CT</v>
      </c>
      <c r="E51" s="81" t="str">
        <f>IF($B51="","",INDEX('All Bảng'!E:E,MATCH($B51,'All Bảng'!$A:$A,0)))</f>
        <v>NOXH-01 (03 tòa)</v>
      </c>
      <c r="F51" s="81" t="str">
        <f>IF($B51="","",INDEX('All Bảng'!F:F,MATCH($B51,'All Bảng'!$A:$A,0)))</f>
        <v>NU</v>
      </c>
      <c r="G51" s="81" t="str">
        <f>IF($B51="","",INDEX('All Bảng'!G:G,MATCH($B51,'All Bảng'!$A:$A,0)))</f>
        <v>Khởi tạo mô hình BIM</v>
      </c>
      <c r="H51" s="121">
        <v>46174</v>
      </c>
      <c r="I51" s="135"/>
      <c r="J51" s="135">
        <f>J$3</f>
        <v>46174</v>
      </c>
      <c r="K51" s="136" t="s">
        <v>557</v>
      </c>
      <c r="L51" s="137">
        <v>0.5</v>
      </c>
      <c r="M51" s="135">
        <f>M$3</f>
        <v>46175</v>
      </c>
      <c r="N51" s="136" t="s">
        <v>557</v>
      </c>
      <c r="O51" s="137" t="s">
        <v>557</v>
      </c>
      <c r="P51" s="135">
        <f>P$3</f>
        <v>46176</v>
      </c>
      <c r="Q51" s="136" t="s">
        <v>557</v>
      </c>
      <c r="R51" s="137" t="s">
        <v>557</v>
      </c>
      <c r="S51" s="135">
        <f>S$3</f>
        <v>46177</v>
      </c>
      <c r="T51" s="136" t="s">
        <v>557</v>
      </c>
      <c r="U51" s="137" t="s">
        <v>557</v>
      </c>
      <c r="V51" s="135">
        <f>V$3</f>
        <v>46178</v>
      </c>
      <c r="W51" s="136" t="s">
        <v>557</v>
      </c>
      <c r="X51" s="137" t="s">
        <v>557</v>
      </c>
      <c r="Y51" s="135">
        <f>Y$3</f>
        <v>46179</v>
      </c>
      <c r="Z51" s="136" t="s">
        <v>557</v>
      </c>
      <c r="AA51" s="137" t="s">
        <v>557</v>
      </c>
      <c r="AB51" s="135"/>
      <c r="AC51" s="135">
        <f>AC$3</f>
        <v>46181</v>
      </c>
      <c r="AD51" s="136" t="s">
        <v>557</v>
      </c>
      <c r="AE51" s="137" t="s">
        <v>557</v>
      </c>
      <c r="AF51" s="135">
        <f>AF$3</f>
        <v>46182</v>
      </c>
      <c r="AG51" s="136" t="s">
        <v>557</v>
      </c>
      <c r="AH51" s="137" t="s">
        <v>557</v>
      </c>
      <c r="AI51" s="135">
        <f>AI$3</f>
        <v>46183</v>
      </c>
      <c r="AJ51" s="136" t="s">
        <v>557</v>
      </c>
      <c r="AK51" s="137" t="s">
        <v>557</v>
      </c>
      <c r="AL51" s="135">
        <f>AL$3</f>
        <v>46184</v>
      </c>
      <c r="AM51" s="136" t="s">
        <v>557</v>
      </c>
      <c r="AN51" s="137" t="s">
        <v>557</v>
      </c>
      <c r="AO51" s="135">
        <f>AO$3</f>
        <v>46185</v>
      </c>
      <c r="AP51" s="136" t="s">
        <v>557</v>
      </c>
      <c r="AQ51" s="137" t="s">
        <v>557</v>
      </c>
      <c r="AR51" s="135">
        <f>AR$3</f>
        <v>46186</v>
      </c>
      <c r="AS51" s="136" t="s">
        <v>557</v>
      </c>
      <c r="AT51" s="137" t="s">
        <v>557</v>
      </c>
      <c r="AU51" s="12"/>
    </row>
    <row r="52" spans="1:47">
      <c r="A52" s="122" t="str">
        <f>$A$48</f>
        <v>Nguyễn Văn Hải</v>
      </c>
      <c r="B52" s="28" t="s">
        <v>821</v>
      </c>
      <c r="C52" s="81" t="str">
        <f>IF($B52="","",INDEX('All Bảng'!C:C,MATCH($B52,'All Bảng'!$A:$A,0)))</f>
        <v>Quản lý BIM</v>
      </c>
      <c r="D52" s="81" t="str">
        <f>IF($B52="","",INDEX('All Bảng'!D:D,MATCH($B52,'All Bảng'!$A:$A,0)))</f>
        <v>N.HCM.CGIO.KS</v>
      </c>
      <c r="E52" s="81" t="str">
        <f>IF($B52="","",INDEX('All Bảng'!E:E,MATCH($B52,'All Bảng'!$A:$A,0)))</f>
        <v>Khách sạn Vinpearl A5.02.13</v>
      </c>
      <c r="F52" s="81" t="str">
        <f>IF($B52="","",INDEX('All Bảng'!F:F,MATCH($B52,'All Bảng'!$A:$A,0)))</f>
        <v>NU</v>
      </c>
      <c r="G52" s="81" t="str">
        <f>IF($B52="","",INDEX('All Bảng'!G:G,MATCH($B52,'All Bảng'!$A:$A,0)))</f>
        <v>Cập nhật thông tin mô hình BIM</v>
      </c>
      <c r="H52" s="121">
        <v>46176</v>
      </c>
      <c r="I52" s="135"/>
      <c r="J52" s="135">
        <f>J$3</f>
        <v>46174</v>
      </c>
      <c r="K52" s="136" t="s">
        <v>557</v>
      </c>
      <c r="L52" s="137" t="s">
        <v>557</v>
      </c>
      <c r="M52" s="135">
        <f>M$3</f>
        <v>46175</v>
      </c>
      <c r="N52" s="136" t="s">
        <v>557</v>
      </c>
      <c r="O52" s="137"/>
      <c r="P52" s="135">
        <f>P$3</f>
        <v>46176</v>
      </c>
      <c r="Q52" s="136" t="s">
        <v>557</v>
      </c>
      <c r="R52" s="137">
        <v>5</v>
      </c>
      <c r="S52" s="135">
        <f>S$3</f>
        <v>46177</v>
      </c>
      <c r="T52" s="136" t="s">
        <v>557</v>
      </c>
      <c r="U52" s="137" t="s">
        <v>557</v>
      </c>
      <c r="V52" s="135">
        <f>V$3</f>
        <v>46178</v>
      </c>
      <c r="W52" s="136" t="s">
        <v>557</v>
      </c>
      <c r="X52" s="137" t="s">
        <v>557</v>
      </c>
      <c r="Y52" s="135">
        <f>Y$3</f>
        <v>46179</v>
      </c>
      <c r="Z52" s="136" t="s">
        <v>557</v>
      </c>
      <c r="AA52" s="137" t="s">
        <v>557</v>
      </c>
      <c r="AB52" s="135"/>
      <c r="AC52" s="135">
        <f>AC$3</f>
        <v>46181</v>
      </c>
      <c r="AD52" s="136" t="s">
        <v>557</v>
      </c>
      <c r="AE52" s="137" t="s">
        <v>557</v>
      </c>
      <c r="AF52" s="135">
        <f>AF$3</f>
        <v>46182</v>
      </c>
      <c r="AG52" s="136" t="s">
        <v>557</v>
      </c>
      <c r="AH52" s="137" t="s">
        <v>557</v>
      </c>
      <c r="AI52" s="135">
        <f>AI$3</f>
        <v>46183</v>
      </c>
      <c r="AJ52" s="136" t="s">
        <v>557</v>
      </c>
      <c r="AK52" s="137" t="s">
        <v>557</v>
      </c>
      <c r="AL52" s="135">
        <f>AL$3</f>
        <v>46184</v>
      </c>
      <c r="AM52" s="136" t="s">
        <v>557</v>
      </c>
      <c r="AN52" s="137" t="s">
        <v>557</v>
      </c>
      <c r="AO52" s="135">
        <f>AO$3</f>
        <v>46185</v>
      </c>
      <c r="AP52" s="136" t="s">
        <v>557</v>
      </c>
      <c r="AQ52" s="137" t="s">
        <v>557</v>
      </c>
      <c r="AR52" s="135">
        <f>AR$3</f>
        <v>46186</v>
      </c>
      <c r="AS52" s="136" t="s">
        <v>557</v>
      </c>
      <c r="AT52" s="137" t="s">
        <v>557</v>
      </c>
      <c r="AU52" s="12"/>
    </row>
    <row r="53" spans="1:47">
      <c r="A53" s="122" t="str">
        <f>$A$48</f>
        <v>Nguyễn Văn Hải</v>
      </c>
      <c r="B53" s="28" t="s">
        <v>822</v>
      </c>
      <c r="C53" s="81" t="str">
        <f>IF($B53="","",INDEX('All Bảng'!C:C,MATCH($B53,'All Bảng'!$A:$A,0)))</f>
        <v>Quản lý BIM</v>
      </c>
      <c r="D53" s="81" t="str">
        <f>IF($B53="","",INDEX('All Bảng'!D:D,MATCH($B53,'All Bảng'!$A:$A,0)))</f>
        <v>N.HCM.CGIO.KS</v>
      </c>
      <c r="E53" s="81" t="str">
        <f>IF($B53="","",INDEX('All Bảng'!E:E,MATCH($B53,'All Bảng'!$A:$A,0)))</f>
        <v>Khách sạn Vinpearl A5.02.13</v>
      </c>
      <c r="F53" s="81" t="str">
        <f>IF($B53="","",INDEX('All Bảng'!F:F,MATCH($B53,'All Bảng'!$A:$A,0)))</f>
        <v>NU</v>
      </c>
      <c r="G53" s="81" t="str">
        <f>IF($B53="","",INDEX('All Bảng'!G:G,MATCH($B53,'All Bảng'!$A:$A,0)))</f>
        <v>Xuất khối lượng từ mô hình BIM</v>
      </c>
      <c r="H53" s="121">
        <v>46176</v>
      </c>
      <c r="I53" s="135"/>
      <c r="J53" s="135">
        <f>J$3</f>
        <v>46174</v>
      </c>
      <c r="K53" s="136" t="s">
        <v>557</v>
      </c>
      <c r="L53" s="137" t="s">
        <v>557</v>
      </c>
      <c r="M53" s="135">
        <f>M$3</f>
        <v>46175</v>
      </c>
      <c r="N53" s="136" t="s">
        <v>557</v>
      </c>
      <c r="O53" s="137" t="s">
        <v>557</v>
      </c>
      <c r="P53" s="135">
        <f>P$3</f>
        <v>46176</v>
      </c>
      <c r="Q53" s="136" t="s">
        <v>557</v>
      </c>
      <c r="R53" s="137">
        <v>1</v>
      </c>
      <c r="S53" s="135">
        <f>S$3</f>
        <v>46177</v>
      </c>
      <c r="T53" s="136" t="s">
        <v>557</v>
      </c>
      <c r="U53" s="137" t="s">
        <v>557</v>
      </c>
      <c r="V53" s="135">
        <f>V$3</f>
        <v>46178</v>
      </c>
      <c r="W53" s="136" t="s">
        <v>557</v>
      </c>
      <c r="X53" s="137" t="s">
        <v>557</v>
      </c>
      <c r="Y53" s="135">
        <f>Y$3</f>
        <v>46179</v>
      </c>
      <c r="Z53" s="136" t="s">
        <v>557</v>
      </c>
      <c r="AA53" s="137" t="s">
        <v>557</v>
      </c>
      <c r="AB53" s="135"/>
      <c r="AC53" s="135">
        <f>AC$3</f>
        <v>46181</v>
      </c>
      <c r="AD53" s="136" t="s">
        <v>557</v>
      </c>
      <c r="AE53" s="137" t="s">
        <v>557</v>
      </c>
      <c r="AF53" s="135">
        <f>AF$3</f>
        <v>46182</v>
      </c>
      <c r="AG53" s="136" t="s">
        <v>557</v>
      </c>
      <c r="AH53" s="137" t="s">
        <v>557</v>
      </c>
      <c r="AI53" s="135">
        <f>AI$3</f>
        <v>46183</v>
      </c>
      <c r="AJ53" s="136" t="s">
        <v>557</v>
      </c>
      <c r="AK53" s="137" t="s">
        <v>557</v>
      </c>
      <c r="AL53" s="135">
        <f>AL$3</f>
        <v>46184</v>
      </c>
      <c r="AM53" s="136" t="s">
        <v>557</v>
      </c>
      <c r="AN53" s="137" t="s">
        <v>557</v>
      </c>
      <c r="AO53" s="135">
        <f>AO$3</f>
        <v>46185</v>
      </c>
      <c r="AP53" s="136" t="s">
        <v>557</v>
      </c>
      <c r="AQ53" s="137" t="s">
        <v>557</v>
      </c>
      <c r="AR53" s="135">
        <f>AR$3</f>
        <v>46186</v>
      </c>
      <c r="AS53" s="136" t="s">
        <v>557</v>
      </c>
      <c r="AT53" s="137" t="s">
        <v>557</v>
      </c>
      <c r="AU53" s="12"/>
    </row>
    <row r="54" spans="1:47">
      <c r="A54" s="122" t="str">
        <f>$A$48</f>
        <v>Nguyễn Văn Hải</v>
      </c>
      <c r="B54" s="28" t="s">
        <v>823</v>
      </c>
      <c r="C54" s="81" t="str">
        <f>IF($B54="","",INDEX('All Bảng'!C:C,MATCH($B54,'All Bảng'!$A:$A,0)))</f>
        <v>Quản lý BIM</v>
      </c>
      <c r="D54" s="81" t="str">
        <f>IF($B54="","",INDEX('All Bảng'!D:D,MATCH($B54,'All Bảng'!$A:$A,0)))</f>
        <v>B.DSHNQN.SUP</v>
      </c>
      <c r="E54" s="81" t="str">
        <f>IF($B54="","",INDEX('All Bảng'!E:E,MATCH($B54,'All Bảng'!$A:$A,0)))</f>
        <v>Bãi đúc dầm 01</v>
      </c>
      <c r="F54" s="81" t="str">
        <f>IF($B54="","",INDEX('All Bảng'!F:F,MATCH($B54,'All Bảng'!$A:$A,0)))</f>
        <v>NU</v>
      </c>
      <c r="G54" s="81" t="str">
        <f>IF($B54="","",INDEX('All Bảng'!G:G,MATCH($B54,'All Bảng'!$A:$A,0)))</f>
        <v>Tạo lập mô hình BIM</v>
      </c>
      <c r="H54" s="121"/>
      <c r="I54" s="135"/>
      <c r="J54" s="135">
        <f>J$3</f>
        <v>46174</v>
      </c>
      <c r="K54" s="136" t="s">
        <v>557</v>
      </c>
      <c r="L54" s="137" t="s">
        <v>557</v>
      </c>
      <c r="M54" s="135">
        <f>M$3</f>
        <v>46175</v>
      </c>
      <c r="N54" s="136" t="s">
        <v>557</v>
      </c>
      <c r="O54" s="137" t="s">
        <v>557</v>
      </c>
      <c r="P54" s="135">
        <f>P$3</f>
        <v>46176</v>
      </c>
      <c r="Q54" s="136" t="s">
        <v>557</v>
      </c>
      <c r="R54" s="137" t="s">
        <v>557</v>
      </c>
      <c r="S54" s="135">
        <f>S$3</f>
        <v>46177</v>
      </c>
      <c r="T54" s="136" t="s">
        <v>557</v>
      </c>
      <c r="U54" s="137">
        <v>0.5</v>
      </c>
      <c r="V54" s="135">
        <f>V$3</f>
        <v>46178</v>
      </c>
      <c r="W54" s="136" t="s">
        <v>557</v>
      </c>
      <c r="X54" s="137" t="s">
        <v>557</v>
      </c>
      <c r="Y54" s="135">
        <f>Y$3</f>
        <v>46179</v>
      </c>
      <c r="Z54" s="136" t="s">
        <v>557</v>
      </c>
      <c r="AA54" s="137" t="s">
        <v>557</v>
      </c>
      <c r="AB54" s="135"/>
      <c r="AC54" s="135">
        <f>AC$3</f>
        <v>46181</v>
      </c>
      <c r="AD54" s="136" t="s">
        <v>557</v>
      </c>
      <c r="AE54" s="137" t="s">
        <v>557</v>
      </c>
      <c r="AF54" s="135">
        <f>AF$3</f>
        <v>46182</v>
      </c>
      <c r="AG54" s="136" t="s">
        <v>557</v>
      </c>
      <c r="AH54" s="137" t="s">
        <v>557</v>
      </c>
      <c r="AI54" s="135">
        <f>AI$3</f>
        <v>46183</v>
      </c>
      <c r="AJ54" s="136" t="s">
        <v>557</v>
      </c>
      <c r="AK54" s="137" t="s">
        <v>557</v>
      </c>
      <c r="AL54" s="135">
        <f>AL$3</f>
        <v>46184</v>
      </c>
      <c r="AM54" s="136" t="s">
        <v>557</v>
      </c>
      <c r="AN54" s="137" t="s">
        <v>557</v>
      </c>
      <c r="AO54" s="135">
        <f>AO$3</f>
        <v>46185</v>
      </c>
      <c r="AP54" s="136" t="s">
        <v>557</v>
      </c>
      <c r="AQ54" s="137" t="s">
        <v>557</v>
      </c>
      <c r="AR54" s="135">
        <f>AR$3</f>
        <v>46186</v>
      </c>
      <c r="AS54" s="136" t="s">
        <v>557</v>
      </c>
      <c r="AT54" s="137" t="s">
        <v>557</v>
      </c>
      <c r="AU54" s="12"/>
    </row>
    <row r="55" spans="1:47">
      <c r="A55" s="122" t="str">
        <f>$A$48</f>
        <v>Nguyễn Văn Hải</v>
      </c>
      <c r="B55" s="28" t="s">
        <v>824</v>
      </c>
      <c r="C55" s="81" t="str">
        <f>IF($B55="","",INDEX('All Bảng'!C:C,MATCH($B55,'All Bảng'!$A:$A,0)))</f>
        <v>Quản lý BIM</v>
      </c>
      <c r="D55" s="81" t="str">
        <f>IF($B55="","",INDEX('All Bảng'!D:D,MATCH($B55,'All Bảng'!$A:$A,0)))</f>
        <v>B.DSHNQN.SUP</v>
      </c>
      <c r="E55" s="81" t="str">
        <f>IF($B55="","",INDEX('All Bảng'!E:E,MATCH($B55,'All Bảng'!$A:$A,0)))</f>
        <v>Bãi đúc dầm 05</v>
      </c>
      <c r="F55" s="81" t="str">
        <f>IF($B55="","",INDEX('All Bảng'!F:F,MATCH($B55,'All Bảng'!$A:$A,0)))</f>
        <v>NU</v>
      </c>
      <c r="G55" s="81" t="str">
        <f>IF($B55="","",INDEX('All Bảng'!G:G,MATCH($B55,'All Bảng'!$A:$A,0)))</f>
        <v>Tạo lập mô hình BIM</v>
      </c>
      <c r="H55" s="121"/>
      <c r="I55" s="135"/>
      <c r="J55" s="135">
        <f>J$3</f>
        <v>46174</v>
      </c>
      <c r="K55" s="136" t="s">
        <v>557</v>
      </c>
      <c r="L55" s="137" t="s">
        <v>557</v>
      </c>
      <c r="M55" s="135">
        <f>M$3</f>
        <v>46175</v>
      </c>
      <c r="N55" s="136" t="s">
        <v>557</v>
      </c>
      <c r="O55" s="137" t="s">
        <v>557</v>
      </c>
      <c r="P55" s="135">
        <f>P$3</f>
        <v>46176</v>
      </c>
      <c r="Q55" s="136" t="s">
        <v>557</v>
      </c>
      <c r="R55" s="137" t="s">
        <v>557</v>
      </c>
      <c r="S55" s="135">
        <f>S$3</f>
        <v>46177</v>
      </c>
      <c r="T55" s="136" t="s">
        <v>557</v>
      </c>
      <c r="U55" s="137">
        <v>0.5</v>
      </c>
      <c r="V55" s="135">
        <f>V$3</f>
        <v>46178</v>
      </c>
      <c r="W55" s="136" t="s">
        <v>557</v>
      </c>
      <c r="X55" s="137" t="s">
        <v>557</v>
      </c>
      <c r="Y55" s="135">
        <f>Y$3</f>
        <v>46179</v>
      </c>
      <c r="Z55" s="136" t="s">
        <v>557</v>
      </c>
      <c r="AA55" s="137" t="s">
        <v>557</v>
      </c>
      <c r="AB55" s="135"/>
      <c r="AC55" s="135">
        <f>AC$3</f>
        <v>46181</v>
      </c>
      <c r="AD55" s="136" t="s">
        <v>557</v>
      </c>
      <c r="AE55" s="137" t="s">
        <v>557</v>
      </c>
      <c r="AF55" s="135">
        <f>AF$3</f>
        <v>46182</v>
      </c>
      <c r="AG55" s="136" t="s">
        <v>557</v>
      </c>
      <c r="AH55" s="137" t="s">
        <v>557</v>
      </c>
      <c r="AI55" s="135">
        <f>AI$3</f>
        <v>46183</v>
      </c>
      <c r="AJ55" s="136" t="s">
        <v>557</v>
      </c>
      <c r="AK55" s="137" t="s">
        <v>557</v>
      </c>
      <c r="AL55" s="135">
        <f>AL$3</f>
        <v>46184</v>
      </c>
      <c r="AM55" s="136" t="s">
        <v>557</v>
      </c>
      <c r="AN55" s="137" t="s">
        <v>557</v>
      </c>
      <c r="AO55" s="135">
        <f>AO$3</f>
        <v>46185</v>
      </c>
      <c r="AP55" s="136" t="s">
        <v>557</v>
      </c>
      <c r="AQ55" s="137" t="s">
        <v>557</v>
      </c>
      <c r="AR55" s="135">
        <f>AR$3</f>
        <v>46186</v>
      </c>
      <c r="AS55" s="136" t="s">
        <v>557</v>
      </c>
      <c r="AT55" s="137" t="s">
        <v>557</v>
      </c>
      <c r="AU55" s="12"/>
    </row>
    <row r="56" spans="1:47">
      <c r="A56" s="122" t="str">
        <f>$A$48</f>
        <v>Nguyễn Văn Hải</v>
      </c>
      <c r="B56" s="28" t="s">
        <v>825</v>
      </c>
      <c r="C56" s="81" t="str">
        <f>IF($B56="","",INDEX('All Bảng'!C:C,MATCH($B56,'All Bảng'!$A:$A,0)))</f>
        <v>Quản lý BIM</v>
      </c>
      <c r="D56" s="81" t="str">
        <f>IF($B56="","",INDEX('All Bảng'!D:D,MATCH($B56,'All Bảng'!$A:$A,0)))</f>
        <v>B.HNO.GL.VUNI</v>
      </c>
      <c r="E56" s="81" t="str">
        <f>IF($B56="","",INDEX('All Bảng'!E:E,MATCH($B56,'All Bảng'!$A:$A,0)))</f>
        <v>Trường Vinuni  - Tòa Q, R, S</v>
      </c>
      <c r="F56" s="81" t="str">
        <f>IF($B56="","",INDEX('All Bảng'!F:F,MATCH($B56,'All Bảng'!$A:$A,0)))</f>
        <v>DI</v>
      </c>
      <c r="G56" s="81" t="str">
        <f>IF($B56="","",INDEX('All Bảng'!G:G,MATCH($B56,'All Bảng'!$A:$A,0)))</f>
        <v>KSCL mô hình BIM</v>
      </c>
      <c r="H56" s="121"/>
      <c r="I56" s="135"/>
      <c r="J56" s="135">
        <f>J$3</f>
        <v>46174</v>
      </c>
      <c r="K56" s="136" t="s">
        <v>557</v>
      </c>
      <c r="L56" s="137" t="s">
        <v>557</v>
      </c>
      <c r="M56" s="135">
        <f>M$3</f>
        <v>46175</v>
      </c>
      <c r="N56" s="136" t="s">
        <v>557</v>
      </c>
      <c r="O56" s="137" t="s">
        <v>557</v>
      </c>
      <c r="P56" s="135">
        <f>P$3</f>
        <v>46176</v>
      </c>
      <c r="Q56" s="136" t="s">
        <v>557</v>
      </c>
      <c r="R56" s="137" t="s">
        <v>557</v>
      </c>
      <c r="S56" s="135">
        <f>S$3</f>
        <v>46177</v>
      </c>
      <c r="T56" s="136" t="s">
        <v>557</v>
      </c>
      <c r="U56" s="137">
        <v>1</v>
      </c>
      <c r="V56" s="135">
        <f>V$3</f>
        <v>46178</v>
      </c>
      <c r="W56" s="136" t="s">
        <v>557</v>
      </c>
      <c r="X56" s="137" t="s">
        <v>557</v>
      </c>
      <c r="Y56" s="135">
        <f>Y$3</f>
        <v>46179</v>
      </c>
      <c r="Z56" s="136" t="s">
        <v>557</v>
      </c>
      <c r="AA56" s="137" t="s">
        <v>557</v>
      </c>
      <c r="AB56" s="135"/>
      <c r="AC56" s="135">
        <f>AC$3</f>
        <v>46181</v>
      </c>
      <c r="AD56" s="136" t="s">
        <v>557</v>
      </c>
      <c r="AE56" s="137" t="s">
        <v>557</v>
      </c>
      <c r="AF56" s="135">
        <f>AF$3</f>
        <v>46182</v>
      </c>
      <c r="AG56" s="136" t="s">
        <v>557</v>
      </c>
      <c r="AH56" s="137" t="s">
        <v>557</v>
      </c>
      <c r="AI56" s="135">
        <f>AI$3</f>
        <v>46183</v>
      </c>
      <c r="AJ56" s="136" t="s">
        <v>557</v>
      </c>
      <c r="AK56" s="137" t="s">
        <v>557</v>
      </c>
      <c r="AL56" s="135">
        <f>AL$3</f>
        <v>46184</v>
      </c>
      <c r="AM56" s="136" t="s">
        <v>557</v>
      </c>
      <c r="AN56" s="137" t="s">
        <v>557</v>
      </c>
      <c r="AO56" s="135">
        <f>AO$3</f>
        <v>46185</v>
      </c>
      <c r="AP56" s="136" t="s">
        <v>557</v>
      </c>
      <c r="AQ56" s="137" t="s">
        <v>557</v>
      </c>
      <c r="AR56" s="135">
        <f>AR$3</f>
        <v>46186</v>
      </c>
      <c r="AS56" s="136" t="s">
        <v>557</v>
      </c>
      <c r="AT56" s="137" t="s">
        <v>557</v>
      </c>
      <c r="AU56" s="12"/>
    </row>
    <row r="57" spans="1:47">
      <c r="A57" s="122" t="str">
        <f>$A$48</f>
        <v>Nguyễn Văn Hải</v>
      </c>
      <c r="B57" s="28" t="s">
        <v>826</v>
      </c>
      <c r="C57" s="81" t="str">
        <f>IF($B57="","",INDEX('All Bảng'!C:C,MATCH($B57,'All Bảng'!$A:$A,0)))</f>
        <v>Quản lý BIM</v>
      </c>
      <c r="D57" s="81" t="str">
        <f>IF($B57="","",INDEX('All Bảng'!D:D,MATCH($B57,'All Bảng'!$A:$A,0)))</f>
        <v>B.HNO.GL.VUNI</v>
      </c>
      <c r="E57" s="81" t="str">
        <f>IF($B57="","",INDEX('All Bảng'!E:E,MATCH($B57,'All Bảng'!$A:$A,0)))</f>
        <v>Trường Vinuni  - Tòa Q, R, S</v>
      </c>
      <c r="F57" s="81" t="str">
        <f>IF($B57="","",INDEX('All Bảng'!F:F,MATCH($B57,'All Bảng'!$A:$A,0)))</f>
        <v>DN</v>
      </c>
      <c r="G57" s="81" t="str">
        <f>IF($B57="","",INDEX('All Bảng'!G:G,MATCH($B57,'All Bảng'!$A:$A,0)))</f>
        <v>KSCL mô hình BIM</v>
      </c>
      <c r="H57" s="121"/>
      <c r="I57" s="135"/>
      <c r="J57" s="135">
        <f>J$3</f>
        <v>46174</v>
      </c>
      <c r="K57" s="136" t="s">
        <v>557</v>
      </c>
      <c r="L57" s="137" t="s">
        <v>557</v>
      </c>
      <c r="M57" s="135">
        <f>M$3</f>
        <v>46175</v>
      </c>
      <c r="N57" s="136" t="s">
        <v>557</v>
      </c>
      <c r="O57" s="137" t="s">
        <v>557</v>
      </c>
      <c r="P57" s="135">
        <f>P$3</f>
        <v>46176</v>
      </c>
      <c r="Q57" s="136" t="s">
        <v>557</v>
      </c>
      <c r="R57" s="137" t="s">
        <v>557</v>
      </c>
      <c r="S57" s="135">
        <f>S$3</f>
        <v>46177</v>
      </c>
      <c r="T57" s="136" t="s">
        <v>557</v>
      </c>
      <c r="U57" s="137">
        <v>1</v>
      </c>
      <c r="V57" s="135">
        <f>V$3</f>
        <v>46178</v>
      </c>
      <c r="W57" s="136" t="s">
        <v>557</v>
      </c>
      <c r="X57" s="137" t="s">
        <v>557</v>
      </c>
      <c r="Y57" s="135">
        <f>Y$3</f>
        <v>46179</v>
      </c>
      <c r="Z57" s="136" t="s">
        <v>557</v>
      </c>
      <c r="AA57" s="137" t="s">
        <v>557</v>
      </c>
      <c r="AB57" s="135"/>
      <c r="AC57" s="135">
        <f>AC$3</f>
        <v>46181</v>
      </c>
      <c r="AD57" s="136" t="s">
        <v>557</v>
      </c>
      <c r="AE57" s="137" t="s">
        <v>557</v>
      </c>
      <c r="AF57" s="135">
        <f>AF$3</f>
        <v>46182</v>
      </c>
      <c r="AG57" s="136" t="s">
        <v>557</v>
      </c>
      <c r="AH57" s="137" t="s">
        <v>557</v>
      </c>
      <c r="AI57" s="135">
        <f>AI$3</f>
        <v>46183</v>
      </c>
      <c r="AJ57" s="136" t="s">
        <v>557</v>
      </c>
      <c r="AK57" s="137" t="s">
        <v>557</v>
      </c>
      <c r="AL57" s="135">
        <f>AL$3</f>
        <v>46184</v>
      </c>
      <c r="AM57" s="136" t="s">
        <v>557</v>
      </c>
      <c r="AN57" s="137" t="s">
        <v>557</v>
      </c>
      <c r="AO57" s="135">
        <f>AO$3</f>
        <v>46185</v>
      </c>
      <c r="AP57" s="136" t="s">
        <v>557</v>
      </c>
      <c r="AQ57" s="137" t="s">
        <v>557</v>
      </c>
      <c r="AR57" s="135">
        <f>AR$3</f>
        <v>46186</v>
      </c>
      <c r="AS57" s="136" t="s">
        <v>557</v>
      </c>
      <c r="AT57" s="137" t="s">
        <v>557</v>
      </c>
      <c r="AU57" s="12"/>
    </row>
    <row r="58" spans="1:47">
      <c r="A58" s="122" t="str">
        <f>$A$48</f>
        <v>Nguyễn Văn Hải</v>
      </c>
      <c r="B58" s="28" t="s">
        <v>827</v>
      </c>
      <c r="C58" s="81" t="str">
        <f>IF($B58="","",INDEX('All Bảng'!C:C,MATCH($B58,'All Bảng'!$A:$A,0)))</f>
        <v>Quản lý BIM</v>
      </c>
      <c r="D58" s="81" t="str">
        <f>IF($B58="","",INDEX('All Bảng'!D:D,MATCH($B58,'All Bảng'!$A:$A,0)))</f>
        <v>B.HNO.GL.VUNI</v>
      </c>
      <c r="E58" s="81" t="str">
        <f>IF($B58="","",INDEX('All Bảng'!E:E,MATCH($B58,'All Bảng'!$A:$A,0)))</f>
        <v>Trường Vinuni  - Tòa Q, R, S</v>
      </c>
      <c r="F58" s="81" t="str">
        <f>IF($B58="","",INDEX('All Bảng'!F:F,MATCH($B58,'All Bảng'!$A:$A,0)))</f>
        <v>NU</v>
      </c>
      <c r="G58" s="81" t="str">
        <f>IF($B58="","",INDEX('All Bảng'!G:G,MATCH($B58,'All Bảng'!$A:$A,0)))</f>
        <v>KSCL mô hình BIM</v>
      </c>
      <c r="H58" s="121"/>
      <c r="I58" s="135"/>
      <c r="J58" s="135">
        <f>J$3</f>
        <v>46174</v>
      </c>
      <c r="K58" s="136" t="s">
        <v>557</v>
      </c>
      <c r="L58" s="137" t="s">
        <v>557</v>
      </c>
      <c r="M58" s="135">
        <f>M$3</f>
        <v>46175</v>
      </c>
      <c r="N58" s="136" t="s">
        <v>557</v>
      </c>
      <c r="O58" s="137" t="s">
        <v>557</v>
      </c>
      <c r="P58" s="135">
        <f>P$3</f>
        <v>46176</v>
      </c>
      <c r="Q58" s="136" t="s">
        <v>557</v>
      </c>
      <c r="R58" s="137" t="s">
        <v>557</v>
      </c>
      <c r="S58" s="135">
        <f>S$3</f>
        <v>46177</v>
      </c>
      <c r="T58" s="136" t="s">
        <v>557</v>
      </c>
      <c r="U58" s="137">
        <v>1</v>
      </c>
      <c r="V58" s="135">
        <f>V$3</f>
        <v>46178</v>
      </c>
      <c r="W58" s="136" t="s">
        <v>557</v>
      </c>
      <c r="X58" s="137" t="s">
        <v>557</v>
      </c>
      <c r="Y58" s="135">
        <f>Y$3</f>
        <v>46179</v>
      </c>
      <c r="Z58" s="136" t="s">
        <v>557</v>
      </c>
      <c r="AA58" s="137" t="s">
        <v>557</v>
      </c>
      <c r="AB58" s="135"/>
      <c r="AC58" s="135">
        <f>AC$3</f>
        <v>46181</v>
      </c>
      <c r="AD58" s="136" t="s">
        <v>557</v>
      </c>
      <c r="AE58" s="137" t="s">
        <v>557</v>
      </c>
      <c r="AF58" s="135">
        <f>AF$3</f>
        <v>46182</v>
      </c>
      <c r="AG58" s="136" t="s">
        <v>557</v>
      </c>
      <c r="AH58" s="137" t="s">
        <v>557</v>
      </c>
      <c r="AI58" s="135">
        <f>AI$3</f>
        <v>46183</v>
      </c>
      <c r="AJ58" s="136" t="s">
        <v>557</v>
      </c>
      <c r="AK58" s="137" t="s">
        <v>557</v>
      </c>
      <c r="AL58" s="135">
        <f>AL$3</f>
        <v>46184</v>
      </c>
      <c r="AM58" s="136" t="s">
        <v>557</v>
      </c>
      <c r="AN58" s="137" t="s">
        <v>557</v>
      </c>
      <c r="AO58" s="135">
        <f>AO$3</f>
        <v>46185</v>
      </c>
      <c r="AP58" s="136" t="s">
        <v>557</v>
      </c>
      <c r="AQ58" s="137" t="s">
        <v>557</v>
      </c>
      <c r="AR58" s="135">
        <f>AR$3</f>
        <v>46186</v>
      </c>
      <c r="AS58" s="136" t="s">
        <v>557</v>
      </c>
      <c r="AT58" s="137" t="s">
        <v>557</v>
      </c>
      <c r="AU58" s="12"/>
    </row>
    <row r="59" spans="1:47">
      <c r="A59" s="122" t="str">
        <f>$A$48</f>
        <v>Nguyễn Văn Hải</v>
      </c>
      <c r="B59" s="28" t="s">
        <v>828</v>
      </c>
      <c r="C59" s="81" t="str">
        <f>IF($B59="","",INDEX('All Bảng'!C:C,MATCH($B59,'All Bảng'!$A:$A,0)))</f>
        <v>Quản lý BIM</v>
      </c>
      <c r="D59" s="81" t="str">
        <f>IF($B59="","",INDEX('All Bảng'!D:D,MATCH($B59,'All Bảng'!$A:$A,0)))</f>
        <v>B.HNO.GL.VUNI</v>
      </c>
      <c r="E59" s="81" t="str">
        <f>IF($B59="","",INDEX('All Bảng'!E:E,MATCH($B59,'All Bảng'!$A:$A,0)))</f>
        <v>Trường Vinuni  - Tòa Q, R, S</v>
      </c>
      <c r="F59" s="81" t="str">
        <f>IF($B59="","",INDEX('All Bảng'!F:F,MATCH($B59,'All Bảng'!$A:$A,0)))</f>
        <v>DH</v>
      </c>
      <c r="G59" s="81" t="str">
        <f>IF($B59="","",INDEX('All Bảng'!G:G,MATCH($B59,'All Bảng'!$A:$A,0)))</f>
        <v>KSCL mô hình BIM</v>
      </c>
      <c r="H59" s="121"/>
      <c r="I59" s="135"/>
      <c r="J59" s="135">
        <f>J$3</f>
        <v>46174</v>
      </c>
      <c r="K59" s="136" t="s">
        <v>557</v>
      </c>
      <c r="L59" s="137" t="s">
        <v>557</v>
      </c>
      <c r="M59" s="135">
        <f>M$3</f>
        <v>46175</v>
      </c>
      <c r="N59" s="136" t="s">
        <v>557</v>
      </c>
      <c r="O59" s="137" t="s">
        <v>557</v>
      </c>
      <c r="P59" s="135">
        <f>P$3</f>
        <v>46176</v>
      </c>
      <c r="Q59" s="136" t="s">
        <v>557</v>
      </c>
      <c r="R59" s="137" t="s">
        <v>557</v>
      </c>
      <c r="S59" s="135">
        <f>S$3</f>
        <v>46177</v>
      </c>
      <c r="T59" s="136" t="s">
        <v>557</v>
      </c>
      <c r="U59" s="137">
        <v>1</v>
      </c>
      <c r="V59" s="135">
        <f>V$3</f>
        <v>46178</v>
      </c>
      <c r="W59" s="136" t="s">
        <v>557</v>
      </c>
      <c r="X59" s="137" t="s">
        <v>557</v>
      </c>
      <c r="Y59" s="135">
        <f>Y$3</f>
        <v>46179</v>
      </c>
      <c r="Z59" s="136" t="s">
        <v>557</v>
      </c>
      <c r="AA59" s="137" t="s">
        <v>557</v>
      </c>
      <c r="AB59" s="135"/>
      <c r="AC59" s="135">
        <f>AC$3</f>
        <v>46181</v>
      </c>
      <c r="AD59" s="136" t="s">
        <v>557</v>
      </c>
      <c r="AE59" s="137" t="s">
        <v>557</v>
      </c>
      <c r="AF59" s="135">
        <f>AF$3</f>
        <v>46182</v>
      </c>
      <c r="AG59" s="136" t="s">
        <v>557</v>
      </c>
      <c r="AH59" s="137" t="s">
        <v>557</v>
      </c>
      <c r="AI59" s="135">
        <f>AI$3</f>
        <v>46183</v>
      </c>
      <c r="AJ59" s="136" t="s">
        <v>557</v>
      </c>
      <c r="AK59" s="137" t="s">
        <v>557</v>
      </c>
      <c r="AL59" s="135">
        <f>AL$3</f>
        <v>46184</v>
      </c>
      <c r="AM59" s="136" t="s">
        <v>557</v>
      </c>
      <c r="AN59" s="137" t="s">
        <v>557</v>
      </c>
      <c r="AO59" s="135">
        <f>AO$3</f>
        <v>46185</v>
      </c>
      <c r="AP59" s="136" t="s">
        <v>557</v>
      </c>
      <c r="AQ59" s="137" t="s">
        <v>557</v>
      </c>
      <c r="AR59" s="135">
        <f>AR$3</f>
        <v>46186</v>
      </c>
      <c r="AS59" s="136" t="s">
        <v>557</v>
      </c>
      <c r="AT59" s="137" t="s">
        <v>557</v>
      </c>
      <c r="AU59" s="12"/>
    </row>
    <row r="60" spans="1:47">
      <c r="A60" s="122" t="str">
        <f>$A$48</f>
        <v>Nguyễn Văn Hải</v>
      </c>
      <c r="B60" s="28" t="s">
        <v>829</v>
      </c>
      <c r="C60" s="81" t="str">
        <f>IF($B60="","",INDEX('All Bảng'!C:C,MATCH($B60,'All Bảng'!$A:$A,0)))</f>
        <v>Quản lý BIM</v>
      </c>
      <c r="D60" s="81" t="str">
        <f>IF($B60="","",INDEX('All Bảng'!D:D,MATCH($B60,'All Bảng'!$A:$A,0)))</f>
        <v>B.HNO.GL.VUNI</v>
      </c>
      <c r="E60" s="81" t="str">
        <f>IF($B60="","",INDEX('All Bảng'!E:E,MATCH($B60,'All Bảng'!$A:$A,0)))</f>
        <v>Trường Vinuni  - Tòa Q, R, S</v>
      </c>
      <c r="F60" s="81" t="str">
        <f>IF($B60="","",INDEX('All Bảng'!F:F,MATCH($B60,'All Bảng'!$A:$A,0)))</f>
        <v>PC</v>
      </c>
      <c r="G60" s="81" t="str">
        <f>IF($B60="","",INDEX('All Bảng'!G:G,MATCH($B60,'All Bảng'!$A:$A,0)))</f>
        <v>KSCL mô hình BIM</v>
      </c>
      <c r="H60" s="121"/>
      <c r="I60" s="135"/>
      <c r="J60" s="135">
        <f>J$3</f>
        <v>46174</v>
      </c>
      <c r="K60" s="136" t="s">
        <v>557</v>
      </c>
      <c r="L60" s="137" t="s">
        <v>557</v>
      </c>
      <c r="M60" s="135">
        <f>M$3</f>
        <v>46175</v>
      </c>
      <c r="N60" s="136" t="s">
        <v>557</v>
      </c>
      <c r="O60" s="137" t="s">
        <v>557</v>
      </c>
      <c r="P60" s="135">
        <f>P$3</f>
        <v>46176</v>
      </c>
      <c r="Q60" s="136" t="s">
        <v>557</v>
      </c>
      <c r="R60" s="137" t="s">
        <v>557</v>
      </c>
      <c r="S60" s="135">
        <f>S$3</f>
        <v>46177</v>
      </c>
      <c r="T60" s="136" t="s">
        <v>557</v>
      </c>
      <c r="U60" s="137">
        <v>1</v>
      </c>
      <c r="V60" s="135">
        <f>V$3</f>
        <v>46178</v>
      </c>
      <c r="W60" s="136" t="s">
        <v>557</v>
      </c>
      <c r="X60" s="137" t="s">
        <v>557</v>
      </c>
      <c r="Y60" s="135">
        <f>Y$3</f>
        <v>46179</v>
      </c>
      <c r="Z60" s="136" t="s">
        <v>557</v>
      </c>
      <c r="AA60" s="137" t="s">
        <v>557</v>
      </c>
      <c r="AB60" s="135"/>
      <c r="AC60" s="135">
        <f>AC$3</f>
        <v>46181</v>
      </c>
      <c r="AD60" s="136" t="s">
        <v>557</v>
      </c>
      <c r="AE60" s="137" t="s">
        <v>557</v>
      </c>
      <c r="AF60" s="135">
        <f>AF$3</f>
        <v>46182</v>
      </c>
      <c r="AG60" s="136" t="s">
        <v>557</v>
      </c>
      <c r="AH60" s="137" t="s">
        <v>557</v>
      </c>
      <c r="AI60" s="135">
        <f>AI$3</f>
        <v>46183</v>
      </c>
      <c r="AJ60" s="136" t="s">
        <v>557</v>
      </c>
      <c r="AK60" s="137" t="s">
        <v>557</v>
      </c>
      <c r="AL60" s="135">
        <f>AL$3</f>
        <v>46184</v>
      </c>
      <c r="AM60" s="136" t="s">
        <v>557</v>
      </c>
      <c r="AN60" s="137" t="s">
        <v>557</v>
      </c>
      <c r="AO60" s="135">
        <f>AO$3</f>
        <v>46185</v>
      </c>
      <c r="AP60" s="136" t="s">
        <v>557</v>
      </c>
      <c r="AQ60" s="137" t="s">
        <v>557</v>
      </c>
      <c r="AR60" s="135">
        <f>AR$3</f>
        <v>46186</v>
      </c>
      <c r="AS60" s="136" t="s">
        <v>557</v>
      </c>
      <c r="AT60" s="137" t="s">
        <v>557</v>
      </c>
      <c r="AU60" s="12"/>
    </row>
    <row r="61" spans="1:47">
      <c r="A61" s="122" t="str">
        <f>$A$48</f>
        <v>Nguyễn Văn Hải</v>
      </c>
      <c r="B61" s="28"/>
      <c r="C61" s="81" t="str">
        <f>IF($B61="","",INDEX('All Bảng'!C:C,MATCH($B61,'All Bảng'!$A:$A,0)))</f>
        <v/>
      </c>
      <c r="D61" s="81" t="str">
        <f>IF($B61="","",INDEX('All Bảng'!D:D,MATCH($B61,'All Bảng'!$A:$A,0)))</f>
        <v/>
      </c>
      <c r="E61" s="81" t="str">
        <f>IF($B61="","",INDEX('All Bảng'!E:E,MATCH($B61,'All Bảng'!$A:$A,0)))</f>
        <v/>
      </c>
      <c r="F61" s="81" t="str">
        <f>IF($B61="","",INDEX('All Bảng'!F:F,MATCH($B61,'All Bảng'!$A:$A,0)))</f>
        <v/>
      </c>
      <c r="G61" s="81" t="str">
        <f>IF($B61="","",INDEX('All Bảng'!G:G,MATCH($B61,'All Bảng'!$A:$A,0)))</f>
        <v/>
      </c>
      <c r="H61" s="121"/>
      <c r="I61" s="135"/>
      <c r="J61" s="135">
        <f>J$3</f>
        <v>46174</v>
      </c>
      <c r="K61" s="136" t="s">
        <v>557</v>
      </c>
      <c r="L61" s="137" t="s">
        <v>557</v>
      </c>
      <c r="M61" s="135">
        <f>M$3</f>
        <v>46175</v>
      </c>
      <c r="N61" s="136" t="s">
        <v>557</v>
      </c>
      <c r="O61" s="137" t="s">
        <v>557</v>
      </c>
      <c r="P61" s="135">
        <f>P$3</f>
        <v>46176</v>
      </c>
      <c r="Q61" s="136" t="s">
        <v>557</v>
      </c>
      <c r="R61" s="137" t="s">
        <v>557</v>
      </c>
      <c r="S61" s="135">
        <f>S$3</f>
        <v>46177</v>
      </c>
      <c r="T61" s="136" t="s">
        <v>557</v>
      </c>
      <c r="U61" s="137" t="s">
        <v>557</v>
      </c>
      <c r="V61" s="135">
        <f>V$3</f>
        <v>46178</v>
      </c>
      <c r="W61" s="136" t="s">
        <v>557</v>
      </c>
      <c r="X61" s="137" t="s">
        <v>557</v>
      </c>
      <c r="Y61" s="135">
        <f>Y$3</f>
        <v>46179</v>
      </c>
      <c r="Z61" s="136" t="s">
        <v>557</v>
      </c>
      <c r="AA61" s="137" t="s">
        <v>557</v>
      </c>
      <c r="AB61" s="135"/>
      <c r="AC61" s="135">
        <f>AC$3</f>
        <v>46181</v>
      </c>
      <c r="AD61" s="136" t="s">
        <v>557</v>
      </c>
      <c r="AE61" s="137" t="s">
        <v>557</v>
      </c>
      <c r="AF61" s="135">
        <f>AF$3</f>
        <v>46182</v>
      </c>
      <c r="AG61" s="136" t="s">
        <v>557</v>
      </c>
      <c r="AH61" s="137" t="s">
        <v>557</v>
      </c>
      <c r="AI61" s="135">
        <f>AI$3</f>
        <v>46183</v>
      </c>
      <c r="AJ61" s="136" t="s">
        <v>557</v>
      </c>
      <c r="AK61" s="137" t="s">
        <v>557</v>
      </c>
      <c r="AL61" s="135">
        <f>AL$3</f>
        <v>46184</v>
      </c>
      <c r="AM61" s="136" t="s">
        <v>557</v>
      </c>
      <c r="AN61" s="137" t="s">
        <v>557</v>
      </c>
      <c r="AO61" s="135">
        <f>AO$3</f>
        <v>46185</v>
      </c>
      <c r="AP61" s="136" t="s">
        <v>557</v>
      </c>
      <c r="AQ61" s="137" t="s">
        <v>557</v>
      </c>
      <c r="AR61" s="135">
        <f>AR$3</f>
        <v>46186</v>
      </c>
      <c r="AS61" s="136" t="s">
        <v>557</v>
      </c>
      <c r="AT61" s="137" t="s">
        <v>557</v>
      </c>
      <c r="AU61" s="12"/>
    </row>
    <row r="62" spans="1:47">
      <c r="A62" s="122" t="str">
        <f>$A$48</f>
        <v>Nguyễn Văn Hải</v>
      </c>
      <c r="B62" s="28"/>
      <c r="C62" s="81" t="str">
        <f>IF($B62="","",INDEX('All Bảng'!C:C,MATCH($B62,'All Bảng'!$A:$A,0)))</f>
        <v/>
      </c>
      <c r="D62" s="81" t="str">
        <f>IF($B62="","",INDEX('All Bảng'!D:D,MATCH($B62,'All Bảng'!$A:$A,0)))</f>
        <v/>
      </c>
      <c r="E62" s="81" t="str">
        <f>IF($B62="","",INDEX('All Bảng'!E:E,MATCH($B62,'All Bảng'!$A:$A,0)))</f>
        <v/>
      </c>
      <c r="F62" s="81" t="str">
        <f>IF($B62="","",INDEX('All Bảng'!F:F,MATCH($B62,'All Bảng'!$A:$A,0)))</f>
        <v/>
      </c>
      <c r="G62" s="81" t="str">
        <f>IF($B62="","",INDEX('All Bảng'!G:G,MATCH($B62,'All Bảng'!$A:$A,0)))</f>
        <v/>
      </c>
      <c r="H62" s="121"/>
      <c r="I62" s="135"/>
      <c r="J62" s="135">
        <f>J$3</f>
        <v>46174</v>
      </c>
      <c r="K62" s="136" t="s">
        <v>557</v>
      </c>
      <c r="L62" s="137" t="s">
        <v>557</v>
      </c>
      <c r="M62" s="135">
        <f>M$3</f>
        <v>46175</v>
      </c>
      <c r="N62" s="136" t="s">
        <v>557</v>
      </c>
      <c r="O62" s="137" t="s">
        <v>557</v>
      </c>
      <c r="P62" s="135">
        <f>P$3</f>
        <v>46176</v>
      </c>
      <c r="Q62" s="136" t="s">
        <v>557</v>
      </c>
      <c r="R62" s="137" t="s">
        <v>557</v>
      </c>
      <c r="S62" s="135">
        <f>S$3</f>
        <v>46177</v>
      </c>
      <c r="T62" s="136" t="s">
        <v>557</v>
      </c>
      <c r="U62" s="137" t="s">
        <v>557</v>
      </c>
      <c r="V62" s="135">
        <f>V$3</f>
        <v>46178</v>
      </c>
      <c r="W62" s="136" t="s">
        <v>557</v>
      </c>
      <c r="X62" s="137" t="s">
        <v>557</v>
      </c>
      <c r="Y62" s="135">
        <f>Y$3</f>
        <v>46179</v>
      </c>
      <c r="Z62" s="136" t="s">
        <v>557</v>
      </c>
      <c r="AA62" s="137" t="s">
        <v>557</v>
      </c>
      <c r="AB62" s="135"/>
      <c r="AC62" s="135">
        <f>AC$3</f>
        <v>46181</v>
      </c>
      <c r="AD62" s="136" t="s">
        <v>557</v>
      </c>
      <c r="AE62" s="137" t="s">
        <v>557</v>
      </c>
      <c r="AF62" s="135">
        <f>AF$3</f>
        <v>46182</v>
      </c>
      <c r="AG62" s="136" t="s">
        <v>557</v>
      </c>
      <c r="AH62" s="137" t="s">
        <v>557</v>
      </c>
      <c r="AI62" s="135">
        <f>AI$3</f>
        <v>46183</v>
      </c>
      <c r="AJ62" s="136" t="s">
        <v>557</v>
      </c>
      <c r="AK62" s="137" t="s">
        <v>557</v>
      </c>
      <c r="AL62" s="135">
        <f>AL$3</f>
        <v>46184</v>
      </c>
      <c r="AM62" s="136" t="s">
        <v>557</v>
      </c>
      <c r="AN62" s="137" t="s">
        <v>557</v>
      </c>
      <c r="AO62" s="135">
        <f>AO$3</f>
        <v>46185</v>
      </c>
      <c r="AP62" s="136" t="s">
        <v>557</v>
      </c>
      <c r="AQ62" s="137" t="s">
        <v>557</v>
      </c>
      <c r="AR62" s="135">
        <f>AR$3</f>
        <v>46186</v>
      </c>
      <c r="AS62" s="136" t="s">
        <v>557</v>
      </c>
      <c r="AT62" s="137" t="s">
        <v>557</v>
      </c>
      <c r="AU62" s="12"/>
    </row>
    <row r="63" spans="1:47">
      <c r="A63" s="122" t="str">
        <f>$A$48</f>
        <v>Nguyễn Văn Hải</v>
      </c>
      <c r="B63" s="28"/>
      <c r="C63" s="81" t="str">
        <f>IF($B63="","",INDEX('All Bảng'!C:C,MATCH($B63,'All Bảng'!$A:$A,0)))</f>
        <v/>
      </c>
      <c r="D63" s="81" t="str">
        <f>IF($B63="","",INDEX('All Bảng'!D:D,MATCH($B63,'All Bảng'!$A:$A,0)))</f>
        <v/>
      </c>
      <c r="E63" s="81" t="str">
        <f>IF($B63="","",INDEX('All Bảng'!E:E,MATCH($B63,'All Bảng'!$A:$A,0)))</f>
        <v/>
      </c>
      <c r="F63" s="81" t="str">
        <f>IF($B63="","",INDEX('All Bảng'!F:F,MATCH($B63,'All Bảng'!$A:$A,0)))</f>
        <v/>
      </c>
      <c r="G63" s="81" t="str">
        <f>IF($B63="","",INDEX('All Bảng'!G:G,MATCH($B63,'All Bảng'!$A:$A,0)))</f>
        <v/>
      </c>
      <c r="H63" s="121"/>
      <c r="I63" s="135"/>
      <c r="J63" s="135">
        <f>J$3</f>
        <v>46174</v>
      </c>
      <c r="K63" s="136" t="s">
        <v>557</v>
      </c>
      <c r="L63" s="137" t="s">
        <v>557</v>
      </c>
      <c r="M63" s="135">
        <f>M$3</f>
        <v>46175</v>
      </c>
      <c r="N63" s="136" t="s">
        <v>557</v>
      </c>
      <c r="O63" s="137" t="s">
        <v>557</v>
      </c>
      <c r="P63" s="135">
        <f>P$3</f>
        <v>46176</v>
      </c>
      <c r="Q63" s="136" t="s">
        <v>557</v>
      </c>
      <c r="R63" s="137" t="s">
        <v>557</v>
      </c>
      <c r="S63" s="135">
        <f>S$3</f>
        <v>46177</v>
      </c>
      <c r="T63" s="136" t="s">
        <v>557</v>
      </c>
      <c r="U63" s="137" t="s">
        <v>557</v>
      </c>
      <c r="V63" s="135">
        <f>V$3</f>
        <v>46178</v>
      </c>
      <c r="W63" s="136" t="s">
        <v>557</v>
      </c>
      <c r="X63" s="137" t="s">
        <v>557</v>
      </c>
      <c r="Y63" s="135">
        <f>Y$3</f>
        <v>46179</v>
      </c>
      <c r="Z63" s="136" t="s">
        <v>557</v>
      </c>
      <c r="AA63" s="137" t="s">
        <v>557</v>
      </c>
      <c r="AB63" s="135"/>
      <c r="AC63" s="135">
        <f>AC$3</f>
        <v>46181</v>
      </c>
      <c r="AD63" s="136" t="s">
        <v>557</v>
      </c>
      <c r="AE63" s="137" t="s">
        <v>557</v>
      </c>
      <c r="AF63" s="135">
        <f>AF$3</f>
        <v>46182</v>
      </c>
      <c r="AG63" s="136" t="s">
        <v>557</v>
      </c>
      <c r="AH63" s="137" t="s">
        <v>557</v>
      </c>
      <c r="AI63" s="135">
        <f>AI$3</f>
        <v>46183</v>
      </c>
      <c r="AJ63" s="136" t="s">
        <v>557</v>
      </c>
      <c r="AK63" s="137" t="s">
        <v>557</v>
      </c>
      <c r="AL63" s="135">
        <f>AL$3</f>
        <v>46184</v>
      </c>
      <c r="AM63" s="136" t="s">
        <v>557</v>
      </c>
      <c r="AN63" s="137" t="s">
        <v>557</v>
      </c>
      <c r="AO63" s="135">
        <f>AO$3</f>
        <v>46185</v>
      </c>
      <c r="AP63" s="136" t="s">
        <v>557</v>
      </c>
      <c r="AQ63" s="137" t="s">
        <v>557</v>
      </c>
      <c r="AR63" s="135">
        <f>AR$3</f>
        <v>46186</v>
      </c>
      <c r="AS63" s="136" t="s">
        <v>557</v>
      </c>
      <c r="AT63" s="137" t="s">
        <v>557</v>
      </c>
      <c r="AU63" s="12"/>
    </row>
    <row r="64" spans="1:47">
      <c r="A64" s="122" t="str">
        <f>$A$48</f>
        <v>Nguyễn Văn Hải</v>
      </c>
      <c r="B64" s="28"/>
      <c r="C64" s="81" t="str">
        <f>IF($B64="","",INDEX('All Bảng'!C:C,MATCH($B64,'All Bảng'!$A:$A,0)))</f>
        <v/>
      </c>
      <c r="D64" s="81" t="str">
        <f>IF($B64="","",INDEX('All Bảng'!D:D,MATCH($B64,'All Bảng'!$A:$A,0)))</f>
        <v/>
      </c>
      <c r="E64" s="81" t="str">
        <f>IF($B64="","",INDEX('All Bảng'!E:E,MATCH($B64,'All Bảng'!$A:$A,0)))</f>
        <v/>
      </c>
      <c r="F64" s="81" t="str">
        <f>IF($B64="","",INDEX('All Bảng'!F:F,MATCH($B64,'All Bảng'!$A:$A,0)))</f>
        <v/>
      </c>
      <c r="G64" s="81" t="str">
        <f>IF($B64="","",INDEX('All Bảng'!G:G,MATCH($B64,'All Bảng'!$A:$A,0)))</f>
        <v/>
      </c>
      <c r="H64" s="121"/>
      <c r="I64" s="135"/>
      <c r="J64" s="135">
        <f>J$3</f>
        <v>46174</v>
      </c>
      <c r="K64" s="136" t="s">
        <v>557</v>
      </c>
      <c r="L64" s="137" t="s">
        <v>557</v>
      </c>
      <c r="M64" s="135">
        <f>M$3</f>
        <v>46175</v>
      </c>
      <c r="N64" s="136" t="s">
        <v>557</v>
      </c>
      <c r="O64" s="137" t="s">
        <v>557</v>
      </c>
      <c r="P64" s="135">
        <f>P$3</f>
        <v>46176</v>
      </c>
      <c r="Q64" s="136" t="s">
        <v>557</v>
      </c>
      <c r="R64" s="137" t="s">
        <v>557</v>
      </c>
      <c r="S64" s="135">
        <f>S$3</f>
        <v>46177</v>
      </c>
      <c r="T64" s="136" t="s">
        <v>557</v>
      </c>
      <c r="U64" s="137" t="s">
        <v>557</v>
      </c>
      <c r="V64" s="135">
        <f>V$3</f>
        <v>46178</v>
      </c>
      <c r="W64" s="136" t="s">
        <v>557</v>
      </c>
      <c r="X64" s="137" t="s">
        <v>557</v>
      </c>
      <c r="Y64" s="135">
        <f>Y$3</f>
        <v>46179</v>
      </c>
      <c r="Z64" s="136" t="s">
        <v>557</v>
      </c>
      <c r="AA64" s="137" t="s">
        <v>557</v>
      </c>
      <c r="AB64" s="135"/>
      <c r="AC64" s="135">
        <f>AC$3</f>
        <v>46181</v>
      </c>
      <c r="AD64" s="136" t="s">
        <v>557</v>
      </c>
      <c r="AE64" s="137" t="s">
        <v>557</v>
      </c>
      <c r="AF64" s="135">
        <f>AF$3</f>
        <v>46182</v>
      </c>
      <c r="AG64" s="136" t="s">
        <v>557</v>
      </c>
      <c r="AH64" s="137" t="s">
        <v>557</v>
      </c>
      <c r="AI64" s="135">
        <f>AI$3</f>
        <v>46183</v>
      </c>
      <c r="AJ64" s="136" t="s">
        <v>557</v>
      </c>
      <c r="AK64" s="137" t="s">
        <v>557</v>
      </c>
      <c r="AL64" s="135">
        <f>AL$3</f>
        <v>46184</v>
      </c>
      <c r="AM64" s="136" t="s">
        <v>557</v>
      </c>
      <c r="AN64" s="137" t="s">
        <v>557</v>
      </c>
      <c r="AO64" s="135">
        <f>AO$3</f>
        <v>46185</v>
      </c>
      <c r="AP64" s="136" t="s">
        <v>557</v>
      </c>
      <c r="AQ64" s="137" t="s">
        <v>557</v>
      </c>
      <c r="AR64" s="135">
        <f>AR$3</f>
        <v>46186</v>
      </c>
      <c r="AS64" s="136" t="s">
        <v>557</v>
      </c>
      <c r="AT64" s="137" t="s">
        <v>557</v>
      </c>
      <c r="AU64" s="12"/>
    </row>
    <row r="65" spans="1:47">
      <c r="A65" s="122" t="str">
        <f>$A$48</f>
        <v>Nguyễn Văn Hải</v>
      </c>
      <c r="B65" s="28"/>
      <c r="C65" s="81" t="str">
        <f>IF($B65="","",INDEX('All Bảng'!C:C,MATCH($B65,'All Bảng'!$A:$A,0)))</f>
        <v/>
      </c>
      <c r="D65" s="81" t="str">
        <f>IF($B65="","",INDEX('All Bảng'!D:D,MATCH($B65,'All Bảng'!$A:$A,0)))</f>
        <v/>
      </c>
      <c r="E65" s="81" t="str">
        <f>IF($B65="","",INDEX('All Bảng'!E:E,MATCH($B65,'All Bảng'!$A:$A,0)))</f>
        <v/>
      </c>
      <c r="F65" s="81" t="str">
        <f>IF($B65="","",INDEX('All Bảng'!F:F,MATCH($B65,'All Bảng'!$A:$A,0)))</f>
        <v/>
      </c>
      <c r="G65" s="81" t="str">
        <f>IF($B65="","",INDEX('All Bảng'!G:G,MATCH($B65,'All Bảng'!$A:$A,0)))</f>
        <v/>
      </c>
      <c r="H65" s="121"/>
      <c r="I65" s="135"/>
      <c r="J65" s="135">
        <f>J$3</f>
        <v>46174</v>
      </c>
      <c r="K65" s="136" t="s">
        <v>557</v>
      </c>
      <c r="L65" s="137" t="s">
        <v>557</v>
      </c>
      <c r="M65" s="135">
        <f>M$3</f>
        <v>46175</v>
      </c>
      <c r="N65" s="136" t="s">
        <v>557</v>
      </c>
      <c r="O65" s="137" t="s">
        <v>557</v>
      </c>
      <c r="P65" s="135">
        <f>P$3</f>
        <v>46176</v>
      </c>
      <c r="Q65" s="136" t="s">
        <v>557</v>
      </c>
      <c r="R65" s="137" t="s">
        <v>557</v>
      </c>
      <c r="S65" s="135">
        <f>S$3</f>
        <v>46177</v>
      </c>
      <c r="T65" s="136" t="s">
        <v>557</v>
      </c>
      <c r="U65" s="137" t="s">
        <v>557</v>
      </c>
      <c r="V65" s="135">
        <f>V$3</f>
        <v>46178</v>
      </c>
      <c r="W65" s="136" t="s">
        <v>557</v>
      </c>
      <c r="X65" s="137" t="s">
        <v>557</v>
      </c>
      <c r="Y65" s="135">
        <f>Y$3</f>
        <v>46179</v>
      </c>
      <c r="Z65" s="136" t="s">
        <v>557</v>
      </c>
      <c r="AA65" s="137" t="s">
        <v>557</v>
      </c>
      <c r="AB65" s="135"/>
      <c r="AC65" s="135">
        <f>AC$3</f>
        <v>46181</v>
      </c>
      <c r="AD65" s="136" t="s">
        <v>557</v>
      </c>
      <c r="AE65" s="137" t="s">
        <v>557</v>
      </c>
      <c r="AF65" s="135">
        <f>AF$3</f>
        <v>46182</v>
      </c>
      <c r="AG65" s="136" t="s">
        <v>557</v>
      </c>
      <c r="AH65" s="137" t="s">
        <v>557</v>
      </c>
      <c r="AI65" s="135">
        <f>AI$3</f>
        <v>46183</v>
      </c>
      <c r="AJ65" s="136" t="s">
        <v>557</v>
      </c>
      <c r="AK65" s="137" t="s">
        <v>557</v>
      </c>
      <c r="AL65" s="135">
        <f>AL$3</f>
        <v>46184</v>
      </c>
      <c r="AM65" s="136" t="s">
        <v>557</v>
      </c>
      <c r="AN65" s="137" t="s">
        <v>557</v>
      </c>
      <c r="AO65" s="135">
        <f>AO$3</f>
        <v>46185</v>
      </c>
      <c r="AP65" s="136" t="s">
        <v>557</v>
      </c>
      <c r="AQ65" s="137" t="s">
        <v>557</v>
      </c>
      <c r="AR65" s="135">
        <f>AR$3</f>
        <v>46186</v>
      </c>
      <c r="AS65" s="136" t="s">
        <v>557</v>
      </c>
      <c r="AT65" s="137" t="s">
        <v>557</v>
      </c>
      <c r="AU65" s="12"/>
    </row>
    <row r="66" spans="1:47">
      <c r="A66" s="122" t="str">
        <f>$A$48</f>
        <v>Nguyễn Văn Hải</v>
      </c>
      <c r="B66" s="28"/>
      <c r="C66" s="81" t="str">
        <f>IF($B66="","",INDEX('All Bảng'!C:C,MATCH($B66,'All Bảng'!$A:$A,0)))</f>
        <v/>
      </c>
      <c r="D66" s="81" t="str">
        <f>IF($B66="","",INDEX('All Bảng'!D:D,MATCH($B66,'All Bảng'!$A:$A,0)))</f>
        <v/>
      </c>
      <c r="E66" s="81" t="str">
        <f>IF($B66="","",INDEX('All Bảng'!E:E,MATCH($B66,'All Bảng'!$A:$A,0)))</f>
        <v/>
      </c>
      <c r="F66" s="81" t="str">
        <f>IF($B66="","",INDEX('All Bảng'!F:F,MATCH($B66,'All Bảng'!$A:$A,0)))</f>
        <v/>
      </c>
      <c r="G66" s="81" t="str">
        <f>IF($B66="","",INDEX('All Bảng'!G:G,MATCH($B66,'All Bảng'!$A:$A,0)))</f>
        <v/>
      </c>
      <c r="H66" s="121"/>
      <c r="I66" s="135"/>
      <c r="J66" s="135">
        <f>J$3</f>
        <v>46174</v>
      </c>
      <c r="K66" s="136" t="s">
        <v>557</v>
      </c>
      <c r="L66" s="137" t="s">
        <v>557</v>
      </c>
      <c r="M66" s="135">
        <f>M$3</f>
        <v>46175</v>
      </c>
      <c r="N66" s="136" t="s">
        <v>557</v>
      </c>
      <c r="O66" s="137" t="s">
        <v>557</v>
      </c>
      <c r="P66" s="135">
        <f>P$3</f>
        <v>46176</v>
      </c>
      <c r="Q66" s="136" t="s">
        <v>557</v>
      </c>
      <c r="R66" s="137" t="s">
        <v>557</v>
      </c>
      <c r="S66" s="135">
        <f>S$3</f>
        <v>46177</v>
      </c>
      <c r="T66" s="136" t="s">
        <v>557</v>
      </c>
      <c r="U66" s="137" t="s">
        <v>557</v>
      </c>
      <c r="V66" s="135">
        <f>V$3</f>
        <v>46178</v>
      </c>
      <c r="W66" s="136" t="s">
        <v>557</v>
      </c>
      <c r="X66" s="137" t="s">
        <v>557</v>
      </c>
      <c r="Y66" s="135">
        <f>Y$3</f>
        <v>46179</v>
      </c>
      <c r="Z66" s="136" t="s">
        <v>557</v>
      </c>
      <c r="AA66" s="137" t="s">
        <v>557</v>
      </c>
      <c r="AB66" s="135"/>
      <c r="AC66" s="135">
        <f>AC$3</f>
        <v>46181</v>
      </c>
      <c r="AD66" s="136" t="s">
        <v>557</v>
      </c>
      <c r="AE66" s="137" t="s">
        <v>557</v>
      </c>
      <c r="AF66" s="135">
        <f>AF$3</f>
        <v>46182</v>
      </c>
      <c r="AG66" s="136" t="s">
        <v>557</v>
      </c>
      <c r="AH66" s="137" t="s">
        <v>557</v>
      </c>
      <c r="AI66" s="135">
        <f>AI$3</f>
        <v>46183</v>
      </c>
      <c r="AJ66" s="136" t="s">
        <v>557</v>
      </c>
      <c r="AK66" s="137" t="s">
        <v>557</v>
      </c>
      <c r="AL66" s="135">
        <f>AL$3</f>
        <v>46184</v>
      </c>
      <c r="AM66" s="136" t="s">
        <v>557</v>
      </c>
      <c r="AN66" s="137" t="s">
        <v>557</v>
      </c>
      <c r="AO66" s="135">
        <f>AO$3</f>
        <v>46185</v>
      </c>
      <c r="AP66" s="136" t="s">
        <v>557</v>
      </c>
      <c r="AQ66" s="137" t="s">
        <v>557</v>
      </c>
      <c r="AR66" s="135">
        <f>AR$3</f>
        <v>46186</v>
      </c>
      <c r="AS66" s="136" t="s">
        <v>557</v>
      </c>
      <c r="AT66" s="137" t="s">
        <v>557</v>
      </c>
      <c r="AU66" s="12"/>
    </row>
    <row r="67" spans="1:47">
      <c r="A67" s="122" t="str">
        <f>$A$48</f>
        <v>Nguyễn Văn Hải</v>
      </c>
      <c r="B67" s="28"/>
      <c r="C67" s="81" t="str">
        <f>IF($B67="","",INDEX('All Bảng'!C:C,MATCH($B67,'All Bảng'!$A:$A,0)))</f>
        <v/>
      </c>
      <c r="D67" s="81" t="str">
        <f>IF($B67="","",INDEX('All Bảng'!D:D,MATCH($B67,'All Bảng'!$A:$A,0)))</f>
        <v/>
      </c>
      <c r="E67" s="81" t="str">
        <f>IF($B67="","",INDEX('All Bảng'!E:E,MATCH($B67,'All Bảng'!$A:$A,0)))</f>
        <v/>
      </c>
      <c r="F67" s="81" t="str">
        <f>IF($B67="","",INDEX('All Bảng'!F:F,MATCH($B67,'All Bảng'!$A:$A,0)))</f>
        <v/>
      </c>
      <c r="G67" s="81" t="str">
        <f>IF($B67="","",INDEX('All Bảng'!G:G,MATCH($B67,'All Bảng'!$A:$A,0)))</f>
        <v/>
      </c>
      <c r="H67" s="121"/>
      <c r="I67" s="135"/>
      <c r="J67" s="135">
        <f>J$3</f>
        <v>46174</v>
      </c>
      <c r="K67" s="136" t="s">
        <v>557</v>
      </c>
      <c r="L67" s="137" t="s">
        <v>557</v>
      </c>
      <c r="M67" s="135">
        <f>M$3</f>
        <v>46175</v>
      </c>
      <c r="N67" s="136" t="s">
        <v>557</v>
      </c>
      <c r="O67" s="137" t="s">
        <v>557</v>
      </c>
      <c r="P67" s="135">
        <f>P$3</f>
        <v>46176</v>
      </c>
      <c r="Q67" s="136" t="s">
        <v>557</v>
      </c>
      <c r="R67" s="137" t="s">
        <v>557</v>
      </c>
      <c r="S67" s="135">
        <f>S$3</f>
        <v>46177</v>
      </c>
      <c r="T67" s="136" t="s">
        <v>557</v>
      </c>
      <c r="U67" s="137" t="s">
        <v>557</v>
      </c>
      <c r="V67" s="135">
        <f>V$3</f>
        <v>46178</v>
      </c>
      <c r="W67" s="136" t="s">
        <v>557</v>
      </c>
      <c r="X67" s="137" t="s">
        <v>557</v>
      </c>
      <c r="Y67" s="135">
        <f>Y$3</f>
        <v>46179</v>
      </c>
      <c r="Z67" s="136" t="s">
        <v>557</v>
      </c>
      <c r="AA67" s="137" t="s">
        <v>557</v>
      </c>
      <c r="AB67" s="135"/>
      <c r="AC67" s="135">
        <f>AC$3</f>
        <v>46181</v>
      </c>
      <c r="AD67" s="136" t="s">
        <v>557</v>
      </c>
      <c r="AE67" s="137" t="s">
        <v>557</v>
      </c>
      <c r="AF67" s="135">
        <f>AF$3</f>
        <v>46182</v>
      </c>
      <c r="AG67" s="136" t="s">
        <v>557</v>
      </c>
      <c r="AH67" s="137" t="s">
        <v>557</v>
      </c>
      <c r="AI67" s="135">
        <f>AI$3</f>
        <v>46183</v>
      </c>
      <c r="AJ67" s="136" t="s">
        <v>557</v>
      </c>
      <c r="AK67" s="137" t="s">
        <v>557</v>
      </c>
      <c r="AL67" s="135">
        <f>AL$3</f>
        <v>46184</v>
      </c>
      <c r="AM67" s="136" t="s">
        <v>557</v>
      </c>
      <c r="AN67" s="137" t="s">
        <v>557</v>
      </c>
      <c r="AO67" s="135">
        <f>AO$3</f>
        <v>46185</v>
      </c>
      <c r="AP67" s="136" t="s">
        <v>557</v>
      </c>
      <c r="AQ67" s="137" t="s">
        <v>557</v>
      </c>
      <c r="AR67" s="135">
        <f>AR$3</f>
        <v>46186</v>
      </c>
      <c r="AS67" s="136" t="s">
        <v>557</v>
      </c>
      <c r="AT67" s="137" t="s">
        <v>557</v>
      </c>
      <c r="AU67" s="12"/>
    </row>
    <row r="68" spans="1:47">
      <c r="A68" s="122" t="str">
        <f>$A$48</f>
        <v>Nguyễn Văn Hải</v>
      </c>
      <c r="B68" s="28"/>
      <c r="C68" s="81" t="str">
        <f>IF($B68="","",INDEX('All Bảng'!C:C,MATCH($B68,'All Bảng'!$A:$A,0)))</f>
        <v/>
      </c>
      <c r="D68" s="81" t="str">
        <f>IF($B68="","",INDEX('All Bảng'!D:D,MATCH($B68,'All Bảng'!$A:$A,0)))</f>
        <v/>
      </c>
      <c r="E68" s="81" t="str">
        <f>IF($B68="","",INDEX('All Bảng'!E:E,MATCH($B68,'All Bảng'!$A:$A,0)))</f>
        <v/>
      </c>
      <c r="F68" s="81" t="str">
        <f>IF($B68="","",INDEX('All Bảng'!F:F,MATCH($B68,'All Bảng'!$A:$A,0)))</f>
        <v/>
      </c>
      <c r="G68" s="81" t="str">
        <f>IF($B68="","",INDEX('All Bảng'!G:G,MATCH($B68,'All Bảng'!$A:$A,0)))</f>
        <v/>
      </c>
      <c r="H68" s="121"/>
      <c r="I68" s="135"/>
      <c r="J68" s="135">
        <f>J$3</f>
        <v>46174</v>
      </c>
      <c r="K68" s="136" t="s">
        <v>557</v>
      </c>
      <c r="L68" s="137" t="s">
        <v>557</v>
      </c>
      <c r="M68" s="135">
        <f>M$3</f>
        <v>46175</v>
      </c>
      <c r="N68" s="136" t="s">
        <v>557</v>
      </c>
      <c r="O68" s="137" t="s">
        <v>557</v>
      </c>
      <c r="P68" s="135">
        <f>P$3</f>
        <v>46176</v>
      </c>
      <c r="Q68" s="136" t="s">
        <v>557</v>
      </c>
      <c r="R68" s="137" t="s">
        <v>557</v>
      </c>
      <c r="S68" s="135">
        <f>S$3</f>
        <v>46177</v>
      </c>
      <c r="T68" s="136" t="s">
        <v>557</v>
      </c>
      <c r="U68" s="137" t="s">
        <v>557</v>
      </c>
      <c r="V68" s="135">
        <f>V$3</f>
        <v>46178</v>
      </c>
      <c r="W68" s="136" t="s">
        <v>557</v>
      </c>
      <c r="X68" s="137" t="s">
        <v>557</v>
      </c>
      <c r="Y68" s="135">
        <f>Y$3</f>
        <v>46179</v>
      </c>
      <c r="Z68" s="136" t="s">
        <v>557</v>
      </c>
      <c r="AA68" s="137" t="s">
        <v>557</v>
      </c>
      <c r="AB68" s="135"/>
      <c r="AC68" s="135">
        <f>AC$3</f>
        <v>46181</v>
      </c>
      <c r="AD68" s="136" t="s">
        <v>557</v>
      </c>
      <c r="AE68" s="137" t="s">
        <v>557</v>
      </c>
      <c r="AF68" s="135">
        <f>AF$3</f>
        <v>46182</v>
      </c>
      <c r="AG68" s="136" t="s">
        <v>557</v>
      </c>
      <c r="AH68" s="137" t="s">
        <v>557</v>
      </c>
      <c r="AI68" s="135">
        <f>AI$3</f>
        <v>46183</v>
      </c>
      <c r="AJ68" s="136" t="s">
        <v>557</v>
      </c>
      <c r="AK68" s="137" t="s">
        <v>557</v>
      </c>
      <c r="AL68" s="135">
        <f>AL$3</f>
        <v>46184</v>
      </c>
      <c r="AM68" s="136" t="s">
        <v>557</v>
      </c>
      <c r="AN68" s="137" t="s">
        <v>557</v>
      </c>
      <c r="AO68" s="135">
        <f>AO$3</f>
        <v>46185</v>
      </c>
      <c r="AP68" s="136" t="s">
        <v>557</v>
      </c>
      <c r="AQ68" s="137" t="s">
        <v>557</v>
      </c>
      <c r="AR68" s="135">
        <f>AR$3</f>
        <v>46186</v>
      </c>
      <c r="AS68" s="136" t="s">
        <v>557</v>
      </c>
      <c r="AT68" s="137" t="s">
        <v>557</v>
      </c>
      <c r="AU68" s="12"/>
    </row>
    <row r="69" spans="1:47">
      <c r="A69" s="122" t="str">
        <f>$A$48</f>
        <v>Nguyễn Văn Hải</v>
      </c>
      <c r="B69" s="28"/>
      <c r="C69" s="81" t="str">
        <f>IF($B69="","",INDEX('All Bảng'!C:C,MATCH($B69,'All Bảng'!$A:$A,0)))</f>
        <v/>
      </c>
      <c r="D69" s="81" t="str">
        <f>IF($B69="","",INDEX('All Bảng'!D:D,MATCH($B69,'All Bảng'!$A:$A,0)))</f>
        <v/>
      </c>
      <c r="E69" s="81" t="str">
        <f>IF($B69="","",INDEX('All Bảng'!E:E,MATCH($B69,'All Bảng'!$A:$A,0)))</f>
        <v/>
      </c>
      <c r="F69" s="81" t="str">
        <f>IF($B69="","",INDEX('All Bảng'!F:F,MATCH($B69,'All Bảng'!$A:$A,0)))</f>
        <v/>
      </c>
      <c r="G69" s="81" t="str">
        <f>IF($B69="","",INDEX('All Bảng'!G:G,MATCH($B69,'All Bảng'!$A:$A,0)))</f>
        <v/>
      </c>
      <c r="H69" s="121"/>
      <c r="I69" s="135"/>
      <c r="J69" s="135">
        <f>J$3</f>
        <v>46174</v>
      </c>
      <c r="K69" s="136" t="s">
        <v>557</v>
      </c>
      <c r="L69" s="137" t="s">
        <v>557</v>
      </c>
      <c r="M69" s="135">
        <f>M$3</f>
        <v>46175</v>
      </c>
      <c r="N69" s="136" t="s">
        <v>557</v>
      </c>
      <c r="O69" s="137" t="s">
        <v>557</v>
      </c>
      <c r="P69" s="135">
        <f>P$3</f>
        <v>46176</v>
      </c>
      <c r="Q69" s="136" t="s">
        <v>557</v>
      </c>
      <c r="R69" s="137" t="s">
        <v>557</v>
      </c>
      <c r="S69" s="135">
        <f>S$3</f>
        <v>46177</v>
      </c>
      <c r="T69" s="136" t="s">
        <v>557</v>
      </c>
      <c r="U69" s="137" t="s">
        <v>557</v>
      </c>
      <c r="V69" s="135">
        <f>V$3</f>
        <v>46178</v>
      </c>
      <c r="W69" s="136" t="s">
        <v>557</v>
      </c>
      <c r="X69" s="137" t="s">
        <v>557</v>
      </c>
      <c r="Y69" s="135">
        <f>Y$3</f>
        <v>46179</v>
      </c>
      <c r="Z69" s="136" t="s">
        <v>557</v>
      </c>
      <c r="AA69" s="137" t="s">
        <v>557</v>
      </c>
      <c r="AB69" s="135"/>
      <c r="AC69" s="135">
        <f>AC$3</f>
        <v>46181</v>
      </c>
      <c r="AD69" s="136" t="s">
        <v>557</v>
      </c>
      <c r="AE69" s="137" t="s">
        <v>557</v>
      </c>
      <c r="AF69" s="135">
        <f>AF$3</f>
        <v>46182</v>
      </c>
      <c r="AG69" s="136" t="s">
        <v>557</v>
      </c>
      <c r="AH69" s="137" t="s">
        <v>557</v>
      </c>
      <c r="AI69" s="135">
        <f>AI$3</f>
        <v>46183</v>
      </c>
      <c r="AJ69" s="136" t="s">
        <v>557</v>
      </c>
      <c r="AK69" s="137" t="s">
        <v>557</v>
      </c>
      <c r="AL69" s="135">
        <f>AL$3</f>
        <v>46184</v>
      </c>
      <c r="AM69" s="136" t="s">
        <v>557</v>
      </c>
      <c r="AN69" s="137" t="s">
        <v>557</v>
      </c>
      <c r="AO69" s="135">
        <f>AO$3</f>
        <v>46185</v>
      </c>
      <c r="AP69" s="136" t="s">
        <v>557</v>
      </c>
      <c r="AQ69" s="137" t="s">
        <v>557</v>
      </c>
      <c r="AR69" s="135">
        <f>AR$3</f>
        <v>46186</v>
      </c>
      <c r="AS69" s="136" t="s">
        <v>557</v>
      </c>
      <c r="AT69" s="137" t="s">
        <v>557</v>
      </c>
      <c r="AU69" s="12"/>
    </row>
    <row r="70" spans="1:47">
      <c r="A70" s="122" t="str">
        <f>$A$48</f>
        <v>Nguyễn Văn Hải</v>
      </c>
      <c r="B70" s="28"/>
      <c r="C70" s="81" t="str">
        <f>IF($B70="","",INDEX('All Bảng'!C:C,MATCH($B70,'All Bảng'!$A:$A,0)))</f>
        <v/>
      </c>
      <c r="D70" s="81" t="str">
        <f>IF($B70="","",INDEX('All Bảng'!D:D,MATCH($B70,'All Bảng'!$A:$A,0)))</f>
        <v/>
      </c>
      <c r="E70" s="81" t="str">
        <f>IF($B70="","",INDEX('All Bảng'!E:E,MATCH($B70,'All Bảng'!$A:$A,0)))</f>
        <v/>
      </c>
      <c r="F70" s="81" t="str">
        <f>IF($B70="","",INDEX('All Bảng'!F:F,MATCH($B70,'All Bảng'!$A:$A,0)))</f>
        <v/>
      </c>
      <c r="G70" s="81" t="str">
        <f>IF($B70="","",INDEX('All Bảng'!G:G,MATCH($B70,'All Bảng'!$A:$A,0)))</f>
        <v/>
      </c>
      <c r="H70" s="121"/>
      <c r="I70" s="135"/>
      <c r="J70" s="135">
        <f>J$3</f>
        <v>46174</v>
      </c>
      <c r="K70" s="136" t="s">
        <v>557</v>
      </c>
      <c r="L70" s="137" t="s">
        <v>557</v>
      </c>
      <c r="M70" s="135">
        <f>M$3</f>
        <v>46175</v>
      </c>
      <c r="N70" s="136" t="s">
        <v>557</v>
      </c>
      <c r="O70" s="137" t="s">
        <v>557</v>
      </c>
      <c r="P70" s="135">
        <f>P$3</f>
        <v>46176</v>
      </c>
      <c r="Q70" s="136" t="s">
        <v>557</v>
      </c>
      <c r="R70" s="137" t="s">
        <v>557</v>
      </c>
      <c r="S70" s="135">
        <f>S$3</f>
        <v>46177</v>
      </c>
      <c r="T70" s="136" t="s">
        <v>557</v>
      </c>
      <c r="U70" s="137" t="s">
        <v>557</v>
      </c>
      <c r="V70" s="135">
        <f>V$3</f>
        <v>46178</v>
      </c>
      <c r="W70" s="136" t="s">
        <v>557</v>
      </c>
      <c r="X70" s="137" t="s">
        <v>557</v>
      </c>
      <c r="Y70" s="135">
        <f>Y$3</f>
        <v>46179</v>
      </c>
      <c r="Z70" s="136" t="s">
        <v>557</v>
      </c>
      <c r="AA70" s="137" t="s">
        <v>557</v>
      </c>
      <c r="AB70" s="135"/>
      <c r="AC70" s="135">
        <f>AC$3</f>
        <v>46181</v>
      </c>
      <c r="AD70" s="136" t="s">
        <v>557</v>
      </c>
      <c r="AE70" s="137" t="s">
        <v>557</v>
      </c>
      <c r="AF70" s="135">
        <f>AF$3</f>
        <v>46182</v>
      </c>
      <c r="AG70" s="136" t="s">
        <v>557</v>
      </c>
      <c r="AH70" s="137" t="s">
        <v>557</v>
      </c>
      <c r="AI70" s="135">
        <f>AI$3</f>
        <v>46183</v>
      </c>
      <c r="AJ70" s="136" t="s">
        <v>557</v>
      </c>
      <c r="AK70" s="137" t="s">
        <v>557</v>
      </c>
      <c r="AL70" s="135">
        <f>AL$3</f>
        <v>46184</v>
      </c>
      <c r="AM70" s="136" t="s">
        <v>557</v>
      </c>
      <c r="AN70" s="137" t="s">
        <v>557</v>
      </c>
      <c r="AO70" s="135">
        <f>AO$3</f>
        <v>46185</v>
      </c>
      <c r="AP70" s="136" t="s">
        <v>557</v>
      </c>
      <c r="AQ70" s="137" t="s">
        <v>557</v>
      </c>
      <c r="AR70" s="135">
        <f>AR$3</f>
        <v>46186</v>
      </c>
      <c r="AS70" s="136" t="s">
        <v>557</v>
      </c>
      <c r="AT70" s="137" t="s">
        <v>557</v>
      </c>
      <c r="AU70" s="12"/>
    </row>
    <row r="71" spans="1:47">
      <c r="A71" s="122" t="str">
        <f>$A$48</f>
        <v>Nguyễn Văn Hải</v>
      </c>
      <c r="B71" s="28"/>
      <c r="C71" s="81" t="str">
        <f>IF($B71="","",INDEX('All Bảng'!C:C,MATCH($B71,'All Bảng'!$A:$A,0)))</f>
        <v/>
      </c>
      <c r="D71" s="81" t="str">
        <f>IF($B71="","",INDEX('All Bảng'!D:D,MATCH($B71,'All Bảng'!$A:$A,0)))</f>
        <v/>
      </c>
      <c r="E71" s="81" t="str">
        <f>IF($B71="","",INDEX('All Bảng'!E:E,MATCH($B71,'All Bảng'!$A:$A,0)))</f>
        <v/>
      </c>
      <c r="F71" s="81" t="str">
        <f>IF($B71="","",INDEX('All Bảng'!F:F,MATCH($B71,'All Bảng'!$A:$A,0)))</f>
        <v/>
      </c>
      <c r="G71" s="81" t="str">
        <f>IF($B71="","",INDEX('All Bảng'!G:G,MATCH($B71,'All Bảng'!$A:$A,0)))</f>
        <v/>
      </c>
      <c r="H71" s="121"/>
      <c r="I71" s="135"/>
      <c r="J71" s="135">
        <f>J$3</f>
        <v>46174</v>
      </c>
      <c r="K71" s="136" t="s">
        <v>557</v>
      </c>
      <c r="L71" s="137" t="s">
        <v>557</v>
      </c>
      <c r="M71" s="135">
        <f>M$3</f>
        <v>46175</v>
      </c>
      <c r="N71" s="136" t="s">
        <v>557</v>
      </c>
      <c r="O71" s="137" t="s">
        <v>557</v>
      </c>
      <c r="P71" s="135">
        <f>P$3</f>
        <v>46176</v>
      </c>
      <c r="Q71" s="136" t="s">
        <v>557</v>
      </c>
      <c r="R71" s="137" t="s">
        <v>557</v>
      </c>
      <c r="S71" s="135">
        <f>S$3</f>
        <v>46177</v>
      </c>
      <c r="T71" s="136" t="s">
        <v>557</v>
      </c>
      <c r="U71" s="137" t="s">
        <v>557</v>
      </c>
      <c r="V71" s="135">
        <f>V$3</f>
        <v>46178</v>
      </c>
      <c r="W71" s="136" t="s">
        <v>557</v>
      </c>
      <c r="X71" s="137" t="s">
        <v>557</v>
      </c>
      <c r="Y71" s="135">
        <f>Y$3</f>
        <v>46179</v>
      </c>
      <c r="Z71" s="136" t="s">
        <v>557</v>
      </c>
      <c r="AA71" s="137" t="s">
        <v>557</v>
      </c>
      <c r="AB71" s="135"/>
      <c r="AC71" s="135">
        <f>AC$3</f>
        <v>46181</v>
      </c>
      <c r="AD71" s="136" t="s">
        <v>557</v>
      </c>
      <c r="AE71" s="137" t="s">
        <v>557</v>
      </c>
      <c r="AF71" s="135">
        <f>AF$3</f>
        <v>46182</v>
      </c>
      <c r="AG71" s="136" t="s">
        <v>557</v>
      </c>
      <c r="AH71" s="137" t="s">
        <v>557</v>
      </c>
      <c r="AI71" s="135">
        <f>AI$3</f>
        <v>46183</v>
      </c>
      <c r="AJ71" s="136" t="s">
        <v>557</v>
      </c>
      <c r="AK71" s="137" t="s">
        <v>557</v>
      </c>
      <c r="AL71" s="135">
        <f>AL$3</f>
        <v>46184</v>
      </c>
      <c r="AM71" s="136" t="s">
        <v>557</v>
      </c>
      <c r="AN71" s="137" t="s">
        <v>557</v>
      </c>
      <c r="AO71" s="135">
        <f>AO$3</f>
        <v>46185</v>
      </c>
      <c r="AP71" s="136" t="s">
        <v>557</v>
      </c>
      <c r="AQ71" s="137" t="s">
        <v>557</v>
      </c>
      <c r="AR71" s="135">
        <f>AR$3</f>
        <v>46186</v>
      </c>
      <c r="AS71" s="136" t="s">
        <v>557</v>
      </c>
      <c r="AT71" s="137" t="s">
        <v>557</v>
      </c>
      <c r="AU71" s="12"/>
    </row>
    <row r="72" spans="1:47">
      <c r="A72" s="122" t="str">
        <f>$A$48</f>
        <v>Nguyễn Văn Hải</v>
      </c>
      <c r="B72" s="28"/>
      <c r="C72" s="81" t="str">
        <f>IF($B72="","",INDEX('All Bảng'!C:C,MATCH($B72,'All Bảng'!$A:$A,0)))</f>
        <v/>
      </c>
      <c r="D72" s="81" t="str">
        <f>IF($B72="","",INDEX('All Bảng'!D:D,MATCH($B72,'All Bảng'!$A:$A,0)))</f>
        <v/>
      </c>
      <c r="E72" s="81" t="str">
        <f>IF($B72="","",INDEX('All Bảng'!E:E,MATCH($B72,'All Bảng'!$A:$A,0)))</f>
        <v/>
      </c>
      <c r="F72" s="81" t="str">
        <f>IF($B72="","",INDEX('All Bảng'!F:F,MATCH($B72,'All Bảng'!$A:$A,0)))</f>
        <v/>
      </c>
      <c r="G72" s="81" t="str">
        <f>IF($B72="","",INDEX('All Bảng'!G:G,MATCH($B72,'All Bảng'!$A:$A,0)))</f>
        <v/>
      </c>
      <c r="H72" s="121"/>
      <c r="I72" s="135"/>
      <c r="J72" s="135">
        <f>J$3</f>
        <v>46174</v>
      </c>
      <c r="K72" s="136" t="s">
        <v>557</v>
      </c>
      <c r="L72" s="137" t="s">
        <v>557</v>
      </c>
      <c r="M72" s="135">
        <f>M$3</f>
        <v>46175</v>
      </c>
      <c r="N72" s="136" t="s">
        <v>557</v>
      </c>
      <c r="O72" s="137" t="s">
        <v>557</v>
      </c>
      <c r="P72" s="135">
        <f>P$3</f>
        <v>46176</v>
      </c>
      <c r="Q72" s="136" t="s">
        <v>557</v>
      </c>
      <c r="R72" s="137" t="s">
        <v>557</v>
      </c>
      <c r="S72" s="135">
        <f>S$3</f>
        <v>46177</v>
      </c>
      <c r="T72" s="136" t="s">
        <v>557</v>
      </c>
      <c r="U72" s="137" t="s">
        <v>557</v>
      </c>
      <c r="V72" s="135">
        <f>V$3</f>
        <v>46178</v>
      </c>
      <c r="W72" s="136" t="s">
        <v>557</v>
      </c>
      <c r="X72" s="137" t="s">
        <v>557</v>
      </c>
      <c r="Y72" s="135">
        <f>Y$3</f>
        <v>46179</v>
      </c>
      <c r="Z72" s="136" t="s">
        <v>557</v>
      </c>
      <c r="AA72" s="137" t="s">
        <v>557</v>
      </c>
      <c r="AB72" s="135"/>
      <c r="AC72" s="135">
        <f>AC$3</f>
        <v>46181</v>
      </c>
      <c r="AD72" s="136" t="s">
        <v>557</v>
      </c>
      <c r="AE72" s="137" t="s">
        <v>557</v>
      </c>
      <c r="AF72" s="135">
        <f>AF$3</f>
        <v>46182</v>
      </c>
      <c r="AG72" s="136" t="s">
        <v>557</v>
      </c>
      <c r="AH72" s="137" t="s">
        <v>557</v>
      </c>
      <c r="AI72" s="135">
        <f>AI$3</f>
        <v>46183</v>
      </c>
      <c r="AJ72" s="136" t="s">
        <v>557</v>
      </c>
      <c r="AK72" s="137" t="s">
        <v>557</v>
      </c>
      <c r="AL72" s="135">
        <f>AL$3</f>
        <v>46184</v>
      </c>
      <c r="AM72" s="136" t="s">
        <v>557</v>
      </c>
      <c r="AN72" s="137" t="s">
        <v>557</v>
      </c>
      <c r="AO72" s="135">
        <f>AO$3</f>
        <v>46185</v>
      </c>
      <c r="AP72" s="136" t="s">
        <v>557</v>
      </c>
      <c r="AQ72" s="137" t="s">
        <v>557</v>
      </c>
      <c r="AR72" s="135">
        <f>AR$3</f>
        <v>46186</v>
      </c>
      <c r="AS72" s="136" t="s">
        <v>557</v>
      </c>
      <c r="AT72" s="137" t="s">
        <v>557</v>
      </c>
      <c r="AU72" s="12"/>
    </row>
    <row r="73" spans="1:47">
      <c r="A73" s="36" t="s">
        <v>220</v>
      </c>
      <c r="B73" s="28"/>
      <c r="C73" s="81" t="str">
        <f>IF($B73="","",INDEX('All Bảng'!C:C,MATCH($B73,'All Bảng'!$A:$A,0)))</f>
        <v/>
      </c>
      <c r="D73" s="81" t="str">
        <f>IF($B73="","",INDEX('All Bảng'!D:D,MATCH($B73,'All Bảng'!$A:$A,0)))</f>
        <v/>
      </c>
      <c r="E73" s="81" t="str">
        <f>IF($B73="","",INDEX('All Bảng'!E:E,MATCH($B73,'All Bảng'!$A:$A,0)))</f>
        <v/>
      </c>
      <c r="F73" s="81" t="str">
        <f>IF($B73="","",INDEX('All Bảng'!F:F,MATCH($B73,'All Bảng'!$A:$A,0)))</f>
        <v/>
      </c>
      <c r="G73" s="81" t="str">
        <f>IF($B73="","",INDEX('All Bảng'!G:G,MATCH($B73,'All Bảng'!$A:$A,0)))</f>
        <v/>
      </c>
      <c r="H73" s="121"/>
      <c r="I73" s="138"/>
      <c r="J73" s="138">
        <f>J$3</f>
        <v>46174</v>
      </c>
      <c r="K73" s="132" t="s">
        <v>557</v>
      </c>
      <c r="L73" s="133">
        <f>SUM(L74:L87)</f>
        <v>8</v>
      </c>
      <c r="M73" s="138">
        <f>M$3</f>
        <v>46175</v>
      </c>
      <c r="N73" s="132" t="s">
        <v>557</v>
      </c>
      <c r="O73" s="133">
        <f>SUM(O74:O87)</f>
        <v>4</v>
      </c>
      <c r="P73" s="138">
        <f>P$3</f>
        <v>46176</v>
      </c>
      <c r="Q73" s="132" t="s">
        <v>557</v>
      </c>
      <c r="R73" s="133">
        <f>SUM(R74:R78)</f>
        <v>8</v>
      </c>
      <c r="S73" s="138">
        <f>S$3</f>
        <v>46177</v>
      </c>
      <c r="T73" s="132" t="s">
        <v>557</v>
      </c>
      <c r="U73" s="133">
        <f>SUM(U74:U87)</f>
        <v>8</v>
      </c>
      <c r="V73" s="138">
        <f>V$3</f>
        <v>46178</v>
      </c>
      <c r="W73" s="132" t="s">
        <v>557</v>
      </c>
      <c r="X73" s="133">
        <f>SUM(X74:X78)</f>
        <v>0</v>
      </c>
      <c r="Y73" s="138">
        <f>Y$3</f>
        <v>46179</v>
      </c>
      <c r="Z73" s="132" t="s">
        <v>557</v>
      </c>
      <c r="AA73" s="133">
        <f>SUM(AA74:AA78)</f>
        <v>0</v>
      </c>
      <c r="AB73" s="138"/>
      <c r="AC73" s="138">
        <f>AC$3</f>
        <v>46181</v>
      </c>
      <c r="AD73" s="132" t="s">
        <v>557</v>
      </c>
      <c r="AE73" s="133">
        <f>SUM(AE74:AE78)</f>
        <v>0</v>
      </c>
      <c r="AF73" s="138">
        <f>AF$3</f>
        <v>46182</v>
      </c>
      <c r="AG73" s="132" t="s">
        <v>557</v>
      </c>
      <c r="AH73" s="133">
        <f>SUM(AH74:AH78)</f>
        <v>0</v>
      </c>
      <c r="AI73" s="138">
        <f>AI$3</f>
        <v>46183</v>
      </c>
      <c r="AJ73" s="132" t="s">
        <v>557</v>
      </c>
      <c r="AK73" s="133">
        <f>SUM(AK74:AK78)</f>
        <v>0</v>
      </c>
      <c r="AL73" s="138">
        <f>AL$3</f>
        <v>46184</v>
      </c>
      <c r="AM73" s="132" t="s">
        <v>557</v>
      </c>
      <c r="AN73" s="133">
        <f>SUM(AN74:AN78)</f>
        <v>0</v>
      </c>
      <c r="AO73" s="138">
        <f>AO$3</f>
        <v>46185</v>
      </c>
      <c r="AP73" s="132" t="s">
        <v>557</v>
      </c>
      <c r="AQ73" s="133">
        <f>SUM(AQ74:AQ78)</f>
        <v>0</v>
      </c>
      <c r="AR73" s="138">
        <f>AR$3</f>
        <v>46186</v>
      </c>
      <c r="AS73" s="132" t="s">
        <v>557</v>
      </c>
      <c r="AT73" s="133">
        <f>SUM(AT74:AT78)</f>
        <v>0</v>
      </c>
      <c r="AU73" s="134"/>
    </row>
    <row r="74" spans="1:47">
      <c r="A74" s="122" t="str">
        <f>$A$73</f>
        <v>Phan Trường Giang</v>
      </c>
      <c r="B74" s="28" t="s">
        <v>830</v>
      </c>
      <c r="C74" s="81" t="str">
        <f>IF($B74="","",INDEX('All Bảng'!C:C,MATCH($B74,'All Bảng'!$A:$A,0)))</f>
        <v>Quản lý BIM</v>
      </c>
      <c r="D74" s="81" t="str">
        <f>IF($B74="","",INDEX('All Bảng'!D:D,MATCH($B74,'All Bảng'!$A:$A,0)))</f>
        <v>N.HCM.CGIO.NTD</v>
      </c>
      <c r="E74" s="81" t="str">
        <f>IF($B74="","",INDEX('All Bảng'!E:E,MATCH($B74,'All Bảng'!$A:$A,0)))</f>
        <v>Nhà thi đấu lô B5.03.2</v>
      </c>
      <c r="F74" s="81" t="str">
        <f>IF($B74="","",INDEX('All Bảng'!F:F,MATCH($B74,'All Bảng'!$A:$A,0)))</f>
        <v>DH</v>
      </c>
      <c r="G74" s="81" t="str">
        <f>IF($B74="","",INDEX('All Bảng'!G:G,MATCH($B74,'All Bảng'!$A:$A,0)))</f>
        <v>KSCL mô hình BIM</v>
      </c>
      <c r="H74" s="121"/>
      <c r="I74" s="135"/>
      <c r="J74" s="135">
        <f>J$3</f>
        <v>46174</v>
      </c>
      <c r="K74" s="136" t="s">
        <v>557</v>
      </c>
      <c r="L74" s="137">
        <v>0.25</v>
      </c>
      <c r="M74" s="135">
        <f>M$3</f>
        <v>46175</v>
      </c>
      <c r="N74" s="136" t="s">
        <v>557</v>
      </c>
      <c r="O74" s="137" t="s">
        <v>557</v>
      </c>
      <c r="P74" s="135">
        <f>P$3</f>
        <v>46176</v>
      </c>
      <c r="Q74" s="136" t="s">
        <v>557</v>
      </c>
      <c r="R74" s="137" t="s">
        <v>557</v>
      </c>
      <c r="S74" s="135">
        <f>S$3</f>
        <v>46177</v>
      </c>
      <c r="T74" s="136" t="s">
        <v>557</v>
      </c>
      <c r="U74" s="137" t="s">
        <v>557</v>
      </c>
      <c r="V74" s="135">
        <f>V$3</f>
        <v>46178</v>
      </c>
      <c r="W74" s="136" t="s">
        <v>557</v>
      </c>
      <c r="X74" s="137" t="s">
        <v>557</v>
      </c>
      <c r="Y74" s="135">
        <f>Y$3</f>
        <v>46179</v>
      </c>
      <c r="Z74" s="136" t="s">
        <v>557</v>
      </c>
      <c r="AA74" s="137" t="s">
        <v>557</v>
      </c>
      <c r="AB74" s="135"/>
      <c r="AC74" s="135">
        <f>AC$3</f>
        <v>46181</v>
      </c>
      <c r="AD74" s="136" t="s">
        <v>557</v>
      </c>
      <c r="AE74" s="137" t="s">
        <v>557</v>
      </c>
      <c r="AF74" s="135">
        <f>AF$3</f>
        <v>46182</v>
      </c>
      <c r="AG74" s="136" t="s">
        <v>557</v>
      </c>
      <c r="AH74" s="137" t="s">
        <v>557</v>
      </c>
      <c r="AI74" s="135">
        <f>AI$3</f>
        <v>46183</v>
      </c>
      <c r="AJ74" s="136" t="s">
        <v>557</v>
      </c>
      <c r="AK74" s="137" t="s">
        <v>557</v>
      </c>
      <c r="AL74" s="135">
        <f>AL$3</f>
        <v>46184</v>
      </c>
      <c r="AM74" s="136" t="s">
        <v>557</v>
      </c>
      <c r="AN74" s="137" t="s">
        <v>557</v>
      </c>
      <c r="AO74" s="135">
        <f>AO$3</f>
        <v>46185</v>
      </c>
      <c r="AP74" s="136" t="s">
        <v>557</v>
      </c>
      <c r="AQ74" s="137" t="s">
        <v>557</v>
      </c>
      <c r="AR74" s="135">
        <f>AR$3</f>
        <v>46186</v>
      </c>
      <c r="AS74" s="136" t="s">
        <v>557</v>
      </c>
      <c r="AT74" s="137" t="s">
        <v>557</v>
      </c>
      <c r="AU74" s="12"/>
    </row>
    <row r="75" spans="1:47">
      <c r="A75" s="122" t="str">
        <f>$A$73</f>
        <v>Phan Trường Giang</v>
      </c>
      <c r="B75" s="28" t="s">
        <v>831</v>
      </c>
      <c r="C75" s="81" t="str">
        <f>IF($B75="","",INDEX('All Bảng'!C:C,MATCH($B75,'All Bảng'!$A:$A,0)))</f>
        <v>Quản lý BIM</v>
      </c>
      <c r="D75" s="81" t="str">
        <f>IF($B75="","",INDEX('All Bảng'!D:D,MATCH($B75,'All Bảng'!$A:$A,0)))</f>
        <v>N.HCM.CGIO.KS</v>
      </c>
      <c r="E75" s="81" t="str">
        <f>IF($B75="","",INDEX('All Bảng'!E:E,MATCH($B75,'All Bảng'!$A:$A,0)))</f>
        <v>Khách sạn Vinpearl A5.02.13</v>
      </c>
      <c r="F75" s="81" t="str">
        <f>IF($B75="","",INDEX('All Bảng'!F:F,MATCH($B75,'All Bảng'!$A:$A,0)))</f>
        <v>DI</v>
      </c>
      <c r="G75" s="81" t="str">
        <f>IF($B75="","",INDEX('All Bảng'!G:G,MATCH($B75,'All Bảng'!$A:$A,0)))</f>
        <v>KSCL mô hình BIM</v>
      </c>
      <c r="H75" s="121"/>
      <c r="I75" s="135"/>
      <c r="J75" s="135">
        <f>J$3</f>
        <v>46174</v>
      </c>
      <c r="K75" s="136" t="s">
        <v>557</v>
      </c>
      <c r="L75" s="137">
        <v>1</v>
      </c>
      <c r="M75" s="135">
        <f>M$3</f>
        <v>46175</v>
      </c>
      <c r="N75" s="136"/>
      <c r="O75" s="137">
        <v>1.5</v>
      </c>
      <c r="P75" s="135">
        <f>P$3</f>
        <v>46176</v>
      </c>
      <c r="Q75" s="136" t="s">
        <v>557</v>
      </c>
      <c r="R75" s="137">
        <v>4</v>
      </c>
      <c r="S75" s="135">
        <f>S$3</f>
        <v>46177</v>
      </c>
      <c r="T75" s="136" t="s">
        <v>557</v>
      </c>
      <c r="U75" s="137">
        <v>4</v>
      </c>
      <c r="V75" s="135">
        <f>V$3</f>
        <v>46178</v>
      </c>
      <c r="W75" s="136" t="s">
        <v>557</v>
      </c>
      <c r="X75" s="137" t="s">
        <v>557</v>
      </c>
      <c r="Y75" s="135">
        <f>Y$3</f>
        <v>46179</v>
      </c>
      <c r="Z75" s="136" t="s">
        <v>557</v>
      </c>
      <c r="AA75" s="137" t="s">
        <v>557</v>
      </c>
      <c r="AB75" s="135"/>
      <c r="AC75" s="135">
        <f>AC$3</f>
        <v>46181</v>
      </c>
      <c r="AD75" s="136" t="s">
        <v>557</v>
      </c>
      <c r="AE75" s="137" t="s">
        <v>557</v>
      </c>
      <c r="AF75" s="135">
        <f>AF$3</f>
        <v>46182</v>
      </c>
      <c r="AG75" s="136" t="s">
        <v>557</v>
      </c>
      <c r="AH75" s="137" t="s">
        <v>557</v>
      </c>
      <c r="AI75" s="135">
        <f>AI$3</f>
        <v>46183</v>
      </c>
      <c r="AJ75" s="136" t="s">
        <v>557</v>
      </c>
      <c r="AK75" s="137" t="s">
        <v>557</v>
      </c>
      <c r="AL75" s="135">
        <f>AL$3</f>
        <v>46184</v>
      </c>
      <c r="AM75" s="136" t="s">
        <v>557</v>
      </c>
      <c r="AN75" s="137" t="s">
        <v>557</v>
      </c>
      <c r="AO75" s="135">
        <f>AO$3</f>
        <v>46185</v>
      </c>
      <c r="AP75" s="136" t="s">
        <v>557</v>
      </c>
      <c r="AQ75" s="137" t="s">
        <v>557</v>
      </c>
      <c r="AR75" s="135">
        <f>AR$3</f>
        <v>46186</v>
      </c>
      <c r="AS75" s="136" t="s">
        <v>557</v>
      </c>
      <c r="AT75" s="137" t="s">
        <v>557</v>
      </c>
      <c r="AU75" s="12"/>
    </row>
    <row r="76" spans="1:47">
      <c r="A76" s="122" t="str">
        <f>$A$73</f>
        <v>Phan Trường Giang</v>
      </c>
      <c r="B76" s="82" t="s">
        <v>832</v>
      </c>
      <c r="C76" s="81" t="str">
        <f>IF($B76="","",INDEX('All Bảng'!C:C,MATCH($B76,'All Bảng'!$A:$A,0)))</f>
        <v>Quản lý BIM</v>
      </c>
      <c r="D76" s="81" t="str">
        <f>IF($B76="","",INDEX('All Bảng'!D:D,MATCH($B76,'All Bảng'!$A:$A,0)))</f>
        <v>N.HCM.CGIO.KS</v>
      </c>
      <c r="E76" s="81" t="str">
        <f>IF($B76="","",INDEX('All Bảng'!E:E,MATCH($B76,'All Bảng'!$A:$A,0)))</f>
        <v>Khách sạn Vinpearl A5.02.13</v>
      </c>
      <c r="F76" s="81" t="str">
        <f>IF($B76="","",INDEX('All Bảng'!F:F,MATCH($B76,'All Bảng'!$A:$A,0)))</f>
        <v>DN</v>
      </c>
      <c r="G76" s="81" t="str">
        <f>IF($B76="","",INDEX('All Bảng'!G:G,MATCH($B76,'All Bảng'!$A:$A,0)))</f>
        <v>KSCL mô hình BIM</v>
      </c>
      <c r="H76" s="121"/>
      <c r="I76" s="135"/>
      <c r="J76" s="135">
        <f>J$3</f>
        <v>46174</v>
      </c>
      <c r="K76" s="136" t="s">
        <v>557</v>
      </c>
      <c r="L76" s="137">
        <v>1</v>
      </c>
      <c r="M76" s="135">
        <f>M$3</f>
        <v>46175</v>
      </c>
      <c r="N76" s="136" t="s">
        <v>557</v>
      </c>
      <c r="O76" s="137">
        <v>0.25</v>
      </c>
      <c r="P76" s="135">
        <f>P$3</f>
        <v>46176</v>
      </c>
      <c r="Q76" s="136" t="s">
        <v>557</v>
      </c>
      <c r="R76" s="137">
        <v>4</v>
      </c>
      <c r="S76" s="135">
        <f>S$3</f>
        <v>46177</v>
      </c>
      <c r="T76" s="136" t="s">
        <v>557</v>
      </c>
      <c r="U76" s="137" t="s">
        <v>557</v>
      </c>
      <c r="V76" s="135">
        <f>V$3</f>
        <v>46178</v>
      </c>
      <c r="W76" s="136" t="s">
        <v>557</v>
      </c>
      <c r="X76" s="137" t="s">
        <v>557</v>
      </c>
      <c r="Y76" s="135">
        <f>Y$3</f>
        <v>46179</v>
      </c>
      <c r="Z76" s="136" t="s">
        <v>557</v>
      </c>
      <c r="AA76" s="137" t="s">
        <v>557</v>
      </c>
      <c r="AB76" s="135"/>
      <c r="AC76" s="135">
        <f>AC$3</f>
        <v>46181</v>
      </c>
      <c r="AD76" s="136" t="s">
        <v>557</v>
      </c>
      <c r="AE76" s="137" t="s">
        <v>557</v>
      </c>
      <c r="AF76" s="135">
        <f>AF$3</f>
        <v>46182</v>
      </c>
      <c r="AG76" s="136" t="s">
        <v>557</v>
      </c>
      <c r="AH76" s="137" t="s">
        <v>557</v>
      </c>
      <c r="AI76" s="135">
        <f>AI$3</f>
        <v>46183</v>
      </c>
      <c r="AJ76" s="136" t="s">
        <v>557</v>
      </c>
      <c r="AK76" s="137" t="s">
        <v>557</v>
      </c>
      <c r="AL76" s="135">
        <f>AL$3</f>
        <v>46184</v>
      </c>
      <c r="AM76" s="136" t="s">
        <v>557</v>
      </c>
      <c r="AN76" s="137" t="s">
        <v>557</v>
      </c>
      <c r="AO76" s="135">
        <f>AO$3</f>
        <v>46185</v>
      </c>
      <c r="AP76" s="136" t="s">
        <v>557</v>
      </c>
      <c r="AQ76" s="137" t="s">
        <v>557</v>
      </c>
      <c r="AR76" s="135">
        <f>AR$3</f>
        <v>46186</v>
      </c>
      <c r="AS76" s="136" t="s">
        <v>557</v>
      </c>
      <c r="AT76" s="137" t="s">
        <v>557</v>
      </c>
      <c r="AU76" s="12"/>
    </row>
    <row r="77" spans="1:47">
      <c r="A77" s="122" t="str">
        <f>$A$73</f>
        <v>Phan Trường Giang</v>
      </c>
      <c r="B77" s="82" t="s">
        <v>833</v>
      </c>
      <c r="C77" s="81" t="str">
        <f>IF($B77="","",INDEX('All Bảng'!C:C,MATCH($B77,'All Bảng'!$A:$A,0)))</f>
        <v>Quản lý BIM</v>
      </c>
      <c r="D77" s="81" t="str">
        <f>IF($B77="","",INDEX('All Bảng'!D:D,MATCH($B77,'All Bảng'!$A:$A,0)))</f>
        <v>N.HCM.CGIO.KS</v>
      </c>
      <c r="E77" s="81" t="str">
        <f>IF($B77="","",INDEX('All Bảng'!E:E,MATCH($B77,'All Bảng'!$A:$A,0)))</f>
        <v>Khách sạn Vinpearl A5.02.13</v>
      </c>
      <c r="F77" s="81" t="str">
        <f>IF($B77="","",INDEX('All Bảng'!F:F,MATCH($B77,'All Bảng'!$A:$A,0)))</f>
        <v>NU</v>
      </c>
      <c r="G77" s="81" t="str">
        <f>IF($B77="","",INDEX('All Bảng'!G:G,MATCH($B77,'All Bảng'!$A:$A,0)))</f>
        <v>KSCL mô hình BIM</v>
      </c>
      <c r="H77" s="121"/>
      <c r="I77" s="135"/>
      <c r="J77" s="135">
        <f>J$3</f>
        <v>46174</v>
      </c>
      <c r="K77" s="136" t="s">
        <v>557</v>
      </c>
      <c r="L77" s="137">
        <v>1</v>
      </c>
      <c r="M77" s="135">
        <f>M$3</f>
        <v>46175</v>
      </c>
      <c r="N77" s="136" t="s">
        <v>557</v>
      </c>
      <c r="O77" s="137">
        <v>0.25</v>
      </c>
      <c r="P77" s="135">
        <f>P$3</f>
        <v>46176</v>
      </c>
      <c r="Q77" s="136" t="s">
        <v>557</v>
      </c>
      <c r="R77" s="137" t="s">
        <v>557</v>
      </c>
      <c r="S77" s="135">
        <f>S$3</f>
        <v>46177</v>
      </c>
      <c r="T77" s="136" t="s">
        <v>557</v>
      </c>
      <c r="U77" s="137" t="s">
        <v>557</v>
      </c>
      <c r="V77" s="135">
        <f>V$3</f>
        <v>46178</v>
      </c>
      <c r="W77" s="136" t="s">
        <v>557</v>
      </c>
      <c r="X77" s="137" t="s">
        <v>557</v>
      </c>
      <c r="Y77" s="135">
        <f>Y$3</f>
        <v>46179</v>
      </c>
      <c r="Z77" s="136" t="s">
        <v>557</v>
      </c>
      <c r="AA77" s="137" t="s">
        <v>557</v>
      </c>
      <c r="AB77" s="135"/>
      <c r="AC77" s="135">
        <f>AC$3</f>
        <v>46181</v>
      </c>
      <c r="AD77" s="136" t="s">
        <v>557</v>
      </c>
      <c r="AE77" s="137" t="s">
        <v>557</v>
      </c>
      <c r="AF77" s="135">
        <f>AF$3</f>
        <v>46182</v>
      </c>
      <c r="AG77" s="136" t="s">
        <v>557</v>
      </c>
      <c r="AH77" s="137" t="s">
        <v>557</v>
      </c>
      <c r="AI77" s="135">
        <f>AI$3</f>
        <v>46183</v>
      </c>
      <c r="AJ77" s="136" t="s">
        <v>557</v>
      </c>
      <c r="AK77" s="137" t="s">
        <v>557</v>
      </c>
      <c r="AL77" s="135">
        <f>AL$3</f>
        <v>46184</v>
      </c>
      <c r="AM77" s="136" t="s">
        <v>557</v>
      </c>
      <c r="AN77" s="137" t="s">
        <v>557</v>
      </c>
      <c r="AO77" s="135">
        <f>AO$3</f>
        <v>46185</v>
      </c>
      <c r="AP77" s="136" t="s">
        <v>557</v>
      </c>
      <c r="AQ77" s="137" t="s">
        <v>557</v>
      </c>
      <c r="AR77" s="135">
        <f>AR$3</f>
        <v>46186</v>
      </c>
      <c r="AS77" s="136" t="s">
        <v>557</v>
      </c>
      <c r="AT77" s="137" t="s">
        <v>557</v>
      </c>
      <c r="AU77" s="12"/>
    </row>
    <row r="78" spans="1:47">
      <c r="A78" s="122" t="str">
        <f>$A$73</f>
        <v>Phan Trường Giang</v>
      </c>
      <c r="B78" s="82" t="s">
        <v>834</v>
      </c>
      <c r="C78" s="81" t="str">
        <f>IF($B78="","",INDEX('All Bảng'!C:C,MATCH($B78,'All Bảng'!$A:$A,0)))</f>
        <v>Quản lý BIM</v>
      </c>
      <c r="D78" s="81" t="str">
        <f>IF($B78="","",INDEX('All Bảng'!D:D,MATCH($B78,'All Bảng'!$A:$A,0)))</f>
        <v>N.HCM.CGIO.KS</v>
      </c>
      <c r="E78" s="81" t="str">
        <f>IF($B78="","",INDEX('All Bảng'!E:E,MATCH($B78,'All Bảng'!$A:$A,0)))</f>
        <v>Khách sạn Vinpearl A5.02.13</v>
      </c>
      <c r="F78" s="81" t="str">
        <f>IF($B78="","",INDEX('All Bảng'!F:F,MATCH($B78,'All Bảng'!$A:$A,0)))</f>
        <v>DH</v>
      </c>
      <c r="G78" s="81" t="str">
        <f>IF($B78="","",INDEX('All Bảng'!G:G,MATCH($B78,'All Bảng'!$A:$A,0)))</f>
        <v>KSCL mô hình BIM</v>
      </c>
      <c r="H78" s="121"/>
      <c r="I78" s="135"/>
      <c r="J78" s="135">
        <f>J$3</f>
        <v>46174</v>
      </c>
      <c r="K78" s="136" t="s">
        <v>557</v>
      </c>
      <c r="L78" s="137">
        <v>1</v>
      </c>
      <c r="M78" s="135">
        <f>M$3</f>
        <v>46175</v>
      </c>
      <c r="N78" s="136" t="s">
        <v>557</v>
      </c>
      <c r="O78" s="137">
        <v>0.25</v>
      </c>
      <c r="P78" s="135">
        <f>P$3</f>
        <v>46176</v>
      </c>
      <c r="Q78" s="136" t="s">
        <v>557</v>
      </c>
      <c r="R78" s="137" t="s">
        <v>557</v>
      </c>
      <c r="S78" s="135">
        <f>S$3</f>
        <v>46177</v>
      </c>
      <c r="T78" s="136" t="s">
        <v>557</v>
      </c>
      <c r="U78" s="137" t="s">
        <v>557</v>
      </c>
      <c r="V78" s="135">
        <f>V$3</f>
        <v>46178</v>
      </c>
      <c r="W78" s="136" t="s">
        <v>557</v>
      </c>
      <c r="X78" s="137" t="s">
        <v>557</v>
      </c>
      <c r="Y78" s="135">
        <f>Y$3</f>
        <v>46179</v>
      </c>
      <c r="Z78" s="136" t="s">
        <v>557</v>
      </c>
      <c r="AA78" s="137" t="s">
        <v>557</v>
      </c>
      <c r="AB78" s="135"/>
      <c r="AC78" s="135">
        <f>AC$3</f>
        <v>46181</v>
      </c>
      <c r="AD78" s="136" t="s">
        <v>557</v>
      </c>
      <c r="AE78" s="137" t="s">
        <v>557</v>
      </c>
      <c r="AF78" s="135">
        <f>AF$3</f>
        <v>46182</v>
      </c>
      <c r="AG78" s="136" t="s">
        <v>557</v>
      </c>
      <c r="AH78" s="137" t="s">
        <v>557</v>
      </c>
      <c r="AI78" s="135">
        <f>AI$3</f>
        <v>46183</v>
      </c>
      <c r="AJ78" s="136" t="s">
        <v>557</v>
      </c>
      <c r="AK78" s="137" t="s">
        <v>557</v>
      </c>
      <c r="AL78" s="135">
        <f>AL$3</f>
        <v>46184</v>
      </c>
      <c r="AM78" s="136" t="s">
        <v>557</v>
      </c>
      <c r="AN78" s="137" t="s">
        <v>557</v>
      </c>
      <c r="AO78" s="135">
        <f>AO$3</f>
        <v>46185</v>
      </c>
      <c r="AP78" s="136" t="s">
        <v>557</v>
      </c>
      <c r="AQ78" s="137" t="s">
        <v>557</v>
      </c>
      <c r="AR78" s="135">
        <f>AR$3</f>
        <v>46186</v>
      </c>
      <c r="AS78" s="136" t="s">
        <v>557</v>
      </c>
      <c r="AT78" s="137" t="s">
        <v>557</v>
      </c>
      <c r="AU78" s="12"/>
    </row>
    <row r="79" spans="1:47">
      <c r="A79" s="122" t="str">
        <f>$A$73</f>
        <v>Phan Trường Giang</v>
      </c>
      <c r="B79" s="82" t="s">
        <v>835</v>
      </c>
      <c r="C79" s="81" t="str">
        <f>IF($B79="","",INDEX('All Bảng'!C:C,MATCH($B79,'All Bảng'!$A:$A,0)))</f>
        <v>Quản lý BIM</v>
      </c>
      <c r="D79" s="81" t="str">
        <f>IF($B79="","",INDEX('All Bảng'!D:D,MATCH($B79,'All Bảng'!$A:$A,0)))</f>
        <v>N.HCM.CGIO.KS</v>
      </c>
      <c r="E79" s="81" t="str">
        <f>IF($B79="","",INDEX('All Bảng'!E:E,MATCH($B79,'All Bảng'!$A:$A,0)))</f>
        <v>Khách sạn Vinpearl A5.02.13</v>
      </c>
      <c r="F79" s="81" t="str">
        <f>IF($B79="","",INDEX('All Bảng'!F:F,MATCH($B79,'All Bảng'!$A:$A,0)))</f>
        <v>PC</v>
      </c>
      <c r="G79" s="81" t="str">
        <f>IF($B79="","",INDEX('All Bảng'!G:G,MATCH($B79,'All Bảng'!$A:$A,0)))</f>
        <v>KSCL mô hình BIM</v>
      </c>
      <c r="H79" s="121"/>
      <c r="I79" s="135"/>
      <c r="J79" s="135">
        <f>J$3</f>
        <v>46174</v>
      </c>
      <c r="K79" s="136" t="s">
        <v>557</v>
      </c>
      <c r="L79" s="137">
        <v>1</v>
      </c>
      <c r="M79" s="135">
        <f>M$3</f>
        <v>46175</v>
      </c>
      <c r="N79" s="136" t="s">
        <v>557</v>
      </c>
      <c r="O79" s="137">
        <v>0.25</v>
      </c>
      <c r="P79" s="135">
        <f>P$3</f>
        <v>46176</v>
      </c>
      <c r="Q79" s="136" t="s">
        <v>557</v>
      </c>
      <c r="R79" s="137" t="s">
        <v>557</v>
      </c>
      <c r="S79" s="135">
        <f>S$3</f>
        <v>46177</v>
      </c>
      <c r="T79" s="136" t="s">
        <v>557</v>
      </c>
      <c r="U79" s="137">
        <v>2</v>
      </c>
      <c r="V79" s="135">
        <f>V$3</f>
        <v>46178</v>
      </c>
      <c r="W79" s="136" t="s">
        <v>557</v>
      </c>
      <c r="X79" s="137" t="s">
        <v>557</v>
      </c>
      <c r="Y79" s="135">
        <f>Y$3</f>
        <v>46179</v>
      </c>
      <c r="Z79" s="136" t="s">
        <v>557</v>
      </c>
      <c r="AA79" s="137" t="s">
        <v>557</v>
      </c>
      <c r="AB79" s="135"/>
      <c r="AC79" s="135">
        <f>AC$3</f>
        <v>46181</v>
      </c>
      <c r="AD79" s="136" t="s">
        <v>557</v>
      </c>
      <c r="AE79" s="137" t="s">
        <v>557</v>
      </c>
      <c r="AF79" s="135">
        <f>AF$3</f>
        <v>46182</v>
      </c>
      <c r="AG79" s="136" t="s">
        <v>557</v>
      </c>
      <c r="AH79" s="137" t="s">
        <v>557</v>
      </c>
      <c r="AI79" s="135">
        <f>AI$3</f>
        <v>46183</v>
      </c>
      <c r="AJ79" s="136" t="s">
        <v>557</v>
      </c>
      <c r="AK79" s="137" t="s">
        <v>557</v>
      </c>
      <c r="AL79" s="135">
        <f>AL$3</f>
        <v>46184</v>
      </c>
      <c r="AM79" s="136" t="s">
        <v>557</v>
      </c>
      <c r="AN79" s="137" t="s">
        <v>557</v>
      </c>
      <c r="AO79" s="135">
        <f>AO$3</f>
        <v>46185</v>
      </c>
      <c r="AP79" s="136" t="s">
        <v>557</v>
      </c>
      <c r="AQ79" s="137" t="s">
        <v>557</v>
      </c>
      <c r="AR79" s="135">
        <f>AR$3</f>
        <v>46186</v>
      </c>
      <c r="AS79" s="136" t="s">
        <v>557</v>
      </c>
      <c r="AT79" s="137" t="s">
        <v>557</v>
      </c>
      <c r="AU79" s="12"/>
    </row>
    <row r="80" spans="1:47">
      <c r="A80" s="122" t="str">
        <f>$A$73</f>
        <v>Phan Trường Giang</v>
      </c>
      <c r="B80" s="28" t="s">
        <v>836</v>
      </c>
      <c r="C80" s="81" t="str">
        <f>IF($B80="","",INDEX('All Bảng'!C:C,MATCH($B80,'All Bảng'!$A:$A,0)))</f>
        <v>Quản lý BIM</v>
      </c>
      <c r="D80" s="81" t="str">
        <f>IF($B80="","",INDEX('All Bảng'!D:D,MATCH($B80,'All Bảng'!$A:$A,0)))</f>
        <v>B.HYE.PVF</v>
      </c>
      <c r="E80" s="81" t="str">
        <f>IF($B80="","",INDEX('All Bảng'!E:E,MATCH($B80,'All Bảng'!$A:$A,0)))</f>
        <v>Nhà thi đấu TDTT03</v>
      </c>
      <c r="F80" s="81" t="str">
        <f>IF($B80="","",INDEX('All Bảng'!F:F,MATCH($B80,'All Bảng'!$A:$A,0)))</f>
        <v>NU</v>
      </c>
      <c r="G80" s="81" t="str">
        <f>IF($B80="","",INDEX('All Bảng'!G:G,MATCH($B80,'All Bảng'!$A:$A,0)))</f>
        <v>KSCL mô hình BIM</v>
      </c>
      <c r="H80" s="121"/>
      <c r="I80" s="135"/>
      <c r="J80" s="135">
        <f>J$3</f>
        <v>46174</v>
      </c>
      <c r="K80" s="136" t="s">
        <v>557</v>
      </c>
      <c r="L80" s="137">
        <v>0.25</v>
      </c>
      <c r="M80" s="135">
        <f>M$3</f>
        <v>46175</v>
      </c>
      <c r="N80" s="136" t="s">
        <v>557</v>
      </c>
      <c r="O80" s="137" t="s">
        <v>557</v>
      </c>
      <c r="P80" s="135">
        <f>P$3</f>
        <v>46176</v>
      </c>
      <c r="Q80" s="136" t="s">
        <v>557</v>
      </c>
      <c r="R80" s="137" t="s">
        <v>557</v>
      </c>
      <c r="S80" s="135">
        <f>S$3</f>
        <v>46177</v>
      </c>
      <c r="T80" s="136" t="s">
        <v>557</v>
      </c>
      <c r="U80" s="137" t="s">
        <v>557</v>
      </c>
      <c r="V80" s="135">
        <f>V$3</f>
        <v>46178</v>
      </c>
      <c r="W80" s="136" t="s">
        <v>557</v>
      </c>
      <c r="X80" s="137" t="s">
        <v>557</v>
      </c>
      <c r="Y80" s="135">
        <f>Y$3</f>
        <v>46179</v>
      </c>
      <c r="Z80" s="136" t="s">
        <v>557</v>
      </c>
      <c r="AA80" s="137" t="s">
        <v>557</v>
      </c>
      <c r="AB80" s="135"/>
      <c r="AC80" s="135">
        <f>AC$3</f>
        <v>46181</v>
      </c>
      <c r="AD80" s="136" t="s">
        <v>557</v>
      </c>
      <c r="AE80" s="137" t="s">
        <v>557</v>
      </c>
      <c r="AF80" s="135">
        <f>AF$3</f>
        <v>46182</v>
      </c>
      <c r="AG80" s="136" t="s">
        <v>557</v>
      </c>
      <c r="AH80" s="137" t="s">
        <v>557</v>
      </c>
      <c r="AI80" s="135">
        <f>AI$3</f>
        <v>46183</v>
      </c>
      <c r="AJ80" s="136" t="s">
        <v>557</v>
      </c>
      <c r="AK80" s="137" t="s">
        <v>557</v>
      </c>
      <c r="AL80" s="135">
        <f>AL$3</f>
        <v>46184</v>
      </c>
      <c r="AM80" s="136" t="s">
        <v>557</v>
      </c>
      <c r="AN80" s="137" t="s">
        <v>557</v>
      </c>
      <c r="AO80" s="135">
        <f>AO$3</f>
        <v>46185</v>
      </c>
      <c r="AP80" s="136" t="s">
        <v>557</v>
      </c>
      <c r="AQ80" s="137" t="s">
        <v>557</v>
      </c>
      <c r="AR80" s="135">
        <f>AR$3</f>
        <v>46186</v>
      </c>
      <c r="AS80" s="136" t="s">
        <v>557</v>
      </c>
      <c r="AT80" s="137" t="s">
        <v>557</v>
      </c>
      <c r="AU80" s="12"/>
    </row>
    <row r="81" spans="1:47">
      <c r="A81" s="122" t="str">
        <f>$A$73</f>
        <v>Phan Trường Giang</v>
      </c>
      <c r="B81" s="28" t="s">
        <v>837</v>
      </c>
      <c r="C81" s="81" t="str">
        <f>IF($B81="","",INDEX('All Bảng'!C:C,MATCH($B81,'All Bảng'!$A:$A,0)))</f>
        <v>Quản lý BIM</v>
      </c>
      <c r="D81" s="81" t="str">
        <f>IF($B81="","",INDEX('All Bảng'!D:D,MATCH($B81,'All Bảng'!$A:$A,0)))</f>
        <v>B.HYE.PVF</v>
      </c>
      <c r="E81" s="81" t="str">
        <f>IF($B81="","",INDEX('All Bảng'!E:E,MATCH($B81,'All Bảng'!$A:$A,0)))</f>
        <v>Nhà thi đấu TDTT03</v>
      </c>
      <c r="F81" s="81" t="str">
        <f>IF($B81="","",INDEX('All Bảng'!F:F,MATCH($B81,'All Bảng'!$A:$A,0)))</f>
        <v>DH</v>
      </c>
      <c r="G81" s="81" t="str">
        <f>IF($B81="","",INDEX('All Bảng'!G:G,MATCH($B81,'All Bảng'!$A:$A,0)))</f>
        <v>KSCL mô hình BIM</v>
      </c>
      <c r="H81" s="121"/>
      <c r="I81" s="135"/>
      <c r="J81" s="135">
        <f>J$3</f>
        <v>46174</v>
      </c>
      <c r="K81" s="136" t="s">
        <v>557</v>
      </c>
      <c r="L81" s="137">
        <v>0.25</v>
      </c>
      <c r="M81" s="135">
        <f>M$3</f>
        <v>46175</v>
      </c>
      <c r="N81" s="136" t="s">
        <v>557</v>
      </c>
      <c r="O81" s="137" t="s">
        <v>557</v>
      </c>
      <c r="P81" s="135">
        <f>P$3</f>
        <v>46176</v>
      </c>
      <c r="Q81" s="136" t="s">
        <v>557</v>
      </c>
      <c r="R81" s="137" t="s">
        <v>557</v>
      </c>
      <c r="S81" s="135">
        <f>S$3</f>
        <v>46177</v>
      </c>
      <c r="T81" s="136" t="s">
        <v>557</v>
      </c>
      <c r="U81" s="137" t="s">
        <v>557</v>
      </c>
      <c r="V81" s="135">
        <f>V$3</f>
        <v>46178</v>
      </c>
      <c r="W81" s="136" t="s">
        <v>557</v>
      </c>
      <c r="X81" s="137" t="s">
        <v>557</v>
      </c>
      <c r="Y81" s="135">
        <f>Y$3</f>
        <v>46179</v>
      </c>
      <c r="Z81" s="136" t="s">
        <v>557</v>
      </c>
      <c r="AA81" s="137" t="s">
        <v>557</v>
      </c>
      <c r="AB81" s="135"/>
      <c r="AC81" s="135">
        <f>AC$3</f>
        <v>46181</v>
      </c>
      <c r="AD81" s="136" t="s">
        <v>557</v>
      </c>
      <c r="AE81" s="137" t="s">
        <v>557</v>
      </c>
      <c r="AF81" s="135">
        <f>AF$3</f>
        <v>46182</v>
      </c>
      <c r="AG81" s="136" t="s">
        <v>557</v>
      </c>
      <c r="AH81" s="137" t="s">
        <v>557</v>
      </c>
      <c r="AI81" s="135">
        <f>AI$3</f>
        <v>46183</v>
      </c>
      <c r="AJ81" s="136" t="s">
        <v>557</v>
      </c>
      <c r="AK81" s="137" t="s">
        <v>557</v>
      </c>
      <c r="AL81" s="135">
        <f>AL$3</f>
        <v>46184</v>
      </c>
      <c r="AM81" s="136" t="s">
        <v>557</v>
      </c>
      <c r="AN81" s="137" t="s">
        <v>557</v>
      </c>
      <c r="AO81" s="135">
        <f>AO$3</f>
        <v>46185</v>
      </c>
      <c r="AP81" s="136" t="s">
        <v>557</v>
      </c>
      <c r="AQ81" s="137" t="s">
        <v>557</v>
      </c>
      <c r="AR81" s="135">
        <f>AR$3</f>
        <v>46186</v>
      </c>
      <c r="AS81" s="136" t="s">
        <v>557</v>
      </c>
      <c r="AT81" s="137" t="s">
        <v>557</v>
      </c>
      <c r="AU81" s="12"/>
    </row>
    <row r="82" spans="1:47">
      <c r="A82" s="122" t="str">
        <f>$A$73</f>
        <v>Phan Trường Giang</v>
      </c>
      <c r="B82" s="28" t="s">
        <v>838</v>
      </c>
      <c r="C82" s="81" t="str">
        <f>IF($B82="","",INDEX('All Bảng'!C:C,MATCH($B82,'All Bảng'!$A:$A,0)))</f>
        <v>Quản lý BIM</v>
      </c>
      <c r="D82" s="81" t="str">
        <f>IF($B82="","",INDEX('All Bảng'!D:D,MATCH($B82,'All Bảng'!$A:$A,0)))</f>
        <v>B.HYE.PVF</v>
      </c>
      <c r="E82" s="81" t="str">
        <f>IF($B82="","",INDEX('All Bảng'!E:E,MATCH($B82,'All Bảng'!$A:$A,0)))</f>
        <v>Nhà thi đấu TDTT03</v>
      </c>
      <c r="F82" s="81" t="str">
        <f>IF($B82="","",INDEX('All Bảng'!F:F,MATCH($B82,'All Bảng'!$A:$A,0)))</f>
        <v>PC</v>
      </c>
      <c r="G82" s="81" t="str">
        <f>IF($B82="","",INDEX('All Bảng'!G:G,MATCH($B82,'All Bảng'!$A:$A,0)))</f>
        <v>KSCL mô hình BIM</v>
      </c>
      <c r="H82" s="121"/>
      <c r="I82" s="135"/>
      <c r="J82" s="135">
        <f>J$3</f>
        <v>46174</v>
      </c>
      <c r="K82" s="136" t="s">
        <v>557</v>
      </c>
      <c r="L82" s="137">
        <v>0.25</v>
      </c>
      <c r="M82" s="135">
        <f>M$3</f>
        <v>46175</v>
      </c>
      <c r="N82" s="136" t="s">
        <v>557</v>
      </c>
      <c r="O82" s="137" t="s">
        <v>557</v>
      </c>
      <c r="P82" s="135">
        <f>P$3</f>
        <v>46176</v>
      </c>
      <c r="Q82" s="136" t="s">
        <v>557</v>
      </c>
      <c r="R82" s="137" t="s">
        <v>557</v>
      </c>
      <c r="S82" s="135">
        <f>S$3</f>
        <v>46177</v>
      </c>
      <c r="T82" s="136" t="s">
        <v>557</v>
      </c>
      <c r="U82" s="137" t="s">
        <v>557</v>
      </c>
      <c r="V82" s="135">
        <f>V$3</f>
        <v>46178</v>
      </c>
      <c r="W82" s="136" t="s">
        <v>557</v>
      </c>
      <c r="X82" s="137" t="s">
        <v>557</v>
      </c>
      <c r="Y82" s="135">
        <f>Y$3</f>
        <v>46179</v>
      </c>
      <c r="Z82" s="136" t="s">
        <v>557</v>
      </c>
      <c r="AA82" s="137" t="s">
        <v>557</v>
      </c>
      <c r="AB82" s="135"/>
      <c r="AC82" s="135">
        <f>AC$3</f>
        <v>46181</v>
      </c>
      <c r="AD82" s="136" t="s">
        <v>557</v>
      </c>
      <c r="AE82" s="137" t="s">
        <v>557</v>
      </c>
      <c r="AF82" s="135">
        <f>AF$3</f>
        <v>46182</v>
      </c>
      <c r="AG82" s="136" t="s">
        <v>557</v>
      </c>
      <c r="AH82" s="137" t="s">
        <v>557</v>
      </c>
      <c r="AI82" s="135">
        <f>AI$3</f>
        <v>46183</v>
      </c>
      <c r="AJ82" s="136" t="s">
        <v>557</v>
      </c>
      <c r="AK82" s="137" t="s">
        <v>557</v>
      </c>
      <c r="AL82" s="135">
        <f>AL$3</f>
        <v>46184</v>
      </c>
      <c r="AM82" s="136" t="s">
        <v>557</v>
      </c>
      <c r="AN82" s="137" t="s">
        <v>557</v>
      </c>
      <c r="AO82" s="135">
        <f>AO$3</f>
        <v>46185</v>
      </c>
      <c r="AP82" s="136" t="s">
        <v>557</v>
      </c>
      <c r="AQ82" s="137" t="s">
        <v>557</v>
      </c>
      <c r="AR82" s="135">
        <f>AR$3</f>
        <v>46186</v>
      </c>
      <c r="AS82" s="136" t="s">
        <v>557</v>
      </c>
      <c r="AT82" s="137" t="s">
        <v>557</v>
      </c>
      <c r="AU82" s="12"/>
    </row>
    <row r="83" spans="1:47">
      <c r="A83" s="122" t="str">
        <f>$A$73</f>
        <v>Phan Trường Giang</v>
      </c>
      <c r="B83" s="12" t="s">
        <v>839</v>
      </c>
      <c r="C83" s="81" t="str">
        <f>IF($B83="","",INDEX('All Bảng'!C:C,MATCH($B83,'All Bảng'!$A:$A,0)))</f>
        <v>Quản lý BIM</v>
      </c>
      <c r="D83" s="81" t="str">
        <f>IF($B83="","",INDEX('All Bảng'!D:D,MATCH($B83,'All Bảng'!$A:$A,0)))</f>
        <v>B.DSHNQN.SUP</v>
      </c>
      <c r="E83" s="81" t="str">
        <f>IF($B83="","",INDEX('All Bảng'!E:E,MATCH($B83,'All Bảng'!$A:$A,0)))</f>
        <v>Bãi đúc dầm 01</v>
      </c>
      <c r="F83" s="81" t="str">
        <f>IF($B83="","",INDEX('All Bảng'!F:F,MATCH($B83,'All Bảng'!$A:$A,0)))</f>
        <v>DI</v>
      </c>
      <c r="G83" s="81" t="str">
        <f>IF($B83="","",INDEX('All Bảng'!G:G,MATCH($B83,'All Bảng'!$A:$A,0)))</f>
        <v>Tạo lập mô hình BIM</v>
      </c>
      <c r="H83" s="121"/>
      <c r="I83" s="135"/>
      <c r="J83" s="135"/>
      <c r="K83" s="136"/>
      <c r="L83" s="137"/>
      <c r="M83" s="135"/>
      <c r="N83" s="136"/>
      <c r="O83" s="137"/>
      <c r="P83" s="135"/>
      <c r="Q83" s="136"/>
      <c r="R83" s="137"/>
      <c r="S83" s="135"/>
      <c r="T83" s="136"/>
      <c r="U83" s="137">
        <v>0.5</v>
      </c>
      <c r="V83" s="135"/>
      <c r="W83" s="136"/>
      <c r="X83" s="137"/>
      <c r="Y83" s="135"/>
      <c r="Z83" s="136"/>
      <c r="AA83" s="137"/>
      <c r="AB83" s="135"/>
      <c r="AC83" s="135"/>
      <c r="AD83" s="136"/>
      <c r="AE83" s="137"/>
      <c r="AF83" s="135"/>
      <c r="AG83" s="136"/>
      <c r="AH83" s="137"/>
      <c r="AI83" s="135"/>
      <c r="AJ83" s="136"/>
      <c r="AK83" s="137"/>
      <c r="AL83" s="135"/>
      <c r="AM83" s="136"/>
      <c r="AN83" s="137"/>
      <c r="AO83" s="135"/>
      <c r="AP83" s="136"/>
      <c r="AQ83" s="137"/>
      <c r="AR83" s="135"/>
      <c r="AS83" s="136"/>
      <c r="AT83" s="137"/>
      <c r="AU83" s="12"/>
    </row>
    <row r="84" spans="1:47">
      <c r="A84" s="122" t="str">
        <f>$A$73</f>
        <v>Phan Trường Giang</v>
      </c>
      <c r="B84" s="12" t="s">
        <v>840</v>
      </c>
      <c r="C84" s="81" t="str">
        <f>IF($B84="","",INDEX('All Bảng'!C:C,MATCH($B84,'All Bảng'!$A:$A,0)))</f>
        <v>Quản lý BIM</v>
      </c>
      <c r="D84" s="81" t="str">
        <f>IF($B84="","",INDEX('All Bảng'!D:D,MATCH($B84,'All Bảng'!$A:$A,0)))</f>
        <v>B.DSHNQN.SUP</v>
      </c>
      <c r="E84" s="81" t="str">
        <f>IF($B84="","",INDEX('All Bảng'!E:E,MATCH($B84,'All Bảng'!$A:$A,0)))</f>
        <v>Bãi đúc dầm 05</v>
      </c>
      <c r="F84" s="81" t="str">
        <f>IF($B84="","",INDEX('All Bảng'!F:F,MATCH($B84,'All Bảng'!$A:$A,0)))</f>
        <v>DI</v>
      </c>
      <c r="G84" s="81" t="str">
        <f>IF($B84="","",INDEX('All Bảng'!G:G,MATCH($B84,'All Bảng'!$A:$A,0)))</f>
        <v>Tạo lập mô hình BIM</v>
      </c>
      <c r="H84" s="121"/>
      <c r="I84" s="135"/>
      <c r="J84" s="135"/>
      <c r="K84" s="136"/>
      <c r="L84" s="137"/>
      <c r="M84" s="135"/>
      <c r="N84" s="136"/>
      <c r="O84" s="137"/>
      <c r="P84" s="135"/>
      <c r="Q84" s="136"/>
      <c r="R84" s="137"/>
      <c r="S84" s="135"/>
      <c r="T84" s="136"/>
      <c r="U84" s="137">
        <v>0.5</v>
      </c>
      <c r="V84" s="135"/>
      <c r="W84" s="136"/>
      <c r="X84" s="137"/>
      <c r="Y84" s="135"/>
      <c r="Z84" s="136"/>
      <c r="AA84" s="137"/>
      <c r="AB84" s="135"/>
      <c r="AC84" s="135"/>
      <c r="AD84" s="136"/>
      <c r="AE84" s="137"/>
      <c r="AF84" s="135"/>
      <c r="AG84" s="136"/>
      <c r="AH84" s="137"/>
      <c r="AI84" s="135"/>
      <c r="AJ84" s="136"/>
      <c r="AK84" s="137"/>
      <c r="AL84" s="135"/>
      <c r="AM84" s="136"/>
      <c r="AN84" s="137"/>
      <c r="AO84" s="135"/>
      <c r="AP84" s="136"/>
      <c r="AQ84" s="137"/>
      <c r="AR84" s="135"/>
      <c r="AS84" s="136"/>
      <c r="AT84" s="137"/>
      <c r="AU84" s="12"/>
    </row>
    <row r="85" spans="1:47">
      <c r="A85" s="122" t="str">
        <f>$A$73</f>
        <v>Phan Trường Giang</v>
      </c>
      <c r="B85" s="12" t="s">
        <v>841</v>
      </c>
      <c r="C85" s="81" t="str">
        <f>IF($B85="","",INDEX('All Bảng'!C:C,MATCH($B85,'All Bảng'!$A:$A,0)))</f>
        <v>Quản lý BIM</v>
      </c>
      <c r="D85" s="81" t="str">
        <f>IF($B85="","",INDEX('All Bảng'!D:D,MATCH($B85,'All Bảng'!$A:$A,0)))</f>
        <v>B.DSHNQN.SUP</v>
      </c>
      <c r="E85" s="81" t="str">
        <f>IF($B85="","",INDEX('All Bảng'!E:E,MATCH($B85,'All Bảng'!$A:$A,0)))</f>
        <v>Bãi đúc dầm 01</v>
      </c>
      <c r="F85" s="81" t="str">
        <f>IF($B85="","",INDEX('All Bảng'!F:F,MATCH($B85,'All Bảng'!$A:$A,0)))</f>
        <v>DN</v>
      </c>
      <c r="G85" s="81" t="str">
        <f>IF($B85="","",INDEX('All Bảng'!G:G,MATCH($B85,'All Bảng'!$A:$A,0)))</f>
        <v>Tạo lập mô hình BIM</v>
      </c>
      <c r="H85" s="121"/>
      <c r="I85" s="135"/>
      <c r="J85" s="135"/>
      <c r="K85" s="136"/>
      <c r="L85" s="137"/>
      <c r="M85" s="135"/>
      <c r="N85" s="136"/>
      <c r="O85" s="137"/>
      <c r="P85" s="135"/>
      <c r="Q85" s="136"/>
      <c r="R85" s="137"/>
      <c r="S85" s="135"/>
      <c r="T85" s="136"/>
      <c r="U85" s="137">
        <v>0.5</v>
      </c>
      <c r="V85" s="135"/>
      <c r="W85" s="136"/>
      <c r="X85" s="137"/>
      <c r="Y85" s="135"/>
      <c r="Z85" s="136"/>
      <c r="AA85" s="137"/>
      <c r="AB85" s="135"/>
      <c r="AC85" s="135"/>
      <c r="AD85" s="136"/>
      <c r="AE85" s="137"/>
      <c r="AF85" s="135"/>
      <c r="AG85" s="136"/>
      <c r="AH85" s="137"/>
      <c r="AI85" s="135"/>
      <c r="AJ85" s="136"/>
      <c r="AK85" s="137"/>
      <c r="AL85" s="135"/>
      <c r="AM85" s="136"/>
      <c r="AN85" s="137"/>
      <c r="AO85" s="135"/>
      <c r="AP85" s="136"/>
      <c r="AQ85" s="137"/>
      <c r="AR85" s="135"/>
      <c r="AS85" s="136"/>
      <c r="AT85" s="137"/>
      <c r="AU85" s="12"/>
    </row>
    <row r="86" spans="1:47">
      <c r="A86" s="122" t="str">
        <f>$A$73</f>
        <v>Phan Trường Giang</v>
      </c>
      <c r="B86" s="12" t="s">
        <v>842</v>
      </c>
      <c r="C86" s="81" t="str">
        <f>IF($B86="","",INDEX('All Bảng'!C:C,MATCH($B86,'All Bảng'!$A:$A,0)))</f>
        <v>Quản lý BIM</v>
      </c>
      <c r="D86" s="81" t="str">
        <f>IF($B86="","",INDEX('All Bảng'!D:D,MATCH($B86,'All Bảng'!$A:$A,0)))</f>
        <v>B.DSHNQN.SUP</v>
      </c>
      <c r="E86" s="81" t="str">
        <f>IF($B86="","",INDEX('All Bảng'!E:E,MATCH($B86,'All Bảng'!$A:$A,0)))</f>
        <v>Bãi đúc dầm 05</v>
      </c>
      <c r="F86" s="81" t="str">
        <f>IF($B86="","",INDEX('All Bảng'!F:F,MATCH($B86,'All Bảng'!$A:$A,0)))</f>
        <v>DN</v>
      </c>
      <c r="G86" s="81" t="str">
        <f>IF($B86="","",INDEX('All Bảng'!G:G,MATCH($B86,'All Bảng'!$A:$A,0)))</f>
        <v>Tạo lập mô hình BIM</v>
      </c>
      <c r="H86" s="81" t="str">
        <f>IF($B86="","",INDEX('All Bảng'!H:H,MATCH($B86,'All Bảng'!$A:$A,0)))</f>
        <v>TKBVTC</v>
      </c>
      <c r="I86" s="135"/>
      <c r="J86" s="135"/>
      <c r="K86" s="136"/>
      <c r="L86" s="137"/>
      <c r="M86" s="135"/>
      <c r="N86" s="136"/>
      <c r="O86" s="137"/>
      <c r="P86" s="135"/>
      <c r="Q86" s="136"/>
      <c r="R86" s="137"/>
      <c r="S86" s="135"/>
      <c r="T86" s="136"/>
      <c r="U86" s="137">
        <v>0.5</v>
      </c>
      <c r="V86" s="135"/>
      <c r="W86" s="136"/>
      <c r="X86" s="137"/>
      <c r="Y86" s="135"/>
      <c r="Z86" s="136"/>
      <c r="AA86" s="137"/>
      <c r="AB86" s="135"/>
      <c r="AC86" s="135"/>
      <c r="AD86" s="136"/>
      <c r="AE86" s="137"/>
      <c r="AF86" s="135"/>
      <c r="AG86" s="136"/>
      <c r="AH86" s="137"/>
      <c r="AI86" s="135"/>
      <c r="AJ86" s="136"/>
      <c r="AK86" s="137"/>
      <c r="AL86" s="135"/>
      <c r="AM86" s="136"/>
      <c r="AN86" s="137"/>
      <c r="AO86" s="135"/>
      <c r="AP86" s="136"/>
      <c r="AQ86" s="137"/>
      <c r="AR86" s="135"/>
      <c r="AS86" s="136"/>
      <c r="AT86" s="137"/>
      <c r="AU86" s="12"/>
    </row>
    <row r="87" spans="1:47">
      <c r="A87" s="122" t="str">
        <f>$A$73</f>
        <v>Phan Trường Giang</v>
      </c>
      <c r="B87" s="82" t="s">
        <v>843</v>
      </c>
      <c r="C87" s="81" t="str">
        <f>IF($B87="","",INDEX('All Bảng'!C:C,MATCH($B87,'All Bảng'!$A:$A,0)))</f>
        <v>Đào tạo BIM</v>
      </c>
      <c r="D87" s="81" t="str">
        <f>IF($B87="","",INDEX('All Bảng'!D:D,MATCH($B87,'All Bảng'!$A:$A,0)))</f>
        <v>Công cụ tạo lập mô hình</v>
      </c>
      <c r="E87" s="81" t="str">
        <f>IF($B87="","",INDEX('All Bảng'!E:E,MATCH($B87,'All Bảng'!$A:$A,0)))</f>
        <v>Revit cơ bản</v>
      </c>
      <c r="F87" s="81" t="str">
        <f>IF($B87="","",INDEX('All Bảng'!F:F,MATCH($B87,'All Bảng'!$A:$A,0)))</f>
        <v>BIM MEPF</v>
      </c>
      <c r="G87" s="81" t="str">
        <f>IF($B87="","",INDEX('All Bảng'!G:G,MATCH($B87,'All Bảng'!$A:$A,0)))</f>
        <v>Tổ chức thi và đánh giá</v>
      </c>
      <c r="H87" s="121"/>
      <c r="I87" s="135"/>
      <c r="J87" s="135">
        <f>J$3</f>
        <v>46174</v>
      </c>
      <c r="K87" s="136" t="s">
        <v>557</v>
      </c>
      <c r="L87" s="137">
        <v>2</v>
      </c>
      <c r="M87" s="135">
        <f>M$3</f>
        <v>46175</v>
      </c>
      <c r="N87" s="136"/>
      <c r="O87" s="137">
        <v>1.5</v>
      </c>
      <c r="P87" s="135">
        <f>P$3</f>
        <v>46176</v>
      </c>
      <c r="Q87" s="136" t="s">
        <v>557</v>
      </c>
      <c r="R87" s="137" t="s">
        <v>557</v>
      </c>
      <c r="S87" s="135">
        <f>S$3</f>
        <v>46177</v>
      </c>
      <c r="T87" s="136" t="s">
        <v>557</v>
      </c>
      <c r="U87" s="137" t="s">
        <v>557</v>
      </c>
      <c r="V87" s="135">
        <f>V$3</f>
        <v>46178</v>
      </c>
      <c r="W87" s="136" t="s">
        <v>557</v>
      </c>
      <c r="X87" s="137" t="s">
        <v>557</v>
      </c>
      <c r="Y87" s="135">
        <f>Y$3</f>
        <v>46179</v>
      </c>
      <c r="Z87" s="136" t="s">
        <v>557</v>
      </c>
      <c r="AA87" s="137" t="s">
        <v>557</v>
      </c>
      <c r="AB87" s="135"/>
      <c r="AC87" s="135">
        <f>AC$3</f>
        <v>46181</v>
      </c>
      <c r="AD87" s="136" t="s">
        <v>557</v>
      </c>
      <c r="AE87" s="137" t="s">
        <v>557</v>
      </c>
      <c r="AF87" s="135">
        <f>AF$3</f>
        <v>46182</v>
      </c>
      <c r="AG87" s="136" t="s">
        <v>557</v>
      </c>
      <c r="AH87" s="137" t="s">
        <v>557</v>
      </c>
      <c r="AI87" s="135">
        <f>AI$3</f>
        <v>46183</v>
      </c>
      <c r="AJ87" s="136" t="s">
        <v>557</v>
      </c>
      <c r="AK87" s="137" t="s">
        <v>557</v>
      </c>
      <c r="AL87" s="135">
        <f>AL$3</f>
        <v>46184</v>
      </c>
      <c r="AM87" s="136" t="s">
        <v>557</v>
      </c>
      <c r="AN87" s="137" t="s">
        <v>557</v>
      </c>
      <c r="AO87" s="135">
        <f>AO$3</f>
        <v>46185</v>
      </c>
      <c r="AP87" s="136" t="s">
        <v>557</v>
      </c>
      <c r="AQ87" s="137" t="s">
        <v>557</v>
      </c>
      <c r="AR87" s="135">
        <f>AR$3</f>
        <v>46186</v>
      </c>
      <c r="AS87" s="136" t="s">
        <v>557</v>
      </c>
      <c r="AT87" s="137" t="s">
        <v>557</v>
      </c>
      <c r="AU87" s="12"/>
    </row>
    <row r="88" spans="1:47">
      <c r="A88" s="152"/>
      <c r="B88" s="12"/>
      <c r="C88" s="12"/>
      <c r="D88" s="12"/>
      <c r="E88" s="12"/>
      <c r="F88" s="12"/>
      <c r="G88" s="12"/>
      <c r="H88" s="93"/>
      <c r="I88" s="153"/>
      <c r="J88" s="153"/>
      <c r="K88" s="156"/>
      <c r="L88" s="155"/>
      <c r="M88" s="153"/>
      <c r="N88" s="156"/>
      <c r="O88" s="155"/>
      <c r="P88" s="153"/>
      <c r="Q88" s="156"/>
      <c r="R88" s="155"/>
      <c r="S88" s="153"/>
      <c r="T88" s="156"/>
      <c r="U88" s="155"/>
      <c r="V88" s="153"/>
      <c r="W88" s="156"/>
      <c r="X88" s="155"/>
      <c r="Y88" s="153"/>
      <c r="Z88" s="156"/>
      <c r="AA88" s="155"/>
      <c r="AB88" s="153"/>
      <c r="AC88" s="153"/>
      <c r="AD88" s="156"/>
      <c r="AE88" s="155"/>
      <c r="AF88" s="153"/>
      <c r="AG88" s="156"/>
      <c r="AH88" s="155"/>
      <c r="AI88" s="153"/>
      <c r="AJ88" s="156"/>
      <c r="AK88" s="155"/>
      <c r="AL88" s="153"/>
      <c r="AM88" s="156"/>
      <c r="AN88" s="155"/>
      <c r="AO88" s="153"/>
      <c r="AP88" s="156"/>
      <c r="AQ88" s="155"/>
      <c r="AR88" s="153"/>
      <c r="AS88" s="156"/>
      <c r="AT88" s="155"/>
      <c r="AU88" s="12"/>
    </row>
  </sheetData>
  <autoFilter ref="A3:H118" xr:uid="{500ED854-0463-45BF-A10C-D253788F1854}"/>
  <sortState xmlns:xlrd2="http://schemas.microsoft.com/office/spreadsheetml/2017/richdata2" ref="A5:AU14">
    <sortCondition ref="B5:B14"/>
  </sortState>
  <mergeCells count="1">
    <mergeCell ref="A1:H1"/>
  </mergeCells>
  <conditionalFormatting sqref="B18:B47">
    <cfRule type="duplicateValues" dxfId="6" priority="7"/>
  </conditionalFormatting>
  <conditionalFormatting sqref="B48 B50:B72">
    <cfRule type="duplicateValues" dxfId="5" priority="6"/>
  </conditionalFormatting>
  <conditionalFormatting sqref="B75">
    <cfRule type="duplicateValues" dxfId="4" priority="4"/>
  </conditionalFormatting>
  <conditionalFormatting sqref="B82:B86">
    <cfRule type="duplicateValues" dxfId="3" priority="3"/>
  </conditionalFormatting>
  <conditionalFormatting sqref="B4:B17">
    <cfRule type="duplicateValues" dxfId="2" priority="215"/>
  </conditionalFormatting>
  <conditionalFormatting sqref="B76:B81 B73:B74 B87:B88">
    <cfRule type="duplicateValues" dxfId="1" priority="217"/>
  </conditionalFormatting>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882BFC74-B1BC-41C4-B875-0BCEB7858A49}">
          <x14:formula1>
            <xm:f>'All Bảng'!$A:$A</xm:f>
          </x14:formula1>
          <xm:sqref>B4:B88</xm:sqref>
        </x14:dataValidation>
        <x14:dataValidation type="list" allowBlank="1" showInputMessage="1" showErrorMessage="1" xr:uid="{129ECBBF-F3DE-4252-B75A-472464280AAF}">
          <x14:formula1>
            <xm:f>Data!$Y:$Y</xm:f>
          </x14:formula1>
          <xm:sqref>A4:A88</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4C018-78BA-478F-A645-663A007A1F93}">
  <dimension ref="A1:AU40"/>
  <sheetViews>
    <sheetView workbookViewId="0">
      <pane xSplit="8" ySplit="3" topLeftCell="I4" activePane="bottomRight" state="frozen"/>
      <selection pane="bottomRight" activeCell="R22" sqref="R22"/>
      <selection pane="bottomLeft"/>
      <selection pane="topRight"/>
    </sheetView>
  </sheetViews>
  <sheetFormatPr defaultRowHeight="15" outlineLevelCol="2"/>
  <cols>
    <col min="1" max="1" width="22.140625" customWidth="1"/>
    <col min="2" max="2" width="27.85546875" customWidth="1"/>
    <col min="3" max="3" width="22" customWidth="1"/>
    <col min="4" max="4" width="20.85546875" customWidth="1"/>
    <col min="5" max="5" width="38.42578125" style="129" customWidth="1"/>
    <col min="6" max="6" width="9.140625" customWidth="1"/>
    <col min="7" max="7" width="44.7109375" style="129" customWidth="1"/>
    <col min="8" max="9" width="9.140625" customWidth="1"/>
    <col min="10" max="10" width="11.7109375" customWidth="1" outlineLevel="1"/>
    <col min="11" max="11" width="35.85546875" style="129" customWidth="1" outlineLevel="2"/>
    <col min="12" max="12" width="11.7109375" customWidth="1" outlineLevel="2"/>
    <col min="13" max="13" width="9.140625" customWidth="1" outlineLevel="1"/>
    <col min="14" max="15" width="11.7109375" customWidth="1" outlineLevel="2"/>
    <col min="16" max="16" width="9.140625" customWidth="1" outlineLevel="1"/>
    <col min="17" max="18" width="11.7109375" customWidth="1" outlineLevel="2"/>
    <col min="19" max="19" width="9.140625" customWidth="1" outlineLevel="1"/>
    <col min="20" max="21" width="11.7109375" customWidth="1" outlineLevel="2"/>
    <col min="22" max="22" width="9.140625" customWidth="1" outlineLevel="1"/>
    <col min="23" max="24" width="11.7109375" customWidth="1" outlineLevel="2"/>
    <col min="25" max="25" width="11.7109375" customWidth="1" outlineLevel="1"/>
    <col min="26" max="27" width="11.7109375" customWidth="1" outlineLevel="2"/>
    <col min="28" max="28" width="9.140625" customWidth="1"/>
    <col min="29" max="29" width="11.7109375" hidden="1" customWidth="1" outlineLevel="1"/>
    <col min="30" max="31" width="11.7109375" hidden="1" customWidth="1" outlineLevel="2"/>
    <col min="32" max="32" width="11.7109375" hidden="1" customWidth="1" outlineLevel="1" collapsed="1"/>
    <col min="33" max="34" width="11.7109375" hidden="1" customWidth="1" outlineLevel="2"/>
    <col min="35" max="35" width="11.7109375" hidden="1" customWidth="1" outlineLevel="1" collapsed="1"/>
    <col min="36" max="37" width="11.7109375" hidden="1" customWidth="1" outlineLevel="2"/>
    <col min="38" max="38" width="11.7109375" hidden="1" customWidth="1" outlineLevel="1" collapsed="1"/>
    <col min="39" max="40" width="11.7109375" hidden="1" customWidth="1" outlineLevel="2"/>
    <col min="41" max="41" width="11.7109375" hidden="1" customWidth="1" outlineLevel="1" collapsed="1"/>
    <col min="42" max="43" width="11.7109375" hidden="1" customWidth="1" outlineLevel="2"/>
    <col min="44" max="44" width="11.7109375" hidden="1" customWidth="1" outlineLevel="1" collapsed="1"/>
    <col min="45" max="46" width="11.7109375" hidden="1" customWidth="1" outlineLevel="2"/>
    <col min="47" max="47" width="9.140625" customWidth="1" collapsed="1"/>
    <col min="48" max="67" width="9.140625" customWidth="1"/>
  </cols>
  <sheetData>
    <row r="1" spans="1:47" ht="15.75" customHeight="1">
      <c r="A1" s="329" t="s">
        <v>636</v>
      </c>
      <c r="B1" s="329"/>
      <c r="C1" s="329"/>
      <c r="D1" s="329"/>
      <c r="E1" s="329"/>
      <c r="F1" s="329"/>
      <c r="G1" s="329"/>
      <c r="H1" s="329"/>
      <c r="I1" s="65"/>
      <c r="J1" s="65"/>
      <c r="K1" s="66"/>
      <c r="L1" s="65"/>
      <c r="M1" s="65"/>
      <c r="N1" s="65"/>
      <c r="O1" s="65"/>
      <c r="P1" s="65"/>
      <c r="Q1" s="65"/>
      <c r="R1" s="65"/>
      <c r="S1" s="65"/>
      <c r="T1" s="65"/>
      <c r="U1" s="65"/>
      <c r="V1" s="65"/>
      <c r="W1" s="65"/>
      <c r="X1" s="65"/>
      <c r="Y1" s="65"/>
      <c r="Z1" s="65"/>
      <c r="AA1" s="65"/>
      <c r="AB1" s="65"/>
      <c r="AC1" s="65"/>
      <c r="AD1" s="65"/>
      <c r="AE1" s="65"/>
      <c r="AF1" s="65"/>
      <c r="AG1" s="65"/>
      <c r="AH1" s="65"/>
      <c r="AI1" s="65"/>
      <c r="AJ1" s="65"/>
      <c r="AK1" s="65"/>
      <c r="AL1" s="65"/>
      <c r="AM1" s="65"/>
      <c r="AN1" s="65"/>
      <c r="AO1" s="65"/>
      <c r="AP1" s="65"/>
      <c r="AQ1" s="65"/>
      <c r="AR1" s="65"/>
      <c r="AS1" s="65"/>
      <c r="AT1" s="65"/>
      <c r="AU1" s="12"/>
    </row>
    <row r="2" spans="1:47" s="129" customFormat="1" ht="48.75">
      <c r="A2" s="124" t="s">
        <v>16</v>
      </c>
      <c r="B2" s="124" t="s">
        <v>637</v>
      </c>
      <c r="C2" s="124" t="s">
        <v>458</v>
      </c>
      <c r="D2" s="124" t="s">
        <v>51</v>
      </c>
      <c r="E2" s="124" t="s">
        <v>52</v>
      </c>
      <c r="F2" s="124" t="s">
        <v>53</v>
      </c>
      <c r="G2" s="124" t="s">
        <v>54</v>
      </c>
      <c r="H2" s="112" t="s">
        <v>777</v>
      </c>
      <c r="I2" s="125" t="s">
        <v>639</v>
      </c>
      <c r="J2" s="125" t="s">
        <v>640</v>
      </c>
      <c r="K2" s="126" t="s">
        <v>641</v>
      </c>
      <c r="L2" s="126" t="s">
        <v>642</v>
      </c>
      <c r="M2" s="125" t="s">
        <v>640</v>
      </c>
      <c r="N2" s="126" t="s">
        <v>641</v>
      </c>
      <c r="O2" s="126" t="s">
        <v>642</v>
      </c>
      <c r="P2" s="125" t="s">
        <v>640</v>
      </c>
      <c r="Q2" s="126" t="s">
        <v>641</v>
      </c>
      <c r="R2" s="126" t="s">
        <v>642</v>
      </c>
      <c r="S2" s="125" t="s">
        <v>640</v>
      </c>
      <c r="T2" s="126" t="s">
        <v>641</v>
      </c>
      <c r="U2" s="126" t="s">
        <v>642</v>
      </c>
      <c r="V2" s="125" t="s">
        <v>640</v>
      </c>
      <c r="W2" s="126" t="s">
        <v>641</v>
      </c>
      <c r="X2" s="126" t="s">
        <v>642</v>
      </c>
      <c r="Y2" s="125" t="s">
        <v>640</v>
      </c>
      <c r="Z2" s="126" t="s">
        <v>641</v>
      </c>
      <c r="AA2" s="126" t="s">
        <v>642</v>
      </c>
      <c r="AB2" s="127" t="s">
        <v>643</v>
      </c>
      <c r="AC2" s="127" t="s">
        <v>640</v>
      </c>
      <c r="AD2" s="128" t="s">
        <v>641</v>
      </c>
      <c r="AE2" s="128" t="s">
        <v>642</v>
      </c>
      <c r="AF2" s="127" t="s">
        <v>640</v>
      </c>
      <c r="AG2" s="128" t="s">
        <v>641</v>
      </c>
      <c r="AH2" s="128" t="s">
        <v>642</v>
      </c>
      <c r="AI2" s="127" t="s">
        <v>640</v>
      </c>
      <c r="AJ2" s="128" t="s">
        <v>641</v>
      </c>
      <c r="AK2" s="128" t="s">
        <v>642</v>
      </c>
      <c r="AL2" s="127" t="s">
        <v>640</v>
      </c>
      <c r="AM2" s="128" t="s">
        <v>641</v>
      </c>
      <c r="AN2" s="128" t="s">
        <v>642</v>
      </c>
      <c r="AO2" s="127" t="s">
        <v>640</v>
      </c>
      <c r="AP2" s="128" t="s">
        <v>641</v>
      </c>
      <c r="AQ2" s="128" t="s">
        <v>642</v>
      </c>
      <c r="AR2" s="127" t="s">
        <v>640</v>
      </c>
      <c r="AS2" s="128" t="s">
        <v>641</v>
      </c>
      <c r="AT2" s="128" t="s">
        <v>642</v>
      </c>
      <c r="AU2" s="12"/>
    </row>
    <row r="3" spans="1:47">
      <c r="A3" s="113"/>
      <c r="B3" s="113"/>
      <c r="C3" s="114"/>
      <c r="D3" s="115"/>
      <c r="E3" s="149"/>
      <c r="F3" s="114"/>
      <c r="G3" s="151"/>
      <c r="H3" s="116"/>
      <c r="I3" s="117"/>
      <c r="J3" s="117">
        <v>46174</v>
      </c>
      <c r="K3" s="146" t="s">
        <v>557</v>
      </c>
      <c r="L3" s="118" t="s">
        <v>557</v>
      </c>
      <c r="M3" s="117">
        <f>J3+1</f>
        <v>46175</v>
      </c>
      <c r="N3" s="118" t="s">
        <v>557</v>
      </c>
      <c r="O3" s="118" t="s">
        <v>557</v>
      </c>
      <c r="P3" s="117">
        <f>J3+2</f>
        <v>46176</v>
      </c>
      <c r="Q3" s="118" t="s">
        <v>557</v>
      </c>
      <c r="R3" s="118" t="s">
        <v>557</v>
      </c>
      <c r="S3" s="117">
        <f>J3+3</f>
        <v>46177</v>
      </c>
      <c r="T3" s="118" t="s">
        <v>557</v>
      </c>
      <c r="U3" s="118" t="s">
        <v>557</v>
      </c>
      <c r="V3" s="117">
        <f>J3+4</f>
        <v>46178</v>
      </c>
      <c r="W3" s="118" t="s">
        <v>557</v>
      </c>
      <c r="X3" s="118" t="s">
        <v>557</v>
      </c>
      <c r="Y3" s="117">
        <f>J3+5</f>
        <v>46179</v>
      </c>
      <c r="Z3" s="118" t="s">
        <v>557</v>
      </c>
      <c r="AA3" s="118" t="s">
        <v>557</v>
      </c>
      <c r="AB3" s="119"/>
      <c r="AC3" s="119">
        <v>46181</v>
      </c>
      <c r="AD3" s="120" t="s">
        <v>557</v>
      </c>
      <c r="AE3" s="120" t="s">
        <v>557</v>
      </c>
      <c r="AF3" s="130">
        <f>AC3+1</f>
        <v>46182</v>
      </c>
      <c r="AG3" s="131" t="s">
        <v>557</v>
      </c>
      <c r="AH3" s="131" t="s">
        <v>557</v>
      </c>
      <c r="AI3" s="130">
        <f>AC3+2</f>
        <v>46183</v>
      </c>
      <c r="AJ3" s="131" t="s">
        <v>557</v>
      </c>
      <c r="AK3" s="131" t="s">
        <v>557</v>
      </c>
      <c r="AL3" s="130">
        <f>AC3+3</f>
        <v>46184</v>
      </c>
      <c r="AM3" s="131" t="s">
        <v>557</v>
      </c>
      <c r="AN3" s="131" t="s">
        <v>557</v>
      </c>
      <c r="AO3" s="130">
        <f>AC3+4</f>
        <v>46185</v>
      </c>
      <c r="AP3" s="131" t="s">
        <v>557</v>
      </c>
      <c r="AQ3" s="131" t="s">
        <v>557</v>
      </c>
      <c r="AR3" s="130">
        <f>AC3+5</f>
        <v>46186</v>
      </c>
      <c r="AS3" s="120" t="s">
        <v>557</v>
      </c>
      <c r="AT3" s="120" t="s">
        <v>557</v>
      </c>
      <c r="AU3" s="12"/>
    </row>
    <row r="4" spans="1:47">
      <c r="A4" s="36" t="s">
        <v>211</v>
      </c>
      <c r="B4" s="82"/>
      <c r="C4" s="81" t="str">
        <f>IF($B4="","",INDEX('All Bảng'!C:C,MATCH(IT!$B4,'All Bảng'!$A:$A,0)))</f>
        <v/>
      </c>
      <c r="D4" s="81" t="str">
        <f>IF($B4="","",INDEX('All Bảng'!D:D,MATCH(IT!$B4,'All Bảng'!$A:$A,0)))</f>
        <v/>
      </c>
      <c r="E4" s="81" t="str">
        <f>IF($B4="","",INDEX('All Bảng'!E:E,MATCH(IT!$B4,'All Bảng'!$A:$A,0)))</f>
        <v/>
      </c>
      <c r="F4" s="81" t="str">
        <f>IF($B4="","",INDEX('All Bảng'!F:F,MATCH(IT!$B4,'All Bảng'!$A:$A,0)))</f>
        <v/>
      </c>
      <c r="G4" s="81" t="str">
        <f>IF($B4="","",INDEX('All Bảng'!G:G,MATCH(IT!$B4,'All Bảng'!$A:$A,0)))</f>
        <v/>
      </c>
      <c r="H4" s="121"/>
      <c r="I4" s="138"/>
      <c r="J4" s="138">
        <f>J$3</f>
        <v>46174</v>
      </c>
      <c r="K4" s="147" t="s">
        <v>557</v>
      </c>
      <c r="L4" s="133">
        <f>SUM(L5:L11)</f>
        <v>9</v>
      </c>
      <c r="M4" s="138">
        <f>M$3</f>
        <v>46175</v>
      </c>
      <c r="N4" s="132" t="s">
        <v>557</v>
      </c>
      <c r="O4" s="133">
        <f>SUM(O5:O11)</f>
        <v>0</v>
      </c>
      <c r="P4" s="138">
        <f>P$3</f>
        <v>46176</v>
      </c>
      <c r="Q4" s="132" t="s">
        <v>557</v>
      </c>
      <c r="R4" s="133">
        <f>SUM(R5:R11)</f>
        <v>0</v>
      </c>
      <c r="S4" s="138">
        <f>S$3</f>
        <v>46177</v>
      </c>
      <c r="T4" s="132" t="s">
        <v>557</v>
      </c>
      <c r="U4" s="133">
        <f>SUM(U5:U11)</f>
        <v>0</v>
      </c>
      <c r="V4" s="138">
        <f>V$3</f>
        <v>46178</v>
      </c>
      <c r="W4" s="132" t="s">
        <v>557</v>
      </c>
      <c r="X4" s="133">
        <f>SUM(X5:X11)</f>
        <v>0</v>
      </c>
      <c r="Y4" s="138">
        <f>Y$3</f>
        <v>46179</v>
      </c>
      <c r="Z4" s="132" t="s">
        <v>557</v>
      </c>
      <c r="AA4" s="133">
        <f>SUM(AA5:AA11)</f>
        <v>0</v>
      </c>
      <c r="AB4" s="138"/>
      <c r="AC4" s="138">
        <f>AC$3</f>
        <v>46181</v>
      </c>
      <c r="AD4" s="132" t="s">
        <v>557</v>
      </c>
      <c r="AE4" s="133">
        <f>SUM(AE5:AE11)</f>
        <v>0</v>
      </c>
      <c r="AF4" s="138">
        <f>AF$3</f>
        <v>46182</v>
      </c>
      <c r="AG4" s="132" t="s">
        <v>557</v>
      </c>
      <c r="AH4" s="133">
        <f>SUM(AH5:AH11)</f>
        <v>0</v>
      </c>
      <c r="AI4" s="138">
        <f>AI$3</f>
        <v>46183</v>
      </c>
      <c r="AJ4" s="132" t="s">
        <v>557</v>
      </c>
      <c r="AK4" s="133">
        <f>SUM(AK5:AK11)</f>
        <v>0</v>
      </c>
      <c r="AL4" s="138">
        <f>AL$3</f>
        <v>46184</v>
      </c>
      <c r="AM4" s="132" t="s">
        <v>557</v>
      </c>
      <c r="AN4" s="133">
        <f>SUM(AN5:AN11)</f>
        <v>0</v>
      </c>
      <c r="AO4" s="138">
        <f>AO$3</f>
        <v>46185</v>
      </c>
      <c r="AP4" s="132" t="s">
        <v>557</v>
      </c>
      <c r="AQ4" s="133">
        <f>SUM(AQ5:AQ11)</f>
        <v>0</v>
      </c>
      <c r="AR4" s="138">
        <f>AR$3</f>
        <v>46186</v>
      </c>
      <c r="AS4" s="132" t="s">
        <v>557</v>
      </c>
      <c r="AT4" s="133">
        <f>SUM(AT5:AT11)</f>
        <v>0</v>
      </c>
      <c r="AU4" s="134"/>
    </row>
    <row r="5" spans="1:47">
      <c r="A5" s="122" t="str">
        <f>$A$4</f>
        <v>Lê Huy Toàn</v>
      </c>
      <c r="B5" s="82" t="s">
        <v>844</v>
      </c>
      <c r="C5" s="81" t="str">
        <f>IF($B5="","",INDEX('All Bảng'!C:C,MATCH(IT!$B5,'All Bảng'!$A:$A,0)))</f>
        <v>Phát triển BIM Tools</v>
      </c>
      <c r="D5" s="81" t="str">
        <f>IF($B5="","",INDEX('All Bảng'!D:D,MATCH(IT!$B5,'All Bảng'!$A:$A,0)))</f>
        <v>CAD</v>
      </c>
      <c r="E5" s="81" t="str">
        <f>IF($B5="","",INDEX('All Bảng'!E:E,MATCH(IT!$B5,'All Bảng'!$A:$A,0)))</f>
        <v>Ghép dãy thấp tầng</v>
      </c>
      <c r="F5" s="81" t="str">
        <f>IF($B5="","",INDEX('All Bảng'!F:F,MATCH(IT!$B5,'All Bảng'!$A:$A,0)))</f>
        <v>BIM IT</v>
      </c>
      <c r="G5" s="81" t="str">
        <f>IF($B5="","",INDEX('All Bảng'!G:G,MATCH(IT!$B5,'All Bảng'!$A:$A,0)))</f>
        <v>Chạy thử và Đánh giá</v>
      </c>
      <c r="H5" s="121"/>
      <c r="I5" s="135"/>
      <c r="J5" s="135">
        <f>J$3</f>
        <v>46174</v>
      </c>
      <c r="K5" s="148"/>
      <c r="L5" s="137">
        <v>3</v>
      </c>
      <c r="M5" s="135">
        <f>M$3</f>
        <v>46175</v>
      </c>
      <c r="N5" s="136" t="s">
        <v>557</v>
      </c>
      <c r="O5" s="137" t="s">
        <v>557</v>
      </c>
      <c r="P5" s="135">
        <f>P$3</f>
        <v>46176</v>
      </c>
      <c r="Q5" s="136" t="s">
        <v>557</v>
      </c>
      <c r="R5" s="137" t="s">
        <v>557</v>
      </c>
      <c r="S5" s="135">
        <f>S$3</f>
        <v>46177</v>
      </c>
      <c r="T5" s="136" t="s">
        <v>557</v>
      </c>
      <c r="U5" s="137" t="s">
        <v>557</v>
      </c>
      <c r="V5" s="135">
        <f>V$3</f>
        <v>46178</v>
      </c>
      <c r="W5" s="136" t="s">
        <v>557</v>
      </c>
      <c r="X5" s="137" t="s">
        <v>557</v>
      </c>
      <c r="Y5" s="135">
        <f>Y$3</f>
        <v>46179</v>
      </c>
      <c r="Z5" s="136" t="s">
        <v>557</v>
      </c>
      <c r="AA5" s="137" t="s">
        <v>557</v>
      </c>
      <c r="AB5" s="135"/>
      <c r="AC5" s="135">
        <f>AC$3</f>
        <v>46181</v>
      </c>
      <c r="AD5" s="136" t="s">
        <v>557</v>
      </c>
      <c r="AE5" s="137" t="s">
        <v>557</v>
      </c>
      <c r="AF5" s="135">
        <f>AF$3</f>
        <v>46182</v>
      </c>
      <c r="AG5" s="136" t="s">
        <v>557</v>
      </c>
      <c r="AH5" s="137" t="s">
        <v>557</v>
      </c>
      <c r="AI5" s="135">
        <f>AI$3</f>
        <v>46183</v>
      </c>
      <c r="AJ5" s="136" t="s">
        <v>557</v>
      </c>
      <c r="AK5" s="137" t="s">
        <v>557</v>
      </c>
      <c r="AL5" s="135">
        <f>AL$3</f>
        <v>46184</v>
      </c>
      <c r="AM5" s="136" t="s">
        <v>557</v>
      </c>
      <c r="AN5" s="137" t="s">
        <v>557</v>
      </c>
      <c r="AO5" s="135">
        <f>AO$3</f>
        <v>46185</v>
      </c>
      <c r="AP5" s="136" t="s">
        <v>557</v>
      </c>
      <c r="AQ5" s="137" t="s">
        <v>557</v>
      </c>
      <c r="AR5" s="135">
        <f>AR$3</f>
        <v>46186</v>
      </c>
      <c r="AS5" s="136" t="s">
        <v>557</v>
      </c>
      <c r="AT5" s="137" t="s">
        <v>557</v>
      </c>
      <c r="AU5" s="12"/>
    </row>
    <row r="6" spans="1:47">
      <c r="A6" s="122" t="str">
        <f>$A$4</f>
        <v>Lê Huy Toàn</v>
      </c>
      <c r="B6" s="82" t="s">
        <v>845</v>
      </c>
      <c r="C6" s="81" t="str">
        <f>IF($B6="","",INDEX('All Bảng'!C:C,MATCH(IT!$B6,'All Bảng'!$A:$A,0)))</f>
        <v>Phát triển BIM Tools</v>
      </c>
      <c r="D6" s="81" t="str">
        <f>IF($B6="","",INDEX('All Bảng'!D:D,MATCH(IT!$B6,'All Bảng'!$A:$A,0)))</f>
        <v>CAD</v>
      </c>
      <c r="E6" s="81" t="str">
        <f>IF($B6="","",INDEX('All Bảng'!E:E,MATCH(IT!$B6,'All Bảng'!$A:$A,0)))</f>
        <v>Ghép dãy thấp tầng</v>
      </c>
      <c r="F6" s="81" t="str">
        <f>IF($B6="","",INDEX('All Bảng'!F:F,MATCH(IT!$B6,'All Bảng'!$A:$A,0)))</f>
        <v>BIM IT</v>
      </c>
      <c r="G6" s="81" t="str">
        <f>IF($B6="","",INDEX('All Bảng'!G:G,MATCH(IT!$B6,'All Bảng'!$A:$A,0)))</f>
        <v>Fix lỗi</v>
      </c>
      <c r="H6" s="121"/>
      <c r="I6" s="135"/>
      <c r="J6" s="135">
        <f>J$3</f>
        <v>46174</v>
      </c>
      <c r="K6" s="148" t="s">
        <v>557</v>
      </c>
      <c r="L6" s="137">
        <v>5</v>
      </c>
      <c r="M6" s="135">
        <f>M$3</f>
        <v>46175</v>
      </c>
      <c r="N6" s="136" t="s">
        <v>557</v>
      </c>
      <c r="O6" s="137" t="s">
        <v>557</v>
      </c>
      <c r="P6" s="135">
        <f>P$3</f>
        <v>46176</v>
      </c>
      <c r="Q6" s="136" t="s">
        <v>557</v>
      </c>
      <c r="R6" s="137" t="s">
        <v>557</v>
      </c>
      <c r="S6" s="135">
        <f>S$3</f>
        <v>46177</v>
      </c>
      <c r="T6" s="136" t="s">
        <v>557</v>
      </c>
      <c r="U6" s="137" t="s">
        <v>557</v>
      </c>
      <c r="V6" s="135">
        <f>V$3</f>
        <v>46178</v>
      </c>
      <c r="W6" s="136" t="s">
        <v>557</v>
      </c>
      <c r="X6" s="137" t="s">
        <v>557</v>
      </c>
      <c r="Y6" s="135">
        <f>Y$3</f>
        <v>46179</v>
      </c>
      <c r="Z6" s="136" t="s">
        <v>557</v>
      </c>
      <c r="AA6" s="137" t="s">
        <v>557</v>
      </c>
      <c r="AB6" s="135"/>
      <c r="AC6" s="135">
        <f>AC$3</f>
        <v>46181</v>
      </c>
      <c r="AD6" s="136" t="s">
        <v>557</v>
      </c>
      <c r="AE6" s="137" t="s">
        <v>557</v>
      </c>
      <c r="AF6" s="135">
        <f>AF$3</f>
        <v>46182</v>
      </c>
      <c r="AG6" s="136" t="s">
        <v>557</v>
      </c>
      <c r="AH6" s="137" t="s">
        <v>557</v>
      </c>
      <c r="AI6" s="135">
        <f>AI$3</f>
        <v>46183</v>
      </c>
      <c r="AJ6" s="136" t="s">
        <v>557</v>
      </c>
      <c r="AK6" s="137" t="s">
        <v>557</v>
      </c>
      <c r="AL6" s="135">
        <f>AL$3</f>
        <v>46184</v>
      </c>
      <c r="AM6" s="136" t="s">
        <v>557</v>
      </c>
      <c r="AN6" s="137" t="s">
        <v>557</v>
      </c>
      <c r="AO6" s="135">
        <f>AO$3</f>
        <v>46185</v>
      </c>
      <c r="AP6" s="136" t="s">
        <v>557</v>
      </c>
      <c r="AQ6" s="137" t="s">
        <v>557</v>
      </c>
      <c r="AR6" s="135">
        <f>AR$3</f>
        <v>46186</v>
      </c>
      <c r="AS6" s="136" t="s">
        <v>557</v>
      </c>
      <c r="AT6" s="137" t="s">
        <v>557</v>
      </c>
      <c r="AU6" s="12"/>
    </row>
    <row r="7" spans="1:47">
      <c r="A7" s="122" t="str">
        <f>$A$4</f>
        <v>Lê Huy Toàn</v>
      </c>
      <c r="B7" s="82" t="s">
        <v>846</v>
      </c>
      <c r="C7" s="81" t="str">
        <f>IF($B7="","",INDEX('All Bảng'!C:C,MATCH(IT!$B7,'All Bảng'!$A:$A,0)))</f>
        <v>Phát triển BIM Tools</v>
      </c>
      <c r="D7" s="81" t="str">
        <f>IF($B7="","",INDEX('All Bảng'!D:D,MATCH(IT!$B7,'All Bảng'!$A:$A,0)))</f>
        <v>CAD</v>
      </c>
      <c r="E7" s="81" t="str">
        <f>IF($B7="","",INDEX('All Bảng'!E:E,MATCH(IT!$B7,'All Bảng'!$A:$A,0)))</f>
        <v>Ghép dãy thấp tầng</v>
      </c>
      <c r="F7" s="81" t="str">
        <f>IF($B7="","",INDEX('All Bảng'!F:F,MATCH(IT!$B7,'All Bảng'!$A:$A,0)))</f>
        <v>BIM IT</v>
      </c>
      <c r="G7" s="81" t="str">
        <f>IF($B7="","",INDEX('All Bảng'!G:G,MATCH(IT!$B7,'All Bảng'!$A:$A,0)))</f>
        <v>Hướng dẫn sử dụng</v>
      </c>
      <c r="H7" s="121"/>
      <c r="I7" s="135"/>
      <c r="J7" s="135">
        <f>J$3</f>
        <v>46174</v>
      </c>
      <c r="K7" s="148" t="s">
        <v>557</v>
      </c>
      <c r="L7" s="137">
        <v>1</v>
      </c>
      <c r="M7" s="135">
        <f>M$3</f>
        <v>46175</v>
      </c>
      <c r="N7" s="136" t="s">
        <v>557</v>
      </c>
      <c r="O7" s="137" t="s">
        <v>557</v>
      </c>
      <c r="P7" s="135">
        <f>P$3</f>
        <v>46176</v>
      </c>
      <c r="Q7" s="136" t="s">
        <v>557</v>
      </c>
      <c r="R7" s="137" t="s">
        <v>557</v>
      </c>
      <c r="S7" s="135">
        <f>S$3</f>
        <v>46177</v>
      </c>
      <c r="T7" s="136" t="s">
        <v>557</v>
      </c>
      <c r="U7" s="137" t="s">
        <v>557</v>
      </c>
      <c r="V7" s="135">
        <f>V$3</f>
        <v>46178</v>
      </c>
      <c r="W7" s="136" t="s">
        <v>557</v>
      </c>
      <c r="X7" s="137" t="s">
        <v>557</v>
      </c>
      <c r="Y7" s="135">
        <f>Y$3</f>
        <v>46179</v>
      </c>
      <c r="Z7" s="136" t="s">
        <v>557</v>
      </c>
      <c r="AA7" s="137" t="s">
        <v>557</v>
      </c>
      <c r="AB7" s="135"/>
      <c r="AC7" s="135">
        <f>AC$3</f>
        <v>46181</v>
      </c>
      <c r="AD7" s="136" t="s">
        <v>557</v>
      </c>
      <c r="AE7" s="137" t="s">
        <v>557</v>
      </c>
      <c r="AF7" s="135">
        <f>AF$3</f>
        <v>46182</v>
      </c>
      <c r="AG7" s="136" t="s">
        <v>557</v>
      </c>
      <c r="AH7" s="137" t="s">
        <v>557</v>
      </c>
      <c r="AI7" s="135">
        <f>AI$3</f>
        <v>46183</v>
      </c>
      <c r="AJ7" s="136" t="s">
        <v>557</v>
      </c>
      <c r="AK7" s="137" t="s">
        <v>557</v>
      </c>
      <c r="AL7" s="135">
        <f>AL$3</f>
        <v>46184</v>
      </c>
      <c r="AM7" s="136" t="s">
        <v>557</v>
      </c>
      <c r="AN7" s="137" t="s">
        <v>557</v>
      </c>
      <c r="AO7" s="135">
        <f>AO$3</f>
        <v>46185</v>
      </c>
      <c r="AP7" s="136" t="s">
        <v>557</v>
      </c>
      <c r="AQ7" s="137" t="s">
        <v>557</v>
      </c>
      <c r="AR7" s="135">
        <f>AR$3</f>
        <v>46186</v>
      </c>
      <c r="AS7" s="136" t="s">
        <v>557</v>
      </c>
      <c r="AT7" s="137" t="s">
        <v>557</v>
      </c>
      <c r="AU7" s="12"/>
    </row>
    <row r="8" spans="1:47">
      <c r="A8" s="122" t="str">
        <f>$A$4</f>
        <v>Lê Huy Toàn</v>
      </c>
      <c r="B8" s="28"/>
      <c r="C8" s="81" t="str">
        <f>IF($B8="","",INDEX('All Bảng'!C:C,MATCH(IT!$B8,'All Bảng'!$A:$A,0)))</f>
        <v/>
      </c>
      <c r="D8" s="81" t="str">
        <f>IF($B8="","",INDEX('All Bảng'!D:D,MATCH(IT!$B8,'All Bảng'!$A:$A,0)))</f>
        <v/>
      </c>
      <c r="E8" s="81" t="str">
        <f>IF($B8="","",INDEX('All Bảng'!E:E,MATCH(IT!$B8,'All Bảng'!$A:$A,0)))</f>
        <v/>
      </c>
      <c r="F8" s="81" t="str">
        <f>IF($B8="","",INDEX('All Bảng'!F:F,MATCH(IT!$B8,'All Bảng'!$A:$A,0)))</f>
        <v/>
      </c>
      <c r="G8" s="81" t="str">
        <f>IF($B8="","",INDEX('All Bảng'!G:G,MATCH(IT!$B8,'All Bảng'!$A:$A,0)))</f>
        <v/>
      </c>
      <c r="H8" s="121"/>
      <c r="I8" s="135"/>
      <c r="J8" s="135">
        <f>J$3</f>
        <v>46174</v>
      </c>
      <c r="K8" s="148" t="s">
        <v>557</v>
      </c>
      <c r="L8" s="137" t="s">
        <v>557</v>
      </c>
      <c r="M8" s="135">
        <f>M$3</f>
        <v>46175</v>
      </c>
      <c r="N8" s="136" t="s">
        <v>557</v>
      </c>
      <c r="O8" s="137" t="s">
        <v>557</v>
      </c>
      <c r="P8" s="135">
        <f>P$3</f>
        <v>46176</v>
      </c>
      <c r="Q8" s="136" t="s">
        <v>557</v>
      </c>
      <c r="R8" s="137" t="s">
        <v>557</v>
      </c>
      <c r="S8" s="135">
        <f>S$3</f>
        <v>46177</v>
      </c>
      <c r="T8" s="136" t="s">
        <v>557</v>
      </c>
      <c r="U8" s="137" t="s">
        <v>557</v>
      </c>
      <c r="V8" s="135">
        <f>V$3</f>
        <v>46178</v>
      </c>
      <c r="W8" s="136" t="s">
        <v>557</v>
      </c>
      <c r="X8" s="137" t="s">
        <v>557</v>
      </c>
      <c r="Y8" s="135">
        <f>Y$3</f>
        <v>46179</v>
      </c>
      <c r="Z8" s="136" t="s">
        <v>557</v>
      </c>
      <c r="AA8" s="137" t="s">
        <v>557</v>
      </c>
      <c r="AB8" s="135"/>
      <c r="AC8" s="135">
        <f>AC$3</f>
        <v>46181</v>
      </c>
      <c r="AD8" s="136" t="s">
        <v>557</v>
      </c>
      <c r="AE8" s="137" t="s">
        <v>557</v>
      </c>
      <c r="AF8" s="135">
        <f>AF$3</f>
        <v>46182</v>
      </c>
      <c r="AG8" s="136" t="s">
        <v>557</v>
      </c>
      <c r="AH8" s="137" t="s">
        <v>557</v>
      </c>
      <c r="AI8" s="135">
        <f>AI$3</f>
        <v>46183</v>
      </c>
      <c r="AJ8" s="136" t="s">
        <v>557</v>
      </c>
      <c r="AK8" s="137" t="s">
        <v>557</v>
      </c>
      <c r="AL8" s="135">
        <f>AL$3</f>
        <v>46184</v>
      </c>
      <c r="AM8" s="136" t="s">
        <v>557</v>
      </c>
      <c r="AN8" s="137" t="s">
        <v>557</v>
      </c>
      <c r="AO8" s="135">
        <f>AO$3</f>
        <v>46185</v>
      </c>
      <c r="AP8" s="136" t="s">
        <v>557</v>
      </c>
      <c r="AQ8" s="137" t="s">
        <v>557</v>
      </c>
      <c r="AR8" s="135">
        <f>AR$3</f>
        <v>46186</v>
      </c>
      <c r="AS8" s="136" t="s">
        <v>557</v>
      </c>
      <c r="AT8" s="137" t="s">
        <v>557</v>
      </c>
      <c r="AU8" s="12"/>
    </row>
    <row r="9" spans="1:47">
      <c r="A9" s="122" t="str">
        <f>$A$4</f>
        <v>Lê Huy Toàn</v>
      </c>
      <c r="B9" s="28"/>
      <c r="C9" s="81" t="str">
        <f>IF($B9="","",INDEX('All Bảng'!C:C,MATCH(IT!$B9,'All Bảng'!$A:$A,0)))</f>
        <v/>
      </c>
      <c r="D9" s="81" t="str">
        <f>IF($B9="","",INDEX('All Bảng'!D:D,MATCH(IT!$B9,'All Bảng'!$A:$A,0)))</f>
        <v/>
      </c>
      <c r="E9" s="81" t="str">
        <f>IF($B9="","",INDEX('All Bảng'!E:E,MATCH(IT!$B9,'All Bảng'!$A:$A,0)))</f>
        <v/>
      </c>
      <c r="F9" s="81" t="str">
        <f>IF($B9="","",INDEX('All Bảng'!F:F,MATCH(IT!$B9,'All Bảng'!$A:$A,0)))</f>
        <v/>
      </c>
      <c r="G9" s="81" t="str">
        <f>IF($B9="","",INDEX('All Bảng'!G:G,MATCH(IT!$B9,'All Bảng'!$A:$A,0)))</f>
        <v/>
      </c>
      <c r="H9" s="121"/>
      <c r="I9" s="135"/>
      <c r="J9" s="135">
        <f>J$3</f>
        <v>46174</v>
      </c>
      <c r="K9" s="148" t="s">
        <v>557</v>
      </c>
      <c r="L9" s="137" t="s">
        <v>557</v>
      </c>
      <c r="M9" s="135">
        <f>M$3</f>
        <v>46175</v>
      </c>
      <c r="N9" s="136" t="s">
        <v>557</v>
      </c>
      <c r="O9" s="137" t="s">
        <v>557</v>
      </c>
      <c r="P9" s="135">
        <f>P$3</f>
        <v>46176</v>
      </c>
      <c r="Q9" s="136" t="s">
        <v>557</v>
      </c>
      <c r="R9" s="137" t="s">
        <v>557</v>
      </c>
      <c r="S9" s="135">
        <f>S$3</f>
        <v>46177</v>
      </c>
      <c r="T9" s="136" t="s">
        <v>557</v>
      </c>
      <c r="U9" s="137" t="s">
        <v>557</v>
      </c>
      <c r="V9" s="135">
        <f>V$3</f>
        <v>46178</v>
      </c>
      <c r="W9" s="136" t="s">
        <v>557</v>
      </c>
      <c r="X9" s="137" t="s">
        <v>557</v>
      </c>
      <c r="Y9" s="135">
        <f>Y$3</f>
        <v>46179</v>
      </c>
      <c r="Z9" s="136" t="s">
        <v>557</v>
      </c>
      <c r="AA9" s="137" t="s">
        <v>557</v>
      </c>
      <c r="AB9" s="135"/>
      <c r="AC9" s="135">
        <f>AC$3</f>
        <v>46181</v>
      </c>
      <c r="AD9" s="136" t="s">
        <v>557</v>
      </c>
      <c r="AE9" s="137" t="s">
        <v>557</v>
      </c>
      <c r="AF9" s="135">
        <f>AF$3</f>
        <v>46182</v>
      </c>
      <c r="AG9" s="136" t="s">
        <v>557</v>
      </c>
      <c r="AH9" s="137" t="s">
        <v>557</v>
      </c>
      <c r="AI9" s="135">
        <f>AI$3</f>
        <v>46183</v>
      </c>
      <c r="AJ9" s="136" t="s">
        <v>557</v>
      </c>
      <c r="AK9" s="137" t="s">
        <v>557</v>
      </c>
      <c r="AL9" s="135">
        <f>AL$3</f>
        <v>46184</v>
      </c>
      <c r="AM9" s="136" t="s">
        <v>557</v>
      </c>
      <c r="AN9" s="137" t="s">
        <v>557</v>
      </c>
      <c r="AO9" s="135">
        <f>AO$3</f>
        <v>46185</v>
      </c>
      <c r="AP9" s="136" t="s">
        <v>557</v>
      </c>
      <c r="AQ9" s="137" t="s">
        <v>557</v>
      </c>
      <c r="AR9" s="135">
        <f>AR$3</f>
        <v>46186</v>
      </c>
      <c r="AS9" s="136" t="s">
        <v>557</v>
      </c>
      <c r="AT9" s="137" t="s">
        <v>557</v>
      </c>
      <c r="AU9" s="12"/>
    </row>
    <row r="10" spans="1:47">
      <c r="A10" s="122" t="str">
        <f>$A$4</f>
        <v>Lê Huy Toàn</v>
      </c>
      <c r="B10" s="28"/>
      <c r="C10" s="81" t="str">
        <f>IF($B10="","",INDEX('All Bảng'!C:C,MATCH(IT!$B10,'All Bảng'!$A:$A,0)))</f>
        <v/>
      </c>
      <c r="D10" s="81" t="str">
        <f>IF($B10="","",INDEX('All Bảng'!D:D,MATCH(IT!$B10,'All Bảng'!$A:$A,0)))</f>
        <v/>
      </c>
      <c r="E10" s="81" t="str">
        <f>IF($B10="","",INDEX('All Bảng'!E:E,MATCH(IT!$B10,'All Bảng'!$A:$A,0)))</f>
        <v/>
      </c>
      <c r="F10" s="81" t="str">
        <f>IF($B10="","",INDEX('All Bảng'!F:F,MATCH(IT!$B10,'All Bảng'!$A:$A,0)))</f>
        <v/>
      </c>
      <c r="G10" s="81" t="str">
        <f>IF($B10="","",INDEX('All Bảng'!G:G,MATCH(IT!$B10,'All Bảng'!$A:$A,0)))</f>
        <v/>
      </c>
      <c r="H10" s="121"/>
      <c r="I10" s="135"/>
      <c r="J10" s="135">
        <f>J$3</f>
        <v>46174</v>
      </c>
      <c r="K10" s="148" t="s">
        <v>557</v>
      </c>
      <c r="L10" s="137" t="s">
        <v>557</v>
      </c>
      <c r="M10" s="135">
        <f>M$3</f>
        <v>46175</v>
      </c>
      <c r="N10" s="136" t="s">
        <v>557</v>
      </c>
      <c r="O10" s="137" t="s">
        <v>557</v>
      </c>
      <c r="P10" s="135">
        <f>P$3</f>
        <v>46176</v>
      </c>
      <c r="Q10" s="136" t="s">
        <v>557</v>
      </c>
      <c r="R10" s="137" t="s">
        <v>557</v>
      </c>
      <c r="S10" s="135">
        <f>S$3</f>
        <v>46177</v>
      </c>
      <c r="T10" s="136" t="s">
        <v>557</v>
      </c>
      <c r="U10" s="137" t="s">
        <v>557</v>
      </c>
      <c r="V10" s="135">
        <f>V$3</f>
        <v>46178</v>
      </c>
      <c r="W10" s="136" t="s">
        <v>557</v>
      </c>
      <c r="X10" s="137" t="s">
        <v>557</v>
      </c>
      <c r="Y10" s="135">
        <f>Y$3</f>
        <v>46179</v>
      </c>
      <c r="Z10" s="136" t="s">
        <v>557</v>
      </c>
      <c r="AA10" s="137" t="s">
        <v>557</v>
      </c>
      <c r="AB10" s="135"/>
      <c r="AC10" s="135">
        <f>AC$3</f>
        <v>46181</v>
      </c>
      <c r="AD10" s="136" t="s">
        <v>557</v>
      </c>
      <c r="AE10" s="137" t="s">
        <v>557</v>
      </c>
      <c r="AF10" s="135">
        <f>AF$3</f>
        <v>46182</v>
      </c>
      <c r="AG10" s="136" t="s">
        <v>557</v>
      </c>
      <c r="AH10" s="137" t="s">
        <v>557</v>
      </c>
      <c r="AI10" s="135">
        <f>AI$3</f>
        <v>46183</v>
      </c>
      <c r="AJ10" s="136" t="s">
        <v>557</v>
      </c>
      <c r="AK10" s="137" t="s">
        <v>557</v>
      </c>
      <c r="AL10" s="135">
        <f>AL$3</f>
        <v>46184</v>
      </c>
      <c r="AM10" s="136" t="s">
        <v>557</v>
      </c>
      <c r="AN10" s="137" t="s">
        <v>557</v>
      </c>
      <c r="AO10" s="135">
        <f>AO$3</f>
        <v>46185</v>
      </c>
      <c r="AP10" s="136" t="s">
        <v>557</v>
      </c>
      <c r="AQ10" s="137" t="s">
        <v>557</v>
      </c>
      <c r="AR10" s="135">
        <f>AR$3</f>
        <v>46186</v>
      </c>
      <c r="AS10" s="136" t="s">
        <v>557</v>
      </c>
      <c r="AT10" s="137" t="s">
        <v>557</v>
      </c>
      <c r="AU10" s="12"/>
    </row>
    <row r="11" spans="1:47">
      <c r="A11" s="122" t="str">
        <f>$A$4</f>
        <v>Lê Huy Toàn</v>
      </c>
      <c r="B11" s="28">
        <f ca="1">"5."&amp;E11&amp;"."&amp;C11</f>
        <v>0</v>
      </c>
      <c r="C11" s="81" t="str">
        <f ca="1">IF($B11="","",INDEX('All Bảng'!C:C,MATCH(IT!$B11,'All Bảng'!$A:$A,0)))</f>
        <v/>
      </c>
      <c r="D11" s="81" t="str">
        <f ca="1">IF($B11="","",INDEX('All Bảng'!D:D,MATCH(IT!$B11,'All Bảng'!$A:$A,0)))</f>
        <v/>
      </c>
      <c r="E11" s="81" t="str">
        <f ca="1">IF($B11="","",INDEX('All Bảng'!E:E,MATCH(IT!$B11,'All Bảng'!$A:$A,0)))</f>
        <v/>
      </c>
      <c r="F11" s="81" t="str">
        <f ca="1">IF($B11="","",INDEX('All Bảng'!F:F,MATCH(IT!$B11,'All Bảng'!$A:$A,0)))</f>
        <v/>
      </c>
      <c r="G11" s="81" t="str">
        <f ca="1">IF($B11="","",INDEX('All Bảng'!G:G,MATCH(IT!$B11,'All Bảng'!$A:$A,0)))</f>
        <v/>
      </c>
      <c r="H11" s="121"/>
      <c r="I11" s="135"/>
      <c r="J11" s="135">
        <f>J$3</f>
        <v>46174</v>
      </c>
      <c r="K11" s="148" t="s">
        <v>557</v>
      </c>
      <c r="L11" s="137" t="s">
        <v>557</v>
      </c>
      <c r="M11" s="135">
        <f>M$3</f>
        <v>46175</v>
      </c>
      <c r="N11" s="136" t="s">
        <v>557</v>
      </c>
      <c r="O11" s="137" t="s">
        <v>557</v>
      </c>
      <c r="P11" s="135">
        <f>P$3</f>
        <v>46176</v>
      </c>
      <c r="Q11" s="136" t="s">
        <v>557</v>
      </c>
      <c r="R11" s="137" t="s">
        <v>557</v>
      </c>
      <c r="S11" s="135">
        <f>S$3</f>
        <v>46177</v>
      </c>
      <c r="T11" s="136" t="s">
        <v>557</v>
      </c>
      <c r="U11" s="137" t="s">
        <v>557</v>
      </c>
      <c r="V11" s="135">
        <f>V$3</f>
        <v>46178</v>
      </c>
      <c r="W11" s="136" t="s">
        <v>557</v>
      </c>
      <c r="X11" s="137" t="s">
        <v>557</v>
      </c>
      <c r="Y11" s="135">
        <f>Y$3</f>
        <v>46179</v>
      </c>
      <c r="Z11" s="136" t="s">
        <v>557</v>
      </c>
      <c r="AA11" s="137" t="s">
        <v>557</v>
      </c>
      <c r="AB11" s="135"/>
      <c r="AC11" s="135">
        <f>AC$3</f>
        <v>46181</v>
      </c>
      <c r="AD11" s="136" t="s">
        <v>557</v>
      </c>
      <c r="AE11" s="137" t="s">
        <v>557</v>
      </c>
      <c r="AF11" s="135">
        <f>AF$3</f>
        <v>46182</v>
      </c>
      <c r="AG11" s="136" t="s">
        <v>557</v>
      </c>
      <c r="AH11" s="137" t="s">
        <v>557</v>
      </c>
      <c r="AI11" s="135">
        <f>AI$3</f>
        <v>46183</v>
      </c>
      <c r="AJ11" s="136" t="s">
        <v>557</v>
      </c>
      <c r="AK11" s="137" t="s">
        <v>557</v>
      </c>
      <c r="AL11" s="135">
        <f>AL$3</f>
        <v>46184</v>
      </c>
      <c r="AM11" s="136" t="s">
        <v>557</v>
      </c>
      <c r="AN11" s="137" t="s">
        <v>557</v>
      </c>
      <c r="AO11" s="135">
        <f>AO$3</f>
        <v>46185</v>
      </c>
      <c r="AP11" s="136" t="s">
        <v>557</v>
      </c>
      <c r="AQ11" s="137" t="s">
        <v>557</v>
      </c>
      <c r="AR11" s="135">
        <f>AR$3</f>
        <v>46186</v>
      </c>
      <c r="AS11" s="136" t="s">
        <v>557</v>
      </c>
      <c r="AT11" s="137" t="s">
        <v>557</v>
      </c>
      <c r="AU11" s="12"/>
    </row>
    <row r="12" spans="1:47">
      <c r="A12" s="36" t="s">
        <v>267</v>
      </c>
      <c r="B12" s="28"/>
      <c r="C12" s="81" t="str">
        <f>IF($B12="","",INDEX('All Bảng'!C:C,MATCH(IT!$B12,'All Bảng'!$A:$A,0)))</f>
        <v/>
      </c>
      <c r="D12" s="81" t="str">
        <f>IF($B12="","",INDEX('All Bảng'!D:D,MATCH(IT!$B12,'All Bảng'!$A:$A,0)))</f>
        <v/>
      </c>
      <c r="E12" s="81" t="str">
        <f>IF($B12="","",INDEX('All Bảng'!E:E,MATCH(IT!$B12,'All Bảng'!$A:$A,0)))</f>
        <v/>
      </c>
      <c r="F12" s="81" t="str">
        <f>IF($B12="","",INDEX('All Bảng'!F:F,MATCH(IT!$B12,'All Bảng'!$A:$A,0)))</f>
        <v/>
      </c>
      <c r="G12" s="81" t="str">
        <f>IF($B12="","",INDEX('All Bảng'!G:G,MATCH(IT!$B12,'All Bảng'!$A:$A,0)))</f>
        <v/>
      </c>
      <c r="H12" s="121"/>
      <c r="I12" s="138"/>
      <c r="J12" s="138">
        <f>J$3</f>
        <v>46174</v>
      </c>
      <c r="K12" s="147" t="s">
        <v>557</v>
      </c>
      <c r="L12" s="133">
        <f>SUM(L13:L18)</f>
        <v>8.25</v>
      </c>
      <c r="M12" s="138">
        <f>M$3</f>
        <v>46175</v>
      </c>
      <c r="N12" s="132" t="s">
        <v>557</v>
      </c>
      <c r="O12" s="133">
        <f>SUM(O13:O18)</f>
        <v>8.5</v>
      </c>
      <c r="P12" s="138">
        <f>P$3</f>
        <v>46176</v>
      </c>
      <c r="Q12" s="132" t="s">
        <v>557</v>
      </c>
      <c r="R12" s="133">
        <f>SUM(R13:R26)</f>
        <v>6</v>
      </c>
      <c r="S12" s="138">
        <f>S$3</f>
        <v>46177</v>
      </c>
      <c r="T12" s="132" t="s">
        <v>557</v>
      </c>
      <c r="U12" s="133">
        <f>SUM(U13:U25)</f>
        <v>8</v>
      </c>
      <c r="V12" s="138">
        <f>V$3</f>
        <v>46178</v>
      </c>
      <c r="W12" s="132" t="s">
        <v>557</v>
      </c>
      <c r="X12" s="133">
        <f>SUM(X13:X18)</f>
        <v>0</v>
      </c>
      <c r="Y12" s="138">
        <f>Y$3</f>
        <v>46179</v>
      </c>
      <c r="Z12" s="132" t="s">
        <v>557</v>
      </c>
      <c r="AA12" s="133">
        <f>SUM(AA13:AA18)</f>
        <v>0</v>
      </c>
      <c r="AB12" s="138"/>
      <c r="AC12" s="138">
        <f>AC$3</f>
        <v>46181</v>
      </c>
      <c r="AD12" s="132" t="s">
        <v>557</v>
      </c>
      <c r="AE12" s="133">
        <f>SUM(AE13:AE18)</f>
        <v>0</v>
      </c>
      <c r="AF12" s="138">
        <f>AF$3</f>
        <v>46182</v>
      </c>
      <c r="AG12" s="132" t="s">
        <v>557</v>
      </c>
      <c r="AH12" s="133">
        <f>SUM(AH13:AH18)</f>
        <v>0</v>
      </c>
      <c r="AI12" s="138">
        <f>AI$3</f>
        <v>46183</v>
      </c>
      <c r="AJ12" s="132" t="s">
        <v>557</v>
      </c>
      <c r="AK12" s="133">
        <f>SUM(AK13:AK18)</f>
        <v>0</v>
      </c>
      <c r="AL12" s="138">
        <f>AL$3</f>
        <v>46184</v>
      </c>
      <c r="AM12" s="132" t="s">
        <v>557</v>
      </c>
      <c r="AN12" s="133">
        <f>SUM(AN13:AN18)</f>
        <v>0</v>
      </c>
      <c r="AO12" s="138">
        <f>AO$3</f>
        <v>46185</v>
      </c>
      <c r="AP12" s="132" t="s">
        <v>557</v>
      </c>
      <c r="AQ12" s="133">
        <f>SUM(AQ13:AQ18)</f>
        <v>0</v>
      </c>
      <c r="AR12" s="138">
        <f>AR$3</f>
        <v>46186</v>
      </c>
      <c r="AS12" s="132" t="s">
        <v>557</v>
      </c>
      <c r="AT12" s="133">
        <f>SUM(AT13:AT18)</f>
        <v>0</v>
      </c>
      <c r="AU12" s="134"/>
    </row>
    <row r="13" spans="1:47">
      <c r="A13" s="122" t="str">
        <f>$A$12</f>
        <v>Nguyễn Thanh Phương</v>
      </c>
      <c r="B13" s="28" t="s">
        <v>847</v>
      </c>
      <c r="C13" s="81" t="str">
        <f>IF($B13="","",INDEX('All Bảng'!C:C,MATCH(IT!$B13,'All Bảng'!$A:$A,0)))</f>
        <v>Phát triển BIM Tools</v>
      </c>
      <c r="D13" s="81" t="str">
        <f>IF($B13="","",INDEX('All Bảng'!D:D,MATCH(IT!$B13,'All Bảng'!$A:$A,0)))</f>
        <v>Revit</v>
      </c>
      <c r="E13" s="81" t="str">
        <f>IF($B13="","",INDEX('All Bảng'!E:E,MATCH(IT!$B13,'All Bảng'!$A:$A,0)))</f>
        <v xml:space="preserve">Edit Tường, Sàn KT </v>
      </c>
      <c r="F13" s="81" t="str">
        <f>IF($B13="","",INDEX('All Bảng'!F:F,MATCH(IT!$B13,'All Bảng'!$A:$A,0)))</f>
        <v>BIM IT</v>
      </c>
      <c r="G13" s="81" t="str">
        <f>IF($B13="","",INDEX('All Bảng'!G:G,MATCH(IT!$B13,'All Bảng'!$A:$A,0)))</f>
        <v>Thực hiện Code</v>
      </c>
      <c r="H13" s="121"/>
      <c r="I13" s="135"/>
      <c r="J13" s="135">
        <f>J$3</f>
        <v>46174</v>
      </c>
      <c r="K13" s="148" t="s">
        <v>557</v>
      </c>
      <c r="L13" s="137">
        <v>8</v>
      </c>
      <c r="M13" s="135">
        <f>M$3</f>
        <v>46175</v>
      </c>
      <c r="N13" s="136" t="s">
        <v>557</v>
      </c>
      <c r="O13" s="137" t="s">
        <v>557</v>
      </c>
      <c r="P13" s="135">
        <f>P$3</f>
        <v>46176</v>
      </c>
      <c r="Q13" s="136" t="s">
        <v>557</v>
      </c>
      <c r="R13" s="137" t="s">
        <v>557</v>
      </c>
      <c r="S13" s="135">
        <f>S$3</f>
        <v>46177</v>
      </c>
      <c r="T13" s="136" t="s">
        <v>557</v>
      </c>
      <c r="U13" s="137" t="s">
        <v>557</v>
      </c>
      <c r="V13" s="135">
        <f>V$3</f>
        <v>46178</v>
      </c>
      <c r="W13" s="136" t="s">
        <v>557</v>
      </c>
      <c r="X13" s="137" t="s">
        <v>557</v>
      </c>
      <c r="Y13" s="135">
        <f>Y$3</f>
        <v>46179</v>
      </c>
      <c r="Z13" s="136" t="s">
        <v>557</v>
      </c>
      <c r="AA13" s="137" t="s">
        <v>557</v>
      </c>
      <c r="AB13" s="135"/>
      <c r="AC13" s="135">
        <f>AC$3</f>
        <v>46181</v>
      </c>
      <c r="AD13" s="136" t="s">
        <v>557</v>
      </c>
      <c r="AE13" s="137" t="s">
        <v>557</v>
      </c>
      <c r="AF13" s="135">
        <f>AF$3</f>
        <v>46182</v>
      </c>
      <c r="AG13" s="136" t="s">
        <v>557</v>
      </c>
      <c r="AH13" s="137" t="s">
        <v>557</v>
      </c>
      <c r="AI13" s="135">
        <f>AI$3</f>
        <v>46183</v>
      </c>
      <c r="AJ13" s="136" t="s">
        <v>557</v>
      </c>
      <c r="AK13" s="137" t="s">
        <v>557</v>
      </c>
      <c r="AL13" s="135">
        <f>AL$3</f>
        <v>46184</v>
      </c>
      <c r="AM13" s="136" t="s">
        <v>557</v>
      </c>
      <c r="AN13" s="137" t="s">
        <v>557</v>
      </c>
      <c r="AO13" s="135">
        <f>AO$3</f>
        <v>46185</v>
      </c>
      <c r="AP13" s="136" t="s">
        <v>557</v>
      </c>
      <c r="AQ13" s="137" t="s">
        <v>557</v>
      </c>
      <c r="AR13" s="135">
        <f>AR$3</f>
        <v>46186</v>
      </c>
      <c r="AS13" s="136" t="s">
        <v>557</v>
      </c>
      <c r="AT13" s="137" t="s">
        <v>557</v>
      </c>
      <c r="AU13" s="12"/>
    </row>
    <row r="14" spans="1:47">
      <c r="A14" s="122" t="str">
        <f>$A$12</f>
        <v>Nguyễn Thanh Phương</v>
      </c>
      <c r="B14" s="28" t="s">
        <v>848</v>
      </c>
      <c r="C14" s="81" t="str">
        <f>IF($B14="","",INDEX('All Bảng'!C:C,MATCH(IT!$B14,'All Bảng'!$A:$A,0)))</f>
        <v>Phát triển BIM Tools</v>
      </c>
      <c r="D14" s="81" t="str">
        <f>IF($B14="","",INDEX('All Bảng'!D:D,MATCH(IT!$B14,'All Bảng'!$A:$A,0)))</f>
        <v>Revit</v>
      </c>
      <c r="E14" s="81" t="str">
        <f>IF($B14="","",INDEX('All Bảng'!E:E,MATCH(IT!$B14,'All Bảng'!$A:$A,0)))</f>
        <v xml:space="preserve">Edit Tường, Sàn KT </v>
      </c>
      <c r="F14" s="81" t="str">
        <f>IF($B14="","",INDEX('All Bảng'!F:F,MATCH(IT!$B14,'All Bảng'!$A:$A,0)))</f>
        <v>BIM IT</v>
      </c>
      <c r="G14" s="81" t="str">
        <f>IF($B14="","",INDEX('All Bảng'!G:G,MATCH(IT!$B14,'All Bảng'!$A:$A,0)))</f>
        <v>Chạy thử và Đánh giá</v>
      </c>
      <c r="H14" s="121"/>
      <c r="I14" s="135"/>
      <c r="J14" s="135">
        <f>J$3</f>
        <v>46174</v>
      </c>
      <c r="K14" s="148" t="s">
        <v>557</v>
      </c>
      <c r="L14" s="137">
        <v>0.25</v>
      </c>
      <c r="M14" s="135">
        <f>M$3</f>
        <v>46175</v>
      </c>
      <c r="N14" s="136" t="s">
        <v>557</v>
      </c>
      <c r="O14" s="137"/>
      <c r="P14" s="135">
        <f>P$3</f>
        <v>46176</v>
      </c>
      <c r="Q14" s="136" t="s">
        <v>557</v>
      </c>
      <c r="R14" s="137" t="s">
        <v>557</v>
      </c>
      <c r="S14" s="135">
        <f>S$3</f>
        <v>46177</v>
      </c>
      <c r="T14" s="136" t="s">
        <v>557</v>
      </c>
      <c r="U14" s="137" t="s">
        <v>557</v>
      </c>
      <c r="V14" s="135">
        <f>V$3</f>
        <v>46178</v>
      </c>
      <c r="W14" s="136" t="s">
        <v>557</v>
      </c>
      <c r="X14" s="137" t="s">
        <v>557</v>
      </c>
      <c r="Y14" s="135">
        <f>Y$3</f>
        <v>46179</v>
      </c>
      <c r="Z14" s="136" t="s">
        <v>557</v>
      </c>
      <c r="AA14" s="137" t="s">
        <v>557</v>
      </c>
      <c r="AB14" s="135"/>
      <c r="AC14" s="135">
        <f>AC$3</f>
        <v>46181</v>
      </c>
      <c r="AD14" s="136" t="s">
        <v>557</v>
      </c>
      <c r="AE14" s="137" t="s">
        <v>557</v>
      </c>
      <c r="AF14" s="135">
        <f>AF$3</f>
        <v>46182</v>
      </c>
      <c r="AG14" s="136" t="s">
        <v>557</v>
      </c>
      <c r="AH14" s="137" t="s">
        <v>557</v>
      </c>
      <c r="AI14" s="135">
        <f>AI$3</f>
        <v>46183</v>
      </c>
      <c r="AJ14" s="136" t="s">
        <v>557</v>
      </c>
      <c r="AK14" s="137" t="s">
        <v>557</v>
      </c>
      <c r="AL14" s="135">
        <f>AL$3</f>
        <v>46184</v>
      </c>
      <c r="AM14" s="136" t="s">
        <v>557</v>
      </c>
      <c r="AN14" s="137" t="s">
        <v>557</v>
      </c>
      <c r="AO14" s="135">
        <f>AO$3</f>
        <v>46185</v>
      </c>
      <c r="AP14" s="136" t="s">
        <v>557</v>
      </c>
      <c r="AQ14" s="137" t="s">
        <v>557</v>
      </c>
      <c r="AR14" s="135">
        <f>AR$3</f>
        <v>46186</v>
      </c>
      <c r="AS14" s="136" t="s">
        <v>557</v>
      </c>
      <c r="AT14" s="137" t="s">
        <v>557</v>
      </c>
      <c r="AU14" s="12"/>
    </row>
    <row r="15" spans="1:47">
      <c r="A15" s="122" t="str">
        <f>$A$12</f>
        <v>Nguyễn Thanh Phương</v>
      </c>
      <c r="B15" s="82" t="s">
        <v>849</v>
      </c>
      <c r="C15" s="81" t="str">
        <f>IF($B15="","",INDEX('All Bảng'!C:C,MATCH(IT!$B15,'All Bảng'!$A:$A,0)))</f>
        <v>Phát triển BIM Tools</v>
      </c>
      <c r="D15" s="81" t="str">
        <f>IF($B15="","",INDEX('All Bảng'!D:D,MATCH(IT!$B15,'All Bảng'!$A:$A,0)))</f>
        <v>Revit</v>
      </c>
      <c r="E15" s="81" t="str">
        <f>IF($B15="","",INDEX('All Bảng'!E:E,MATCH(IT!$B15,'All Bảng'!$A:$A,0)))</f>
        <v>Thống kê tình trạng bàn giao đất</v>
      </c>
      <c r="F15" s="81" t="str">
        <f>IF($B15="","",INDEX('All Bảng'!F:F,MATCH(IT!$B15,'All Bảng'!$A:$A,0)))</f>
        <v>BIM IT</v>
      </c>
      <c r="G15" s="81" t="str">
        <f>IF($B15="","",INDEX('All Bảng'!G:G,MATCH(IT!$B15,'All Bảng'!$A:$A,0)))</f>
        <v>Hướng dẫn sử dụng</v>
      </c>
      <c r="H15" s="121"/>
      <c r="I15" s="135"/>
      <c r="J15" s="135">
        <f>J$3</f>
        <v>46174</v>
      </c>
      <c r="K15" s="148" t="s">
        <v>557</v>
      </c>
      <c r="L15" s="137" t="s">
        <v>557</v>
      </c>
      <c r="M15" s="135">
        <f>M$3</f>
        <v>46175</v>
      </c>
      <c r="N15" s="136" t="s">
        <v>557</v>
      </c>
      <c r="O15" s="137">
        <v>4</v>
      </c>
      <c r="P15" s="135">
        <f>P$3</f>
        <v>46176</v>
      </c>
      <c r="Q15" s="136" t="s">
        <v>557</v>
      </c>
      <c r="R15" s="137" t="s">
        <v>557</v>
      </c>
      <c r="S15" s="135">
        <f>S$3</f>
        <v>46177</v>
      </c>
      <c r="T15" s="136" t="s">
        <v>557</v>
      </c>
      <c r="U15" s="137" t="s">
        <v>557</v>
      </c>
      <c r="V15" s="135">
        <f>V$3</f>
        <v>46178</v>
      </c>
      <c r="W15" s="136" t="s">
        <v>557</v>
      </c>
      <c r="X15" s="137" t="s">
        <v>557</v>
      </c>
      <c r="Y15" s="135">
        <f>Y$3</f>
        <v>46179</v>
      </c>
      <c r="Z15" s="136" t="s">
        <v>557</v>
      </c>
      <c r="AA15" s="137" t="s">
        <v>557</v>
      </c>
      <c r="AB15" s="135"/>
      <c r="AC15" s="135">
        <f>AC$3</f>
        <v>46181</v>
      </c>
      <c r="AD15" s="136" t="s">
        <v>557</v>
      </c>
      <c r="AE15" s="137" t="s">
        <v>557</v>
      </c>
      <c r="AF15" s="135">
        <f>AF$3</f>
        <v>46182</v>
      </c>
      <c r="AG15" s="136" t="s">
        <v>557</v>
      </c>
      <c r="AH15" s="137" t="s">
        <v>557</v>
      </c>
      <c r="AI15" s="135">
        <f>AI$3</f>
        <v>46183</v>
      </c>
      <c r="AJ15" s="136" t="s">
        <v>557</v>
      </c>
      <c r="AK15" s="137" t="s">
        <v>557</v>
      </c>
      <c r="AL15" s="135">
        <f>AL$3</f>
        <v>46184</v>
      </c>
      <c r="AM15" s="136" t="s">
        <v>557</v>
      </c>
      <c r="AN15" s="137" t="s">
        <v>557</v>
      </c>
      <c r="AO15" s="135">
        <f>AO$3</f>
        <v>46185</v>
      </c>
      <c r="AP15" s="136" t="s">
        <v>557</v>
      </c>
      <c r="AQ15" s="137" t="s">
        <v>557</v>
      </c>
      <c r="AR15" s="135">
        <f>AR$3</f>
        <v>46186</v>
      </c>
      <c r="AS15" s="136" t="s">
        <v>557</v>
      </c>
      <c r="AT15" s="137" t="s">
        <v>557</v>
      </c>
      <c r="AU15" s="12"/>
    </row>
    <row r="16" spans="1:47">
      <c r="A16" s="122" t="str">
        <f>$A$12</f>
        <v>Nguyễn Thanh Phương</v>
      </c>
      <c r="B16" s="82" t="s">
        <v>850</v>
      </c>
      <c r="C16" s="81" t="str">
        <f>IF($B16="","",INDEX('All Bảng'!C:C,MATCH(IT!$B16,'All Bảng'!$A:$A,0)))</f>
        <v>Phát triển BIM Tools</v>
      </c>
      <c r="D16" s="81" t="str">
        <f>IF($B16="","",INDEX('All Bảng'!D:D,MATCH(IT!$B16,'All Bảng'!$A:$A,0)))</f>
        <v>Revit</v>
      </c>
      <c r="E16" s="81" t="str">
        <f>IF($B16="","",INDEX('All Bảng'!E:E,MATCH(IT!$B16,'All Bảng'!$A:$A,0)))</f>
        <v>QC mô hình</v>
      </c>
      <c r="F16" s="81" t="str">
        <f>IF($B16="","",INDEX('All Bảng'!F:F,MATCH(IT!$B16,'All Bảng'!$A:$A,0)))</f>
        <v>BIM IT</v>
      </c>
      <c r="G16" s="81" t="str">
        <f>IF($B16="","",INDEX('All Bảng'!G:G,MATCH(IT!$B16,'All Bảng'!$A:$A,0)))</f>
        <v>Chạy thử và Đánh giá</v>
      </c>
      <c r="H16" s="121"/>
      <c r="I16" s="135"/>
      <c r="J16" s="135">
        <f>J$3</f>
        <v>46174</v>
      </c>
      <c r="K16" s="148" t="s">
        <v>557</v>
      </c>
      <c r="L16" s="137" t="s">
        <v>557</v>
      </c>
      <c r="M16" s="135">
        <f>M$3</f>
        <v>46175</v>
      </c>
      <c r="N16" s="136" t="s">
        <v>557</v>
      </c>
      <c r="O16" s="137">
        <v>0.5</v>
      </c>
      <c r="P16" s="135">
        <f>P$3</f>
        <v>46176</v>
      </c>
      <c r="Q16" s="136" t="s">
        <v>557</v>
      </c>
      <c r="R16" s="137" t="s">
        <v>557</v>
      </c>
      <c r="S16" s="135">
        <f>S$3</f>
        <v>46177</v>
      </c>
      <c r="T16" s="136" t="s">
        <v>557</v>
      </c>
      <c r="U16" s="137" t="s">
        <v>557</v>
      </c>
      <c r="V16" s="135">
        <f>V$3</f>
        <v>46178</v>
      </c>
      <c r="W16" s="136" t="s">
        <v>557</v>
      </c>
      <c r="X16" s="137" t="s">
        <v>557</v>
      </c>
      <c r="Y16" s="135">
        <f>Y$3</f>
        <v>46179</v>
      </c>
      <c r="Z16" s="136" t="s">
        <v>557</v>
      </c>
      <c r="AA16" s="137" t="s">
        <v>557</v>
      </c>
      <c r="AB16" s="135"/>
      <c r="AC16" s="135">
        <f>AC$3</f>
        <v>46181</v>
      </c>
      <c r="AD16" s="136" t="s">
        <v>557</v>
      </c>
      <c r="AE16" s="137" t="s">
        <v>557</v>
      </c>
      <c r="AF16" s="135">
        <f>AF$3</f>
        <v>46182</v>
      </c>
      <c r="AG16" s="136" t="s">
        <v>557</v>
      </c>
      <c r="AH16" s="137" t="s">
        <v>557</v>
      </c>
      <c r="AI16" s="135">
        <f>AI$3</f>
        <v>46183</v>
      </c>
      <c r="AJ16" s="136" t="s">
        <v>557</v>
      </c>
      <c r="AK16" s="137" t="s">
        <v>557</v>
      </c>
      <c r="AL16" s="135">
        <f>AL$3</f>
        <v>46184</v>
      </c>
      <c r="AM16" s="136" t="s">
        <v>557</v>
      </c>
      <c r="AN16" s="137" t="s">
        <v>557</v>
      </c>
      <c r="AO16" s="135">
        <f>AO$3</f>
        <v>46185</v>
      </c>
      <c r="AP16" s="136" t="s">
        <v>557</v>
      </c>
      <c r="AQ16" s="137" t="s">
        <v>557</v>
      </c>
      <c r="AR16" s="135">
        <f>AR$3</f>
        <v>46186</v>
      </c>
      <c r="AS16" s="136" t="s">
        <v>557</v>
      </c>
      <c r="AT16" s="137" t="s">
        <v>557</v>
      </c>
      <c r="AU16" s="12"/>
    </row>
    <row r="17" spans="1:47">
      <c r="A17" s="122" t="str">
        <f>$A$12</f>
        <v>Nguyễn Thanh Phương</v>
      </c>
      <c r="B17" s="82" t="s">
        <v>851</v>
      </c>
      <c r="C17" s="81" t="str">
        <f>IF($B17="","",INDEX('All Bảng'!C:C,MATCH(IT!$B17,'All Bảng'!$A:$A,0)))</f>
        <v>Phát triển BIM Tools</v>
      </c>
      <c r="D17" s="81" t="str">
        <f>IF($B17="","",INDEX('All Bảng'!D:D,MATCH(IT!$B17,'All Bảng'!$A:$A,0)))</f>
        <v>Revit</v>
      </c>
      <c r="E17" s="81" t="str">
        <f>IF($B17="","",INDEX('All Bảng'!E:E,MATCH(IT!$B17,'All Bảng'!$A:$A,0)))</f>
        <v xml:space="preserve">Edit Tường, Sàn KT </v>
      </c>
      <c r="F17" s="81" t="str">
        <f>IF($B17="","",INDEX('All Bảng'!F:F,MATCH(IT!$B17,'All Bảng'!$A:$A,0)))</f>
        <v>BIM IT</v>
      </c>
      <c r="G17" s="81" t="str">
        <f>IF($B17="","",INDEX('All Bảng'!G:G,MATCH(IT!$B17,'All Bảng'!$A:$A,0)))</f>
        <v>Hướng dẫn sử dụng</v>
      </c>
      <c r="H17" s="121"/>
      <c r="I17" s="135"/>
      <c r="J17" s="135">
        <f>J$3</f>
        <v>46174</v>
      </c>
      <c r="K17" s="148" t="s">
        <v>557</v>
      </c>
      <c r="L17" s="137" t="s">
        <v>557</v>
      </c>
      <c r="M17" s="135">
        <f>M$3</f>
        <v>46175</v>
      </c>
      <c r="N17" s="136" t="s">
        <v>557</v>
      </c>
      <c r="O17" s="137">
        <v>4</v>
      </c>
      <c r="P17" s="135">
        <f>P$3</f>
        <v>46176</v>
      </c>
      <c r="Q17" s="136" t="s">
        <v>557</v>
      </c>
      <c r="R17" s="137" t="s">
        <v>557</v>
      </c>
      <c r="S17" s="135">
        <f>S$3</f>
        <v>46177</v>
      </c>
      <c r="T17" s="136" t="s">
        <v>557</v>
      </c>
      <c r="U17" s="137" t="s">
        <v>557</v>
      </c>
      <c r="V17" s="135">
        <f>V$3</f>
        <v>46178</v>
      </c>
      <c r="W17" s="136" t="s">
        <v>557</v>
      </c>
      <c r="X17" s="137" t="s">
        <v>557</v>
      </c>
      <c r="Y17" s="135">
        <f>Y$3</f>
        <v>46179</v>
      </c>
      <c r="Z17" s="136" t="s">
        <v>557</v>
      </c>
      <c r="AA17" s="137" t="s">
        <v>557</v>
      </c>
      <c r="AB17" s="135"/>
      <c r="AC17" s="135">
        <f>AC$3</f>
        <v>46181</v>
      </c>
      <c r="AD17" s="136" t="s">
        <v>557</v>
      </c>
      <c r="AE17" s="137" t="s">
        <v>557</v>
      </c>
      <c r="AF17" s="135">
        <f>AF$3</f>
        <v>46182</v>
      </c>
      <c r="AG17" s="136" t="s">
        <v>557</v>
      </c>
      <c r="AH17" s="137" t="s">
        <v>557</v>
      </c>
      <c r="AI17" s="135">
        <f>AI$3</f>
        <v>46183</v>
      </c>
      <c r="AJ17" s="136" t="s">
        <v>557</v>
      </c>
      <c r="AK17" s="137" t="s">
        <v>557</v>
      </c>
      <c r="AL17" s="135">
        <f>AL$3</f>
        <v>46184</v>
      </c>
      <c r="AM17" s="136" t="s">
        <v>557</v>
      </c>
      <c r="AN17" s="137" t="s">
        <v>557</v>
      </c>
      <c r="AO17" s="135">
        <f>AO$3</f>
        <v>46185</v>
      </c>
      <c r="AP17" s="136" t="s">
        <v>557</v>
      </c>
      <c r="AQ17" s="137" t="s">
        <v>557</v>
      </c>
      <c r="AR17" s="135">
        <f>AR$3</f>
        <v>46186</v>
      </c>
      <c r="AS17" s="136" t="s">
        <v>557</v>
      </c>
      <c r="AT17" s="137" t="s">
        <v>557</v>
      </c>
      <c r="AU17" s="12"/>
    </row>
    <row r="18" spans="1:47">
      <c r="A18" s="122" t="str">
        <f>$A$12</f>
        <v>Nguyễn Thanh Phương</v>
      </c>
      <c r="B18" s="82" t="s">
        <v>852</v>
      </c>
      <c r="C18" s="81" t="str">
        <f>IF($B18="","",INDEX('All Bảng'!C:C,MATCH(IT!$B18,'All Bảng'!$A:$A,0)))</f>
        <v>Phát triển BIM Tools</v>
      </c>
      <c r="D18" s="81" t="str">
        <f>IF($B18="","",INDEX('All Bảng'!D:D,MATCH(IT!$B18,'All Bảng'!$A:$A,0)))</f>
        <v>Revit</v>
      </c>
      <c r="E18" s="81" t="str">
        <f>IF($B18="","",INDEX('All Bảng'!E:E,MATCH(IT!$B18,'All Bảng'!$A:$A,0)))</f>
        <v xml:space="preserve">Edit Tường, Sàn KT </v>
      </c>
      <c r="F18" s="81" t="str">
        <f>IF($B18="","",INDEX('All Bảng'!F:F,MATCH(IT!$B18,'All Bảng'!$A:$A,0)))</f>
        <v>BIM IT</v>
      </c>
      <c r="G18" s="81" t="str">
        <f>IF($B18="","",INDEX('All Bảng'!G:G,MATCH(IT!$B18,'All Bảng'!$A:$A,0)))</f>
        <v>Xuất bản</v>
      </c>
      <c r="H18" s="121"/>
      <c r="I18" s="135"/>
      <c r="J18" s="135">
        <f>J$3</f>
        <v>46174</v>
      </c>
      <c r="K18" s="148" t="s">
        <v>557</v>
      </c>
      <c r="L18" s="137" t="s">
        <v>557</v>
      </c>
      <c r="M18" s="135">
        <f>M$3</f>
        <v>46175</v>
      </c>
      <c r="N18" s="136" t="s">
        <v>557</v>
      </c>
      <c r="O18" s="137" t="s">
        <v>557</v>
      </c>
      <c r="P18" s="135">
        <f>P$3</f>
        <v>46176</v>
      </c>
      <c r="Q18" s="136" t="s">
        <v>557</v>
      </c>
      <c r="R18" s="137">
        <v>1</v>
      </c>
      <c r="S18" s="135">
        <f>S$3</f>
        <v>46177</v>
      </c>
      <c r="T18" s="136" t="s">
        <v>557</v>
      </c>
      <c r="U18" s="137" t="s">
        <v>557</v>
      </c>
      <c r="V18" s="135">
        <f>V$3</f>
        <v>46178</v>
      </c>
      <c r="W18" s="136" t="s">
        <v>557</v>
      </c>
      <c r="X18" s="137" t="s">
        <v>557</v>
      </c>
      <c r="Y18" s="135">
        <f>Y$3</f>
        <v>46179</v>
      </c>
      <c r="Z18" s="136" t="s">
        <v>557</v>
      </c>
      <c r="AA18" s="137" t="s">
        <v>557</v>
      </c>
      <c r="AB18" s="135"/>
      <c r="AC18" s="135">
        <f>AC$3</f>
        <v>46181</v>
      </c>
      <c r="AD18" s="136" t="s">
        <v>557</v>
      </c>
      <c r="AE18" s="137" t="s">
        <v>557</v>
      </c>
      <c r="AF18" s="135">
        <f>AF$3</f>
        <v>46182</v>
      </c>
      <c r="AG18" s="136" t="s">
        <v>557</v>
      </c>
      <c r="AH18" s="137" t="s">
        <v>557</v>
      </c>
      <c r="AI18" s="135">
        <f>AI$3</f>
        <v>46183</v>
      </c>
      <c r="AJ18" s="136" t="s">
        <v>557</v>
      </c>
      <c r="AK18" s="137" t="s">
        <v>557</v>
      </c>
      <c r="AL18" s="135">
        <f>AL$3</f>
        <v>46184</v>
      </c>
      <c r="AM18" s="136" t="s">
        <v>557</v>
      </c>
      <c r="AN18" s="137" t="s">
        <v>557</v>
      </c>
      <c r="AO18" s="135">
        <f>AO$3</f>
        <v>46185</v>
      </c>
      <c r="AP18" s="136" t="s">
        <v>557</v>
      </c>
      <c r="AQ18" s="137" t="s">
        <v>557</v>
      </c>
      <c r="AR18" s="135">
        <f>AR$3</f>
        <v>46186</v>
      </c>
      <c r="AS18" s="136" t="s">
        <v>557</v>
      </c>
      <c r="AT18" s="137" t="s">
        <v>557</v>
      </c>
      <c r="AU18" s="12"/>
    </row>
    <row r="19" spans="1:47">
      <c r="A19" s="122" t="s">
        <v>267</v>
      </c>
      <c r="B19" s="82" t="s">
        <v>853</v>
      </c>
      <c r="C19" s="81" t="str">
        <f>IF($B19="","",INDEX('All Bảng'!C:C,MATCH(IT!$B19,'All Bảng'!$A:$A,0)))</f>
        <v>Phát triển BIM Tools</v>
      </c>
      <c r="D19" s="81" t="str">
        <f>IF($B19="","",INDEX('All Bảng'!D:D,MATCH(IT!$B19,'All Bảng'!$A:$A,0)))</f>
        <v>Revit</v>
      </c>
      <c r="E19" s="81" t="str">
        <f>IF($B19="","",INDEX('All Bảng'!E:E,MATCH(IT!$B19,'All Bảng'!$A:$A,0)))</f>
        <v>QC mô hình</v>
      </c>
      <c r="F19" s="81" t="str">
        <f>IF($B19="","",INDEX('All Bảng'!F:F,MATCH(IT!$B19,'All Bảng'!$A:$A,0)))</f>
        <v>BIM IT</v>
      </c>
      <c r="G19" s="81" t="str">
        <f>IF($B19="","",INDEX('All Bảng'!G:G,MATCH(IT!$B19,'All Bảng'!$A:$A,0)))</f>
        <v>Hướng dẫn sử dụng</v>
      </c>
      <c r="H19" s="121"/>
      <c r="I19" s="135"/>
      <c r="J19" s="135"/>
      <c r="K19" s="148"/>
      <c r="L19" s="137"/>
      <c r="M19" s="135">
        <f>M$3</f>
        <v>46175</v>
      </c>
      <c r="N19" s="136"/>
      <c r="O19" s="137"/>
      <c r="P19" s="135">
        <f>P$3</f>
        <v>46176</v>
      </c>
      <c r="Q19" s="136"/>
      <c r="R19" s="137">
        <v>1</v>
      </c>
      <c r="S19" s="135">
        <f>S$3</f>
        <v>46177</v>
      </c>
      <c r="T19" s="136"/>
      <c r="U19" s="137"/>
      <c r="V19" s="135">
        <f>V$3</f>
        <v>46178</v>
      </c>
      <c r="W19" s="136"/>
      <c r="X19" s="137"/>
      <c r="Y19" s="135">
        <f>Y$3</f>
        <v>46179</v>
      </c>
      <c r="Z19" s="136"/>
      <c r="AA19" s="137"/>
      <c r="AB19" s="135"/>
      <c r="AC19" s="135"/>
      <c r="AD19" s="136"/>
      <c r="AE19" s="137"/>
      <c r="AF19" s="135"/>
      <c r="AG19" s="136"/>
      <c r="AH19" s="137"/>
      <c r="AI19" s="135"/>
      <c r="AJ19" s="136"/>
      <c r="AK19" s="137"/>
      <c r="AL19" s="135"/>
      <c r="AM19" s="136"/>
      <c r="AN19" s="137"/>
      <c r="AO19" s="135"/>
      <c r="AP19" s="136"/>
      <c r="AQ19" s="137"/>
      <c r="AR19" s="135"/>
      <c r="AS19" s="136"/>
      <c r="AT19" s="137"/>
      <c r="AU19" s="12"/>
    </row>
    <row r="20" spans="1:47">
      <c r="A20" s="122" t="s">
        <v>267</v>
      </c>
      <c r="B20" s="167" t="s">
        <v>854</v>
      </c>
      <c r="C20" s="81" t="str">
        <f>IF($B20="","",INDEX('All Bảng'!C:C,MATCH(IT!$B20,'All Bảng'!$A:$A,0)))</f>
        <v>Phát triển BIM Tools</v>
      </c>
      <c r="D20" s="81" t="str">
        <f>IF($B20="","",INDEX('All Bảng'!D:D,MATCH(IT!$B20,'All Bảng'!$A:$A,0)))</f>
        <v>Revit</v>
      </c>
      <c r="E20" s="81" t="str">
        <f>IF($B20="","",INDEX('All Bảng'!E:E,MATCH(IT!$B20,'All Bảng'!$A:$A,0)))</f>
        <v>Thống kê tình trạng bàn giao đất</v>
      </c>
      <c r="F20" s="81" t="str">
        <f>IF($B20="","",INDEX('All Bảng'!F:F,MATCH(IT!$B20,'All Bảng'!$A:$A,0)))</f>
        <v>BIM IT</v>
      </c>
      <c r="G20" s="81" t="str">
        <f>IF($B20="","",INDEX('All Bảng'!G:G,MATCH(IT!$B20,'All Bảng'!$A:$A,0)))</f>
        <v>Xuất bản</v>
      </c>
      <c r="H20" s="121"/>
      <c r="I20" s="135"/>
      <c r="J20" s="135"/>
      <c r="K20" s="148"/>
      <c r="L20" s="137"/>
      <c r="M20" s="135">
        <f>M$3</f>
        <v>46175</v>
      </c>
      <c r="N20" s="136"/>
      <c r="O20" s="137"/>
      <c r="P20" s="135">
        <f>P$3</f>
        <v>46176</v>
      </c>
      <c r="Q20" s="136"/>
      <c r="R20" s="137">
        <v>1</v>
      </c>
      <c r="S20" s="135">
        <f>S$3</f>
        <v>46177</v>
      </c>
      <c r="T20" s="136"/>
      <c r="U20" s="137"/>
      <c r="V20" s="135">
        <f>V$3</f>
        <v>46178</v>
      </c>
      <c r="W20" s="136"/>
      <c r="X20" s="137"/>
      <c r="Y20" s="135">
        <f>Y$3</f>
        <v>46179</v>
      </c>
      <c r="Z20" s="136"/>
      <c r="AA20" s="137"/>
      <c r="AB20" s="135"/>
      <c r="AC20" s="135"/>
      <c r="AD20" s="136"/>
      <c r="AE20" s="137"/>
      <c r="AF20" s="135"/>
      <c r="AG20" s="136"/>
      <c r="AH20" s="137"/>
      <c r="AI20" s="135"/>
      <c r="AJ20" s="136"/>
      <c r="AK20" s="137"/>
      <c r="AL20" s="135"/>
      <c r="AM20" s="136"/>
      <c r="AN20" s="137"/>
      <c r="AO20" s="135"/>
      <c r="AP20" s="136"/>
      <c r="AQ20" s="137"/>
      <c r="AR20" s="135"/>
      <c r="AS20" s="136"/>
      <c r="AT20" s="137"/>
      <c r="AU20" s="12"/>
    </row>
    <row r="21" spans="1:47">
      <c r="A21" s="122" t="s">
        <v>267</v>
      </c>
      <c r="B21" s="82" t="s">
        <v>855</v>
      </c>
      <c r="C21" s="81" t="str">
        <f>IF($B21="","",INDEX('All Bảng'!C:C,MATCH(IT!$B21,'All Bảng'!$A:$A,0)))</f>
        <v>Phát triển BIM Tools</v>
      </c>
      <c r="D21" s="81" t="str">
        <f>IF($B21="","",INDEX('All Bảng'!D:D,MATCH(IT!$B21,'All Bảng'!$A:$A,0)))</f>
        <v>Revit</v>
      </c>
      <c r="E21" s="81" t="str">
        <f>IF($B21="","",INDEX('All Bảng'!E:E,MATCH(IT!$B21,'All Bảng'!$A:$A,0)))</f>
        <v>QC mô hình</v>
      </c>
      <c r="F21" s="81" t="str">
        <f>IF($B21="","",INDEX('All Bảng'!F:F,MATCH(IT!$B21,'All Bảng'!$A:$A,0)))</f>
        <v>BIM IT</v>
      </c>
      <c r="G21" s="81" t="str">
        <f>IF($B21="","",INDEX('All Bảng'!G:G,MATCH(IT!$B21,'All Bảng'!$A:$A,0)))</f>
        <v>Xuất bản</v>
      </c>
      <c r="H21" s="121"/>
      <c r="I21" s="135"/>
      <c r="J21" s="135"/>
      <c r="K21" s="148"/>
      <c r="L21" s="137"/>
      <c r="M21" s="135">
        <f>M$3</f>
        <v>46175</v>
      </c>
      <c r="N21" s="136"/>
      <c r="O21" s="137"/>
      <c r="P21" s="135">
        <f>P$3</f>
        <v>46176</v>
      </c>
      <c r="Q21" s="136"/>
      <c r="R21" s="137">
        <v>1</v>
      </c>
      <c r="S21" s="135">
        <f>S$3</f>
        <v>46177</v>
      </c>
      <c r="T21" s="136"/>
      <c r="U21" s="137"/>
      <c r="V21" s="135">
        <f>V$3</f>
        <v>46178</v>
      </c>
      <c r="W21" s="136"/>
      <c r="X21" s="137"/>
      <c r="Y21" s="135">
        <f>Y$3</f>
        <v>46179</v>
      </c>
      <c r="Z21" s="136"/>
      <c r="AA21" s="137"/>
      <c r="AB21" s="135"/>
      <c r="AC21" s="135"/>
      <c r="AD21" s="136"/>
      <c r="AE21" s="137"/>
      <c r="AF21" s="135"/>
      <c r="AG21" s="136"/>
      <c r="AH21" s="137"/>
      <c r="AI21" s="135"/>
      <c r="AJ21" s="136"/>
      <c r="AK21" s="137"/>
      <c r="AL21" s="135"/>
      <c r="AM21" s="136"/>
      <c r="AN21" s="137"/>
      <c r="AO21" s="135"/>
      <c r="AP21" s="136"/>
      <c r="AQ21" s="137"/>
      <c r="AR21" s="135"/>
      <c r="AS21" s="136"/>
      <c r="AT21" s="137"/>
      <c r="AU21" s="12"/>
    </row>
    <row r="22" spans="1:47">
      <c r="A22" s="166" t="s">
        <v>267</v>
      </c>
      <c r="B22" s="28" t="s">
        <v>856</v>
      </c>
      <c r="C22" s="81" t="str">
        <f>IF($B22="","",INDEX('All Bảng'!C:C,MATCH(IT!$B22,'All Bảng'!$A:$A,0)))</f>
        <v>Phát triển BIM Tools</v>
      </c>
      <c r="D22" s="81" t="str">
        <f>IF($B22="","",INDEX('All Bảng'!D:D,MATCH(IT!$B22,'All Bảng'!$A:$A,0)))</f>
        <v>Revit</v>
      </c>
      <c r="E22" s="81" t="str">
        <f>IF($B22="","",INDEX('All Bảng'!E:E,MATCH(IT!$B22,'All Bảng'!$A:$A,0)))</f>
        <v>Dàn trang tài liệu bán hàng CAD</v>
      </c>
      <c r="F22" s="81" t="str">
        <f>IF($B22="","",INDEX('All Bảng'!F:F,MATCH(IT!$B22,'All Bảng'!$A:$A,0)))</f>
        <v>BIM IT</v>
      </c>
      <c r="G22" s="81" t="str">
        <f>IF($B22="","",INDEX('All Bảng'!G:G,MATCH(IT!$B22,'All Bảng'!$A:$A,0)))</f>
        <v>Thực hiện Code</v>
      </c>
      <c r="H22" s="121"/>
      <c r="I22" s="135"/>
      <c r="J22" s="135"/>
      <c r="K22" s="148"/>
      <c r="L22" s="137"/>
      <c r="M22" s="135">
        <f>M$3</f>
        <v>46175</v>
      </c>
      <c r="N22" s="136"/>
      <c r="O22" s="137"/>
      <c r="P22" s="135">
        <f>P$3</f>
        <v>46176</v>
      </c>
      <c r="Q22" s="136"/>
      <c r="R22" s="137"/>
      <c r="S22" s="135">
        <f>S$3</f>
        <v>46177</v>
      </c>
      <c r="T22" s="136"/>
      <c r="U22" s="137">
        <v>6</v>
      </c>
      <c r="V22" s="135">
        <f>V$3</f>
        <v>46178</v>
      </c>
      <c r="W22" s="136"/>
      <c r="X22" s="137"/>
      <c r="Y22" s="135">
        <f>Y$3</f>
        <v>46179</v>
      </c>
      <c r="Z22" s="136"/>
      <c r="AA22" s="137"/>
      <c r="AB22" s="135"/>
      <c r="AC22" s="135"/>
      <c r="AD22" s="136"/>
      <c r="AE22" s="137"/>
      <c r="AF22" s="135"/>
      <c r="AG22" s="136"/>
      <c r="AH22" s="137"/>
      <c r="AI22" s="135"/>
      <c r="AJ22" s="136"/>
      <c r="AK22" s="137"/>
      <c r="AL22" s="135"/>
      <c r="AM22" s="136"/>
      <c r="AN22" s="137"/>
      <c r="AO22" s="135"/>
      <c r="AP22" s="136"/>
      <c r="AQ22" s="137"/>
      <c r="AR22" s="135"/>
      <c r="AS22" s="136"/>
      <c r="AT22" s="137"/>
      <c r="AU22" s="12"/>
    </row>
    <row r="23" spans="1:47">
      <c r="A23" s="166" t="s">
        <v>267</v>
      </c>
      <c r="B23" s="28" t="s">
        <v>857</v>
      </c>
      <c r="C23" s="81" t="str">
        <f>IF($B23="","",INDEX('All Bảng'!C:C,MATCH(IT!$B23,'All Bảng'!$A:$A,0)))</f>
        <v>Phát triển BIM Tools</v>
      </c>
      <c r="D23" s="81" t="str">
        <f>IF($B23="","",INDEX('All Bảng'!D:D,MATCH(IT!$B23,'All Bảng'!$A:$A,0)))</f>
        <v>Revit</v>
      </c>
      <c r="E23" s="81" t="str">
        <f>IF($B23="","",INDEX('All Bảng'!E:E,MATCH(IT!$B23,'All Bảng'!$A:$A,0)))</f>
        <v>Dàn trang tài liệu bán hàng CAD</v>
      </c>
      <c r="F23" s="81" t="str">
        <f>IF($B23="","",INDEX('All Bảng'!F:F,MATCH(IT!$B23,'All Bảng'!$A:$A,0)))</f>
        <v>BIM IT</v>
      </c>
      <c r="G23" s="81" t="str">
        <f>IF($B23="","",INDEX('All Bảng'!G:G,MATCH(IT!$B23,'All Bảng'!$A:$A,0)))</f>
        <v>Chạy thử và Đánh giá</v>
      </c>
      <c r="H23" s="121"/>
      <c r="I23" s="135"/>
      <c r="J23" s="135"/>
      <c r="K23" s="148"/>
      <c r="L23" s="137"/>
      <c r="M23" s="135">
        <f>M$3</f>
        <v>46175</v>
      </c>
      <c r="N23" s="136"/>
      <c r="O23" s="137"/>
      <c r="P23" s="135">
        <f>P$3</f>
        <v>46176</v>
      </c>
      <c r="Q23" s="136"/>
      <c r="R23" s="137"/>
      <c r="S23" s="135">
        <f>S$3</f>
        <v>46177</v>
      </c>
      <c r="T23" s="136"/>
      <c r="U23" s="137">
        <v>0.25</v>
      </c>
      <c r="V23" s="135">
        <f>V$3</f>
        <v>46178</v>
      </c>
      <c r="W23" s="136"/>
      <c r="X23" s="137"/>
      <c r="Y23" s="135">
        <f>Y$3</f>
        <v>46179</v>
      </c>
      <c r="Z23" s="136"/>
      <c r="AA23" s="137"/>
      <c r="AB23" s="135"/>
      <c r="AC23" s="135"/>
      <c r="AD23" s="136"/>
      <c r="AE23" s="137"/>
      <c r="AF23" s="135"/>
      <c r="AG23" s="136"/>
      <c r="AH23" s="137"/>
      <c r="AI23" s="135"/>
      <c r="AJ23" s="136"/>
      <c r="AK23" s="137"/>
      <c r="AL23" s="135"/>
      <c r="AM23" s="136"/>
      <c r="AN23" s="137"/>
      <c r="AO23" s="135"/>
      <c r="AP23" s="136"/>
      <c r="AQ23" s="137"/>
      <c r="AR23" s="135"/>
      <c r="AS23" s="136"/>
      <c r="AT23" s="137"/>
      <c r="AU23" s="12"/>
    </row>
    <row r="24" spans="1:47">
      <c r="A24" s="166" t="s">
        <v>267</v>
      </c>
      <c r="B24" s="28" t="s">
        <v>858</v>
      </c>
      <c r="C24" s="81" t="str">
        <f>IF($B24="","",INDEX('All Bảng'!C:C,MATCH(IT!$B24,'All Bảng'!$A:$A,0)))</f>
        <v>Phát triển BIM Tools</v>
      </c>
      <c r="D24" s="81" t="str">
        <f>IF($B24="","",INDEX('All Bảng'!D:D,MATCH(IT!$B24,'All Bảng'!$A:$A,0)))</f>
        <v>Revit</v>
      </c>
      <c r="E24" s="81" t="str">
        <f>IF($B24="","",INDEX('All Bảng'!E:E,MATCH(IT!$B24,'All Bảng'!$A:$A,0)))</f>
        <v>Dàn trang tài liệu bán hàng CAD</v>
      </c>
      <c r="F24" s="81" t="str">
        <f>IF($B24="","",INDEX('All Bảng'!F:F,MATCH(IT!$B24,'All Bảng'!$A:$A,0)))</f>
        <v>BIM IT</v>
      </c>
      <c r="G24" s="81" t="str">
        <f>IF($B24="","",INDEX('All Bảng'!G:G,MATCH(IT!$B24,'All Bảng'!$A:$A,0)))</f>
        <v>Hướng dẫn sử dụng</v>
      </c>
      <c r="H24" s="121"/>
      <c r="I24" s="135"/>
      <c r="J24" s="135"/>
      <c r="K24" s="148"/>
      <c r="L24" s="137"/>
      <c r="M24" s="135">
        <f>M$3</f>
        <v>46175</v>
      </c>
      <c r="N24" s="136"/>
      <c r="O24" s="137"/>
      <c r="P24" s="135">
        <f>P$3</f>
        <v>46176</v>
      </c>
      <c r="Q24" s="136"/>
      <c r="R24" s="137"/>
      <c r="S24" s="135">
        <f>S$3</f>
        <v>46177</v>
      </c>
      <c r="T24" s="136"/>
      <c r="U24" s="137">
        <v>0.75</v>
      </c>
      <c r="V24" s="135">
        <f>V$3</f>
        <v>46178</v>
      </c>
      <c r="W24" s="136"/>
      <c r="X24" s="137"/>
      <c r="Y24" s="135">
        <f>Y$3</f>
        <v>46179</v>
      </c>
      <c r="Z24" s="136"/>
      <c r="AA24" s="137"/>
      <c r="AB24" s="135"/>
      <c r="AC24" s="135"/>
      <c r="AD24" s="136"/>
      <c r="AE24" s="137"/>
      <c r="AF24" s="135"/>
      <c r="AG24" s="136"/>
      <c r="AH24" s="137"/>
      <c r="AI24" s="135"/>
      <c r="AJ24" s="136"/>
      <c r="AK24" s="137"/>
      <c r="AL24" s="135"/>
      <c r="AM24" s="136"/>
      <c r="AN24" s="137"/>
      <c r="AO24" s="135"/>
      <c r="AP24" s="136"/>
      <c r="AQ24" s="137"/>
      <c r="AR24" s="135"/>
      <c r="AS24" s="136"/>
      <c r="AT24" s="137"/>
      <c r="AU24" s="12"/>
    </row>
    <row r="25" spans="1:47">
      <c r="A25" s="166" t="s">
        <v>267</v>
      </c>
      <c r="B25" s="28" t="s">
        <v>859</v>
      </c>
      <c r="C25" s="81" t="str">
        <f>IF($B25="","",INDEX('All Bảng'!C:C,MATCH(IT!$B25,'All Bảng'!$A:$A,0)))</f>
        <v>Phát triển BIM Tools</v>
      </c>
      <c r="D25" s="81" t="str">
        <f>IF($B25="","",INDEX('All Bảng'!D:D,MATCH(IT!$B25,'All Bảng'!$A:$A,0)))</f>
        <v>Revit</v>
      </c>
      <c r="E25" s="81" t="str">
        <f>IF($B25="","",INDEX('All Bảng'!E:E,MATCH(IT!$B25,'All Bảng'!$A:$A,0)))</f>
        <v>Dàn trang tài liệu bán hàng CAD</v>
      </c>
      <c r="F25" s="81" t="str">
        <f>IF($B25="","",INDEX('All Bảng'!F:F,MATCH(IT!$B25,'All Bảng'!$A:$A,0)))</f>
        <v>BIM IT</v>
      </c>
      <c r="G25" s="81" t="str">
        <f>IF($B25="","",INDEX('All Bảng'!G:G,MATCH(IT!$B25,'All Bảng'!$A:$A,0)))</f>
        <v>Xuất bản</v>
      </c>
      <c r="H25" s="121"/>
      <c r="I25" s="135"/>
      <c r="J25" s="135"/>
      <c r="K25" s="148"/>
      <c r="L25" s="137"/>
      <c r="M25" s="135">
        <f>M$3</f>
        <v>46175</v>
      </c>
      <c r="N25" s="136"/>
      <c r="O25" s="137"/>
      <c r="P25" s="135">
        <f>P$3</f>
        <v>46176</v>
      </c>
      <c r="Q25" s="136"/>
      <c r="R25" s="137"/>
      <c r="S25" s="135">
        <f>S$3</f>
        <v>46177</v>
      </c>
      <c r="T25" s="136"/>
      <c r="U25" s="137">
        <v>1</v>
      </c>
      <c r="V25" s="135">
        <f>V$3</f>
        <v>46178</v>
      </c>
      <c r="W25" s="136"/>
      <c r="X25" s="137"/>
      <c r="Y25" s="135">
        <f>Y$3</f>
        <v>46179</v>
      </c>
      <c r="Z25" s="136"/>
      <c r="AA25" s="137"/>
      <c r="AB25" s="135"/>
      <c r="AC25" s="135"/>
      <c r="AD25" s="136"/>
      <c r="AE25" s="137"/>
      <c r="AF25" s="135"/>
      <c r="AG25" s="136"/>
      <c r="AH25" s="137"/>
      <c r="AI25" s="135"/>
      <c r="AJ25" s="136"/>
      <c r="AK25" s="137"/>
      <c r="AL25" s="135"/>
      <c r="AM25" s="136"/>
      <c r="AN25" s="137"/>
      <c r="AO25" s="135"/>
      <c r="AP25" s="136"/>
      <c r="AQ25" s="137"/>
      <c r="AR25" s="135"/>
      <c r="AS25" s="136"/>
      <c r="AT25" s="137"/>
      <c r="AU25" s="12"/>
    </row>
    <row r="26" spans="1:47">
      <c r="A26" s="166" t="s">
        <v>267</v>
      </c>
      <c r="B26" s="95" t="s">
        <v>860</v>
      </c>
      <c r="C26" s="81" t="str">
        <f>IF($B26="","",INDEX('All Bảng'!C:C,MATCH(IT!$B26,'All Bảng'!$A:$A,0)))</f>
        <v>Phát triển BIM Tools</v>
      </c>
      <c r="D26" s="81" t="str">
        <f>IF($B26="","",INDEX('All Bảng'!D:D,MATCH(IT!$B26,'All Bảng'!$A:$A,0)))</f>
        <v>Revit</v>
      </c>
      <c r="E26" s="81" t="str">
        <f>IF($B26="","",INDEX('All Bảng'!E:E,MATCH(IT!$B26,'All Bảng'!$A:$A,0)))</f>
        <v>Xác định trọng tâm đối tượng</v>
      </c>
      <c r="F26" s="81" t="str">
        <f>IF($B26="","",INDEX('All Bảng'!F:F,MATCH(IT!$B26,'All Bảng'!$A:$A,0)))</f>
        <v>BIM IT</v>
      </c>
      <c r="G26" s="81" t="str">
        <f>IF($B26="","",INDEX('All Bảng'!G:G,MATCH(IT!$B26,'All Bảng'!$A:$A,0)))</f>
        <v>Ghi nhận yêu cầu và tìm hiểu nghiệp vụ</v>
      </c>
      <c r="H26" s="121"/>
      <c r="I26" s="135"/>
      <c r="J26" s="135"/>
      <c r="K26" s="148"/>
      <c r="L26" s="137"/>
      <c r="M26" s="135">
        <f>M$3</f>
        <v>46175</v>
      </c>
      <c r="N26" s="136"/>
      <c r="O26" s="137"/>
      <c r="P26" s="135">
        <f>P$3</f>
        <v>46176</v>
      </c>
      <c r="Q26" s="136"/>
      <c r="R26" s="137">
        <v>2</v>
      </c>
      <c r="S26" s="135">
        <f>S$3</f>
        <v>46177</v>
      </c>
      <c r="T26" s="136"/>
      <c r="U26" s="137"/>
      <c r="V26" s="135">
        <f>V$3</f>
        <v>46178</v>
      </c>
      <c r="W26" s="136"/>
      <c r="X26" s="137"/>
      <c r="Y26" s="135">
        <f>Y$3</f>
        <v>46179</v>
      </c>
      <c r="Z26" s="136"/>
      <c r="AA26" s="137"/>
      <c r="AB26" s="135"/>
      <c r="AC26" s="135"/>
      <c r="AD26" s="136"/>
      <c r="AE26" s="137"/>
      <c r="AF26" s="135"/>
      <c r="AG26" s="136"/>
      <c r="AH26" s="137"/>
      <c r="AI26" s="135"/>
      <c r="AJ26" s="136"/>
      <c r="AK26" s="137"/>
      <c r="AL26" s="135"/>
      <c r="AM26" s="136"/>
      <c r="AN26" s="137"/>
      <c r="AO26" s="135"/>
      <c r="AP26" s="136"/>
      <c r="AQ26" s="137"/>
      <c r="AR26" s="135"/>
      <c r="AS26" s="136"/>
      <c r="AT26" s="137"/>
      <c r="AU26" s="12"/>
    </row>
    <row r="27" spans="1:47">
      <c r="A27" s="166" t="s">
        <v>267</v>
      </c>
      <c r="B27" s="95" t="s">
        <v>861</v>
      </c>
      <c r="C27" s="81" t="str">
        <f>IF($B27="","",INDEX('All Bảng'!C:C,MATCH(IT!$B27,'All Bảng'!$A:$A,0)))</f>
        <v>Phát triển BIM Tools</v>
      </c>
      <c r="D27" s="81" t="str">
        <f>IF($B27="","",INDEX('All Bảng'!D:D,MATCH(IT!$B27,'All Bảng'!$A:$A,0)))</f>
        <v>Revit</v>
      </c>
      <c r="E27" s="81" t="str">
        <f>IF($B27="","",INDEX('All Bảng'!E:E,MATCH(IT!$B27,'All Bảng'!$A:$A,0)))</f>
        <v>Xác định trọng tâm đối tượng</v>
      </c>
      <c r="F27" s="81" t="str">
        <f>IF($B27="","",INDEX('All Bảng'!F:F,MATCH(IT!$B27,'All Bảng'!$A:$A,0)))</f>
        <v>BIM IT</v>
      </c>
      <c r="G27" s="81" t="str">
        <f>IF($B27="","",INDEX('All Bảng'!G:G,MATCH(IT!$B27,'All Bảng'!$A:$A,0)))</f>
        <v>Lên và Trình PD phương án</v>
      </c>
      <c r="H27" s="121"/>
      <c r="I27" s="135"/>
      <c r="J27" s="135"/>
      <c r="K27" s="148"/>
      <c r="L27" s="137"/>
      <c r="M27" s="135">
        <f>M$3</f>
        <v>46175</v>
      </c>
      <c r="N27" s="136"/>
      <c r="O27" s="137"/>
      <c r="P27" s="135">
        <f>P$3</f>
        <v>46176</v>
      </c>
      <c r="Q27" s="136"/>
      <c r="R27" s="137">
        <v>2</v>
      </c>
      <c r="S27" s="135">
        <f>S$3</f>
        <v>46177</v>
      </c>
      <c r="T27" s="136"/>
      <c r="U27" s="137"/>
      <c r="V27" s="135">
        <f>V$3</f>
        <v>46178</v>
      </c>
      <c r="W27" s="136"/>
      <c r="X27" s="137"/>
      <c r="Y27" s="135">
        <f>Y$3</f>
        <v>46179</v>
      </c>
      <c r="Z27" s="136"/>
      <c r="AA27" s="137"/>
      <c r="AB27" s="135"/>
      <c r="AC27" s="135"/>
      <c r="AD27" s="136"/>
      <c r="AE27" s="137"/>
      <c r="AF27" s="135"/>
      <c r="AG27" s="136"/>
      <c r="AH27" s="137"/>
      <c r="AI27" s="135"/>
      <c r="AJ27" s="136"/>
      <c r="AK27" s="137"/>
      <c r="AL27" s="135"/>
      <c r="AM27" s="136"/>
      <c r="AN27" s="137"/>
      <c r="AO27" s="135"/>
      <c r="AP27" s="136"/>
      <c r="AQ27" s="137"/>
      <c r="AR27" s="135"/>
      <c r="AS27" s="136"/>
      <c r="AT27" s="137"/>
      <c r="AU27" s="12"/>
    </row>
    <row r="28" spans="1:47">
      <c r="A28" s="166" t="s">
        <v>267</v>
      </c>
      <c r="B28" s="95" t="s">
        <v>862</v>
      </c>
      <c r="C28" s="81" t="str">
        <f>IF($B28="","",INDEX('All Bảng'!C:C,MATCH(IT!$B28,'All Bảng'!$A:$A,0)))</f>
        <v>Phát triển BIM Tools</v>
      </c>
      <c r="D28" s="81" t="str">
        <f>IF($B28="","",INDEX('All Bảng'!D:D,MATCH(IT!$B28,'All Bảng'!$A:$A,0)))</f>
        <v>Revit</v>
      </c>
      <c r="E28" s="81" t="str">
        <f>IF($B28="","",INDEX('All Bảng'!E:E,MATCH(IT!$B28,'All Bảng'!$A:$A,0)))</f>
        <v>Xác định trọng tâm đối tượng</v>
      </c>
      <c r="F28" s="81" t="str">
        <f>IF($B28="","",INDEX('All Bảng'!F:F,MATCH(IT!$B28,'All Bảng'!$A:$A,0)))</f>
        <v>BIM IT</v>
      </c>
      <c r="G28" s="81" t="str">
        <f>IF($B28="","",INDEX('All Bảng'!G:G,MATCH(IT!$B28,'All Bảng'!$A:$A,0)))</f>
        <v>Thực hiện Code</v>
      </c>
      <c r="H28" s="121"/>
      <c r="I28" s="135"/>
      <c r="J28" s="135"/>
      <c r="K28" s="148"/>
      <c r="L28" s="137"/>
      <c r="M28" s="135">
        <f>M$3</f>
        <v>46175</v>
      </c>
      <c r="N28" s="136"/>
      <c r="O28" s="137"/>
      <c r="P28" s="135">
        <f>P$3</f>
        <v>46176</v>
      </c>
      <c r="Q28" s="136"/>
      <c r="R28" s="137"/>
      <c r="S28" s="135">
        <f>S$3</f>
        <v>46177</v>
      </c>
      <c r="T28" s="136"/>
      <c r="U28" s="137"/>
      <c r="V28" s="135">
        <f>V$3</f>
        <v>46178</v>
      </c>
      <c r="W28" s="136"/>
      <c r="X28" s="137">
        <v>6</v>
      </c>
      <c r="Y28" s="135">
        <f>Y$3</f>
        <v>46179</v>
      </c>
      <c r="Z28" s="136"/>
      <c r="AA28" s="137"/>
      <c r="AB28" s="135"/>
      <c r="AC28" s="135"/>
      <c r="AD28" s="136"/>
      <c r="AE28" s="137"/>
      <c r="AF28" s="135"/>
      <c r="AG28" s="136"/>
      <c r="AH28" s="137"/>
      <c r="AI28" s="135"/>
      <c r="AJ28" s="136"/>
      <c r="AK28" s="137"/>
      <c r="AL28" s="135"/>
      <c r="AM28" s="136"/>
      <c r="AN28" s="137"/>
      <c r="AO28" s="135"/>
      <c r="AP28" s="136"/>
      <c r="AQ28" s="137"/>
      <c r="AR28" s="135"/>
      <c r="AS28" s="136"/>
      <c r="AT28" s="137"/>
      <c r="AU28" s="12"/>
    </row>
    <row r="29" spans="1:47">
      <c r="A29" s="166" t="s">
        <v>267</v>
      </c>
      <c r="B29" s="95" t="s">
        <v>863</v>
      </c>
      <c r="C29" s="81" t="str">
        <f>IF($B29="","",INDEX('All Bảng'!C:C,MATCH(IT!$B29,'All Bảng'!$A:$A,0)))</f>
        <v>Phát triển BIM Tools</v>
      </c>
      <c r="D29" s="81" t="str">
        <f>IF($B29="","",INDEX('All Bảng'!D:D,MATCH(IT!$B29,'All Bảng'!$A:$A,0)))</f>
        <v>Revit</v>
      </c>
      <c r="E29" s="81" t="str">
        <f>IF($B29="","",INDEX('All Bảng'!E:E,MATCH(IT!$B29,'All Bảng'!$A:$A,0)))</f>
        <v>Xác định trọng tâm đối tượng</v>
      </c>
      <c r="F29" s="81" t="str">
        <f>IF($B29="","",INDEX('All Bảng'!F:F,MATCH(IT!$B29,'All Bảng'!$A:$A,0)))</f>
        <v>BIM IT</v>
      </c>
      <c r="G29" s="81" t="str">
        <f>IF($B29="","",INDEX('All Bảng'!G:G,MATCH(IT!$B29,'All Bảng'!$A:$A,0)))</f>
        <v>Chạy thử và Đánh giá</v>
      </c>
      <c r="H29" s="121"/>
      <c r="I29" s="135"/>
      <c r="J29" s="135"/>
      <c r="K29" s="148"/>
      <c r="L29" s="137"/>
      <c r="M29" s="135">
        <f>M$3</f>
        <v>46175</v>
      </c>
      <c r="N29" s="136"/>
      <c r="O29" s="137"/>
      <c r="P29" s="135">
        <f>P$3</f>
        <v>46176</v>
      </c>
      <c r="Q29" s="136"/>
      <c r="R29" s="137"/>
      <c r="S29" s="135">
        <f>S$3</f>
        <v>46177</v>
      </c>
      <c r="T29" s="136"/>
      <c r="U29" s="137"/>
      <c r="V29" s="135">
        <f>V$3</f>
        <v>46178</v>
      </c>
      <c r="W29" s="136"/>
      <c r="X29" s="137">
        <v>0.25</v>
      </c>
      <c r="Y29" s="135">
        <f>Y$3</f>
        <v>46179</v>
      </c>
      <c r="Z29" s="136"/>
      <c r="AA29" s="137"/>
      <c r="AB29" s="135"/>
      <c r="AC29" s="135"/>
      <c r="AD29" s="136"/>
      <c r="AE29" s="137"/>
      <c r="AF29" s="135"/>
      <c r="AG29" s="136"/>
      <c r="AH29" s="137"/>
      <c r="AI29" s="135"/>
      <c r="AJ29" s="136"/>
      <c r="AK29" s="137"/>
      <c r="AL29" s="135"/>
      <c r="AM29" s="136"/>
      <c r="AN29" s="137"/>
      <c r="AO29" s="135"/>
      <c r="AP29" s="136"/>
      <c r="AQ29" s="137"/>
      <c r="AR29" s="135"/>
      <c r="AS29" s="136"/>
      <c r="AT29" s="137"/>
      <c r="AU29" s="12"/>
    </row>
    <row r="30" spans="1:47">
      <c r="A30" s="166" t="s">
        <v>267</v>
      </c>
      <c r="B30" s="95" t="s">
        <v>864</v>
      </c>
      <c r="C30" s="81" t="str">
        <f>IF($B30="","",INDEX('All Bảng'!C:C,MATCH(IT!$B30,'All Bảng'!$A:$A,0)))</f>
        <v>Phát triển BIM Tools</v>
      </c>
      <c r="D30" s="81" t="str">
        <f>IF($B30="","",INDEX('All Bảng'!D:D,MATCH(IT!$B30,'All Bảng'!$A:$A,0)))</f>
        <v>Revit</v>
      </c>
      <c r="E30" s="81" t="str">
        <f>IF($B30="","",INDEX('All Bảng'!E:E,MATCH(IT!$B30,'All Bảng'!$A:$A,0)))</f>
        <v>Xác định trọng tâm đối tượng</v>
      </c>
      <c r="F30" s="81" t="str">
        <f>IF($B30="","",INDEX('All Bảng'!F:F,MATCH(IT!$B30,'All Bảng'!$A:$A,0)))</f>
        <v>BIM IT</v>
      </c>
      <c r="G30" s="81" t="str">
        <f>IF($B30="","",INDEX('All Bảng'!G:G,MATCH(IT!$B30,'All Bảng'!$A:$A,0)))</f>
        <v>Hướng dẫn sử dụng</v>
      </c>
      <c r="H30" s="121"/>
      <c r="I30" s="135"/>
      <c r="J30" s="135"/>
      <c r="K30" s="148"/>
      <c r="L30" s="137"/>
      <c r="M30" s="135">
        <f>M$3</f>
        <v>46175</v>
      </c>
      <c r="N30" s="136"/>
      <c r="O30" s="137"/>
      <c r="P30" s="135">
        <f>P$3</f>
        <v>46176</v>
      </c>
      <c r="Q30" s="136"/>
      <c r="R30" s="137"/>
      <c r="S30" s="135">
        <f>S$3</f>
        <v>46177</v>
      </c>
      <c r="T30" s="136"/>
      <c r="U30" s="137"/>
      <c r="V30" s="135">
        <f>V$3</f>
        <v>46178</v>
      </c>
      <c r="W30" s="136"/>
      <c r="X30" s="137">
        <v>1</v>
      </c>
      <c r="Y30" s="135">
        <f>Y$3</f>
        <v>46179</v>
      </c>
      <c r="Z30" s="136"/>
      <c r="AA30" s="137"/>
      <c r="AB30" s="135"/>
      <c r="AC30" s="135"/>
      <c r="AD30" s="136"/>
      <c r="AE30" s="137"/>
      <c r="AF30" s="135"/>
      <c r="AG30" s="136"/>
      <c r="AH30" s="137"/>
      <c r="AI30" s="135"/>
      <c r="AJ30" s="136"/>
      <c r="AK30" s="137"/>
      <c r="AL30" s="135"/>
      <c r="AM30" s="136"/>
      <c r="AN30" s="137"/>
      <c r="AO30" s="135"/>
      <c r="AP30" s="136"/>
      <c r="AQ30" s="137"/>
      <c r="AR30" s="135"/>
      <c r="AS30" s="136"/>
      <c r="AT30" s="137"/>
      <c r="AU30" s="12"/>
    </row>
    <row r="31" spans="1:47">
      <c r="A31" s="166" t="s">
        <v>267</v>
      </c>
      <c r="B31" s="95" t="s">
        <v>865</v>
      </c>
      <c r="C31" s="81" t="str">
        <f>IF($B31="","",INDEX('All Bảng'!C:C,MATCH(IT!$B31,'All Bảng'!$A:$A,0)))</f>
        <v>Phát triển BIM Tools</v>
      </c>
      <c r="D31" s="81" t="str">
        <f>IF($B31="","",INDEX('All Bảng'!D:D,MATCH(IT!$B31,'All Bảng'!$A:$A,0)))</f>
        <v>Revit</v>
      </c>
      <c r="E31" s="81" t="str">
        <f>IF($B31="","",INDEX('All Bảng'!E:E,MATCH(IT!$B31,'All Bảng'!$A:$A,0)))</f>
        <v>Xác định trọng tâm đối tượng</v>
      </c>
      <c r="F31" s="81" t="str">
        <f>IF($B31="","",INDEX('All Bảng'!F:F,MATCH(IT!$B31,'All Bảng'!$A:$A,0)))</f>
        <v>BIM IT</v>
      </c>
      <c r="G31" s="81" t="str">
        <f>IF($B31="","",INDEX('All Bảng'!G:G,MATCH(IT!$B31,'All Bảng'!$A:$A,0)))</f>
        <v>Xuất bản</v>
      </c>
      <c r="H31" s="121"/>
      <c r="I31" s="135"/>
      <c r="J31" s="135"/>
      <c r="K31" s="148"/>
      <c r="L31" s="137"/>
      <c r="M31" s="135">
        <f>M$3</f>
        <v>46175</v>
      </c>
      <c r="N31" s="136"/>
      <c r="O31" s="137"/>
      <c r="P31" s="135">
        <f>P$3</f>
        <v>46176</v>
      </c>
      <c r="Q31" s="136"/>
      <c r="R31" s="137"/>
      <c r="S31" s="135">
        <f>S$3</f>
        <v>46177</v>
      </c>
      <c r="T31" s="136"/>
      <c r="U31" s="137"/>
      <c r="V31" s="135">
        <f>V$3</f>
        <v>46178</v>
      </c>
      <c r="W31" s="136"/>
      <c r="X31" s="137">
        <v>1</v>
      </c>
      <c r="Y31" s="135">
        <f>Y$3</f>
        <v>46179</v>
      </c>
      <c r="Z31" s="136"/>
      <c r="AA31" s="137"/>
      <c r="AB31" s="135"/>
      <c r="AC31" s="135"/>
      <c r="AD31" s="136"/>
      <c r="AE31" s="137"/>
      <c r="AF31" s="135"/>
      <c r="AG31" s="136"/>
      <c r="AH31" s="137"/>
      <c r="AI31" s="135"/>
      <c r="AJ31" s="136"/>
      <c r="AK31" s="137"/>
      <c r="AL31" s="135"/>
      <c r="AM31" s="136"/>
      <c r="AN31" s="137"/>
      <c r="AO31" s="135"/>
      <c r="AP31" s="136"/>
      <c r="AQ31" s="137"/>
      <c r="AR31" s="135"/>
      <c r="AS31" s="136"/>
      <c r="AT31" s="137"/>
      <c r="AU31" s="12"/>
    </row>
    <row r="32" spans="1:47">
      <c r="A32" s="36" t="s">
        <v>261</v>
      </c>
      <c r="B32" s="95"/>
      <c r="C32" s="81" t="str">
        <f>IF($B32="","",INDEX('All Bảng'!C:C,MATCH(IT!$B32,'All Bảng'!$A:$A,0)))</f>
        <v/>
      </c>
      <c r="D32" s="81" t="str">
        <f>IF($B32="","",INDEX('All Bảng'!D:D,MATCH(IT!$B32,'All Bảng'!$A:$A,0)))</f>
        <v/>
      </c>
      <c r="E32" s="81" t="str">
        <f>IF($B32="","",INDEX('All Bảng'!E:E,MATCH(IT!$B32,'All Bảng'!$A:$A,0)))</f>
        <v/>
      </c>
      <c r="F32" s="81" t="str">
        <f>IF($B32="","",INDEX('All Bảng'!F:F,MATCH(IT!$B32,'All Bảng'!$A:$A,0)))</f>
        <v/>
      </c>
      <c r="G32" s="81" t="str">
        <f>IF($B32="","",INDEX('All Bảng'!G:G,MATCH(IT!$B32,'All Bảng'!$A:$A,0)))</f>
        <v/>
      </c>
      <c r="H32" s="121"/>
      <c r="I32" s="138"/>
      <c r="J32" s="138">
        <f>J$3</f>
        <v>46174</v>
      </c>
      <c r="K32" s="147" t="s">
        <v>557</v>
      </c>
      <c r="L32" s="133">
        <f>SUM(L33:L40)</f>
        <v>0</v>
      </c>
      <c r="M32" s="138">
        <f>M$3</f>
        <v>46175</v>
      </c>
      <c r="N32" s="132" t="s">
        <v>557</v>
      </c>
      <c r="O32" s="133">
        <f>SUM(O33:O40)</f>
        <v>0</v>
      </c>
      <c r="P32" s="138">
        <f>P$3</f>
        <v>46176</v>
      </c>
      <c r="Q32" s="132" t="s">
        <v>557</v>
      </c>
      <c r="R32" s="133">
        <f>SUM(R33:R40)</f>
        <v>0</v>
      </c>
      <c r="S32" s="138">
        <f>S$3</f>
        <v>46177</v>
      </c>
      <c r="T32" s="132" t="s">
        <v>557</v>
      </c>
      <c r="U32" s="133">
        <f>SUM(U33:U40)</f>
        <v>0</v>
      </c>
      <c r="V32" s="138">
        <f>V$3</f>
        <v>46178</v>
      </c>
      <c r="W32" s="132" t="s">
        <v>557</v>
      </c>
      <c r="X32" s="133">
        <f>SUM(X33:X40)</f>
        <v>0</v>
      </c>
      <c r="Y32" s="138">
        <f>Y$3</f>
        <v>46179</v>
      </c>
      <c r="Z32" s="132" t="s">
        <v>557</v>
      </c>
      <c r="AA32" s="133">
        <f>SUM(AA33:AA40)</f>
        <v>0</v>
      </c>
      <c r="AB32" s="138"/>
      <c r="AC32" s="138">
        <f>AC$3</f>
        <v>46181</v>
      </c>
      <c r="AD32" s="132" t="s">
        <v>557</v>
      </c>
      <c r="AE32" s="133">
        <f>SUM(AE33:AE40)</f>
        <v>0</v>
      </c>
      <c r="AF32" s="138">
        <f>AF$3</f>
        <v>46182</v>
      </c>
      <c r="AG32" s="132" t="s">
        <v>557</v>
      </c>
      <c r="AH32" s="133">
        <f>SUM(AH33:AH40)</f>
        <v>0</v>
      </c>
      <c r="AI32" s="138">
        <f>AI$3</f>
        <v>46183</v>
      </c>
      <c r="AJ32" s="132" t="s">
        <v>557</v>
      </c>
      <c r="AK32" s="133">
        <f>SUM(AK33:AK40)</f>
        <v>0</v>
      </c>
      <c r="AL32" s="138">
        <f>AL$3</f>
        <v>46184</v>
      </c>
      <c r="AM32" s="132" t="s">
        <v>557</v>
      </c>
      <c r="AN32" s="133">
        <f>SUM(AN33:AN40)</f>
        <v>0</v>
      </c>
      <c r="AO32" s="138">
        <f>AO$3</f>
        <v>46185</v>
      </c>
      <c r="AP32" s="132" t="s">
        <v>557</v>
      </c>
      <c r="AQ32" s="133">
        <f>SUM(AQ33:AQ40)</f>
        <v>0</v>
      </c>
      <c r="AR32" s="138">
        <f>AR$3</f>
        <v>46186</v>
      </c>
      <c r="AS32" s="132" t="s">
        <v>557</v>
      </c>
      <c r="AT32" s="133">
        <f>SUM(AT33:AT40)</f>
        <v>0</v>
      </c>
      <c r="AU32" s="134"/>
    </row>
    <row r="33" spans="1:47">
      <c r="A33" s="122" t="str">
        <f>$A$32</f>
        <v>Nguyễn Văn Tuyên</v>
      </c>
      <c r="B33" s="28"/>
      <c r="C33" s="81" t="str">
        <f>IF($B33="","",INDEX('All Bảng'!C:C,MATCH(IT!$B33,'All Bảng'!$A:$A,0)))</f>
        <v/>
      </c>
      <c r="D33" s="81" t="str">
        <f>IF($B33="","",INDEX('All Bảng'!D:D,MATCH(IT!$B33,'All Bảng'!$A:$A,0)))</f>
        <v/>
      </c>
      <c r="E33" s="81" t="str">
        <f>IF($B33="","",INDEX('All Bảng'!E:E,MATCH(IT!$B33,'All Bảng'!$A:$A,0)))</f>
        <v/>
      </c>
      <c r="F33" s="81" t="str">
        <f>IF($B33="","",INDEX('All Bảng'!F:F,MATCH(IT!$B33,'All Bảng'!$A:$A,0)))</f>
        <v/>
      </c>
      <c r="G33" s="81" t="str">
        <f>IF($B33="","",INDEX('All Bảng'!G:G,MATCH(IT!$B33,'All Bảng'!$A:$A,0)))</f>
        <v/>
      </c>
      <c r="H33" s="121"/>
      <c r="I33" s="135"/>
      <c r="J33" s="135">
        <f>J$3</f>
        <v>46174</v>
      </c>
      <c r="K33" s="148" t="s">
        <v>557</v>
      </c>
      <c r="L33" s="137"/>
      <c r="M33" s="135">
        <f>M$3</f>
        <v>46175</v>
      </c>
      <c r="N33" s="136" t="s">
        <v>557</v>
      </c>
      <c r="O33" s="137" t="s">
        <v>557</v>
      </c>
      <c r="P33" s="135">
        <f>P$3</f>
        <v>46176</v>
      </c>
      <c r="Q33" s="136" t="s">
        <v>557</v>
      </c>
      <c r="R33" s="137" t="s">
        <v>557</v>
      </c>
      <c r="S33" s="135">
        <f>S$3</f>
        <v>46177</v>
      </c>
      <c r="T33" s="136" t="s">
        <v>557</v>
      </c>
      <c r="U33" s="137" t="s">
        <v>557</v>
      </c>
      <c r="V33" s="135">
        <f>V$3</f>
        <v>46178</v>
      </c>
      <c r="W33" s="136" t="s">
        <v>557</v>
      </c>
      <c r="X33" s="137" t="s">
        <v>557</v>
      </c>
      <c r="Y33" s="135">
        <f>Y$3</f>
        <v>46179</v>
      </c>
      <c r="Z33" s="136" t="s">
        <v>557</v>
      </c>
      <c r="AA33" s="137" t="s">
        <v>557</v>
      </c>
      <c r="AB33" s="135"/>
      <c r="AC33" s="135">
        <f>AC$3</f>
        <v>46181</v>
      </c>
      <c r="AD33" s="136" t="s">
        <v>557</v>
      </c>
      <c r="AE33" s="137" t="s">
        <v>557</v>
      </c>
      <c r="AF33" s="135">
        <f>AF$3</f>
        <v>46182</v>
      </c>
      <c r="AG33" s="136" t="s">
        <v>557</v>
      </c>
      <c r="AH33" s="137" t="s">
        <v>557</v>
      </c>
      <c r="AI33" s="135">
        <f>AI$3</f>
        <v>46183</v>
      </c>
      <c r="AJ33" s="136" t="s">
        <v>557</v>
      </c>
      <c r="AK33" s="137" t="s">
        <v>557</v>
      </c>
      <c r="AL33" s="135">
        <f>AL$3</f>
        <v>46184</v>
      </c>
      <c r="AM33" s="136" t="s">
        <v>557</v>
      </c>
      <c r="AN33" s="137" t="s">
        <v>557</v>
      </c>
      <c r="AO33" s="135">
        <f>AO$3</f>
        <v>46185</v>
      </c>
      <c r="AP33" s="136" t="s">
        <v>557</v>
      </c>
      <c r="AQ33" s="137" t="s">
        <v>557</v>
      </c>
      <c r="AR33" s="135">
        <f>AR$3</f>
        <v>46186</v>
      </c>
      <c r="AS33" s="136" t="s">
        <v>557</v>
      </c>
      <c r="AT33" s="137" t="s">
        <v>557</v>
      </c>
      <c r="AU33" s="12"/>
    </row>
    <row r="34" spans="1:47">
      <c r="A34" s="122" t="str">
        <f>$A$32</f>
        <v>Nguyễn Văn Tuyên</v>
      </c>
      <c r="B34" s="123"/>
      <c r="C34" s="81" t="str">
        <f>IF($B34="","",INDEX('All Bảng'!C:C,MATCH(IT!$B34,'All Bảng'!$A:$A,0)))</f>
        <v/>
      </c>
      <c r="D34" s="81" t="str">
        <f>IF($B34="","",INDEX('All Bảng'!D:D,MATCH(IT!$B34,'All Bảng'!$A:$A,0)))</f>
        <v/>
      </c>
      <c r="E34" s="81" t="str">
        <f>IF($B34="","",INDEX('All Bảng'!E:E,MATCH(IT!$B34,'All Bảng'!$A:$A,0)))</f>
        <v/>
      </c>
      <c r="F34" s="81" t="str">
        <f>IF($B34="","",INDEX('All Bảng'!F:F,MATCH(IT!$B34,'All Bảng'!$A:$A,0)))</f>
        <v/>
      </c>
      <c r="G34" s="81" t="str">
        <f>IF($B34="","",INDEX('All Bảng'!G:G,MATCH(IT!$B34,'All Bảng'!$A:$A,0)))</f>
        <v/>
      </c>
      <c r="H34" s="121"/>
      <c r="I34" s="135"/>
      <c r="J34" s="135">
        <f>J$3</f>
        <v>46174</v>
      </c>
      <c r="K34" s="148" t="s">
        <v>557</v>
      </c>
      <c r="L34" s="137"/>
      <c r="M34" s="135">
        <f>M$3</f>
        <v>46175</v>
      </c>
      <c r="N34" s="136" t="s">
        <v>557</v>
      </c>
      <c r="O34" s="137"/>
      <c r="P34" s="135">
        <f>P$3</f>
        <v>46176</v>
      </c>
      <c r="Q34" s="136" t="s">
        <v>557</v>
      </c>
      <c r="R34" s="137" t="s">
        <v>557</v>
      </c>
      <c r="S34" s="135">
        <f>S$3</f>
        <v>46177</v>
      </c>
      <c r="T34" s="136" t="s">
        <v>557</v>
      </c>
      <c r="U34" s="137" t="s">
        <v>557</v>
      </c>
      <c r="V34" s="135">
        <f>V$3</f>
        <v>46178</v>
      </c>
      <c r="W34" s="136" t="s">
        <v>557</v>
      </c>
      <c r="X34" s="137" t="s">
        <v>557</v>
      </c>
      <c r="Y34" s="135">
        <f>Y$3</f>
        <v>46179</v>
      </c>
      <c r="Z34" s="136" t="s">
        <v>557</v>
      </c>
      <c r="AA34" s="137" t="s">
        <v>557</v>
      </c>
      <c r="AB34" s="135"/>
      <c r="AC34" s="135">
        <f>AC$3</f>
        <v>46181</v>
      </c>
      <c r="AD34" s="136" t="s">
        <v>557</v>
      </c>
      <c r="AE34" s="137" t="s">
        <v>557</v>
      </c>
      <c r="AF34" s="135">
        <f>AF$3</f>
        <v>46182</v>
      </c>
      <c r="AG34" s="136" t="s">
        <v>557</v>
      </c>
      <c r="AH34" s="137" t="s">
        <v>557</v>
      </c>
      <c r="AI34" s="135">
        <f>AI$3</f>
        <v>46183</v>
      </c>
      <c r="AJ34" s="136" t="s">
        <v>557</v>
      </c>
      <c r="AK34" s="137" t="s">
        <v>557</v>
      </c>
      <c r="AL34" s="135">
        <f>AL$3</f>
        <v>46184</v>
      </c>
      <c r="AM34" s="136" t="s">
        <v>557</v>
      </c>
      <c r="AN34" s="137" t="s">
        <v>557</v>
      </c>
      <c r="AO34" s="135">
        <f>AO$3</f>
        <v>46185</v>
      </c>
      <c r="AP34" s="136" t="s">
        <v>557</v>
      </c>
      <c r="AQ34" s="137" t="s">
        <v>557</v>
      </c>
      <c r="AR34" s="135">
        <f>AR$3</f>
        <v>46186</v>
      </c>
      <c r="AS34" s="136" t="s">
        <v>557</v>
      </c>
      <c r="AT34" s="137" t="s">
        <v>557</v>
      </c>
      <c r="AU34" s="12"/>
    </row>
    <row r="35" spans="1:47">
      <c r="A35" s="122" t="str">
        <f>$A$32</f>
        <v>Nguyễn Văn Tuyên</v>
      </c>
      <c r="B35" s="82"/>
      <c r="C35" s="81" t="str">
        <f>IF($B35="","",INDEX('All Bảng'!C:C,MATCH(IT!$B35,'All Bảng'!$A:$A,0)))</f>
        <v/>
      </c>
      <c r="D35" s="81" t="str">
        <f>IF($B35="","",INDEX('All Bảng'!D:D,MATCH(IT!$B35,'All Bảng'!$A:$A,0)))</f>
        <v/>
      </c>
      <c r="E35" s="81" t="str">
        <f>IF($B35="","",INDEX('All Bảng'!E:E,MATCH(IT!$B35,'All Bảng'!$A:$A,0)))</f>
        <v/>
      </c>
      <c r="F35" s="81" t="str">
        <f>IF($B35="","",INDEX('All Bảng'!F:F,MATCH(IT!$B35,'All Bảng'!$A:$A,0)))</f>
        <v/>
      </c>
      <c r="G35" s="81" t="str">
        <f>IF($B35="","",INDEX('All Bảng'!G:G,MATCH(IT!$B35,'All Bảng'!$A:$A,0)))</f>
        <v/>
      </c>
      <c r="H35" s="121"/>
      <c r="I35" s="135"/>
      <c r="J35" s="135">
        <f>J$3</f>
        <v>46174</v>
      </c>
      <c r="K35" s="148" t="s">
        <v>557</v>
      </c>
      <c r="L35" s="137"/>
      <c r="M35" s="135">
        <f>M$3</f>
        <v>46175</v>
      </c>
      <c r="N35" s="136" t="s">
        <v>557</v>
      </c>
      <c r="O35" s="137"/>
      <c r="P35" s="135">
        <f>P$3</f>
        <v>46176</v>
      </c>
      <c r="Q35" s="136" t="s">
        <v>557</v>
      </c>
      <c r="R35" s="137" t="s">
        <v>557</v>
      </c>
      <c r="S35" s="135">
        <f>S$3</f>
        <v>46177</v>
      </c>
      <c r="T35" s="136" t="s">
        <v>557</v>
      </c>
      <c r="U35" s="137" t="s">
        <v>557</v>
      </c>
      <c r="V35" s="135">
        <f>V$3</f>
        <v>46178</v>
      </c>
      <c r="W35" s="136" t="s">
        <v>557</v>
      </c>
      <c r="X35" s="137" t="s">
        <v>557</v>
      </c>
      <c r="Y35" s="135">
        <f>Y$3</f>
        <v>46179</v>
      </c>
      <c r="Z35" s="136" t="s">
        <v>557</v>
      </c>
      <c r="AA35" s="137" t="s">
        <v>557</v>
      </c>
      <c r="AB35" s="135"/>
      <c r="AC35" s="135">
        <f>AC$3</f>
        <v>46181</v>
      </c>
      <c r="AD35" s="136" t="s">
        <v>557</v>
      </c>
      <c r="AE35" s="137" t="s">
        <v>557</v>
      </c>
      <c r="AF35" s="135">
        <f>AF$3</f>
        <v>46182</v>
      </c>
      <c r="AG35" s="136" t="s">
        <v>557</v>
      </c>
      <c r="AH35" s="137" t="s">
        <v>557</v>
      </c>
      <c r="AI35" s="135">
        <f>AI$3</f>
        <v>46183</v>
      </c>
      <c r="AJ35" s="136" t="s">
        <v>557</v>
      </c>
      <c r="AK35" s="137" t="s">
        <v>557</v>
      </c>
      <c r="AL35" s="135">
        <f>AL$3</f>
        <v>46184</v>
      </c>
      <c r="AM35" s="136" t="s">
        <v>557</v>
      </c>
      <c r="AN35" s="137" t="s">
        <v>557</v>
      </c>
      <c r="AO35" s="135">
        <f>AO$3</f>
        <v>46185</v>
      </c>
      <c r="AP35" s="136" t="s">
        <v>557</v>
      </c>
      <c r="AQ35" s="137" t="s">
        <v>557</v>
      </c>
      <c r="AR35" s="135">
        <f>AR$3</f>
        <v>46186</v>
      </c>
      <c r="AS35" s="136" t="s">
        <v>557</v>
      </c>
      <c r="AT35" s="137" t="s">
        <v>557</v>
      </c>
      <c r="AU35" s="12"/>
    </row>
    <row r="36" spans="1:47">
      <c r="A36" s="122" t="str">
        <f>$A$32</f>
        <v>Nguyễn Văn Tuyên</v>
      </c>
      <c r="B36" s="82"/>
      <c r="C36" s="81" t="str">
        <f>IF($B36="","",INDEX('All Bảng'!C:C,MATCH(IT!$B36,'All Bảng'!$A:$A,0)))</f>
        <v/>
      </c>
      <c r="D36" s="81" t="str">
        <f>IF($B36="","",INDEX('All Bảng'!D:D,MATCH(IT!$B36,'All Bảng'!$A:$A,0)))</f>
        <v/>
      </c>
      <c r="E36" s="81" t="str">
        <f>IF($B36="","",INDEX('All Bảng'!E:E,MATCH(IT!$B36,'All Bảng'!$A:$A,0)))</f>
        <v/>
      </c>
      <c r="F36" s="81" t="str">
        <f>IF($B36="","",INDEX('All Bảng'!F:F,MATCH(IT!$B36,'All Bảng'!$A:$A,0)))</f>
        <v/>
      </c>
      <c r="G36" s="81" t="str">
        <f>IF($B36="","",INDEX('All Bảng'!G:G,MATCH(IT!$B36,'All Bảng'!$A:$A,0)))</f>
        <v/>
      </c>
      <c r="H36" s="121"/>
      <c r="I36" s="135"/>
      <c r="J36" s="135">
        <f>J$3</f>
        <v>46174</v>
      </c>
      <c r="K36" s="148" t="s">
        <v>557</v>
      </c>
      <c r="L36" s="137" t="s">
        <v>557</v>
      </c>
      <c r="M36" s="135">
        <f>M$3</f>
        <v>46175</v>
      </c>
      <c r="N36" s="136" t="s">
        <v>557</v>
      </c>
      <c r="O36" s="137"/>
      <c r="P36" s="135">
        <f>P$3</f>
        <v>46176</v>
      </c>
      <c r="Q36" s="136" t="s">
        <v>557</v>
      </c>
      <c r="R36" s="137" t="s">
        <v>557</v>
      </c>
      <c r="S36" s="135">
        <f>S$3</f>
        <v>46177</v>
      </c>
      <c r="T36" s="136" t="s">
        <v>557</v>
      </c>
      <c r="U36" s="137" t="s">
        <v>557</v>
      </c>
      <c r="V36" s="135">
        <f>V$3</f>
        <v>46178</v>
      </c>
      <c r="W36" s="136" t="s">
        <v>557</v>
      </c>
      <c r="X36" s="137" t="s">
        <v>557</v>
      </c>
      <c r="Y36" s="135">
        <f>Y$3</f>
        <v>46179</v>
      </c>
      <c r="Z36" s="136" t="s">
        <v>557</v>
      </c>
      <c r="AA36" s="137" t="s">
        <v>557</v>
      </c>
      <c r="AB36" s="135"/>
      <c r="AC36" s="135">
        <f>AC$3</f>
        <v>46181</v>
      </c>
      <c r="AD36" s="136" t="s">
        <v>557</v>
      </c>
      <c r="AE36" s="137" t="s">
        <v>557</v>
      </c>
      <c r="AF36" s="135">
        <f>AF$3</f>
        <v>46182</v>
      </c>
      <c r="AG36" s="136" t="s">
        <v>557</v>
      </c>
      <c r="AH36" s="137" t="s">
        <v>557</v>
      </c>
      <c r="AI36" s="135">
        <f>AI$3</f>
        <v>46183</v>
      </c>
      <c r="AJ36" s="136" t="s">
        <v>557</v>
      </c>
      <c r="AK36" s="137" t="s">
        <v>557</v>
      </c>
      <c r="AL36" s="135">
        <f>AL$3</f>
        <v>46184</v>
      </c>
      <c r="AM36" s="136" t="s">
        <v>557</v>
      </c>
      <c r="AN36" s="137" t="s">
        <v>557</v>
      </c>
      <c r="AO36" s="135">
        <f>AO$3</f>
        <v>46185</v>
      </c>
      <c r="AP36" s="136" t="s">
        <v>557</v>
      </c>
      <c r="AQ36" s="137" t="s">
        <v>557</v>
      </c>
      <c r="AR36" s="135">
        <f>AR$3</f>
        <v>46186</v>
      </c>
      <c r="AS36" s="136" t="s">
        <v>557</v>
      </c>
      <c r="AT36" s="137" t="s">
        <v>557</v>
      </c>
      <c r="AU36" s="12"/>
    </row>
    <row r="37" spans="1:47">
      <c r="A37" s="122" t="str">
        <f>$A$32</f>
        <v>Nguyễn Văn Tuyên</v>
      </c>
      <c r="B37" s="82"/>
      <c r="C37" s="81" t="str">
        <f>IF($B37="","",INDEX('All Bảng'!C:C,MATCH(IT!$B37,'All Bảng'!$A:$A,0)))</f>
        <v/>
      </c>
      <c r="D37" s="81" t="str">
        <f>IF($B37="","",INDEX('All Bảng'!D:D,MATCH(IT!$B37,'All Bảng'!$A:$A,0)))</f>
        <v/>
      </c>
      <c r="E37" s="81" t="str">
        <f>IF($B37="","",INDEX('All Bảng'!E:E,MATCH(IT!$B37,'All Bảng'!$A:$A,0)))</f>
        <v/>
      </c>
      <c r="F37" s="81" t="str">
        <f>IF($B37="","",INDEX('All Bảng'!F:F,MATCH(IT!$B37,'All Bảng'!$A:$A,0)))</f>
        <v/>
      </c>
      <c r="G37" s="81" t="str">
        <f>IF($B37="","",INDEX('All Bảng'!G:G,MATCH(IT!$B37,'All Bảng'!$A:$A,0)))</f>
        <v/>
      </c>
      <c r="H37" s="121"/>
      <c r="I37" s="135"/>
      <c r="J37" s="135">
        <f>J$3</f>
        <v>46174</v>
      </c>
      <c r="K37" s="148" t="s">
        <v>557</v>
      </c>
      <c r="L37" s="137" t="s">
        <v>557</v>
      </c>
      <c r="M37" s="135">
        <f>M$3</f>
        <v>46175</v>
      </c>
      <c r="N37" s="136" t="s">
        <v>557</v>
      </c>
      <c r="O37" s="137"/>
      <c r="P37" s="135">
        <f>P$3</f>
        <v>46176</v>
      </c>
      <c r="Q37" s="136" t="s">
        <v>557</v>
      </c>
      <c r="R37" s="137" t="s">
        <v>557</v>
      </c>
      <c r="S37" s="135">
        <f>S$3</f>
        <v>46177</v>
      </c>
      <c r="T37" s="136" t="s">
        <v>557</v>
      </c>
      <c r="U37" s="137" t="s">
        <v>557</v>
      </c>
      <c r="V37" s="135">
        <f>V$3</f>
        <v>46178</v>
      </c>
      <c r="W37" s="136" t="s">
        <v>557</v>
      </c>
      <c r="X37" s="137" t="s">
        <v>557</v>
      </c>
      <c r="Y37" s="135">
        <f>Y$3</f>
        <v>46179</v>
      </c>
      <c r="Z37" s="136" t="s">
        <v>557</v>
      </c>
      <c r="AA37" s="137" t="s">
        <v>557</v>
      </c>
      <c r="AB37" s="135"/>
      <c r="AC37" s="135">
        <f>AC$3</f>
        <v>46181</v>
      </c>
      <c r="AD37" s="136" t="s">
        <v>557</v>
      </c>
      <c r="AE37" s="137" t="s">
        <v>557</v>
      </c>
      <c r="AF37" s="135">
        <f>AF$3</f>
        <v>46182</v>
      </c>
      <c r="AG37" s="136" t="s">
        <v>557</v>
      </c>
      <c r="AH37" s="137" t="s">
        <v>557</v>
      </c>
      <c r="AI37" s="135">
        <f>AI$3</f>
        <v>46183</v>
      </c>
      <c r="AJ37" s="136" t="s">
        <v>557</v>
      </c>
      <c r="AK37" s="137" t="s">
        <v>557</v>
      </c>
      <c r="AL37" s="135">
        <f>AL$3</f>
        <v>46184</v>
      </c>
      <c r="AM37" s="136" t="s">
        <v>557</v>
      </c>
      <c r="AN37" s="137" t="s">
        <v>557</v>
      </c>
      <c r="AO37" s="135">
        <f>AO$3</f>
        <v>46185</v>
      </c>
      <c r="AP37" s="136" t="s">
        <v>557</v>
      </c>
      <c r="AQ37" s="137" t="s">
        <v>557</v>
      </c>
      <c r="AR37" s="135">
        <f>AR$3</f>
        <v>46186</v>
      </c>
      <c r="AS37" s="136" t="s">
        <v>557</v>
      </c>
      <c r="AT37" s="137" t="s">
        <v>557</v>
      </c>
      <c r="AU37" s="12"/>
    </row>
    <row r="38" spans="1:47">
      <c r="A38" s="122" t="str">
        <f>$A$32</f>
        <v>Nguyễn Văn Tuyên</v>
      </c>
      <c r="B38" s="82"/>
      <c r="C38" s="81" t="str">
        <f>IF($B38="","",INDEX('All Bảng'!C:C,MATCH(IT!$B38,'All Bảng'!$A:$A,0)))</f>
        <v/>
      </c>
      <c r="D38" s="81" t="str">
        <f>IF($B38="","",INDEX('All Bảng'!D:D,MATCH(IT!$B38,'All Bảng'!$A:$A,0)))</f>
        <v/>
      </c>
      <c r="E38" s="81" t="str">
        <f>IF($B38="","",INDEX('All Bảng'!E:E,MATCH(IT!$B38,'All Bảng'!$A:$A,0)))</f>
        <v/>
      </c>
      <c r="F38" s="81" t="str">
        <f>IF($B38="","",INDEX('All Bảng'!F:F,MATCH(IT!$B38,'All Bảng'!$A:$A,0)))</f>
        <v/>
      </c>
      <c r="G38" s="81" t="str">
        <f>IF($B38="","",INDEX('All Bảng'!G:G,MATCH(IT!$B38,'All Bảng'!$A:$A,0)))</f>
        <v/>
      </c>
      <c r="H38" s="121"/>
      <c r="I38" s="135"/>
      <c r="J38" s="135">
        <f>J$3</f>
        <v>46174</v>
      </c>
      <c r="K38" s="148" t="s">
        <v>557</v>
      </c>
      <c r="L38" s="137" t="s">
        <v>557</v>
      </c>
      <c r="M38" s="135">
        <f>M$3</f>
        <v>46175</v>
      </c>
      <c r="N38" s="136" t="s">
        <v>557</v>
      </c>
      <c r="O38" s="137"/>
      <c r="P38" s="135">
        <f>P$3</f>
        <v>46176</v>
      </c>
      <c r="Q38" s="136" t="s">
        <v>557</v>
      </c>
      <c r="R38" s="137" t="s">
        <v>557</v>
      </c>
      <c r="S38" s="135">
        <f>S$3</f>
        <v>46177</v>
      </c>
      <c r="T38" s="136" t="s">
        <v>557</v>
      </c>
      <c r="U38" s="137" t="s">
        <v>557</v>
      </c>
      <c r="V38" s="135">
        <f>V$3</f>
        <v>46178</v>
      </c>
      <c r="W38" s="136" t="s">
        <v>557</v>
      </c>
      <c r="X38" s="137" t="s">
        <v>557</v>
      </c>
      <c r="Y38" s="135">
        <f>Y$3</f>
        <v>46179</v>
      </c>
      <c r="Z38" s="136" t="s">
        <v>557</v>
      </c>
      <c r="AA38" s="137" t="s">
        <v>557</v>
      </c>
      <c r="AB38" s="135"/>
      <c r="AC38" s="135">
        <f>AC$3</f>
        <v>46181</v>
      </c>
      <c r="AD38" s="136" t="s">
        <v>557</v>
      </c>
      <c r="AE38" s="137" t="s">
        <v>557</v>
      </c>
      <c r="AF38" s="135">
        <f>AF$3</f>
        <v>46182</v>
      </c>
      <c r="AG38" s="136" t="s">
        <v>557</v>
      </c>
      <c r="AH38" s="137" t="s">
        <v>557</v>
      </c>
      <c r="AI38" s="135">
        <f>AI$3</f>
        <v>46183</v>
      </c>
      <c r="AJ38" s="136" t="s">
        <v>557</v>
      </c>
      <c r="AK38" s="137" t="s">
        <v>557</v>
      </c>
      <c r="AL38" s="135">
        <f>AL$3</f>
        <v>46184</v>
      </c>
      <c r="AM38" s="136" t="s">
        <v>557</v>
      </c>
      <c r="AN38" s="137" t="s">
        <v>557</v>
      </c>
      <c r="AO38" s="135">
        <f>AO$3</f>
        <v>46185</v>
      </c>
      <c r="AP38" s="136" t="s">
        <v>557</v>
      </c>
      <c r="AQ38" s="137" t="s">
        <v>557</v>
      </c>
      <c r="AR38" s="135">
        <f>AR$3</f>
        <v>46186</v>
      </c>
      <c r="AS38" s="136" t="s">
        <v>557</v>
      </c>
      <c r="AT38" s="137" t="s">
        <v>557</v>
      </c>
      <c r="AU38" s="12"/>
    </row>
    <row r="39" spans="1:47">
      <c r="A39" s="122" t="str">
        <f>$A$32</f>
        <v>Nguyễn Văn Tuyên</v>
      </c>
      <c r="B39" s="82"/>
      <c r="C39" s="81" t="str">
        <f>IF($B39="","",INDEX('All Bảng'!C:C,MATCH(IT!$B39,'All Bảng'!$A:$A,0)))</f>
        <v/>
      </c>
      <c r="D39" s="81" t="str">
        <f>IF($B39="","",INDEX('All Bảng'!D:D,MATCH(IT!$B39,'All Bảng'!$A:$A,0)))</f>
        <v/>
      </c>
      <c r="E39" s="81" t="str">
        <f>IF($B39="","",INDEX('All Bảng'!E:E,MATCH(IT!$B39,'All Bảng'!$A:$A,0)))</f>
        <v/>
      </c>
      <c r="F39" s="81" t="str">
        <f>IF($B39="","",INDEX('All Bảng'!F:F,MATCH(IT!$B39,'All Bảng'!$A:$A,0)))</f>
        <v/>
      </c>
      <c r="G39" s="81" t="str">
        <f>IF($B39="","",INDEX('All Bảng'!G:G,MATCH(IT!$B39,'All Bảng'!$A:$A,0)))</f>
        <v/>
      </c>
      <c r="H39" s="121"/>
      <c r="I39" s="135"/>
      <c r="J39" s="135">
        <f>J$3</f>
        <v>46174</v>
      </c>
      <c r="K39" s="148" t="s">
        <v>557</v>
      </c>
      <c r="L39" s="137" t="s">
        <v>557</v>
      </c>
      <c r="M39" s="135">
        <f>M$3</f>
        <v>46175</v>
      </c>
      <c r="N39" s="136" t="s">
        <v>557</v>
      </c>
      <c r="O39" s="137"/>
      <c r="P39" s="135">
        <f>P$3</f>
        <v>46176</v>
      </c>
      <c r="Q39" s="136" t="s">
        <v>557</v>
      </c>
      <c r="R39" s="137" t="s">
        <v>557</v>
      </c>
      <c r="S39" s="135">
        <f>S$3</f>
        <v>46177</v>
      </c>
      <c r="T39" s="136" t="s">
        <v>557</v>
      </c>
      <c r="U39" s="137" t="s">
        <v>557</v>
      </c>
      <c r="V39" s="135">
        <f>V$3</f>
        <v>46178</v>
      </c>
      <c r="W39" s="136" t="s">
        <v>557</v>
      </c>
      <c r="X39" s="137" t="s">
        <v>557</v>
      </c>
      <c r="Y39" s="135">
        <f>Y$3</f>
        <v>46179</v>
      </c>
      <c r="Z39" s="136" t="s">
        <v>557</v>
      </c>
      <c r="AA39" s="137" t="s">
        <v>557</v>
      </c>
      <c r="AB39" s="135"/>
      <c r="AC39" s="135">
        <f>AC$3</f>
        <v>46181</v>
      </c>
      <c r="AD39" s="136" t="s">
        <v>557</v>
      </c>
      <c r="AE39" s="137" t="s">
        <v>557</v>
      </c>
      <c r="AF39" s="135">
        <f>AF$3</f>
        <v>46182</v>
      </c>
      <c r="AG39" s="136" t="s">
        <v>557</v>
      </c>
      <c r="AH39" s="137" t="s">
        <v>557</v>
      </c>
      <c r="AI39" s="135">
        <f>AI$3</f>
        <v>46183</v>
      </c>
      <c r="AJ39" s="136" t="s">
        <v>557</v>
      </c>
      <c r="AK39" s="137" t="s">
        <v>557</v>
      </c>
      <c r="AL39" s="135">
        <f>AL$3</f>
        <v>46184</v>
      </c>
      <c r="AM39" s="136" t="s">
        <v>557</v>
      </c>
      <c r="AN39" s="137" t="s">
        <v>557</v>
      </c>
      <c r="AO39" s="135">
        <f>AO$3</f>
        <v>46185</v>
      </c>
      <c r="AP39" s="136" t="s">
        <v>557</v>
      </c>
      <c r="AQ39" s="137" t="s">
        <v>557</v>
      </c>
      <c r="AR39" s="135">
        <f>AR$3</f>
        <v>46186</v>
      </c>
      <c r="AS39" s="136" t="s">
        <v>557</v>
      </c>
      <c r="AT39" s="137" t="s">
        <v>557</v>
      </c>
      <c r="AU39" s="12"/>
    </row>
    <row r="40" spans="1:47">
      <c r="A40" s="122" t="str">
        <f>$A$32</f>
        <v>Nguyễn Văn Tuyên</v>
      </c>
      <c r="B40" s="82"/>
      <c r="C40" s="81" t="str">
        <f>IF($B40="","",INDEX('All Bảng'!C:C,MATCH(IT!$B40,'All Bảng'!$A:$A,0)))</f>
        <v/>
      </c>
      <c r="D40" s="81" t="str">
        <f>IF($B40="","",INDEX('All Bảng'!D:D,MATCH(IT!$B40,'All Bảng'!$A:$A,0)))</f>
        <v/>
      </c>
      <c r="E40" s="81" t="str">
        <f>IF($B40="","",INDEX('All Bảng'!E:E,MATCH(IT!$B40,'All Bảng'!$A:$A,0)))</f>
        <v/>
      </c>
      <c r="F40" s="81" t="str">
        <f>IF($B40="","",INDEX('All Bảng'!F:F,MATCH(IT!$B40,'All Bảng'!$A:$A,0)))</f>
        <v/>
      </c>
      <c r="G40" s="81" t="str">
        <f>IF($B40="","",INDEX('All Bảng'!G:G,MATCH(IT!$B40,'All Bảng'!$A:$A,0)))</f>
        <v/>
      </c>
      <c r="H40" s="121"/>
      <c r="I40" s="135"/>
      <c r="J40" s="135">
        <f>J$3</f>
        <v>46174</v>
      </c>
      <c r="K40" s="148" t="s">
        <v>557</v>
      </c>
      <c r="L40" s="137" t="s">
        <v>557</v>
      </c>
      <c r="M40" s="135">
        <f>M$3</f>
        <v>46175</v>
      </c>
      <c r="N40" s="136" t="s">
        <v>557</v>
      </c>
      <c r="O40" s="137"/>
      <c r="P40" s="135">
        <f>P$3</f>
        <v>46176</v>
      </c>
      <c r="Q40" s="136" t="s">
        <v>557</v>
      </c>
      <c r="R40" s="137" t="s">
        <v>557</v>
      </c>
      <c r="S40" s="135">
        <f>S$3</f>
        <v>46177</v>
      </c>
      <c r="T40" s="136" t="s">
        <v>557</v>
      </c>
      <c r="U40" s="137" t="s">
        <v>557</v>
      </c>
      <c r="V40" s="135">
        <f>V$3</f>
        <v>46178</v>
      </c>
      <c r="W40" s="136" t="s">
        <v>557</v>
      </c>
      <c r="X40" s="137" t="s">
        <v>557</v>
      </c>
      <c r="Y40" s="135">
        <f>Y$3</f>
        <v>46179</v>
      </c>
      <c r="Z40" s="136" t="s">
        <v>557</v>
      </c>
      <c r="AA40" s="137" t="s">
        <v>557</v>
      </c>
      <c r="AB40" s="135"/>
      <c r="AC40" s="135">
        <f>AC$3</f>
        <v>46181</v>
      </c>
      <c r="AD40" s="136" t="s">
        <v>557</v>
      </c>
      <c r="AE40" s="137" t="s">
        <v>557</v>
      </c>
      <c r="AF40" s="135">
        <f>AF$3</f>
        <v>46182</v>
      </c>
      <c r="AG40" s="136" t="s">
        <v>557</v>
      </c>
      <c r="AH40" s="137" t="s">
        <v>557</v>
      </c>
      <c r="AI40" s="135">
        <f>AI$3</f>
        <v>46183</v>
      </c>
      <c r="AJ40" s="136" t="s">
        <v>557</v>
      </c>
      <c r="AK40" s="137" t="s">
        <v>557</v>
      </c>
      <c r="AL40" s="135">
        <f>AL$3</f>
        <v>46184</v>
      </c>
      <c r="AM40" s="136" t="s">
        <v>557</v>
      </c>
      <c r="AN40" s="137" t="s">
        <v>557</v>
      </c>
      <c r="AO40" s="135">
        <f>AO$3</f>
        <v>46185</v>
      </c>
      <c r="AP40" s="136" t="s">
        <v>557</v>
      </c>
      <c r="AQ40" s="137" t="s">
        <v>557</v>
      </c>
      <c r="AR40" s="135">
        <f>AR$3</f>
        <v>46186</v>
      </c>
      <c r="AS40" s="136" t="s">
        <v>557</v>
      </c>
      <c r="AT40" s="137" t="s">
        <v>557</v>
      </c>
      <c r="AU40" s="12"/>
    </row>
  </sheetData>
  <autoFilter ref="A3:H40" xr:uid="{D67015DE-D1F2-49CB-BB0A-DEC642B2460A}"/>
  <mergeCells count="1">
    <mergeCell ref="A1:H1"/>
  </mergeCells>
  <conditionalFormatting sqref="B2:B40">
    <cfRule type="duplicateValues" dxfId="0" priority="160"/>
  </conditionalFormatting>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AF317347-0C73-482D-9137-50A75E9C3DA3}">
          <x14:formula1>
            <xm:f>'All Bảng'!$A:$A</xm:f>
          </x14:formula1>
          <xm:sqref>B4:B10 B12:B40</xm:sqref>
        </x14:dataValidation>
        <x14:dataValidation type="list" allowBlank="1" showInputMessage="1" showErrorMessage="1" xr:uid="{289573E8-11BA-4919-A6DC-E6C9D3DC86A4}">
          <x14:formula1>
            <xm:f>'Bảng 5'!$A:$A</xm:f>
          </x14:formula1>
          <xm:sqref>B1:B3 B41:B1048576</xm:sqref>
        </x14:dataValidation>
        <x14:dataValidation type="list" allowBlank="1" showInputMessage="1" showErrorMessage="1" xr:uid="{332F14BC-CE16-48F7-BBDB-CCB53BB83F54}">
          <x14:formula1>
            <xm:f>Data!$Y:$Y</xm:f>
          </x14:formula1>
          <xm:sqref>A4:A40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Mai Hồng Hạnh (VH-VTK-MB)</dc:creator>
  <cp:keywords/>
  <dc:description/>
  <cp:lastModifiedBy>Nguyễn Hải Nam (VH-VTK-MB)</cp:lastModifiedBy>
  <cp:revision/>
  <dcterms:created xsi:type="dcterms:W3CDTF">2026-05-18T01:42:54Z</dcterms:created>
  <dcterms:modified xsi:type="dcterms:W3CDTF">2026-06-05T01:51:26Z</dcterms:modified>
  <cp:category/>
  <cp:contentStatus/>
</cp:coreProperties>
</file>